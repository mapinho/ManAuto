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_Oficinas" sheetId="2" state="visible" r:id="rId4"/>
    <sheet name="Calendario_Sazonalidade" sheetId="3" state="visible" r:id="rId5"/>
    <sheet name="Gatilhos" sheetId="4" state="visible" r:id="rId6"/>
    <sheet name="Frota" sheetId="5" state="visible" r:id="rId7"/>
    <sheet name="Pessoas" sheetId="6" state="visible" r:id="rId8"/>
    <sheet name="Check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<sst xmlns="http://schemas.openxmlformats.org/spreadsheetml/2006/main" count="207" uniqueCount="152">
  <si>
    <t xml:space="preserve">PARAMETRIZAÇÃO — APP AGROVECTOR MANUTENÇÃO v4.2</t>
  </si>
  <si>
    <t xml:space="preserve">1</t>
  </si>
  <si>
    <t xml:space="preserve">Objetivo</t>
  </si>
  <si>
    <t xml:space="preserve">Consolidar TODOS os parâmetros do App AgroVector (agrovector_manutencao_v4.2_2026-06-16.html) para levantamento em campo e carga no app.</t>
  </si>
  <si>
    <t xml:space="preserve">2</t>
  </si>
  <si>
    <t xml:space="preserve">Abas de premissas (digitação no app)</t>
  </si>
  <si>
    <t xml:space="preserve">Premissas_Oficinas, Calendario_Sazonalidade e Gatilhos NÃO têm importação por arquivo: os valores devem ser digitados na aba "📐 Premissas" do app. Esta planilha é a fonte oficial de levantamento e validação com o cliente.</t>
  </si>
  <si>
    <t xml:space="preserve">3</t>
  </si>
  <si>
    <t xml:space="preserve">Abas de carga (CSV → app)</t>
  </si>
  <si>
    <t xml:space="preserve">Frota, Pessoas e Checklist têm formato IDÊNTICO aos importadores do app. Para carregar: salve cada aba como "CSV UTF-8 (delimitado por vírgula)" e use os botões 📥 Importar CSV das abas 🚛 Frota, 👷 Pessoas e ✅ Checklist do app. A primeira linha (cabeçalho) é ignorada pelo app.</t>
  </si>
  <si>
    <t xml:space="preserve">4</t>
  </si>
  <si>
    <t xml:space="preserve">Regras de preenchimento</t>
  </si>
  <si>
    <t xml:space="preserve">Não altere a ordem das colunas das abas de carga. Use os menus suspensos (validação) onde disponíveis. %Prev + %Corr deve somar 100 (a coluna Check acusa em vermelho se não somar).</t>
  </si>
  <si>
    <t xml:space="preserve">5</t>
  </si>
  <si>
    <t xml:space="preserve">Cores Fabio (semáforo)</t>
  </si>
  <si>
    <t xml:space="preserve">VERDE #00FF00 = OK · AMARELO #FFFF00 = atenção · VERMELHO #FF3300 = crítico (fonte branca). Aplicadas automaticamente nas células de verificação.</t>
  </si>
  <si>
    <t xml:space="preserve">6</t>
  </si>
  <si>
    <t xml:space="preserve">Listas válidas do app</t>
  </si>
  <si>
    <t xml:space="preserve">Oficinas: Mec. Oficina, Mec. Campo, Elétrica, Lubrificação, Borracharia, Caldeiraria · Classes: Colhedora, Trator, Caminhão, Implemento, Veículo Leve · Turnos: Diurno, Noturno, Safra, Turno 5x1 · Tipos de atividade: Troca, Verificação, Inspeção, Lubrificação, Calibragem, Limpeza, Ajuste, Regulagem · Tipos de preventiva: S, A, B, C, D (herança cumulativa).</t>
  </si>
  <si>
    <t xml:space="preserve">PREMISSAS POR OFICINA — Índices e Disponibilidade de MO (digitar na aba Premissas do app)</t>
  </si>
  <si>
    <t xml:space="preserve">Horas Efetivas e Horas Líquidas replicam o motor do app: Efetivas = Brutas − Almoço − Café − Abertura OS · Líquidas = Efetivas × (1 − (Abs% + Férias%/12 + Trein/(252×Efetivas))) × Produtividade%.</t>
  </si>
  <si>
    <t xml:space="preserve">Oficina</t>
  </si>
  <si>
    <t xml:space="preserve">% Preventiva</t>
  </si>
  <si>
    <t xml:space="preserve">% Corretiva</t>
  </si>
  <si>
    <t xml:space="preserve">Check %</t>
  </si>
  <si>
    <t xml:space="preserve">Deflator (% a.a.)</t>
  </si>
  <si>
    <t xml:space="preserve">% Terceiros</t>
  </si>
  <si>
    <t xml:space="preserve">H. Brutas/dia</t>
  </si>
  <si>
    <t xml:space="preserve">Almoço (h)</t>
  </si>
  <si>
    <t xml:space="preserve">Café (h)</t>
  </si>
  <si>
    <t xml:space="preserve">Abertura OS (h)</t>
  </si>
  <si>
    <t xml:space="preserve">Produtividade (%)</t>
  </si>
  <si>
    <t xml:space="preserve">Absenteísmo (%)</t>
  </si>
  <si>
    <t xml:space="preserve">Férias (%)</t>
  </si>
  <si>
    <t xml:space="preserve">Treinamento (h/ano)</t>
  </si>
  <si>
    <t xml:space="preserve">H. Efetivas/dia</t>
  </si>
  <si>
    <t xml:space="preserve">H. Líquidas/dia</t>
  </si>
  <si>
    <t xml:space="preserve">Mec. Oficina</t>
  </si>
  <si>
    <t xml:space="preserve">Mec. Campo</t>
  </si>
  <si>
    <t xml:space="preserve">Elétrica</t>
  </si>
  <si>
    <t xml:space="preserve">Lubrificação</t>
  </si>
  <si>
    <t xml:space="preserve">Borracharia</t>
  </si>
  <si>
    <t xml:space="preserve">Caldeiraria</t>
  </si>
  <si>
    <t xml:space="preserve">CALENDÁRIO — Dias úteis, Safra e Sazonalidade de Corretivas (digitar na aba Premissas do app)</t>
  </si>
  <si>
    <t xml:space="preserve">Início da safra</t>
  </si>
  <si>
    <t xml:space="preserve">2025-04-01</t>
  </si>
  <si>
    <t xml:space="preserve">Fim da safra</t>
  </si>
  <si>
    <t xml:space="preserve">2025-11-30</t>
  </si>
  <si>
    <t xml:space="preserve">Mês</t>
  </si>
  <si>
    <t xml:space="preserve">Dias úteis</t>
  </si>
  <si>
    <t xml:space="preserve">Safra? (Sim/Não)</t>
  </si>
  <si>
    <t xml:space="preserve">Fator sazonal corretivas</t>
  </si>
  <si>
    <t xml:space="preserve">Observação</t>
  </si>
  <si>
    <t xml:space="preserve">Janeiro</t>
  </si>
  <si>
    <t xml:space="preserve">Sim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</si>
  <si>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</si>
  <si>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</si>
  <si>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</si>
  <si>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</si>
  <si>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</si>
  <si>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</si>
  <si>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Não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</si>
  <si>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</si>
  <si>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</si>
  <si>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</si>
  <si>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</si>
  <si>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</si>
  <si>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 / MÉDIA</t>
  </si>
  <si>
    <t xml:space="preserve">GATILHOS DE PREVENTIVA POR CLASSE (digitar na aba Premissas do app)</t>
  </si>
  <si>
    <t xml:space="preserve">Intervalos por tipo de revisão. Herança cumulativa: S ⊂ A ⊂ B ⊂ C ⊂ D (a revisão B executa também os itens de S e A). Deixe em branco os tipos não usados.</t>
  </si>
  <si>
    <t xml:space="preserve">Classe</t>
  </si>
  <si>
    <t xml:space="preserve">Tipo de gatilho</t>
  </si>
  <si>
    <t xml:space="preserve">Intervalo S</t>
  </si>
  <si>
    <t xml:space="preserve">Intervalo A</t>
  </si>
  <si>
    <t xml:space="preserve">Intervalo B</t>
  </si>
  <si>
    <t xml:space="preserve">Intervalo C</t>
  </si>
  <si>
    <t xml:space="preserve">Intervalo D</t>
  </si>
  <si>
    <t xml:space="preserve">Colhedora</t>
  </si>
  <si>
    <t xml:space="preserve">Horas</t>
  </si>
  <si>
    <t xml:space="preserve">Trator</t>
  </si>
  <si>
    <t xml:space="preserve">Caminhão</t>
  </si>
  <si>
    <t xml:space="preserve">KM</t>
  </si>
  <si>
    <t xml:space="preserve">Implemento</t>
  </si>
  <si>
    <t xml:space="preserve">Veículo Leve</t>
  </si>
  <si>
    <t xml:space="preserve">FROTA — formato do importador CSV do app (aba 🚛 Frota → 📥 Importar CSV)</t>
  </si>
  <si>
    <t xml:space="preserve">Não altere a ordem das colunas. Garantia: true/false (minúsculas). Uso Atual e Uso Médio na unidade do gatilho (Horas ou KM). Substitua os exemplos pelos ativos do cliente.</t>
  </si>
  <si>
    <t xml:space="preserve">Nome</t>
  </si>
  <si>
    <t xml:space="preserve">Modelo</t>
  </si>
  <si>
    <t xml:space="preserve">Fabricante</t>
  </si>
  <si>
    <t xml:space="preserve">Ano</t>
  </si>
  <si>
    <t xml:space="preserve">Filial</t>
  </si>
  <si>
    <t xml:space="preserve">Status</t>
  </si>
  <si>
    <t xml:space="preserve">Tipo Gatilho</t>
  </si>
  <si>
    <t xml:space="preserve">Uso Atual</t>
  </si>
  <si>
    <t xml:space="preserve">Uso Médio Mensal</t>
  </si>
  <si>
    <t xml:space="preserve">Intervalo Preventiva</t>
  </si>
  <si>
    <t xml:space="preserve">Garantia</t>
  </si>
  <si>
    <t xml:space="preserve">Colhedora CASE A8810 — 1035</t>
  </si>
  <si>
    <t xml:space="preserve">CASE A8810</t>
  </si>
  <si>
    <t xml:space="preserve">CASE</t>
  </si>
  <si>
    <t xml:space="preserve">Sede</t>
  </si>
  <si>
    <t xml:space="preserve">Ativo</t>
  </si>
  <si>
    <t xml:space="preserve">false</t>
  </si>
  <si>
    <t xml:space="preserve">Colhedora CASE A9000 — 1043</t>
  </si>
  <si>
    <t xml:space="preserve">CASE A9000</t>
  </si>
  <si>
    <t xml:space="preserve">true</t>
  </si>
  <si>
    <t xml:space="preserve">Trator NH T7.315 — 401</t>
  </si>
  <si>
    <t xml:space="preserve">NH T7.315</t>
  </si>
  <si>
    <t xml:space="preserve">New Holland</t>
  </si>
  <si>
    <t xml:space="preserve">Caminhão Scania G480 — 2748</t>
  </si>
  <si>
    <t xml:space="preserve">Scania G 480</t>
  </si>
  <si>
    <t xml:space="preserve">Scania</t>
  </si>
  <si>
    <t xml:space="preserve">Fiat Toro — 5001</t>
  </si>
  <si>
    <t xml:space="preserve">Toro Endurance</t>
  </si>
  <si>
    <t xml:space="preserve">Fiat</t>
  </si>
  <si>
    <t xml:space="preserve">PESSOAS — formato do importador CSV do app (aba 👷 Pessoas → 📥 Importar CSV)</t>
  </si>
  <si>
    <t xml:space="preserve">Não altere a ordem das colunas. Encargos em % sobre o salário. Substitua o exemplo pela equipe do cliente.</t>
  </si>
  <si>
    <t xml:space="preserve">Cargo</t>
  </si>
  <si>
    <t xml:space="preserve">Turno</t>
  </si>
  <si>
    <t xml:space="preserve">Salario</t>
  </si>
  <si>
    <t xml:space="preserve">Encargos%</t>
  </si>
  <si>
    <t xml:space="preserve">João Silva</t>
  </si>
  <si>
    <t xml:space="preserve">Mecânico Sr.</t>
  </si>
  <si>
    <t xml:space="preserve">Diurno</t>
  </si>
  <si>
    <t xml:space="preserve">CHECKLIST — formato do importador CSV do app (aba ✅ Checklist → 📥 Importar CSV)</t>
  </si>
  <si>
    <t xml:space="preserve">Uma linha por ATIVIDADE. "Checklist" agrupa as atividades (ex.: "Rev. S — Colhedora (250h)"). HH em horas decimais (1,5 = 1h30). Insumo/Peça em branco e Qtd 0 quando não houver.</t>
  </si>
  <si>
    <t xml:space="preserve">Checklist</t>
  </si>
  <si>
    <t xml:space="preserve">Tipo Prev</t>
  </si>
  <si>
    <t xml:space="preserve">Atividade</t>
  </si>
  <si>
    <t xml:space="preserve">Tipo Ativ</t>
  </si>
  <si>
    <t xml:space="preserve">HH</t>
  </si>
  <si>
    <t xml:space="preserve">Insumo</t>
  </si>
  <si>
    <t xml:space="preserve">Qtd Insumo</t>
  </si>
  <si>
    <t xml:space="preserve">Un Insumo</t>
  </si>
  <si>
    <t xml:space="preserve">Peca</t>
  </si>
  <si>
    <t xml:space="preserve">Qtd Peca</t>
  </si>
  <si>
    <t xml:space="preserve">Rev. S — Colhedora (250h)</t>
  </si>
  <si>
    <t xml:space="preserve">S</t>
  </si>
  <si>
    <t xml:space="preserve">Troca de óleo do motor</t>
  </si>
  <si>
    <t xml:space="preserve">Troca</t>
  </si>
  <si>
    <t xml:space="preserve">Óleo Motor 15W40</t>
  </si>
  <si>
    <t xml:space="preserve">L</t>
  </si>
  <si>
    <t xml:space="preserve">Filtro de óleo</t>
  </si>
  <si>
    <t xml:space="preserve">Lubrificação pontos fixos</t>
  </si>
  <si>
    <t xml:space="preserve">Lubrificador</t>
  </si>
  <si>
    <t xml:space="preserve">Graxa EP2</t>
  </si>
  <si>
    <t xml:space="preserve">kg</t>
  </si>
  <si>
    <t xml:space="preserve">Rev. A — Colhedora (500h)</t>
  </si>
  <si>
    <t xml:space="preserve">A</t>
  </si>
  <si>
    <t xml:space="preserve">Troca filtros de combustível</t>
  </si>
  <si>
    <t xml:space="preserve">Mecânico Pleno</t>
  </si>
  <si>
    <t xml:space="preserve">Filtro combustível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</si>
</sst>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1"/>
      <color rgb="FF1F3060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rgb="FF5070A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060"/>
        <bgColor rgb="FF333333"/>
      </patternFill>
    </fill>
    <fill>
      <patternFill patternType="solid">
        <fgColor rgb="FFE8EC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5B7"/>
      </left>
      <right style="thin">
        <color rgb="FFB2B5B7"/>
      </right>
      <top style="thin">
        <color rgb="FFB2B5B7"/>
      </top>
      <bottom style="thin">
        <color rgb="FFB2B5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000000"/>
      </font>
      <fill>
        <patternFill>
          <bgColor rgb="FF00FF00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FF3300"/>
        </patternFill>
      </fill>
    </dxf>
  </dxfs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5B7"/>
      <rgbColor rgb="FF808080"/>
      <rgbColor rgb="FF9999FF"/>
      <rgbColor rgb="FF993366"/>
      <rgbColor rgb="FFFFFFCC"/>
      <rgbColor rgb="FFE8EC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70A0"/>
      <rgbColor rgb="FF969696"/>
      <rgbColor rgb="FF1F3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6.15" hidden="false" customHeight="false" outlineLevel="0" collapsed="false">
      <c r="A1" s="1" t="s">
        <v>0</v>
      </c>
      <c r="B1" s="1"/>
      <c r="C1" s="1"/>
    </row>
    <row r="3" customFormat="false" ht="43.5" hidden="false" customHeight="true" outlineLevel="0" collapsed="false">
      <c r="A3" s="2" t="s">
        <v>1</v>
      </c>
      <c r="B3" s="3" t="s">
        <v>2</v>
      </c>
      <c r="C3" s="4" t="s">
        <v>3</v>
      </c>
    </row>
    <row r="4" customFormat="false" ht="43.5" hidden="false" customHeight="true" outlineLevel="0" collapsed="false">
      <c r="A4" s="2" t="s">
        <v>4</v>
      </c>
      <c r="B4" s="3" t="s">
        <v>5</v>
      </c>
      <c r="C4" s="4" t="s">
        <v>6</v>
      </c>
    </row>
    <row r="5" customFormat="false" ht="43.5" hidden="false" customHeight="true" outlineLevel="0" collapsed="false">
      <c r="A5" s="2" t="s">
        <v>7</v>
      </c>
      <c r="B5" s="3" t="s">
        <v>8</v>
      </c>
      <c r="C5" s="4" t="s">
        <v>9</v>
      </c>
    </row>
    <row r="6" customFormat="false" ht="43.5" hidden="false" customHeight="true" outlineLevel="0" collapsed="false">
      <c r="A6" s="2" t="s">
        <v>10</v>
      </c>
      <c r="B6" s="3" t="s">
        <v>11</v>
      </c>
      <c r="C6" s="4" t="s">
        <v>12</v>
      </c>
    </row>
    <row r="7" customFormat="false" ht="43.5" hidden="false" customHeight="true" outlineLevel="0" collapsed="false">
      <c r="A7" s="2" t="s">
        <v>13</v>
      </c>
      <c r="B7" s="3" t="s">
        <v>14</v>
      </c>
      <c r="C7" s="4" t="s">
        <v>15</v>
      </c>
    </row>
    <row r="8" customFormat="false" ht="43.5" hidden="false" customHeight="true" outlineLevel="0" collapsed="false">
      <c r="A8" s="2" t="s">
        <v>16</v>
      </c>
      <c r="B8" s="3" t="s">
        <v>17</v>
      </c>
      <c r="C8" s="4" t="s">
        <v>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0"/>
    <col collapsed="false" customWidth="true" hidden="false" outlineLevel="0" max="14" min="14" style="0" width="15"/>
    <col collapsed="false" customWidth="true" hidden="false" outlineLevel="0" max="16" min="15" style="0" width="13"/>
  </cols>
  <sheetData>
    <row r="1" customFormat="false" ht="16.15" hidden="false" customHeight="fals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5" t="s">
        <v>20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customFormat="false" ht="23.85" hidden="false" customHeight="false" outlineLevel="0" collapsed="false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6" t="s">
        <v>35</v>
      </c>
      <c r="P4" s="6" t="s">
        <v>36</v>
      </c>
    </row>
    <row r="5" customFormat="false" ht="15" hidden="false" customHeight="false" outlineLevel="0" collapsed="false">
      <c r="A5" s="7" t="s">
        <v>37</v>
      </c>
      <c r="B5" s="8" t="n">
        <v>60</v>
      </c>
      <c r="C5" s="8" t="n">
        <v>40</v>
      </c>
      <c r="D5" s="8" t="str">
        <f aca="false">IF(B5+C5=100,"OK","≠100")</f>
        <v>OK</v>
      </c>
      <c r="E5" s="8" t="n">
        <v>5</v>
      </c>
      <c r="F5" s="8" t="n">
        <v>10</v>
      </c>
      <c r="G5" s="8" t="n">
        <v>8.8</v>
      </c>
      <c r="H5" s="8" t="n">
        <v>1.2</v>
      </c>
      <c r="I5" s="8" t="n">
        <v>0.17</v>
      </c>
      <c r="J5" s="8" t="n">
        <v>0.25</v>
      </c>
      <c r="K5" s="8" t="n">
        <v>80</v>
      </c>
      <c r="L5" s="8" t="n">
        <v>5</v>
      </c>
      <c r="M5" s="8" t="n">
        <v>8.33</v>
      </c>
      <c r="N5" s="8" t="n">
        <v>16</v>
      </c>
      <c r="O5" s="9" t="n">
        <f aca="false">MAX(0,G5-H5-I5-J5)</f>
        <v>7.18</v>
      </c>
      <c r="P5" s="9" t="n">
        <f aca="false">ROUND(O5*(1-MIN(L5/100+M5/100/12+N5/MAX(1,252*O5),0.99))*(K5/100),2)</f>
        <v>5.37</v>
      </c>
    </row>
    <row r="6" customFormat="false" ht="15" hidden="false" customHeight="false" outlineLevel="0" collapsed="false">
      <c r="A6" s="7" t="s">
        <v>38</v>
      </c>
      <c r="B6" s="8" t="n">
        <v>40</v>
      </c>
      <c r="C6" s="8" t="n">
        <v>60</v>
      </c>
      <c r="D6" s="8" t="str">
        <f aca="false">IF(B6+C6=100,"OK","≠100")</f>
        <v>OK</v>
      </c>
      <c r="E6" s="8" t="n">
        <v>8</v>
      </c>
      <c r="F6" s="8" t="n">
        <v>5</v>
      </c>
      <c r="G6" s="8" t="n">
        <v>9</v>
      </c>
      <c r="H6" s="8" t="n">
        <v>1</v>
      </c>
      <c r="I6" s="8" t="n">
        <v>0.17</v>
      </c>
      <c r="J6" s="8" t="n">
        <v>0.17</v>
      </c>
      <c r="K6" s="8" t="n">
        <v>75</v>
      </c>
      <c r="L6" s="8" t="n">
        <v>6</v>
      </c>
      <c r="M6" s="8" t="n">
        <v>8.33</v>
      </c>
      <c r="N6" s="8" t="n">
        <v>12</v>
      </c>
      <c r="O6" s="9" t="n">
        <f aca="false">MAX(0,G6-H6-I6-J6)</f>
        <v>7.66</v>
      </c>
      <c r="P6" s="9" t="n">
        <f aca="false">ROUND(O6*(1-MIN(L6/100+M6/100/12+N6/MAX(1,252*O6),0.99))*(K6/100),2)</f>
        <v>5.32</v>
      </c>
    </row>
    <row r="7" customFormat="false" ht="15" hidden="false" customHeight="false" outlineLevel="0" collapsed="false">
      <c r="A7" s="7" t="s">
        <v>39</v>
      </c>
      <c r="B7" s="8" t="n">
        <v>55</v>
      </c>
      <c r="C7" s="8" t="n">
        <v>45</v>
      </c>
      <c r="D7" s="8" t="str">
        <f aca="false">IF(B7+C7=100,"OK","≠100")</f>
        <v>OK</v>
      </c>
      <c r="E7" s="8" t="n">
        <v>5</v>
      </c>
      <c r="F7" s="8" t="n">
        <v>15</v>
      </c>
      <c r="G7" s="8" t="n">
        <v>8.8</v>
      </c>
      <c r="H7" s="8" t="n">
        <v>1.2</v>
      </c>
      <c r="I7" s="8" t="n">
        <v>0.17</v>
      </c>
      <c r="J7" s="8" t="n">
        <v>0.25</v>
      </c>
      <c r="K7" s="8" t="n">
        <v>80</v>
      </c>
      <c r="L7" s="8" t="n">
        <v>5</v>
      </c>
      <c r="M7" s="8" t="n">
        <v>8.33</v>
      </c>
      <c r="N7" s="8" t="n">
        <v>16</v>
      </c>
      <c r="O7" s="9" t="n">
        <f aca="false">MAX(0,G7-H7-I7-J7)</f>
        <v>7.18</v>
      </c>
      <c r="P7" s="9" t="n">
        <f aca="false">ROUND(O7*(1-MIN(L7/100+M7/100/12+N7/MAX(1,252*O7),0.99))*(K7/100),2)</f>
        <v>5.37</v>
      </c>
    </row>
    <row r="8" customFormat="false" ht="15" hidden="false" customHeight="false" outlineLevel="0" collapsed="false">
      <c r="A8" s="7" t="s">
        <v>40</v>
      </c>
      <c r="B8" s="8" t="n">
        <v>100</v>
      </c>
      <c r="C8" s="8" t="n">
        <v>0</v>
      </c>
      <c r="D8" s="8" t="str">
        <f aca="false">IF(B8+C8=100,"OK","≠100")</f>
        <v>OK</v>
      </c>
      <c r="E8" s="8" t="n">
        <v>0</v>
      </c>
      <c r="F8" s="8" t="n">
        <v>0</v>
      </c>
      <c r="G8" s="8" t="n">
        <v>8.8</v>
      </c>
      <c r="H8" s="8" t="n">
        <v>1</v>
      </c>
      <c r="I8" s="8" t="n">
        <v>0.17</v>
      </c>
      <c r="J8" s="8" t="n">
        <v>0.17</v>
      </c>
      <c r="K8" s="8" t="n">
        <v>85</v>
      </c>
      <c r="L8" s="8" t="n">
        <v>4</v>
      </c>
      <c r="M8" s="8" t="n">
        <v>8.33</v>
      </c>
      <c r="N8" s="8" t="n">
        <v>8</v>
      </c>
      <c r="O8" s="9" t="n">
        <f aca="false">MAX(0,G8-H8-I8-J8)</f>
        <v>7.46</v>
      </c>
      <c r="P8" s="9" t="n">
        <f aca="false">ROUND(O8*(1-MIN(L8/100+M8/100/12+N8/MAX(1,252*O8),0.99))*(K8/100),2)</f>
        <v>6.02</v>
      </c>
    </row>
    <row r="9" customFormat="false" ht="15" hidden="false" customHeight="false" outlineLevel="0" collapsed="false">
      <c r="A9" s="7" t="s">
        <v>41</v>
      </c>
      <c r="B9" s="8" t="n">
        <v>30</v>
      </c>
      <c r="C9" s="8" t="n">
        <v>70</v>
      </c>
      <c r="D9" s="8" t="str">
        <f aca="false">IF(B9+C9=100,"OK","≠100")</f>
        <v>OK</v>
      </c>
      <c r="E9" s="8" t="n">
        <v>5</v>
      </c>
      <c r="F9" s="8" t="n">
        <v>20</v>
      </c>
      <c r="G9" s="8" t="n">
        <v>8.8</v>
      </c>
      <c r="H9" s="8" t="n">
        <v>1</v>
      </c>
      <c r="I9" s="8" t="n">
        <v>0.17</v>
      </c>
      <c r="J9" s="8" t="n">
        <v>0.17</v>
      </c>
      <c r="K9" s="8" t="n">
        <v>82</v>
      </c>
      <c r="L9" s="8" t="n">
        <v>5</v>
      </c>
      <c r="M9" s="8" t="n">
        <v>8.33</v>
      </c>
      <c r="N9" s="8" t="n">
        <v>8</v>
      </c>
      <c r="O9" s="9" t="n">
        <f aca="false">MAX(0,G9-H9-I9-J9)</f>
        <v>7.46</v>
      </c>
      <c r="P9" s="9" t="n">
        <f aca="false">ROUND(O9*(1-MIN(L9/100+M9/100/12+N9/MAX(1,252*O9),0.99))*(K9/100),2)</f>
        <v>5.74</v>
      </c>
    </row>
    <row r="10" customFormat="false" ht="15" hidden="false" customHeight="false" outlineLevel="0" collapsed="false">
      <c r="A10" s="7" t="s">
        <v>42</v>
      </c>
      <c r="B10" s="8" t="n">
        <v>20</v>
      </c>
      <c r="C10" s="8" t="n">
        <v>80</v>
      </c>
      <c r="D10" s="8" t="str">
        <f aca="false">IF(B10+C10=100,"OK","≠100")</f>
        <v>OK</v>
      </c>
      <c r="E10" s="8" t="n">
        <v>3</v>
      </c>
      <c r="F10" s="8" t="n">
        <v>30</v>
      </c>
      <c r="G10" s="8" t="n">
        <v>8.8</v>
      </c>
      <c r="H10" s="8" t="n">
        <v>1.2</v>
      </c>
      <c r="I10" s="8" t="n">
        <v>0.17</v>
      </c>
      <c r="J10" s="8" t="n">
        <v>0.25</v>
      </c>
      <c r="K10" s="8" t="n">
        <v>78</v>
      </c>
      <c r="L10" s="8" t="n">
        <v>5</v>
      </c>
      <c r="M10" s="8" t="n">
        <v>8.33</v>
      </c>
      <c r="N10" s="8" t="n">
        <v>16</v>
      </c>
      <c r="O10" s="9" t="n">
        <f aca="false">MAX(0,G10-H10-I10-J10)</f>
        <v>7.18</v>
      </c>
      <c r="P10" s="9" t="n">
        <f aca="false">ROUND(O10*(1-MIN(L10/100+M10/100/12+N10/MAX(1,252*O10),0.99))*(K10/100),2)</f>
        <v>5.23</v>
      </c>
    </row>
  </sheetData>
  <mergeCells count="2">
    <mergeCell ref="A1:P1"/>
    <mergeCell ref="A2:P2"/>
  </mergeCells>
  <conditionalFormatting sqref="D5:D10">
    <cfRule type="expression" priority="2" aboveAverage="0" equalAverage="0" bottom="0" percent="0" rank="0" text="" dxfId="0">
      <formula>EXACT(D5,"OK")</formula>
    </cfRule>
    <cfRule type="expression" priority="3" aboveAverage="0" equalAverage="0" bottom="0" percent="0" rank="0" text="" dxfId="1">
      <formula>NOT(EXACT(D5,"OK"))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43</v>
      </c>
      <c r="B1" s="1"/>
      <c r="C1" s="1"/>
      <c r="D1" s="1"/>
      <c r="E1" s="1"/>
    </row>
    <row r="3" customFormat="false" ht="15" hidden="false" customHeight="false" outlineLevel="0" collapsed="false">
      <c r="A3" s="7" t="s">
        <v>44</v>
      </c>
      <c r="B3" s="10" t="s">
        <v>45</v>
      </c>
    </row>
    <row r="4" customFormat="false" ht="15" hidden="false" customHeight="false" outlineLevel="0" collapsed="false">
      <c r="A4" s="7" t="s">
        <v>46</v>
      </c>
      <c r="B4" s="10" t="s">
        <v>47</v>
      </c>
    </row>
    <row r="6" customFormat="false" ht="23.85" hidden="false" customHeight="false" outlineLevel="0" collapsed="false">
      <c r="A6" s="6" t="s">
        <v>48</v>
      </c>
      <c r="B6" s="6" t="s">
        <v>49</v>
      </c>
      <c r="C6" s="6" t="s">
        <v>50</v>
      </c>
      <c r="D6" s="6" t="s">
        <v>51</v>
      </c>
      <c r="E6" s="6" t="s">
        <v>52</v>
      </c>
    </row>
    <row r="7" customFormat="false" ht="15" hidden="false" customHeight="false" outlineLevel="0" collapsed="false">
      <c r="A7" s="7" t="s">
        <v>53</v>
      </c>
      <c r="B7" s="10" t="n">
        <v>22</v>
      </c>
      <c r="C7" s="10" t="s">
        <v>54</v>
      </c>
      <c r="D7" s="10" t="n">
        <v>1.8</v>
      </c>
      <c r="E7" s="10"/>
    </row>
    <row r="8" customFormat="false" ht="15" hidden="false" customHeight="false" outlineLevel="0" collapsed="false">
      <c r="A8" s="7" t="s">
        <v>55</v>
      </c>
      <c r="B8" s="10" t="n">
        <v>20</v>
      </c>
      <c r="C8" s="10" t="s">
        <v>54</v>
      </c>
      <c r="D8" s="10" t="n">
        <v>1.5</v>
      </c>
      <c r="E8" s="10"/>
    </row>
    <row r="9" customFormat="false" ht="15" hidden="false" customHeight="false" outlineLevel="0" collapsed="false">
      <c r="A9" s="7" t="s">
        <v>56</v>
      </c>
      <c r="B9" s="10" t="n">
        <v>22</v>
      </c>
      <c r="C9" s="10" t="s">
        <v>54</v>
      </c>
      <c r="D9" s="10" t="n">
        <v>1.3</v>
      </c>
      <c r="E9" s="10"/>
    </row>
    <row r="10" customFormat="false" ht="15" hidden="false" customHeight="false" outlineLevel="0" collapsed="false">
      <c r="A10" s="7" t="s">
        <v>57</v>
      </c>
      <c r="B10" s="10" t="n">
        <v>20</v>
      </c>
      <c r="C10" s="10" t="s">
        <v>54</v>
      </c>
      <c r="D10" s="10" t="n">
        <v>1.2</v>
      </c>
      <c r="E10" s="10"/>
    </row>
    <row r="11" customFormat="false" ht="15" hidden="false" customHeight="false" outlineLevel="0" collapsed="false">
      <c r="A11" s="7" t="s">
        <v>58</v>
      </c>
      <c r="B11" s="10" t="n">
        <v>20</v>
      </c>
      <c r="C11" s="10" t="s">
        <v>54</v>
      </c>
      <c r="D11" s="10" t="n">
        <v>1.1</v>
      </c>
      <c r="E11" s="10"/>
    </row>
    <row r="12" customFormat="false" ht="15" hidden="false" customHeight="false" outlineLevel="0" collapsed="false">
      <c r="A12" s="7" t="s">
        <v>59</v>
      </c>
      <c r="B12" s="10" t="n">
        <v>22</v>
      </c>
      <c r="C12" s="10" t="s">
        <v>54</v>
      </c>
      <c r="D12" s="10" t="n">
        <v>1</v>
      </c>
      <c r="E12" s="10"/>
    </row>
    <row r="13" customFormat="false" ht="15" hidden="false" customHeight="false" outlineLevel="0" collapsed="false">
      <c r="A13" s="7" t="s">
        <v>60</v>
      </c>
      <c r="B13" s="10" t="n">
        <v>21</v>
      </c>
      <c r="C13" s="10" t="s">
        <v>61</v>
      </c>
      <c r="D13" s="10" t="n">
        <v>0.7</v>
      </c>
      <c r="E13" s="10"/>
    </row>
    <row r="14" customFormat="false" ht="15" hidden="false" customHeight="false" outlineLevel="0" collapsed="false">
      <c r="A14" s="7" t="s">
        <v>62</v>
      </c>
      <c r="B14" s="10" t="n">
        <v>20</v>
      </c>
      <c r="C14" s="10" t="s">
        <v>61</v>
      </c>
      <c r="D14" s="10" t="n">
        <v>0.6</v>
      </c>
      <c r="E14" s="10"/>
    </row>
    <row r="15" customFormat="false" ht="15" hidden="false" customHeight="false" outlineLevel="0" collapsed="false">
      <c r="A15" s="7" t="s">
        <v>63</v>
      </c>
      <c r="B15" s="10" t="n">
        <v>23</v>
      </c>
      <c r="C15" s="10" t="s">
        <v>61</v>
      </c>
      <c r="D15" s="10" t="n">
        <v>0.7</v>
      </c>
      <c r="E15" s="10"/>
    </row>
    <row r="16" customFormat="false" ht="15" hidden="false" customHeight="false" outlineLevel="0" collapsed="false">
      <c r="A16" s="7" t="s">
        <v>64</v>
      </c>
      <c r="B16" s="10" t="n">
        <v>22</v>
      </c>
      <c r="C16" s="10" t="s">
        <v>61</v>
      </c>
      <c r="D16" s="10" t="n">
        <v>0.9</v>
      </c>
      <c r="E16" s="10"/>
    </row>
    <row r="17" customFormat="false" ht="15" hidden="false" customHeight="false" outlineLevel="0" collapsed="false">
      <c r="A17" s="7" t="s">
        <v>65</v>
      </c>
      <c r="B17" s="10" t="n">
        <v>21</v>
      </c>
      <c r="C17" s="10" t="s">
        <v>61</v>
      </c>
      <c r="D17" s="10" t="n">
        <v>1</v>
      </c>
      <c r="E17" s="10"/>
    </row>
    <row r="18" customFormat="false" ht="15" hidden="false" customHeight="false" outlineLevel="0" collapsed="false">
      <c r="A18" s="7" t="s">
        <v>66</v>
      </c>
      <c r="B18" s="10" t="n">
        <v>23</v>
      </c>
      <c r="C18" s="10" t="s">
        <v>54</v>
      </c>
      <c r="D18" s="10" t="n">
        <v>1.4</v>
      </c>
      <c r="E18" s="10"/>
    </row>
    <row r="19" customFormat="false" ht="15" hidden="false" customHeight="false" outlineLevel="0" collapsed="false">
      <c r="A19" s="11" t="s">
        <v>67</v>
      </c>
      <c r="B19" s="11" t="n">
        <f aca="false">SUM(B7:B18)</f>
        <v>256</v>
      </c>
      <c r="C19" s="11" t="str">
        <f aca="false">COUNTIF(C7:C18,"Sim")&amp;" meses de safra"</f>
        <v>7 meses de safra</v>
      </c>
      <c r="D19" s="11" t="n">
        <f aca="false">ROUND(AVERAGE(D7:D18),2)</f>
        <v>1.1</v>
      </c>
      <c r="E19" s="10"/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C7:C18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6.15" hidden="false" customHeight="false" outlineLevel="0" collapsed="false">
      <c r="A1" s="1" t="s">
        <v>68</v>
      </c>
      <c r="B1" s="1"/>
      <c r="C1" s="1"/>
      <c r="D1" s="1"/>
      <c r="E1" s="1"/>
      <c r="F1" s="1"/>
      <c r="G1" s="1"/>
    </row>
    <row r="2" customFormat="false" ht="20.85" hidden="false" customHeight="true" outlineLevel="0" collapsed="false">
      <c r="A2" s="5" t="s">
        <v>69</v>
      </c>
      <c r="B2" s="5"/>
      <c r="C2" s="5"/>
      <c r="D2" s="5"/>
      <c r="E2" s="5"/>
      <c r="F2" s="5"/>
      <c r="G2" s="5"/>
    </row>
    <row r="4" customFormat="false" ht="15" hidden="false" customHeight="false" outlineLevel="0" collapsed="false">
      <c r="A4" s="6" t="s">
        <v>70</v>
      </c>
      <c r="B4" s="6" t="s">
        <v>71</v>
      </c>
      <c r="C4" s="6" t="s">
        <v>72</v>
      </c>
      <c r="D4" s="6" t="s">
        <v>73</v>
      </c>
      <c r="E4" s="6" t="s">
        <v>74</v>
      </c>
      <c r="F4" s="6" t="s">
        <v>75</v>
      </c>
      <c r="G4" s="6" t="s">
        <v>76</v>
      </c>
    </row>
    <row r="5" customFormat="false" ht="15" hidden="false" customHeight="false" outlineLevel="0" collapsed="false">
      <c r="A5" s="7" t="s">
        <v>77</v>
      </c>
      <c r="B5" s="8" t="s">
        <v>78</v>
      </c>
      <c r="C5" s="8" t="n">
        <v>250</v>
      </c>
      <c r="D5" s="8" t="n">
        <v>500</v>
      </c>
      <c r="E5" s="8" t="n">
        <v>1000</v>
      </c>
      <c r="F5" s="8"/>
      <c r="G5" s="8"/>
    </row>
    <row r="6" customFormat="false" ht="15" hidden="false" customHeight="false" outlineLevel="0" collapsed="false">
      <c r="A6" s="7" t="s">
        <v>79</v>
      </c>
      <c r="B6" s="8" t="s">
        <v>78</v>
      </c>
      <c r="C6" s="8" t="n">
        <v>250</v>
      </c>
      <c r="D6" s="8" t="n">
        <v>500</v>
      </c>
      <c r="E6" s="8" t="n">
        <v>1000</v>
      </c>
      <c r="F6" s="8"/>
      <c r="G6" s="8"/>
    </row>
    <row r="7" customFormat="false" ht="15" hidden="false" customHeight="false" outlineLevel="0" collapsed="false">
      <c r="A7" s="7" t="s">
        <v>80</v>
      </c>
      <c r="B7" s="8" t="s">
        <v>81</v>
      </c>
      <c r="C7" s="8" t="n">
        <v>10000</v>
      </c>
      <c r="D7" s="8" t="n">
        <v>20000</v>
      </c>
      <c r="E7" s="8" t="n">
        <v>40000</v>
      </c>
      <c r="F7" s="8"/>
      <c r="G7" s="8"/>
    </row>
    <row r="8" customFormat="false" ht="15" hidden="false" customHeight="false" outlineLevel="0" collapsed="false">
      <c r="A8" s="7" t="s">
        <v>82</v>
      </c>
      <c r="B8" s="8" t="s">
        <v>78</v>
      </c>
      <c r="C8" s="8" t="n">
        <v>300</v>
      </c>
      <c r="D8" s="8" t="n">
        <v>600</v>
      </c>
      <c r="E8" s="8"/>
      <c r="F8" s="8"/>
      <c r="G8" s="8"/>
    </row>
    <row r="9" customFormat="false" ht="15" hidden="false" customHeight="false" outlineLevel="0" collapsed="false">
      <c r="A9" s="7" t="s">
        <v>83</v>
      </c>
      <c r="B9" s="8" t="s">
        <v>81</v>
      </c>
      <c r="C9" s="8" t="n">
        <v>10000</v>
      </c>
      <c r="D9" s="8" t="n">
        <v>20000</v>
      </c>
      <c r="E9" s="8"/>
      <c r="F9" s="8"/>
      <c r="G9" s="8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B5:B9" type="list">
      <formula1>"Horas,KM"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16.15" hidden="false" customHeight="false" outlineLevel="0" collapsed="false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5" t="s">
        <v>85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23.85" hidden="false" customHeight="false" outlineLevel="0" collapsed="false">
      <c r="A4" s="6" t="s">
        <v>86</v>
      </c>
      <c r="B4" s="6" t="s">
        <v>70</v>
      </c>
      <c r="C4" s="6" t="s">
        <v>87</v>
      </c>
      <c r="D4" s="6" t="s">
        <v>88</v>
      </c>
      <c r="E4" s="6" t="s">
        <v>89</v>
      </c>
      <c r="F4" s="6" t="s">
        <v>90</v>
      </c>
      <c r="G4" s="6" t="s">
        <v>91</v>
      </c>
      <c r="H4" s="6" t="s">
        <v>92</v>
      </c>
      <c r="I4" s="6" t="s">
        <v>93</v>
      </c>
      <c r="J4" s="6" t="s">
        <v>94</v>
      </c>
      <c r="K4" s="6" t="s">
        <v>95</v>
      </c>
      <c r="L4" s="6" t="s">
        <v>96</v>
      </c>
    </row>
    <row r="5" customFormat="false" ht="15" hidden="false" customHeight="false" outlineLevel="0" collapsed="false">
      <c r="A5" s="8" t="s">
        <v>97</v>
      </c>
      <c r="B5" s="8" t="s">
        <v>77</v>
      </c>
      <c r="C5" s="8" t="s">
        <v>98</v>
      </c>
      <c r="D5" s="8" t="s">
        <v>99</v>
      </c>
      <c r="E5" s="8" t="n">
        <v>2018</v>
      </c>
      <c r="F5" s="8" t="s">
        <v>100</v>
      </c>
      <c r="G5" s="8" t="s">
        <v>101</v>
      </c>
      <c r="H5" s="8" t="s">
        <v>78</v>
      </c>
      <c r="I5" s="8" t="n">
        <v>5780</v>
      </c>
      <c r="J5" s="8" t="n">
        <v>180</v>
      </c>
      <c r="K5" s="8" t="n">
        <v>250</v>
      </c>
      <c r="L5" s="8" t="s">
        <v>102</v>
      </c>
    </row>
    <row r="6" customFormat="false" ht="15" hidden="false" customHeight="false" outlineLevel="0" collapsed="false">
      <c r="A6" s="8" t="s">
        <v>103</v>
      </c>
      <c r="B6" s="8" t="s">
        <v>77</v>
      </c>
      <c r="C6" s="8" t="s">
        <v>104</v>
      </c>
      <c r="D6" s="8" t="s">
        <v>99</v>
      </c>
      <c r="E6" s="8" t="n">
        <v>2021</v>
      </c>
      <c r="F6" s="8" t="s">
        <v>100</v>
      </c>
      <c r="G6" s="8" t="s">
        <v>101</v>
      </c>
      <c r="H6" s="8" t="s">
        <v>78</v>
      </c>
      <c r="I6" s="8" t="n">
        <v>1200</v>
      </c>
      <c r="J6" s="8" t="n">
        <v>190</v>
      </c>
      <c r="K6" s="8" t="n">
        <v>250</v>
      </c>
      <c r="L6" s="8" t="s">
        <v>105</v>
      </c>
    </row>
    <row r="7" customFormat="false" ht="15" hidden="false" customHeight="false" outlineLevel="0" collapsed="false">
      <c r="A7" s="8" t="s">
        <v>106</v>
      </c>
      <c r="B7" s="8" t="s">
        <v>79</v>
      </c>
      <c r="C7" s="8" t="s">
        <v>107</v>
      </c>
      <c r="D7" s="8" t="s">
        <v>108</v>
      </c>
      <c r="E7" s="8" t="n">
        <v>2020</v>
      </c>
      <c r="F7" s="8" t="s">
        <v>100</v>
      </c>
      <c r="G7" s="8" t="s">
        <v>101</v>
      </c>
      <c r="H7" s="8" t="s">
        <v>78</v>
      </c>
      <c r="I7" s="8" t="n">
        <v>3200</v>
      </c>
      <c r="J7" s="8" t="n">
        <v>200</v>
      </c>
      <c r="K7" s="8" t="n">
        <v>250</v>
      </c>
      <c r="L7" s="8" t="s">
        <v>102</v>
      </c>
    </row>
    <row r="8" customFormat="false" ht="15" hidden="false" customHeight="false" outlineLevel="0" collapsed="false">
      <c r="A8" s="8" t="s">
        <v>109</v>
      </c>
      <c r="B8" s="8" t="s">
        <v>80</v>
      </c>
      <c r="C8" s="8" t="s">
        <v>110</v>
      </c>
      <c r="D8" s="8" t="s">
        <v>111</v>
      </c>
      <c r="E8" s="8" t="n">
        <v>2015</v>
      </c>
      <c r="F8" s="8" t="s">
        <v>100</v>
      </c>
      <c r="G8" s="8" t="s">
        <v>101</v>
      </c>
      <c r="H8" s="8" t="s">
        <v>81</v>
      </c>
      <c r="I8" s="8" t="n">
        <v>304000</v>
      </c>
      <c r="J8" s="8" t="n">
        <v>5000</v>
      </c>
      <c r="K8" s="8" t="n">
        <v>10000</v>
      </c>
      <c r="L8" s="8" t="s">
        <v>102</v>
      </c>
    </row>
    <row r="9" customFormat="false" ht="15" hidden="false" customHeight="false" outlineLevel="0" collapsed="false">
      <c r="A9" s="8" t="s">
        <v>112</v>
      </c>
      <c r="B9" s="8" t="s">
        <v>83</v>
      </c>
      <c r="C9" s="8" t="s">
        <v>113</v>
      </c>
      <c r="D9" s="8" t="s">
        <v>114</v>
      </c>
      <c r="E9" s="8" t="n">
        <v>2022</v>
      </c>
      <c r="F9" s="8" t="s">
        <v>100</v>
      </c>
      <c r="G9" s="8" t="s">
        <v>101</v>
      </c>
      <c r="H9" s="8" t="s">
        <v>81</v>
      </c>
      <c r="I9" s="8" t="n">
        <v>32000</v>
      </c>
      <c r="J9" s="8" t="n">
        <v>2500</v>
      </c>
      <c r="K9" s="8" t="n">
        <v>10000</v>
      </c>
      <c r="L9" s="8" t="s">
        <v>105</v>
      </c>
    </row>
  </sheetData>
  <mergeCells count="2">
    <mergeCell ref="A1:L1"/>
    <mergeCell ref="A2:L2"/>
  </mergeCells>
  <dataValidations count="4">
    <dataValidation allowBlank="true" errorStyle="stop" operator="between" showDropDown="false" showErrorMessage="false" showInputMessage="false" sqref="B5:B200" type="list">
      <formula1>"Colhedora,Trator,Caminhão,Implemento,Veículo Leve"</formula1>
      <formula2>0</formula2>
    </dataValidation>
    <dataValidation allowBlank="true" errorStyle="stop" operator="between" showDropDown="false" showErrorMessage="false" showInputMessage="false" sqref="G5:G200" type="list">
      <formula1>"Ativo,Reforma,Inativo,Vendido"</formula1>
      <formula2>0</formula2>
    </dataValidation>
    <dataValidation allowBlank="true" errorStyle="stop" operator="between" showDropDown="false" showErrorMessage="false" showInputMessage="false" sqref="H5:H200" type="list">
      <formula1>"Horas,KM"</formula1>
      <formula2>0</formula2>
    </dataValidation>
    <dataValidation allowBlank="true" errorStyle="stop" operator="between" showDropDown="false" showErrorMessage="false" showInputMessage="false" sqref="L5:L2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115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5" t="s">
        <v>116</v>
      </c>
      <c r="B2" s="5"/>
      <c r="C2" s="5"/>
      <c r="D2" s="5"/>
      <c r="E2" s="5"/>
      <c r="F2" s="5"/>
      <c r="G2" s="5"/>
    </row>
    <row r="4" customFormat="false" ht="15" hidden="false" customHeight="false" outlineLevel="0" collapsed="false">
      <c r="A4" s="6" t="s">
        <v>86</v>
      </c>
      <c r="B4" s="6" t="s">
        <v>117</v>
      </c>
      <c r="C4" s="6" t="s">
        <v>21</v>
      </c>
      <c r="D4" s="6" t="s">
        <v>118</v>
      </c>
      <c r="E4" s="6" t="s">
        <v>119</v>
      </c>
      <c r="F4" s="6" t="s">
        <v>120</v>
      </c>
      <c r="G4" s="6" t="s">
        <v>91</v>
      </c>
    </row>
    <row r="5" customFormat="false" ht="15" hidden="false" customHeight="false" outlineLevel="0" collapsed="false">
      <c r="A5" s="8" t="s">
        <v>121</v>
      </c>
      <c r="B5" s="8" t="s">
        <v>122</v>
      </c>
      <c r="C5" s="8" t="s">
        <v>37</v>
      </c>
      <c r="D5" s="8" t="s">
        <v>123</v>
      </c>
      <c r="E5" s="8" t="n">
        <v>4500</v>
      </c>
      <c r="F5" s="8" t="n">
        <v>72</v>
      </c>
      <c r="G5" s="8" t="s">
        <v>101</v>
      </c>
    </row>
  </sheetData>
  <mergeCells count="2">
    <mergeCell ref="A1:G1"/>
    <mergeCell ref="A2:G2"/>
  </mergeCells>
  <dataValidations count="3">
    <dataValidation allowBlank="true" errorStyle="stop" operator="between" showDropDown="false" showErrorMessage="false" showInputMessage="false" sqref="C5:C300" type="list">
      <formula1>"Mec. Oficina,Mec. Campo,Elétrica,Lubrificação,Borracharia,Caldeiraria"</formula1>
      <formula2>0</formula2>
    </dataValidation>
    <dataValidation allowBlank="true" errorStyle="stop" operator="between" showDropDown="false" showErrorMessage="false" showInputMessage="false" sqref="D5:D300" type="list">
      <formula1>"Diurno,Noturno,Safra,Turno 5x1"</formula1>
      <formula2>0</formula2>
    </dataValidation>
    <dataValidation allowBlank="true" errorStyle="stop" operator="between" showDropDown="false" showErrorMessage="false" showInputMessage="false" sqref="G5:G300" type="list">
      <formula1>"Ativo,Inativo,Férias,Afastado"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7"/>
    <col collapsed="false" customWidth="true" hidden="false" outlineLevel="0" max="9" min="9" style="0" width="2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9"/>
  </cols>
  <sheetData>
    <row r="1" customFormat="false" ht="16.15" hidden="false" customHeight="fals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5" t="s">
        <v>125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customFormat="false" ht="15" hidden="false" customHeight="false" outlineLevel="0" collapsed="false">
      <c r="A4" s="6" t="s">
        <v>126</v>
      </c>
      <c r="B4" s="6" t="s">
        <v>127</v>
      </c>
      <c r="C4" s="6" t="s">
        <v>70</v>
      </c>
      <c r="D4" s="6" t="s">
        <v>21</v>
      </c>
      <c r="E4" s="6" t="s">
        <v>128</v>
      </c>
      <c r="F4" s="6" t="s">
        <v>117</v>
      </c>
      <c r="G4" s="6" t="s">
        <v>129</v>
      </c>
      <c r="H4" s="6" t="s">
        <v>130</v>
      </c>
      <c r="I4" s="6" t="s">
        <v>131</v>
      </c>
      <c r="J4" s="6" t="s">
        <v>132</v>
      </c>
      <c r="K4" s="6" t="s">
        <v>133</v>
      </c>
      <c r="L4" s="6" t="s">
        <v>134</v>
      </c>
      <c r="M4" s="6" t="s">
        <v>135</v>
      </c>
    </row>
    <row r="5" customFormat="false" ht="15" hidden="false" customHeight="false" outlineLevel="0" collapsed="false">
      <c r="A5" s="8" t="s">
        <v>136</v>
      </c>
      <c r="B5" s="8" t="s">
        <v>137</v>
      </c>
      <c r="C5" s="8" t="s">
        <v>77</v>
      </c>
      <c r="D5" s="8" t="s">
        <v>37</v>
      </c>
      <c r="E5" s="8" t="s">
        <v>138</v>
      </c>
      <c r="F5" s="8" t="s">
        <v>122</v>
      </c>
      <c r="G5" s="8" t="s">
        <v>139</v>
      </c>
      <c r="H5" s="8" t="n">
        <v>1.5</v>
      </c>
      <c r="I5" s="8" t="s">
        <v>140</v>
      </c>
      <c r="J5" s="8" t="n">
        <v>20</v>
      </c>
      <c r="K5" s="8" t="s">
        <v>141</v>
      </c>
      <c r="L5" s="8" t="s">
        <v>142</v>
      </c>
      <c r="M5" s="8" t="n">
        <v>1</v>
      </c>
    </row>
    <row r="6" customFormat="false" ht="15" hidden="false" customHeight="false" outlineLevel="0" collapsed="false">
      <c r="A6" s="8" t="s">
        <v>136</v>
      </c>
      <c r="B6" s="8" t="s">
        <v>137</v>
      </c>
      <c r="C6" s="8" t="s">
        <v>77</v>
      </c>
      <c r="D6" s="8" t="s">
        <v>40</v>
      </c>
      <c r="E6" s="8" t="s">
        <v>143</v>
      </c>
      <c r="F6" s="8" t="s">
        <v>144</v>
      </c>
      <c r="G6" s="8" t="s">
        <v>40</v>
      </c>
      <c r="H6" s="8" t="n">
        <v>0.75</v>
      </c>
      <c r="I6" s="8" t="s">
        <v>145</v>
      </c>
      <c r="J6" s="8" t="n">
        <v>0.5</v>
      </c>
      <c r="K6" s="8" t="s">
        <v>146</v>
      </c>
      <c r="L6" s="8"/>
      <c r="M6" s="8" t="n">
        <v>0</v>
      </c>
    </row>
    <row r="7" customFormat="false" ht="15" hidden="false" customHeight="false" outlineLevel="0" collapsed="false">
      <c r="A7" s="8" t="s">
        <v>147</v>
      </c>
      <c r="B7" s="8" t="s">
        <v>148</v>
      </c>
      <c r="C7" s="8" t="s">
        <v>77</v>
      </c>
      <c r="D7" s="8" t="s">
        <v>37</v>
      </c>
      <c r="E7" s="8" t="s">
        <v>149</v>
      </c>
      <c r="F7" s="8" t="s">
        <v>150</v>
      </c>
      <c r="G7" s="8" t="s">
        <v>139</v>
      </c>
      <c r="H7" s="8" t="n">
        <v>1</v>
      </c>
      <c r="I7" s="8"/>
      <c r="J7" s="8" t="n">
        <v>0</v>
      </c>
      <c r="K7" s="8"/>
      <c r="L7" s="8" t="s">
        <v>151</v>
      </c>
      <c r="M7" s="8" t="n">
        <v>2</v>
      </c>
    </row>
  </sheetData>
  <mergeCells count="2">
    <mergeCell ref="A1:M1"/>
    <mergeCell ref="A2:M2"/>
  </mergeCells>
  <dataValidations count="4">
    <dataValidation allowBlank="true" errorStyle="stop" operator="between" showDropDown="false" showErrorMessage="false" showInputMessage="false" sqref="B5:B500" type="list">
      <formula1>"S,A,B,C,D"</formula1>
      <formula2>0</formula2>
    </dataValidation>
    <dataValidation allowBlank="true" errorStyle="stop" operator="between" showDropDown="false" showErrorMessage="false" showInputMessage="false" sqref="C5:C500" type="list">
      <formula1>"Colhedora,Trator,Caminhão,Implemento,Veículo Leve"</formula1>
      <formula2>0</formula2>
    </dataValidation>
    <dataValidation allowBlank="true" errorStyle="stop" operator="between" showDropDown="false" showErrorMessage="false" showInputMessage="false" sqref="D5:D500" type="list">
      <formula1>"Mec. Oficina,Mec. Campo,Elétrica,Lubrificação,Borracharia,Caldeiraria"</formula1>
      <formula2>0</formula2>
    </dataValidation>
    <dataValidation allowBlank="true" errorStyle="stop" operator="between" showDropDown="false" showErrorMessage="false" showInputMessage="false" sqref="G5:G500" type="list">
      <formula1>"Troca,Verificação,Inspeção,Lubrificação,Calibragem,Limpeza,Ajuste,Regulagem"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2026-07-03T18:19:56Z</dcterms:created>
  <dc:creator>openpyxl</dc:creator>
  <dc:description/>
  <dc:language>en-US</dc:language>
  <cp:lastModifiedBy/>
  <dcterms:modified xsi:type="dcterms:W3CDTF">2026-07-03T18:19:56Z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