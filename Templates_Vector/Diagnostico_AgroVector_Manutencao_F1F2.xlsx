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d052007431640e/Vector 2021/Claude/02_Templates_Vector/APP Manutenção/Templates/"/>
    </mc:Choice>
  </mc:AlternateContent>
  <xr:revisionPtr revIDLastSave="3" documentId="11_8D2015CEB9DF8F9263986CCE87A5A6860328E000" xr6:coauthVersionLast="47" xr6:coauthVersionMax="47" xr10:uidLastSave="{D0C76544-3F73-4177-98DD-51DD52061CD2}"/>
  <bookViews>
    <workbookView xWindow="-98" yWindow="-98" windowWidth="21795" windowHeight="12975" tabRatio="500" firstSheet="2" activeTab="5" xr2:uid="{00000000-000D-0000-FFFF-FFFF00000000}"/>
  </bookViews>
  <sheets>
    <sheet name="Capa" sheetId="1" r:id="rId1"/>
    <sheet name="Instruções" sheetId="2" r:id="rId2"/>
    <sheet name="Quick-Scan" sheetId="3" r:id="rId3"/>
    <sheet name="Detalhado_F1" sheetId="4" r:id="rId4"/>
    <sheet name="Detalhado_F2" sheetId="5" r:id="rId5"/>
    <sheet name="Dashboard" sheetId="6" r:id="rId6"/>
    <sheet name="Plano_Ação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7" l="1"/>
  <c r="F14" i="6"/>
  <c r="F13" i="6"/>
  <c r="C13" i="6"/>
  <c r="E13" i="6" s="1"/>
  <c r="F12" i="6"/>
  <c r="C12" i="6"/>
  <c r="E12" i="6" s="1"/>
  <c r="F11" i="6"/>
  <c r="D11" i="6"/>
  <c r="C11" i="6"/>
  <c r="E11" i="6" s="1"/>
  <c r="F10" i="6"/>
  <c r="C10" i="6"/>
  <c r="E10" i="6" s="1"/>
  <c r="I9" i="6"/>
  <c r="F9" i="6"/>
  <c r="E9" i="6"/>
  <c r="D9" i="6"/>
  <c r="C9" i="6"/>
  <c r="I8" i="6"/>
  <c r="F8" i="6"/>
  <c r="C8" i="6"/>
  <c r="E8" i="6" s="1"/>
  <c r="F7" i="6"/>
  <c r="C7" i="6"/>
  <c r="E7" i="6" s="1"/>
  <c r="F6" i="6"/>
  <c r="E6" i="6"/>
  <c r="C6" i="6"/>
  <c r="D6" i="6" s="1"/>
  <c r="C33" i="5"/>
  <c r="C26" i="5"/>
  <c r="C19" i="5"/>
  <c r="C12" i="5"/>
  <c r="C45" i="4"/>
  <c r="C35" i="4"/>
  <c r="C26" i="4"/>
  <c r="C16" i="4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67" i="3" s="1"/>
  <c r="E68" i="3" s="1"/>
  <c r="I7" i="6" s="1"/>
  <c r="I10" i="6" l="1"/>
  <c r="D8" i="6"/>
  <c r="I6" i="6"/>
  <c r="D13" i="6"/>
  <c r="D10" i="6"/>
  <c r="D7" i="6"/>
  <c r="I11" i="6" s="1"/>
  <c r="D12" i="6"/>
  <c r="I12" i="6" s="1"/>
  <c r="C14" i="6"/>
  <c r="E14" i="6" l="1"/>
  <c r="D14" i="6"/>
</calcChain>
</file>

<file path=xl/sharedStrings.xml><?xml version="1.0" encoding="utf-8"?>
<sst xmlns="http://schemas.openxmlformats.org/spreadsheetml/2006/main" count="364" uniqueCount="161">
  <si>
    <t>VECTOR CONSULTING</t>
  </si>
  <si>
    <t>DIAGNÓSTICO DE GESTÃO DE MANUTENÇÃO</t>
  </si>
  <si>
    <t>Gap Analysis vs. Modelo de Referência AgroVector — Fases 1 e 2</t>
  </si>
  <si>
    <t>Planejamento Integrado de Manutenção · Garagem de Usina · Agronegócio</t>
  </si>
  <si>
    <t>IDENTIFICAÇÃO DO CLIENTE</t>
  </si>
  <si>
    <t>Cliente / Razão Social</t>
  </si>
  <si>
    <t>Unidade / Filial diagnosticada</t>
  </si>
  <si>
    <t>Localização (cidade / UF)</t>
  </si>
  <si>
    <t>Cultura(s) principal(is)</t>
  </si>
  <si>
    <t>Área cultivada (ha)</t>
  </si>
  <si>
    <t>Frota total (qtd. ativos)</t>
  </si>
  <si>
    <t>EQUIPE DO DIAGNÓSTICO</t>
  </si>
  <si>
    <t>Sócio responsável (Vector)</t>
  </si>
  <si>
    <t>Consultor líder (Vector)</t>
  </si>
  <si>
    <t>Sponsor do cliente</t>
  </si>
  <si>
    <t>Gerente de Manutenção (cliente)</t>
  </si>
  <si>
    <t>Período do diagnóstico</t>
  </si>
  <si>
    <t>Data de emissão</t>
  </si>
  <si>
    <t>ESCOPO E OBJETIVOS</t>
  </si>
  <si>
    <t>Escopo avaliado</t>
  </si>
  <si>
    <t>F1 (Fundamentos): Premissas · Frota · Pessoas · Checklists
F2 (Planejamento): Cronograma · Plano Preventivo · Plano Corretivo · Disponibilidade</t>
  </si>
  <si>
    <t>Objetivo principal</t>
  </si>
  <si>
    <t>Identificar gaps do modelo atual de manutenção do cliente versus o modelo de referência AgroVector e estruturar plano de fechamento.</t>
  </si>
  <si>
    <t>Metodologia</t>
  </si>
  <si>
    <t>Diagnóstico híbrido: Quick-Scan (Tem/Parcial/Não tem) + Avaliação Detalhada de Maturidade (0–5) com evidências, gaps e ações.</t>
  </si>
  <si>
    <t>Pilares: PROCESSOS · TECNOLOGIA · PESSOAS    |    www.vectorconsulting.com.br</t>
  </si>
  <si>
    <t>COMO USAR O TEMPLATE</t>
  </si>
  <si>
    <t>Fluxo recomendado</t>
  </si>
  <si>
    <t>1. Preencha a aba CAPA com identificação do cliente e equipe.
2. Faça primeira passada na aba QUICK-SCAN durante visita inicial (visão macro).
3. Aprofunde na aba DETALHADO_F1 e DETALHADO_F2 com evidências e gaps.
4. Consulte DASHBOARD para visualizar score por módulo e priorizar.
5. Consolide o PLANO DE AÇÃO priorizado para devolutiva ao cliente.</t>
  </si>
  <si>
    <t>Quick-Scan</t>
  </si>
  <si>
    <t>Avaliação rápida (Tem / Parcial / Não tem) por item. Útil para visita de 1 dia e calibragem de profundidade da etapa seguinte. Cada item já vincula automaticamente ao módulo correspondente.</t>
  </si>
  <si>
    <t>Avaliação Detalhada</t>
  </si>
  <si>
    <t>Maturidade de 0 a 5 por item, com campos para evidência observada, gap identificado, ação corretiva proposta, prioridade (Alta/Média/Baixa) e horizonte (curto/médio/longo prazo).</t>
  </si>
  <si>
    <t>Escala de maturidade</t>
  </si>
  <si>
    <t>0 = Inexistente · não há prática nem intenção
1 = Inicial · prática ad hoc, dependente de pessoa
2 = Definido informalmente · há prática mas sem documentação
3 = Documentado · existe processo, KPI parcial
4 = Gerenciado · processo medido, KPI ativo, ciclo PDCA
5 = Otimizado · benchmark, melhoria contínua, automação</t>
  </si>
  <si>
    <t>Cores e regras</t>
  </si>
  <si>
    <t>Score 0–1,9 → VERMELHO (gap crítico)
Score 2,0–3,4 → ÂMBAR (gap relevante)
Score 3,5–5,0 → VERDE (aderente ou otimizado)
Quick-Scan: Tem = 2 pts · Parcial = 1 pt · Não tem = 0 pts.</t>
  </si>
  <si>
    <t>Dicas de campo</t>
  </si>
  <si>
    <t>• Sempre pedir evidência (printscreen do sistema, planilha, relatório, OS impressa).
• Triangular informação: gerente, líder de oficina e mecânico de chão.
• Anotar nome do entrevistado e data na coluna de evidência.
• Diferenciar 'existe no papel' de 'é usado na rotina' (segundo é o que vale).</t>
  </si>
  <si>
    <t>QUICK-SCAN — Avaliação Rápida de Aderência</t>
  </si>
  <si>
    <t>Para cada item, marque: TEM (prática implementada e em uso) · PARCIAL (existe mas incompleto/intermitente) · NÃO TEM. Use a aba Detalhado para evidências e ações.</t>
  </si>
  <si>
    <t>Módulo</t>
  </si>
  <si>
    <t>Item avaliado</t>
  </si>
  <si>
    <t>Status</t>
  </si>
  <si>
    <t>Observação rápida</t>
  </si>
  <si>
    <t>Pontos</t>
  </si>
  <si>
    <t>F1.1 Premissas</t>
  </si>
  <si>
    <t>Índice esperado de preventiva vs corretiva definido formalmente por oficina</t>
  </si>
  <si>
    <t>Meta de % de serviços terceirizados definida por oficina</t>
  </si>
  <si>
    <t>Fator de redução de corretivas (deflator a.a.) definido e acompanhado</t>
  </si>
  <si>
    <t>Disponibilidade de MO parametrizada por oficina (horas brutas, descontos, produtividade)</t>
  </si>
  <si>
    <t>Cálculo formal de horas líquidas disponíveis por oficina e por colaborador</t>
  </si>
  <si>
    <t>Calendário de dias úteis estruturado mês a mês</t>
  </si>
  <si>
    <t>Definição clara do período de safra e entressafra</t>
  </si>
  <si>
    <t>Fator de sazonalidade de corretivas aplicado mês a mês</t>
  </si>
  <si>
    <t>Gatilhos de preventiva (horas/km) definidos por classe de ativo</t>
  </si>
  <si>
    <t>Intervalos definidos para tipos de revisão (S/A/B/C/D)</t>
  </si>
  <si>
    <t>Regra de herança cumulativa entre tipos de preventiva estruturada</t>
  </si>
  <si>
    <t>F1.2 Frota</t>
  </si>
  <si>
    <t>Cadastro completo de todos os ativos da operação</t>
  </si>
  <si>
    <t>Cadastro contém classe, modelo, fabricante, ano e filial</t>
  </si>
  <si>
    <t>Status do ativo registrado (Ativo/Reforma/Inativo/Vendido)</t>
  </si>
  <si>
    <t>Horímetro/odômetro atual atualizado por ativo</t>
  </si>
  <si>
    <t>Uso médio mensal calculado por ativo</t>
  </si>
  <si>
    <t>Uso médio diferenciado entre safra e entressafra</t>
  </si>
  <si>
    <t>Intervalo de preventiva (horas/km) definido por ativo</t>
  </si>
  <si>
    <t>Status de garantia controlado por ativo</t>
  </si>
  <si>
    <t>Cadastro atualizado em rotina (semanal/mensal)</t>
  </si>
  <si>
    <t>F1.3 Pessoas</t>
  </si>
  <si>
    <t>Cadastro completo de mão de obra de manutenção</t>
  </si>
  <si>
    <t>Estrutura organizada por tipo de oficina</t>
  </si>
  <si>
    <t>Cargo definido para cada colaborador</t>
  </si>
  <si>
    <t>Turno definido (Diurno/Noturno/Safra/5x1)</t>
  </si>
  <si>
    <t>Salário e encargos registrados por colaborador</t>
  </si>
  <si>
    <t>Status atualizado (Ativo/Inativo/Férias/Afastado)</t>
  </si>
  <si>
    <t>Custo/hora calculado por colaborador e oficina</t>
  </si>
  <si>
    <t>Resumo consolidado de HH disponível por oficina</t>
  </si>
  <si>
    <t>F1.4 Checklist</t>
  </si>
  <si>
    <t>Checklists padronizados por tipo de preventiva (S/A/B/C/D)</t>
  </si>
  <si>
    <t>Checklists diferenciados por classe de ativo</t>
  </si>
  <si>
    <t>Atividades detalhadas dentro de cada checklist</t>
  </si>
  <si>
    <t>Cargo executor definido por atividade</t>
  </si>
  <si>
    <t>Tipo de atividade categorizado (Troca/Inspeção/Lubrif/Calibragem/etc.)</t>
  </si>
  <si>
    <t>Tempo padrão (HH) registrado por atividade</t>
  </si>
  <si>
    <t>Insumos com quantidade e unidade definidos por atividade</t>
  </si>
  <si>
    <t>Peças com quantidade definidas por atividade</t>
  </si>
  <si>
    <t>Oficina executora definida por atividade</t>
  </si>
  <si>
    <t>F2.1 Cronograma</t>
  </si>
  <si>
    <t>Cronograma estruturado em base semanal</t>
  </si>
  <si>
    <t>Cobertura de 52 semanas (ciclo anual completo)</t>
  </si>
  <si>
    <t>Grade Ativo × Semana implementada</t>
  </si>
  <si>
    <t>Tipo de preventiva (S/A/B/C/D) indicado por semana</t>
  </si>
  <si>
    <t>HH preventiva agregada por oficina e por mês</t>
  </si>
  <si>
    <t>Cronograma considera calendário agrícola (safra/entressafra)</t>
  </si>
  <si>
    <t>Replanejamento periódico baseado em uso real do ativo</t>
  </si>
  <si>
    <t>F2.2 Plano Preventivo</t>
  </si>
  <si>
    <t>Plano de preventiva mensal estruturado por oficina</t>
  </si>
  <si>
    <t>Quantidade de preventivas por tipo (S/A/B/C/D) mensal</t>
  </si>
  <si>
    <t>HH preventiva por tipo de oficina × mês</t>
  </si>
  <si>
    <t>Lançamento de insumos e peças por preventiva planejada</t>
  </si>
  <si>
    <t>Aderência preventiva planejada vs realizada medida</t>
  </si>
  <si>
    <t>Indicador de cumprimento mensal acompanhado pela gestão</t>
  </si>
  <si>
    <t>F2.3 Plano Corretivo</t>
  </si>
  <si>
    <t>Plano de corretivas esperadas mês a mês</t>
  </si>
  <si>
    <t>Sazonalidade aplicada ao cálculo de corretivas</t>
  </si>
  <si>
    <t>HH corretiva por oficina × mês dimensionada</t>
  </si>
  <si>
    <t>Histórico de corretivas usado para calibrar previsões</t>
  </si>
  <si>
    <t>Deflator de corretivas (redução a.a.) monitorado</t>
  </si>
  <si>
    <t>Análise de causa raiz das corretivas recorrentes</t>
  </si>
  <si>
    <t>F2.4 Disponibilidade</t>
  </si>
  <si>
    <t>Comparativo HH disponível vs HH necessária por oficina × mês</t>
  </si>
  <si>
    <t>Identificação de gargalos (HH necessária &gt; disponível)</t>
  </si>
  <si>
    <t>Identificação de ociosidade (HH disponível &gt;&gt; necessária)</t>
  </si>
  <si>
    <t>Consolidado geral por oficina × mês implementado</t>
  </si>
  <si>
    <t>Dimensionamento de horas extras ou terceiros para déficit</t>
  </si>
  <si>
    <t>Plano de ação estruturado para meses com déficit/sobra</t>
  </si>
  <si>
    <t>TOTAL QUICK-SCAN</t>
  </si>
  <si>
    <t>Aderência % (vs. máximo de 2 pts/item)</t>
  </si>
  <si>
    <t>DETALHADO F1 — Fundamentos</t>
  </si>
  <si>
    <t>Maturidade 0–5 por item. Registre evidência observada (sistema/planilha/OS), gap específico, ação corretiva proposta, prioridade e horizonte. Score por módulo é calculado automaticamente e alimenta o Dashboard.</t>
  </si>
  <si>
    <t>Nível 0–5</t>
  </si>
  <si>
    <t>Evidência observada</t>
  </si>
  <si>
    <t>Gap identificado</t>
  </si>
  <si>
    <t>Ação corretiva proposta</t>
  </si>
  <si>
    <t>Prioridade</t>
  </si>
  <si>
    <t>Horizonte</t>
  </si>
  <si>
    <t>Responsável proposto</t>
  </si>
  <si>
    <t>Score médio · F1.1 Premissas</t>
  </si>
  <si>
    <t>Score médio · F1.2 Frota</t>
  </si>
  <si>
    <t>Score médio · F1.3 Pessoas</t>
  </si>
  <si>
    <t>Score médio · F1.4 Checklist</t>
  </si>
  <si>
    <t>DETALHADO F2 — Planejamento</t>
  </si>
  <si>
    <t>Score médio · F2.1 Cronograma</t>
  </si>
  <si>
    <t>Score médio · F2.2 Plano Preventivo</t>
  </si>
  <si>
    <t>Score médio · F2.3 Plano Corretivo</t>
  </si>
  <si>
    <t>Score médio · F2.4 Disponibilidade</t>
  </si>
  <si>
    <t>DASHBOARD DE GAPS — Modelo Atual vs. AgroVector</t>
  </si>
  <si>
    <t>Score consolidado por módulo (calculado automaticamente a partir das abas detalhadas). Use como base para a devolutiva ao cliente.</t>
  </si>
  <si>
    <t>Score (0–5)</t>
  </si>
  <si>
    <t>Gap (%)</t>
  </si>
  <si>
    <t>Classificação</t>
  </si>
  <si>
    <t>Itens críticos (score ≤ 2)</t>
  </si>
  <si>
    <t>KPI executivo</t>
  </si>
  <si>
    <t>Valor</t>
  </si>
  <si>
    <t>Quick-Scan — total de pontos</t>
  </si>
  <si>
    <t>Quick-Scan — aderência (%)</t>
  </si>
  <si>
    <t>Total de itens avaliados</t>
  </si>
  <si>
    <t>Itens em estado crítico (≤2)</t>
  </si>
  <si>
    <t>Módulos com gap relevante (&gt;30%)</t>
  </si>
  <si>
    <t>Módulo de maior gap</t>
  </si>
  <si>
    <t>Score do módulo de maior gap</t>
  </si>
  <si>
    <t>MÉDIA GERAL DO DIAGNÓSTICO</t>
  </si>
  <si>
    <t>PLANO DE AÇÃO PRIORIZADO — Fechamento de Gaps</t>
  </si>
  <si>
    <t>Consolide aqui os gaps prioritários (priorize itens com score 0–2 e Alta prioridade). Use como base para a apresentação executiva da devolutiva.</t>
  </si>
  <si>
    <t>#</t>
  </si>
  <si>
    <t>Gap (descrição)</t>
  </si>
  <si>
    <t>Ação proposta</t>
  </si>
  <si>
    <t>Responsável</t>
  </si>
  <si>
    <t>Custo estimado</t>
  </si>
  <si>
    <t>Investimento total estimado</t>
  </si>
  <si>
    <t>Não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</si>
</sst>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R$ &quot;#,##0;[Red]&quot;(R$ &quot;#,##0\);\-"/>
  </numFmts>
  <fonts count="22" x14ac:knownFonts="1">
    <font>
      <sz val="11"/>
      <color theme="1"/>
      <name val="Calibri"/>
      <family val="2"/>
      <charset val="1"/>
    </font>
    <font>
      <b/>
      <sz val="11"/>
      <color rgb="FFB2B5B7"/>
      <name val="Arial"/>
      <family val="2"/>
    </font>
    <font>
      <b/>
      <sz val="22"/>
      <color rgb="FF1F3060"/>
      <name val="Arial"/>
      <family val="2"/>
    </font>
    <font>
      <i/>
      <sz val="12"/>
      <color rgb="FF5070A0"/>
      <name val="Arial"/>
      <family val="2"/>
    </font>
    <font>
      <sz val="10"/>
      <color rgb="FFB2B5B7"/>
      <name val="Arial"/>
      <family val="2"/>
    </font>
    <font>
      <b/>
      <sz val="12"/>
      <color rgb="FFFFFFFF"/>
      <name val="Arial"/>
      <family val="2"/>
    </font>
    <font>
      <b/>
      <sz val="10"/>
      <color rgb="FF1F3060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1"/>
      <color rgb="FF1F3060"/>
      <name val="Arial"/>
      <family val="2"/>
    </font>
    <font>
      <b/>
      <sz val="14"/>
      <color rgb="FFFFFFFF"/>
      <name val="Arial"/>
      <family val="2"/>
    </font>
    <font>
      <i/>
      <sz val="9"/>
      <color rgb="FF5070A0"/>
      <name val="Arial"/>
      <family val="2"/>
    </font>
    <font>
      <b/>
      <sz val="10"/>
      <color rgb="FFFFFFFF"/>
      <name val="Arial"/>
      <family val="2"/>
    </font>
    <font>
      <b/>
      <sz val="9"/>
      <color rgb="FF1F3060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EF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060"/>
        <bgColor rgb="FF162545"/>
      </patternFill>
    </fill>
    <fill>
      <patternFill patternType="solid">
        <fgColor rgb="FFE8ECF2"/>
        <bgColor rgb="FFD6EAF8"/>
      </patternFill>
    </fill>
    <fill>
      <patternFill patternType="solid">
        <fgColor rgb="FFFFFFFF"/>
        <bgColor rgb="FFF9F9F9"/>
      </patternFill>
    </fill>
    <fill>
      <patternFill patternType="solid">
        <fgColor rgb="FF162545"/>
        <bgColor rgb="FF1F3060"/>
      </patternFill>
    </fill>
    <fill>
      <patternFill patternType="solid">
        <fgColor rgb="FF2A4080"/>
        <bgColor rgb="FF3A4F7A"/>
      </patternFill>
    </fill>
  </fills>
  <borders count="5">
    <border>
      <left/>
      <right/>
      <top/>
      <bottom/>
      <diagonal/>
    </border>
    <border>
      <left style="medium">
        <color rgb="FF1F3060"/>
      </left>
      <right/>
      <top style="medium">
        <color rgb="FF1F3060"/>
      </top>
      <bottom style="medium">
        <color rgb="FF1F3060"/>
      </bottom>
      <diagonal/>
    </border>
    <border>
      <left style="thin">
        <color rgb="FFC8CED9"/>
      </left>
      <right style="thin">
        <color rgb="FFC8CED9"/>
      </right>
      <top style="thin">
        <color rgb="FFC8CED9"/>
      </top>
      <bottom style="thin">
        <color rgb="FFC8CED9"/>
      </bottom>
      <diagonal/>
    </border>
    <border>
      <left style="thin">
        <color rgb="FFC8CED9"/>
      </left>
      <right/>
      <top style="thin">
        <color rgb="FFC8CED9"/>
      </top>
      <bottom style="thin">
        <color rgb="FFC8CED9"/>
      </bottom>
      <diagonal/>
    </border>
    <border>
      <left style="medium">
        <color rgb="FF1F3060"/>
      </left>
      <right style="medium">
        <color rgb="FF1F3060"/>
      </right>
      <top style="medium">
        <color rgb="FF1F3060"/>
      </top>
      <bottom style="medium">
        <color rgb="FF1F306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6" fillId="2" borderId="4" xfId="0" applyFont="1" applyFill="1" applyBorder="1" applyAlignment="1">
      <alignment horizontal="center" vertical="center"/>
    </xf>
    <xf numFmtId="0" fontId="0" fillId="2" borderId="0" xfId="0" applyFill="1"/>
    <xf numFmtId="0" fontId="6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top" wrapText="1" indent="1"/>
    </xf>
    <xf numFmtId="0" fontId="10" fillId="3" borderId="2" xfId="0" applyFont="1" applyFill="1" applyBorder="1" applyAlignment="1">
      <alignment horizontal="left" vertical="top" wrapText="1" indent="1"/>
    </xf>
    <xf numFmtId="0" fontId="7" fillId="4" borderId="2" xfId="0" applyFont="1" applyFill="1" applyBorder="1" applyAlignment="1">
      <alignment horizontal="left" vertical="top" wrapText="1" indent="1"/>
    </xf>
    <xf numFmtId="0" fontId="13" fillId="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15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13" fillId="4" borderId="0" xfId="0" applyFont="1" applyFill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6" fillId="2" borderId="4" xfId="0" applyFont="1" applyFill="1" applyBorder="1" applyAlignment="1">
      <alignment horizontal="right" vertical="center" indent="1"/>
    </xf>
    <xf numFmtId="2" fontId="11" fillId="2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 indent="1"/>
    </xf>
    <xf numFmtId="166" fontId="7" fillId="0" borderId="2" xfId="0" applyNumberFormat="1" applyFont="1" applyBorder="1" applyAlignment="1">
      <alignment horizontal="left" vertical="top" wrapText="1" indent="1"/>
    </xf>
    <xf numFmtId="166" fontId="5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0" fontId="11" fillId="2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wrapText="1" indent="1"/>
    </xf>
    <xf numFmtId="0" fontId="16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right" indent="1"/>
    </xf>
    <xf numFmtId="0" fontId="7" fillId="4" borderId="3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9" fillId="2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right" vertical="center" indent="1"/>
    </xf>
    <xf numFmtId="0" fontId="12" fillId="0" borderId="0" xfId="0" applyFont="1" applyAlignment="1">
      <alignment horizontal="left" vertical="center" indent="1"/>
    </xf>
    <xf numFmtId="0" fontId="12" fillId="3" borderId="0" xfId="0" applyFont="1" applyFill="1" applyAlignment="1">
      <alignment horizontal="left" vertical="center" indent="1"/>
    </xf>
    <xf numFmtId="0" fontId="16" fillId="2" borderId="4" xfId="0" applyFont="1" applyFill="1" applyBorder="1" applyAlignment="1">
      <alignment horizontal="right" vertical="center" indent="1"/>
    </xf>
  </cellXfs>
  <cellStyles count="1">
    <cellStyle name="Normal" xfId="0" builtinId="0"/>
  </cellStyles>
  <dxfs count="24">
    <dxf>
      <font>
        <b/>
        <sz val="10"/>
        <color rgb="FF8B6914"/>
        <name val="Arial"/>
        <charset val="1"/>
      </font>
      <fill>
        <patternFill>
          <bgColor rgb="FFFEF3D6"/>
        </patternFill>
      </fill>
    </dxf>
    <dxf>
      <font>
        <b/>
        <sz val="10"/>
        <color rgb="FF1B4F72"/>
        <name val="Arial"/>
        <charset val="1"/>
      </font>
      <fill>
        <patternFill>
          <bgColor rgb="FFD6EAF8"/>
        </patternFill>
      </fill>
    </dxf>
    <dxf>
      <font>
        <b/>
        <sz val="10"/>
        <color rgb="FF0D6E3F"/>
        <name val="Arial"/>
        <charset val="1"/>
      </font>
      <fill>
        <patternFill>
          <bgColor rgb="FFD5F4E0"/>
        </patternFill>
      </fill>
    </dxf>
    <dxf>
      <font>
        <b/>
        <sz val="10"/>
        <color rgb="FF3A4F7A"/>
        <name val="Arial"/>
        <charset val="1"/>
      </font>
      <fill>
        <patternFill>
          <bgColor rgb="FFE8ECF2"/>
        </patternFill>
      </fill>
    </dxf>
    <dxf>
      <font>
        <b/>
        <sz val="10"/>
        <color rgb="FF8B6914"/>
        <name val="Arial"/>
        <charset val="1"/>
      </font>
      <fill>
        <patternFill>
          <bgColor rgb="FFFEF3D6"/>
        </patternFill>
      </fill>
    </dxf>
    <dxf>
      <font>
        <b/>
        <sz val="10"/>
        <color rgb="FF8B0000"/>
        <name val="Arial"/>
        <charset val="1"/>
      </font>
      <fill>
        <patternFill>
          <bgColor rgb="FFFBE0E0"/>
        </patternFill>
      </fill>
    </dxf>
    <dxf>
      <font>
        <b/>
        <sz val="12"/>
        <color rgb="FF0D6E3F"/>
        <name val="Arial"/>
        <charset val="1"/>
      </font>
      <fill>
        <patternFill>
          <bgColor rgb="FFD5F4E0"/>
        </patternFill>
      </fill>
    </dxf>
    <dxf>
      <font>
        <b/>
        <sz val="12"/>
        <color rgb="FF8B6914"/>
        <name val="Arial"/>
        <charset val="1"/>
      </font>
      <fill>
        <patternFill>
          <bgColor rgb="FFFEF3D6"/>
        </patternFill>
      </fill>
    </dxf>
    <dxf>
      <font>
        <b/>
        <sz val="12"/>
        <color rgb="FF8B0000"/>
        <name val="Arial"/>
        <charset val="1"/>
      </font>
      <fill>
        <patternFill>
          <bgColor rgb="FFFBE0E0"/>
        </patternFill>
      </fill>
    </dxf>
    <dxf>
      <font>
        <b/>
        <sz val="9"/>
        <color rgb="FF3A4F7A"/>
        <name val="Arial"/>
        <charset val="1"/>
      </font>
      <fill>
        <patternFill>
          <bgColor rgb="FFE8ECF2"/>
        </patternFill>
      </fill>
    </dxf>
    <dxf>
      <font>
        <b/>
        <sz val="9"/>
        <color rgb="FF8B6914"/>
        <name val="Arial"/>
        <charset val="1"/>
      </font>
      <fill>
        <patternFill>
          <bgColor rgb="FFFEF3D6"/>
        </patternFill>
      </fill>
    </dxf>
    <dxf>
      <font>
        <b/>
        <sz val="9"/>
        <color rgb="FF8B0000"/>
        <name val="Arial"/>
        <charset val="1"/>
      </font>
      <fill>
        <patternFill>
          <bgColor rgb="FFFBE0E0"/>
        </patternFill>
      </fill>
    </dxf>
    <dxf>
      <font>
        <b/>
        <sz val="12"/>
        <color rgb="FF0D6E3F"/>
        <name val="Arial"/>
        <charset val="1"/>
      </font>
      <fill>
        <patternFill>
          <bgColor rgb="FFD5F4E0"/>
        </patternFill>
      </fill>
    </dxf>
    <dxf>
      <font>
        <b/>
        <sz val="12"/>
        <color rgb="FF8B6914"/>
        <name val="Arial"/>
        <charset val="1"/>
      </font>
      <fill>
        <patternFill>
          <bgColor rgb="FFFEF3D6"/>
        </patternFill>
      </fill>
    </dxf>
    <dxf>
      <font>
        <b/>
        <sz val="12"/>
        <color rgb="FF8B0000"/>
        <name val="Arial"/>
        <charset val="1"/>
      </font>
      <fill>
        <patternFill>
          <bgColor rgb="FFFBE0E0"/>
        </patternFill>
      </fill>
    </dxf>
    <dxf>
      <font>
        <b/>
        <sz val="9"/>
        <color rgb="FF3A4F7A"/>
        <name val="Arial"/>
        <charset val="1"/>
      </font>
      <fill>
        <patternFill>
          <bgColor rgb="FFE8ECF2"/>
        </patternFill>
      </fill>
    </dxf>
    <dxf>
      <font>
        <b/>
        <sz val="9"/>
        <color rgb="FF8B6914"/>
        <name val="Arial"/>
        <charset val="1"/>
      </font>
      <fill>
        <patternFill>
          <bgColor rgb="FFFEF3D6"/>
        </patternFill>
      </fill>
    </dxf>
    <dxf>
      <font>
        <b/>
        <sz val="9"/>
        <color rgb="FF8B0000"/>
        <name val="Arial"/>
        <charset val="1"/>
      </font>
      <fill>
        <patternFill>
          <bgColor rgb="FFFBE0E0"/>
        </patternFill>
      </fill>
    </dxf>
    <dxf>
      <font>
        <b/>
        <sz val="12"/>
        <color rgb="FF0D6E3F"/>
        <name val="Arial"/>
        <charset val="1"/>
      </font>
      <fill>
        <patternFill>
          <bgColor rgb="FFD5F4E0"/>
        </patternFill>
      </fill>
    </dxf>
    <dxf>
      <font>
        <b/>
        <sz val="12"/>
        <color rgb="FF8B6914"/>
        <name val="Arial"/>
        <charset val="1"/>
      </font>
      <fill>
        <patternFill>
          <bgColor rgb="FFFEF3D6"/>
        </patternFill>
      </fill>
    </dxf>
    <dxf>
      <font>
        <b/>
        <sz val="12"/>
        <color rgb="FF8B0000"/>
        <name val="Arial"/>
        <charset val="1"/>
      </font>
      <fill>
        <patternFill>
          <bgColor rgb="FFFBE0E0"/>
        </patternFill>
      </fill>
    </dxf>
    <dxf>
      <font>
        <b/>
        <sz val="10"/>
        <color rgb="FF8B0000"/>
        <name val="Arial"/>
        <charset val="1"/>
      </font>
      <fill>
        <patternFill>
          <bgColor rgb="FFFBE0E0"/>
        </patternFill>
      </fill>
    </dxf>
    <dxf>
      <font>
        <b/>
        <sz val="10"/>
        <color rgb="FF8B6914"/>
        <name val="Arial"/>
        <charset val="1"/>
      </font>
      <fill>
        <patternFill>
          <bgColor rgb="FFFEF3D6"/>
        </patternFill>
      </fill>
    </dxf>
    <dxf>
      <font>
        <b/>
        <sz val="10"/>
        <color rgb="FF0D6E3F"/>
        <name val="Arial"/>
        <charset val="1"/>
      </font>
      <fill>
        <patternFill>
          <bgColor rgb="FFD5F4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D6E3F"/>
      <rgbColor rgb="FF000080"/>
      <rgbColor rgb="FF8B6914"/>
      <rgbColor rgb="FF800080"/>
      <rgbColor rgb="FF1B4F72"/>
      <rgbColor rgb="FFB2B5B7"/>
      <rgbColor rgb="FF878787"/>
      <rgbColor rgb="FF9999FF"/>
      <rgbColor rgb="FF993366"/>
      <rgbColor rgb="FFFEF3D6"/>
      <rgbColor rgb="FFD6EAF8"/>
      <rgbColor rgb="FF660066"/>
      <rgbColor rgb="FFFF8080"/>
      <rgbColor rgb="FF2E5F99"/>
      <rgbColor rgb="FFC8CE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2"/>
      <rgbColor rgb="FFD5F4E0"/>
      <rgbColor rgb="FFF9F9F9"/>
      <rgbColor rgb="FF99CCFF"/>
      <rgbColor rgb="FFFF99CC"/>
      <rgbColor rgb="FFD9D9D9"/>
      <rgbColor rgb="FFFBE0E0"/>
      <rgbColor rgb="FF397BCA"/>
      <rgbColor rgb="FF33CCCC"/>
      <rgbColor rgb="FF99CC00"/>
      <rgbColor rgb="FFFFCC00"/>
      <rgbColor rgb="FFFF9900"/>
      <rgbColor rgb="FFEF4444"/>
      <rgbColor rgb="FF5070A0"/>
      <rgbColor rgb="FF969696"/>
      <rgbColor rgb="FF1F3060"/>
      <rgbColor rgb="FF4F81BD"/>
      <rgbColor rgb="FF003300"/>
      <rgbColor rgb="FF3A4F7A"/>
      <rgbColor rgb="FF993300"/>
      <rgbColor rgb="FF993366"/>
      <rgbColor rgb="FF2A4080"/>
      <rgbColor rgb="FF1625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Score por módulo (0–5)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Score (0–5)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Dashboard!$B$6:$B$13</c:f>
              <c:strCache>
                <c:ptCount val="8"/>
                <c:pt idx="0">
                  <c:v>F1.1 Premissas</c:v>
                </c:pt>
                <c:pt idx="1">
                  <c:v>F1.2 Frota</c:v>
                </c:pt>
                <c:pt idx="2">
                  <c:v>F1.3 Pessoas</c:v>
                </c:pt>
                <c:pt idx="3">
                  <c:v>F1.4 Checklist</c:v>
                </c:pt>
                <c:pt idx="4">
                  <c:v>F2.1 Cronograma</c:v>
                </c:pt>
                <c:pt idx="5">
                  <c:v>F2.2 Plano Preventivo</c:v>
                </c:pt>
                <c:pt idx="6">
                  <c:v>F2.3 Plano Corretivo</c:v>
                </c:pt>
                <c:pt idx="7">
                  <c:v>F2.4 Disponibilidade</c:v>
                </c:pt>
              </c:strCache>
            </c:strRef>
          </c:cat>
          <c:val>
            <c:numRef>
              <c:f>Dashboard!$C$6:$C$13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EA4-8BC7-3C538B921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32465"/>
        <c:axId val="68565127"/>
      </c:barChart>
      <c:catAx>
        <c:axId val="2323246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8565127"/>
        <c:crosses val="autoZero"/>
        <c:auto val="1"/>
        <c:lblAlgn val="ctr"/>
        <c:lblOffset val="100"/>
        <c:noMultiLvlLbl val="0"/>
      </c:catAx>
      <c:valAx>
        <c:axId val="685651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Módulo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232324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6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Cobertura — Modelo Atual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Dashboard!$C$5</c:f>
              <c:strCache>
                <c:ptCount val="1"/>
                <c:pt idx="0">
                  <c:v>Score (0–5)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1260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Dashboard!$B$6:$B$13</c:f>
              <c:strCache>
                <c:ptCount val="8"/>
                <c:pt idx="0">
                  <c:v>F1.1 Premissas</c:v>
                </c:pt>
                <c:pt idx="1">
                  <c:v>F1.2 Frota</c:v>
                </c:pt>
                <c:pt idx="2">
                  <c:v>F1.3 Pessoas</c:v>
                </c:pt>
                <c:pt idx="3">
                  <c:v>F1.4 Checklist</c:v>
                </c:pt>
                <c:pt idx="4">
                  <c:v>F2.1 Cronograma</c:v>
                </c:pt>
                <c:pt idx="5">
                  <c:v>F2.2 Plano Preventivo</c:v>
                </c:pt>
                <c:pt idx="6">
                  <c:v>F2.3 Plano Corretivo</c:v>
                </c:pt>
                <c:pt idx="7">
                  <c:v>F2.4 Disponibilidade</c:v>
                </c:pt>
              </c:strCache>
            </c:strRef>
          </c:cat>
          <c:val>
            <c:numRef>
              <c:f>Dashboard!$C$6:$C$13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7-4C6F-B022-1AEF13267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06820"/>
        <c:axId val="74992816"/>
      </c:radarChart>
      <c:catAx>
        <c:axId val="608068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74992816"/>
        <c:crosses val="autoZero"/>
        <c:auto val="1"/>
        <c:lblAlgn val="ctr"/>
        <c:lblOffset val="100"/>
        <c:noMultiLvlLbl val="0"/>
      </c:catAx>
      <c:valAx>
        <c:axId val="74992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080682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7</xdr:col>
      <xdr:colOff>1153080</xdr:colOff>
      <xdr:row>36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16</xdr:row>
      <xdr:rowOff>0</xdr:rowOff>
    </xdr:from>
    <xdr:to>
      <xdr:col>8</xdr:col>
      <xdr:colOff>843558</xdr:colOff>
      <xdr:row>36</xdr:row>
      <xdr:rowOff>149760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zoomScaleNormal="100" workbookViewId="0">
      <selection activeCell="H6" sqref="H6"/>
    </sheetView>
  </sheetViews>
  <sheetFormatPr defaultColWidth="8.6640625" defaultRowHeight="14.25" x14ac:dyDescent="0.45"/>
  <cols>
    <col min="1" max="1" width="3" customWidth="1"/>
    <col min="2" max="2" width="28" customWidth="1"/>
    <col min="3" max="3" width="50" customWidth="1"/>
    <col min="4" max="4" width="4" customWidth="1"/>
    <col min="5" max="5" width="28" customWidth="1"/>
    <col min="6" max="6" width="25" customWidth="1"/>
  </cols>
  <sheetData>
    <row r="1" spans="1:6" ht="7.5" customHeight="1" x14ac:dyDescent="0.45">
      <c r="A1" s="2"/>
      <c r="B1" s="2"/>
      <c r="C1" s="2"/>
      <c r="D1" s="2"/>
      <c r="E1" s="2"/>
      <c r="F1" s="2"/>
    </row>
    <row r="2" spans="1:6" ht="24" customHeight="1" x14ac:dyDescent="0.45">
      <c r="A2" s="2"/>
      <c r="B2" s="43" t="s">
        <v>0</v>
      </c>
      <c r="C2" s="43"/>
      <c r="D2" s="43"/>
      <c r="E2" s="43"/>
      <c r="F2" s="43"/>
    </row>
    <row r="3" spans="1:6" ht="7.5" customHeight="1" x14ac:dyDescent="0.45">
      <c r="A3" s="2"/>
      <c r="B3" s="2"/>
      <c r="C3" s="2"/>
      <c r="D3" s="2"/>
      <c r="E3" s="2"/>
      <c r="F3" s="2"/>
    </row>
    <row r="5" spans="1:6" ht="36" customHeight="1" x14ac:dyDescent="0.45">
      <c r="B5" s="44" t="s">
        <v>1</v>
      </c>
      <c r="C5" s="44"/>
      <c r="D5" s="44"/>
      <c r="E5" s="44"/>
      <c r="F5" s="44"/>
    </row>
    <row r="6" spans="1:6" ht="21.75" customHeight="1" x14ac:dyDescent="0.45">
      <c r="B6" s="45" t="s">
        <v>2</v>
      </c>
      <c r="C6" s="45"/>
      <c r="D6" s="45"/>
      <c r="E6" s="45"/>
      <c r="F6" s="45"/>
    </row>
    <row r="7" spans="1:6" ht="18" customHeight="1" x14ac:dyDescent="0.45">
      <c r="B7" s="46" t="s">
        <v>3</v>
      </c>
      <c r="C7" s="46"/>
      <c r="D7" s="46"/>
      <c r="E7" s="46"/>
      <c r="F7" s="46"/>
    </row>
    <row r="10" spans="1:6" ht="25.5" customHeight="1" x14ac:dyDescent="0.45">
      <c r="B10" s="41" t="s">
        <v>4</v>
      </c>
      <c r="C10" s="41"/>
      <c r="D10" s="41"/>
      <c r="E10" s="41"/>
      <c r="F10" s="41"/>
    </row>
    <row r="11" spans="1:6" ht="24" customHeight="1" x14ac:dyDescent="0.45">
      <c r="B11" s="3" t="s">
        <v>5</v>
      </c>
      <c r="C11" s="39"/>
      <c r="D11" s="39"/>
      <c r="E11" s="39"/>
      <c r="F11" s="39"/>
    </row>
    <row r="12" spans="1:6" ht="24" customHeight="1" x14ac:dyDescent="0.45">
      <c r="B12" s="3" t="s">
        <v>6</v>
      </c>
      <c r="C12" s="39"/>
      <c r="D12" s="39"/>
      <c r="E12" s="39"/>
      <c r="F12" s="39"/>
    </row>
    <row r="13" spans="1:6" ht="24" customHeight="1" x14ac:dyDescent="0.45">
      <c r="B13" s="3" t="s">
        <v>7</v>
      </c>
      <c r="C13" s="39"/>
      <c r="D13" s="39"/>
      <c r="E13" s="39"/>
      <c r="F13" s="39"/>
    </row>
    <row r="14" spans="1:6" ht="24" customHeight="1" x14ac:dyDescent="0.45">
      <c r="B14" s="3" t="s">
        <v>8</v>
      </c>
      <c r="C14" s="39"/>
      <c r="D14" s="39"/>
      <c r="E14" s="39"/>
      <c r="F14" s="39"/>
    </row>
    <row r="15" spans="1:6" ht="24" customHeight="1" x14ac:dyDescent="0.45">
      <c r="B15" s="3" t="s">
        <v>9</v>
      </c>
      <c r="C15" s="39"/>
      <c r="D15" s="39"/>
      <c r="E15" s="39"/>
      <c r="F15" s="39"/>
    </row>
    <row r="16" spans="1:6" ht="24" customHeight="1" x14ac:dyDescent="0.45">
      <c r="B16" s="3" t="s">
        <v>10</v>
      </c>
      <c r="C16" s="39"/>
      <c r="D16" s="39"/>
      <c r="E16" s="39"/>
      <c r="F16" s="39"/>
    </row>
    <row r="18" spans="2:6" ht="25.5" customHeight="1" x14ac:dyDescent="0.45">
      <c r="B18" s="41" t="s">
        <v>11</v>
      </c>
      <c r="C18" s="41"/>
      <c r="D18" s="41"/>
      <c r="E18" s="41"/>
      <c r="F18" s="41"/>
    </row>
    <row r="19" spans="2:6" ht="24" customHeight="1" x14ac:dyDescent="0.45">
      <c r="B19" s="3" t="s">
        <v>12</v>
      </c>
      <c r="C19" s="39"/>
      <c r="D19" s="39"/>
      <c r="E19" s="39"/>
      <c r="F19" s="39"/>
    </row>
    <row r="20" spans="2:6" ht="24" customHeight="1" x14ac:dyDescent="0.45">
      <c r="B20" s="3" t="s">
        <v>13</v>
      </c>
      <c r="C20" s="39"/>
      <c r="D20" s="39"/>
      <c r="E20" s="39"/>
      <c r="F20" s="39"/>
    </row>
    <row r="21" spans="2:6" ht="24" customHeight="1" x14ac:dyDescent="0.45">
      <c r="B21" s="3" t="s">
        <v>14</v>
      </c>
      <c r="C21" s="39"/>
      <c r="D21" s="39"/>
      <c r="E21" s="39"/>
      <c r="F21" s="39"/>
    </row>
    <row r="22" spans="2:6" ht="24" customHeight="1" x14ac:dyDescent="0.45">
      <c r="B22" s="3" t="s">
        <v>15</v>
      </c>
      <c r="C22" s="39"/>
      <c r="D22" s="39"/>
      <c r="E22" s="39"/>
      <c r="F22" s="39"/>
    </row>
    <row r="23" spans="2:6" ht="24" customHeight="1" x14ac:dyDescent="0.45">
      <c r="B23" s="3" t="s">
        <v>16</v>
      </c>
      <c r="C23" s="39"/>
      <c r="D23" s="39"/>
      <c r="E23" s="39"/>
      <c r="F23" s="39"/>
    </row>
    <row r="24" spans="2:6" ht="24" customHeight="1" x14ac:dyDescent="0.45">
      <c r="B24" s="3" t="s">
        <v>17</v>
      </c>
      <c r="C24" s="39"/>
      <c r="D24" s="39"/>
      <c r="E24" s="39"/>
      <c r="F24" s="39"/>
    </row>
    <row r="26" spans="2:6" ht="25.5" customHeight="1" x14ac:dyDescent="0.45">
      <c r="B26" s="41" t="s">
        <v>18</v>
      </c>
      <c r="C26" s="41"/>
      <c r="D26" s="41"/>
      <c r="E26" s="41"/>
      <c r="F26" s="41"/>
    </row>
    <row r="27" spans="2:6" ht="39.75" customHeight="1" x14ac:dyDescent="0.45">
      <c r="B27" s="4" t="s">
        <v>19</v>
      </c>
      <c r="C27" s="42" t="s">
        <v>20</v>
      </c>
      <c r="D27" s="42"/>
      <c r="E27" s="42"/>
      <c r="F27" s="42"/>
    </row>
    <row r="28" spans="2:6" ht="37.5" customHeight="1" x14ac:dyDescent="0.45">
      <c r="B28" s="3" t="s">
        <v>21</v>
      </c>
      <c r="C28" s="39" t="s">
        <v>22</v>
      </c>
      <c r="D28" s="39"/>
      <c r="E28" s="39"/>
      <c r="F28" s="39"/>
    </row>
    <row r="29" spans="2:6" ht="37.5" customHeight="1" x14ac:dyDescent="0.45">
      <c r="B29" s="3" t="s">
        <v>23</v>
      </c>
      <c r="C29" s="39" t="s">
        <v>24</v>
      </c>
      <c r="D29" s="39"/>
      <c r="E29" s="39"/>
      <c r="F29" s="39"/>
    </row>
    <row r="32" spans="2:6" ht="21.75" customHeight="1" x14ac:dyDescent="0.45">
      <c r="B32" s="40" t="s">
        <v>25</v>
      </c>
      <c r="C32" s="40"/>
      <c r="D32" s="40"/>
      <c r="E32" s="40"/>
      <c r="F32" s="40"/>
    </row>
  </sheetData>
  <mergeCells count="23">
    <mergeCell ref="B2:F2"/>
    <mergeCell ref="B5:F5"/>
    <mergeCell ref="B6:F6"/>
    <mergeCell ref="B7:F7"/>
    <mergeCell ref="B10:F10"/>
    <mergeCell ref="C11:F11"/>
    <mergeCell ref="C12:F12"/>
    <mergeCell ref="C13:F13"/>
    <mergeCell ref="C14:F14"/>
    <mergeCell ref="C15:F15"/>
    <mergeCell ref="C16:F16"/>
    <mergeCell ref="B18:F18"/>
    <mergeCell ref="C19:F19"/>
    <mergeCell ref="C20:F20"/>
    <mergeCell ref="C21:F21"/>
    <mergeCell ref="C28:F28"/>
    <mergeCell ref="C29:F29"/>
    <mergeCell ref="B32:F32"/>
    <mergeCell ref="C22:F22"/>
    <mergeCell ref="C23:F23"/>
    <mergeCell ref="C24:F24"/>
    <mergeCell ref="B26:F26"/>
    <mergeCell ref="C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9"/>
  <sheetViews>
    <sheetView showGridLines="0" topLeftCell="A4" zoomScaleNormal="100" workbookViewId="0"/>
  </sheetViews>
  <sheetFormatPr defaultColWidth="8.6640625" defaultRowHeight="14.25" x14ac:dyDescent="0.45"/>
  <cols>
    <col min="1" max="1" width="3" customWidth="1"/>
    <col min="2" max="2" width="18" customWidth="1"/>
    <col min="3" max="3" width="80" customWidth="1"/>
    <col min="4" max="4" width="3" customWidth="1"/>
  </cols>
  <sheetData>
    <row r="2" spans="2:3" ht="31.5" customHeight="1" x14ac:dyDescent="0.45">
      <c r="B2" s="47" t="s">
        <v>26</v>
      </c>
      <c r="C2" s="47"/>
    </row>
    <row r="4" spans="2:3" ht="90" customHeight="1" x14ac:dyDescent="0.45">
      <c r="B4" s="5" t="s">
        <v>27</v>
      </c>
      <c r="C4" s="6" t="s">
        <v>28</v>
      </c>
    </row>
    <row r="5" spans="2:3" ht="36" customHeight="1" x14ac:dyDescent="0.45">
      <c r="B5" s="5" t="s">
        <v>29</v>
      </c>
      <c r="C5" s="6" t="s">
        <v>30</v>
      </c>
    </row>
    <row r="6" spans="2:3" ht="36" customHeight="1" x14ac:dyDescent="0.45">
      <c r="B6" s="5" t="s">
        <v>31</v>
      </c>
      <c r="C6" s="6" t="s">
        <v>32</v>
      </c>
    </row>
    <row r="7" spans="2:3" ht="108" customHeight="1" x14ac:dyDescent="0.45">
      <c r="B7" s="5" t="s">
        <v>33</v>
      </c>
      <c r="C7" s="6" t="s">
        <v>34</v>
      </c>
    </row>
    <row r="8" spans="2:3" ht="72" customHeight="1" x14ac:dyDescent="0.45">
      <c r="B8" s="5" t="s">
        <v>35</v>
      </c>
      <c r="C8" s="6" t="s">
        <v>36</v>
      </c>
    </row>
    <row r="9" spans="2:3" ht="72" customHeight="1" x14ac:dyDescent="0.45">
      <c r="B9" s="5" t="s">
        <v>37</v>
      </c>
      <c r="C9" s="6" t="s">
        <v>38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showGridLines="0" zoomScaleNormal="100" workbookViewId="0">
      <pane ySplit="4" topLeftCell="A47" activePane="bottomLeft" state="frozen"/>
      <selection pane="bottomLeft" activeCell="C47" sqref="C47"/>
    </sheetView>
  </sheetViews>
  <sheetFormatPr defaultColWidth="8.6640625" defaultRowHeight="14.25" x14ac:dyDescent="0.45"/>
  <cols>
    <col min="1" max="1" width="22" customWidth="1"/>
    <col min="2" max="2" width="60" customWidth="1"/>
    <col min="3" max="3" width="14" customWidth="1"/>
    <col min="4" max="4" width="30" customWidth="1"/>
    <col min="5" max="5" width="10" customWidth="1"/>
  </cols>
  <sheetData>
    <row r="1" spans="1:5" ht="30" customHeight="1" x14ac:dyDescent="0.45">
      <c r="A1" s="35" t="s">
        <v>39</v>
      </c>
      <c r="B1" s="35"/>
      <c r="C1" s="35"/>
      <c r="D1" s="35"/>
      <c r="E1" s="35"/>
    </row>
    <row r="2" spans="1:5" ht="27.75" customHeight="1" x14ac:dyDescent="0.45">
      <c r="A2" s="36" t="s">
        <v>40</v>
      </c>
      <c r="B2" s="36"/>
      <c r="C2" s="36"/>
      <c r="D2" s="36"/>
      <c r="E2" s="36"/>
    </row>
    <row r="4" spans="1:5" ht="30" customHeight="1" x14ac:dyDescent="0.45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</row>
    <row r="5" spans="1:5" ht="31.5" customHeight="1" x14ac:dyDescent="0.45">
      <c r="A5" s="8" t="s">
        <v>46</v>
      </c>
      <c r="B5" s="9" t="s">
        <v>47</v>
      </c>
      <c r="C5" s="10" t="s">
        <v>160</v>
      </c>
      <c r="D5" s="11"/>
      <c r="E5" s="12">
        <f t="shared" ref="E5:E36" si="0">IF(C5="Tem",2,IF(C5="Parcial",1,IF(C5="Não tem",0,"")))</f>
        <v>0</v>
      </c>
    </row>
    <row r="6" spans="1:5" ht="31.5" customHeight="1" x14ac:dyDescent="0.45">
      <c r="A6" s="8" t="s">
        <v>46</v>
      </c>
      <c r="B6" s="9" t="s">
        <v>48</v>
      </c>
      <c r="C6" s="10"/>
      <c r="D6" s="11"/>
      <c r="E6" s="12" t="str">
        <f t="shared" si="0"/>
        <v/>
      </c>
    </row>
    <row r="7" spans="1:5" ht="31.5" customHeight="1" x14ac:dyDescent="0.45">
      <c r="A7" s="8" t="s">
        <v>46</v>
      </c>
      <c r="B7" s="9" t="s">
        <v>49</v>
      </c>
      <c r="C7" s="10"/>
      <c r="D7" s="11"/>
      <c r="E7" s="12" t="str">
        <f t="shared" si="0"/>
        <v/>
      </c>
    </row>
    <row r="8" spans="1:5" ht="31.5" customHeight="1" x14ac:dyDescent="0.45">
      <c r="A8" s="8" t="s">
        <v>46</v>
      </c>
      <c r="B8" s="9" t="s">
        <v>50</v>
      </c>
      <c r="C8" s="10"/>
      <c r="D8" s="11"/>
      <c r="E8" s="12" t="str">
        <f t="shared" si="0"/>
        <v/>
      </c>
    </row>
    <row r="9" spans="1:5" ht="31.5" customHeight="1" x14ac:dyDescent="0.45">
      <c r="A9" s="8" t="s">
        <v>46</v>
      </c>
      <c r="B9" s="9" t="s">
        <v>51</v>
      </c>
      <c r="C9" s="10"/>
      <c r="D9" s="11"/>
      <c r="E9" s="12" t="str">
        <f t="shared" si="0"/>
        <v/>
      </c>
    </row>
    <row r="10" spans="1:5" ht="31.5" customHeight="1" x14ac:dyDescent="0.45">
      <c r="A10" s="8" t="s">
        <v>46</v>
      </c>
      <c r="B10" s="9" t="s">
        <v>52</v>
      </c>
      <c r="C10" s="10"/>
      <c r="D10" s="11"/>
      <c r="E10" s="12" t="str">
        <f t="shared" si="0"/>
        <v/>
      </c>
    </row>
    <row r="11" spans="1:5" ht="31.5" customHeight="1" x14ac:dyDescent="0.45">
      <c r="A11" s="8" t="s">
        <v>46</v>
      </c>
      <c r="B11" s="9" t="s">
        <v>53</v>
      </c>
      <c r="C11" s="10"/>
      <c r="D11" s="11"/>
      <c r="E11" s="12" t="str">
        <f t="shared" si="0"/>
        <v/>
      </c>
    </row>
    <row r="12" spans="1:5" ht="31.5" customHeight="1" x14ac:dyDescent="0.45">
      <c r="A12" s="8" t="s">
        <v>46</v>
      </c>
      <c r="B12" s="9" t="s">
        <v>54</v>
      </c>
      <c r="C12" s="10"/>
      <c r="D12" s="11"/>
      <c r="E12" s="12" t="str">
        <f t="shared" si="0"/>
        <v/>
      </c>
    </row>
    <row r="13" spans="1:5" ht="31.5" customHeight="1" x14ac:dyDescent="0.45">
      <c r="A13" s="8" t="s">
        <v>46</v>
      </c>
      <c r="B13" s="9" t="s">
        <v>55</v>
      </c>
      <c r="C13" s="10"/>
      <c r="D13" s="11"/>
      <c r="E13" s="12" t="str">
        <f t="shared" si="0"/>
        <v/>
      </c>
    </row>
    <row r="14" spans="1:5" ht="31.5" customHeight="1" x14ac:dyDescent="0.45">
      <c r="A14" s="8" t="s">
        <v>46</v>
      </c>
      <c r="B14" s="9" t="s">
        <v>56</v>
      </c>
      <c r="C14" s="10"/>
      <c r="D14" s="11"/>
      <c r="E14" s="12" t="str">
        <f t="shared" si="0"/>
        <v/>
      </c>
    </row>
    <row r="15" spans="1:5" ht="31.5" customHeight="1" x14ac:dyDescent="0.45">
      <c r="A15" s="8" t="s">
        <v>46</v>
      </c>
      <c r="B15" s="9" t="s">
        <v>57</v>
      </c>
      <c r="C15" s="10"/>
      <c r="D15" s="11"/>
      <c r="E15" s="12" t="str">
        <f t="shared" si="0"/>
        <v/>
      </c>
    </row>
    <row r="16" spans="1:5" ht="31.5" customHeight="1" x14ac:dyDescent="0.45">
      <c r="A16" s="8" t="s">
        <v>58</v>
      </c>
      <c r="B16" s="9" t="s">
        <v>59</v>
      </c>
      <c r="C16" s="10"/>
      <c r="D16" s="11"/>
      <c r="E16" s="12" t="str">
        <f t="shared" si="0"/>
        <v/>
      </c>
    </row>
    <row r="17" spans="1:5" ht="31.5" customHeight="1" x14ac:dyDescent="0.45">
      <c r="A17" s="8" t="s">
        <v>58</v>
      </c>
      <c r="B17" s="9" t="s">
        <v>60</v>
      </c>
      <c r="C17" s="10"/>
      <c r="D17" s="11"/>
      <c r="E17" s="12" t="str">
        <f t="shared" si="0"/>
        <v/>
      </c>
    </row>
    <row r="18" spans="1:5" ht="31.5" customHeight="1" x14ac:dyDescent="0.45">
      <c r="A18" s="8" t="s">
        <v>58</v>
      </c>
      <c r="B18" s="9" t="s">
        <v>61</v>
      </c>
      <c r="C18" s="10"/>
      <c r="D18" s="11"/>
      <c r="E18" s="12" t="str">
        <f t="shared" si="0"/>
        <v/>
      </c>
    </row>
    <row r="19" spans="1:5" ht="31.5" customHeight="1" x14ac:dyDescent="0.45">
      <c r="A19" s="8" t="s">
        <v>58</v>
      </c>
      <c r="B19" s="9" t="s">
        <v>62</v>
      </c>
      <c r="C19" s="10"/>
      <c r="D19" s="11"/>
      <c r="E19" s="12" t="str">
        <f t="shared" si="0"/>
        <v/>
      </c>
    </row>
    <row r="20" spans="1:5" ht="31.5" customHeight="1" x14ac:dyDescent="0.45">
      <c r="A20" s="8" t="s">
        <v>58</v>
      </c>
      <c r="B20" s="9" t="s">
        <v>63</v>
      </c>
      <c r="C20" s="10"/>
      <c r="D20" s="11"/>
      <c r="E20" s="12" t="str">
        <f t="shared" si="0"/>
        <v/>
      </c>
    </row>
    <row r="21" spans="1:5" ht="31.5" customHeight="1" x14ac:dyDescent="0.45">
      <c r="A21" s="8" t="s">
        <v>58</v>
      </c>
      <c r="B21" s="9" t="s">
        <v>64</v>
      </c>
      <c r="C21" s="10"/>
      <c r="D21" s="11"/>
      <c r="E21" s="12" t="str">
        <f t="shared" si="0"/>
        <v/>
      </c>
    </row>
    <row r="22" spans="1:5" ht="31.5" customHeight="1" x14ac:dyDescent="0.45">
      <c r="A22" s="8" t="s">
        <v>58</v>
      </c>
      <c r="B22" s="9" t="s">
        <v>65</v>
      </c>
      <c r="C22" s="10"/>
      <c r="D22" s="11"/>
      <c r="E22" s="12" t="str">
        <f t="shared" si="0"/>
        <v/>
      </c>
    </row>
    <row r="23" spans="1:5" ht="31.5" customHeight="1" x14ac:dyDescent="0.45">
      <c r="A23" s="8" t="s">
        <v>58</v>
      </c>
      <c r="B23" s="9" t="s">
        <v>66</v>
      </c>
      <c r="C23" s="10"/>
      <c r="D23" s="11"/>
      <c r="E23" s="12" t="str">
        <f t="shared" si="0"/>
        <v/>
      </c>
    </row>
    <row r="24" spans="1:5" ht="31.5" customHeight="1" x14ac:dyDescent="0.45">
      <c r="A24" s="8" t="s">
        <v>58</v>
      </c>
      <c r="B24" s="9" t="s">
        <v>67</v>
      </c>
      <c r="C24" s="10"/>
      <c r="D24" s="11"/>
      <c r="E24" s="12" t="str">
        <f t="shared" si="0"/>
        <v/>
      </c>
    </row>
    <row r="25" spans="1:5" ht="31.5" customHeight="1" x14ac:dyDescent="0.45">
      <c r="A25" s="8" t="s">
        <v>68</v>
      </c>
      <c r="B25" s="9" t="s">
        <v>69</v>
      </c>
      <c r="C25" s="10"/>
      <c r="D25" s="11"/>
      <c r="E25" s="12" t="str">
        <f t="shared" si="0"/>
        <v/>
      </c>
    </row>
    <row r="26" spans="1:5" ht="31.5" customHeight="1" x14ac:dyDescent="0.45">
      <c r="A26" s="8" t="s">
        <v>68</v>
      </c>
      <c r="B26" s="9" t="s">
        <v>70</v>
      </c>
      <c r="C26" s="10"/>
      <c r="D26" s="11"/>
      <c r="E26" s="12" t="str">
        <f t="shared" si="0"/>
        <v/>
      </c>
    </row>
    <row r="27" spans="1:5" ht="31.5" customHeight="1" x14ac:dyDescent="0.45">
      <c r="A27" s="8" t="s">
        <v>68</v>
      </c>
      <c r="B27" s="9" t="s">
        <v>71</v>
      </c>
      <c r="C27" s="10"/>
      <c r="D27" s="11"/>
      <c r="E27" s="12" t="str">
        <f t="shared" si="0"/>
        <v/>
      </c>
    </row>
    <row r="28" spans="1:5" ht="31.5" customHeight="1" x14ac:dyDescent="0.45">
      <c r="A28" s="8" t="s">
        <v>68</v>
      </c>
      <c r="B28" s="9" t="s">
        <v>72</v>
      </c>
      <c r="C28" s="10"/>
      <c r="D28" s="11"/>
      <c r="E28" s="12" t="str">
        <f t="shared" si="0"/>
        <v/>
      </c>
    </row>
    <row r="29" spans="1:5" ht="31.5" customHeight="1" x14ac:dyDescent="0.45">
      <c r="A29" s="8" t="s">
        <v>68</v>
      </c>
      <c r="B29" s="9" t="s">
        <v>73</v>
      </c>
      <c r="C29" s="10"/>
      <c r="D29" s="11"/>
      <c r="E29" s="12" t="str">
        <f t="shared" si="0"/>
        <v/>
      </c>
    </row>
    <row r="30" spans="1:5" ht="31.5" customHeight="1" x14ac:dyDescent="0.45">
      <c r="A30" s="8" t="s">
        <v>68</v>
      </c>
      <c r="B30" s="9" t="s">
        <v>74</v>
      </c>
      <c r="C30" s="10"/>
      <c r="D30" s="11"/>
      <c r="E30" s="12" t="str">
        <f t="shared" si="0"/>
        <v/>
      </c>
    </row>
    <row r="31" spans="1:5" ht="31.5" customHeight="1" x14ac:dyDescent="0.45">
      <c r="A31" s="8" t="s">
        <v>68</v>
      </c>
      <c r="B31" s="9" t="s">
        <v>75</v>
      </c>
      <c r="C31" s="10"/>
      <c r="D31" s="11"/>
      <c r="E31" s="12" t="str">
        <f t="shared" si="0"/>
        <v/>
      </c>
    </row>
    <row r="32" spans="1:5" ht="31.5" customHeight="1" x14ac:dyDescent="0.45">
      <c r="A32" s="8" t="s">
        <v>68</v>
      </c>
      <c r="B32" s="9" t="s">
        <v>76</v>
      </c>
      <c r="C32" s="10"/>
      <c r="D32" s="11"/>
      <c r="E32" s="12" t="str">
        <f t="shared" si="0"/>
        <v/>
      </c>
    </row>
    <row r="33" spans="1:5" ht="31.5" customHeight="1" x14ac:dyDescent="0.45">
      <c r="A33" s="8" t="s">
        <v>77</v>
      </c>
      <c r="B33" s="9" t="s">
        <v>78</v>
      </c>
      <c r="C33" s="10"/>
      <c r="D33" s="11"/>
      <c r="E33" s="12" t="str">
        <f t="shared" si="0"/>
        <v/>
      </c>
    </row>
    <row r="34" spans="1:5" ht="31.5" customHeight="1" x14ac:dyDescent="0.45">
      <c r="A34" s="8" t="s">
        <v>77</v>
      </c>
      <c r="B34" s="9" t="s">
        <v>79</v>
      </c>
      <c r="C34" s="10"/>
      <c r="D34" s="11"/>
      <c r="E34" s="12" t="str">
        <f t="shared" si="0"/>
        <v/>
      </c>
    </row>
    <row r="35" spans="1:5" ht="31.5" customHeight="1" x14ac:dyDescent="0.45">
      <c r="A35" s="8" t="s">
        <v>77</v>
      </c>
      <c r="B35" s="9" t="s">
        <v>80</v>
      </c>
      <c r="C35" s="10"/>
      <c r="D35" s="11"/>
      <c r="E35" s="12" t="str">
        <f t="shared" si="0"/>
        <v/>
      </c>
    </row>
    <row r="36" spans="1:5" ht="31.5" customHeight="1" x14ac:dyDescent="0.45">
      <c r="A36" s="8" t="s">
        <v>77</v>
      </c>
      <c r="B36" s="9" t="s">
        <v>81</v>
      </c>
      <c r="C36" s="10"/>
      <c r="D36" s="11"/>
      <c r="E36" s="12" t="str">
        <f t="shared" si="0"/>
        <v/>
      </c>
    </row>
    <row r="37" spans="1:5" ht="31.5" customHeight="1" x14ac:dyDescent="0.45">
      <c r="A37" s="8" t="s">
        <v>77</v>
      </c>
      <c r="B37" s="9" t="s">
        <v>82</v>
      </c>
      <c r="C37" s="10"/>
      <c r="D37" s="11"/>
      <c r="E37" s="12" t="str">
        <f t="shared" ref="E37:E66" si="1">IF(C37="Tem",2,IF(C37="Parcial",1,IF(C37="Não tem",0,"")))</f>
        <v/>
      </c>
    </row>
    <row r="38" spans="1:5" ht="31.5" customHeight="1" x14ac:dyDescent="0.45">
      <c r="A38" s="8" t="s">
        <v>77</v>
      </c>
      <c r="B38" s="9" t="s">
        <v>83</v>
      </c>
      <c r="C38" s="10"/>
      <c r="D38" s="11"/>
      <c r="E38" s="12" t="str">
        <f t="shared" si="1"/>
        <v/>
      </c>
    </row>
    <row r="39" spans="1:5" ht="31.5" customHeight="1" x14ac:dyDescent="0.45">
      <c r="A39" s="8" t="s">
        <v>77</v>
      </c>
      <c r="B39" s="9" t="s">
        <v>84</v>
      </c>
      <c r="C39" s="10"/>
      <c r="D39" s="11"/>
      <c r="E39" s="12" t="str">
        <f t="shared" si="1"/>
        <v/>
      </c>
    </row>
    <row r="40" spans="1:5" ht="31.5" customHeight="1" x14ac:dyDescent="0.45">
      <c r="A40" s="8" t="s">
        <v>77</v>
      </c>
      <c r="B40" s="9" t="s">
        <v>85</v>
      </c>
      <c r="C40" s="10"/>
      <c r="D40" s="11"/>
      <c r="E40" s="12" t="str">
        <f t="shared" si="1"/>
        <v/>
      </c>
    </row>
    <row r="41" spans="1:5" ht="31.5" customHeight="1" x14ac:dyDescent="0.45">
      <c r="A41" s="8" t="s">
        <v>77</v>
      </c>
      <c r="B41" s="9" t="s">
        <v>86</v>
      </c>
      <c r="C41" s="10"/>
      <c r="D41" s="11"/>
      <c r="E41" s="12" t="str">
        <f t="shared" si="1"/>
        <v/>
      </c>
    </row>
    <row r="42" spans="1:5" ht="31.5" customHeight="1" x14ac:dyDescent="0.45">
      <c r="A42" s="8" t="s">
        <v>87</v>
      </c>
      <c r="B42" s="9" t="s">
        <v>88</v>
      </c>
      <c r="C42" s="10"/>
      <c r="D42" s="11"/>
      <c r="E42" s="12" t="str">
        <f t="shared" si="1"/>
        <v/>
      </c>
    </row>
    <row r="43" spans="1:5" ht="31.5" customHeight="1" x14ac:dyDescent="0.45">
      <c r="A43" s="8" t="s">
        <v>87</v>
      </c>
      <c r="B43" s="9" t="s">
        <v>89</v>
      </c>
      <c r="C43" s="10"/>
      <c r="D43" s="11"/>
      <c r="E43" s="12" t="str">
        <f t="shared" si="1"/>
        <v/>
      </c>
    </row>
    <row r="44" spans="1:5" ht="31.5" customHeight="1" x14ac:dyDescent="0.45">
      <c r="A44" s="8" t="s">
        <v>87</v>
      </c>
      <c r="B44" s="9" t="s">
        <v>90</v>
      </c>
      <c r="C44" s="10"/>
      <c r="D44" s="11"/>
      <c r="E44" s="12" t="str">
        <f t="shared" si="1"/>
        <v/>
      </c>
    </row>
    <row r="45" spans="1:5" ht="31.5" customHeight="1" x14ac:dyDescent="0.45">
      <c r="A45" s="8" t="s">
        <v>87</v>
      </c>
      <c r="B45" s="9" t="s">
        <v>91</v>
      </c>
      <c r="C45" s="10"/>
      <c r="D45" s="11"/>
      <c r="E45" s="12" t="str">
        <f t="shared" si="1"/>
        <v/>
      </c>
    </row>
    <row r="46" spans="1:5" ht="31.5" customHeight="1" x14ac:dyDescent="0.45">
      <c r="A46" s="8" t="s">
        <v>87</v>
      </c>
      <c r="B46" s="9" t="s">
        <v>92</v>
      </c>
      <c r="C46" s="10"/>
      <c r="D46" s="11"/>
      <c r="E46" s="12" t="str">
        <f t="shared" si="1"/>
        <v/>
      </c>
    </row>
    <row r="47" spans="1:5" ht="31.5" customHeight="1" x14ac:dyDescent="0.45">
      <c r="A47" s="8" t="s">
        <v>87</v>
      </c>
      <c r="B47" s="9" t="s">
        <v>93</v>
      </c>
      <c r="C47" s="10"/>
      <c r="D47" s="11"/>
      <c r="E47" s="12" t="str">
        <f t="shared" si="1"/>
        <v/>
      </c>
    </row>
    <row r="48" spans="1:5" ht="31.5" customHeight="1" x14ac:dyDescent="0.45">
      <c r="A48" s="8" t="s">
        <v>87</v>
      </c>
      <c r="B48" s="9" t="s">
        <v>94</v>
      </c>
      <c r="C48" s="10"/>
      <c r="D48" s="11"/>
      <c r="E48" s="12" t="str">
        <f t="shared" si="1"/>
        <v/>
      </c>
    </row>
    <row r="49" spans="1:5" ht="31.5" customHeight="1" x14ac:dyDescent="0.45">
      <c r="A49" s="8" t="s">
        <v>95</v>
      </c>
      <c r="B49" s="9" t="s">
        <v>96</v>
      </c>
      <c r="C49" s="10"/>
      <c r="D49" s="11"/>
      <c r="E49" s="12" t="str">
        <f t="shared" si="1"/>
        <v/>
      </c>
    </row>
    <row r="50" spans="1:5" ht="31.5" customHeight="1" x14ac:dyDescent="0.45">
      <c r="A50" s="8" t="s">
        <v>95</v>
      </c>
      <c r="B50" s="9" t="s">
        <v>97</v>
      </c>
      <c r="C50" s="10"/>
      <c r="D50" s="11"/>
      <c r="E50" s="12" t="str">
        <f t="shared" si="1"/>
        <v/>
      </c>
    </row>
    <row r="51" spans="1:5" ht="31.5" customHeight="1" x14ac:dyDescent="0.45">
      <c r="A51" s="8" t="s">
        <v>95</v>
      </c>
      <c r="B51" s="9" t="s">
        <v>98</v>
      </c>
      <c r="C51" s="10"/>
      <c r="D51" s="11"/>
      <c r="E51" s="12" t="str">
        <f t="shared" si="1"/>
        <v/>
      </c>
    </row>
    <row r="52" spans="1:5" ht="31.5" customHeight="1" x14ac:dyDescent="0.45">
      <c r="A52" s="8" t="s">
        <v>95</v>
      </c>
      <c r="B52" s="9" t="s">
        <v>99</v>
      </c>
      <c r="C52" s="10"/>
      <c r="D52" s="11"/>
      <c r="E52" s="12" t="str">
        <f t="shared" si="1"/>
        <v/>
      </c>
    </row>
    <row r="53" spans="1:5" ht="31.5" customHeight="1" x14ac:dyDescent="0.45">
      <c r="A53" s="8" t="s">
        <v>95</v>
      </c>
      <c r="B53" s="9" t="s">
        <v>100</v>
      </c>
      <c r="C53" s="10"/>
      <c r="D53" s="11"/>
      <c r="E53" s="12" t="str">
        <f t="shared" si="1"/>
        <v/>
      </c>
    </row>
    <row r="54" spans="1:5" ht="31.5" customHeight="1" x14ac:dyDescent="0.45">
      <c r="A54" s="8" t="s">
        <v>95</v>
      </c>
      <c r="B54" s="9" t="s">
        <v>101</v>
      </c>
      <c r="C54" s="10"/>
      <c r="D54" s="11"/>
      <c r="E54" s="12" t="str">
        <f t="shared" si="1"/>
        <v/>
      </c>
    </row>
    <row r="55" spans="1:5" ht="31.5" customHeight="1" x14ac:dyDescent="0.45">
      <c r="A55" s="8" t="s">
        <v>102</v>
      </c>
      <c r="B55" s="9" t="s">
        <v>103</v>
      </c>
      <c r="C55" s="10"/>
      <c r="D55" s="11"/>
      <c r="E55" s="12" t="str">
        <f t="shared" si="1"/>
        <v/>
      </c>
    </row>
    <row r="56" spans="1:5" ht="31.5" customHeight="1" x14ac:dyDescent="0.45">
      <c r="A56" s="8" t="s">
        <v>102</v>
      </c>
      <c r="B56" s="9" t="s">
        <v>104</v>
      </c>
      <c r="C56" s="10"/>
      <c r="D56" s="11"/>
      <c r="E56" s="12" t="str">
        <f t="shared" si="1"/>
        <v/>
      </c>
    </row>
    <row r="57" spans="1:5" ht="31.5" customHeight="1" x14ac:dyDescent="0.45">
      <c r="A57" s="8" t="s">
        <v>102</v>
      </c>
      <c r="B57" s="9" t="s">
        <v>105</v>
      </c>
      <c r="C57" s="10"/>
      <c r="D57" s="11"/>
      <c r="E57" s="12" t="str">
        <f t="shared" si="1"/>
        <v/>
      </c>
    </row>
    <row r="58" spans="1:5" ht="31.5" customHeight="1" x14ac:dyDescent="0.45">
      <c r="A58" s="8" t="s">
        <v>102</v>
      </c>
      <c r="B58" s="9" t="s">
        <v>106</v>
      </c>
      <c r="C58" s="10"/>
      <c r="D58" s="11"/>
      <c r="E58" s="12" t="str">
        <f t="shared" si="1"/>
        <v/>
      </c>
    </row>
    <row r="59" spans="1:5" ht="31.5" customHeight="1" x14ac:dyDescent="0.45">
      <c r="A59" s="8" t="s">
        <v>102</v>
      </c>
      <c r="B59" s="9" t="s">
        <v>107</v>
      </c>
      <c r="C59" s="10"/>
      <c r="D59" s="11"/>
      <c r="E59" s="12" t="str">
        <f t="shared" si="1"/>
        <v/>
      </c>
    </row>
    <row r="60" spans="1:5" ht="31.5" customHeight="1" x14ac:dyDescent="0.45">
      <c r="A60" s="8" t="s">
        <v>102</v>
      </c>
      <c r="B60" s="9" t="s">
        <v>108</v>
      </c>
      <c r="C60" s="10"/>
      <c r="D60" s="11"/>
      <c r="E60" s="12" t="str">
        <f t="shared" si="1"/>
        <v/>
      </c>
    </row>
    <row r="61" spans="1:5" ht="31.5" customHeight="1" x14ac:dyDescent="0.45">
      <c r="A61" s="8" t="s">
        <v>109</v>
      </c>
      <c r="B61" s="9" t="s">
        <v>110</v>
      </c>
      <c r="C61" s="10"/>
      <c r="D61" s="11"/>
      <c r="E61" s="12" t="str">
        <f t="shared" si="1"/>
        <v/>
      </c>
    </row>
    <row r="62" spans="1:5" ht="31.5" customHeight="1" x14ac:dyDescent="0.45">
      <c r="A62" s="8" t="s">
        <v>109</v>
      </c>
      <c r="B62" s="9" t="s">
        <v>111</v>
      </c>
      <c r="C62" s="10"/>
      <c r="D62" s="11"/>
      <c r="E62" s="12" t="str">
        <f t="shared" si="1"/>
        <v/>
      </c>
    </row>
    <row r="63" spans="1:5" ht="31.5" customHeight="1" x14ac:dyDescent="0.45">
      <c r="A63" s="8" t="s">
        <v>109</v>
      </c>
      <c r="B63" s="9" t="s">
        <v>112</v>
      </c>
      <c r="C63" s="10"/>
      <c r="D63" s="11"/>
      <c r="E63" s="12" t="str">
        <f t="shared" si="1"/>
        <v/>
      </c>
    </row>
    <row r="64" spans="1:5" ht="31.5" customHeight="1" x14ac:dyDescent="0.45">
      <c r="A64" s="8" t="s">
        <v>109</v>
      </c>
      <c r="B64" s="9" t="s">
        <v>113</v>
      </c>
      <c r="C64" s="10"/>
      <c r="D64" s="11"/>
      <c r="E64" s="12" t="str">
        <f t="shared" si="1"/>
        <v/>
      </c>
    </row>
    <row r="65" spans="1:5" ht="31.5" customHeight="1" x14ac:dyDescent="0.45">
      <c r="A65" s="8" t="s">
        <v>109</v>
      </c>
      <c r="B65" s="9" t="s">
        <v>114</v>
      </c>
      <c r="C65" s="10"/>
      <c r="D65" s="11"/>
      <c r="E65" s="12" t="str">
        <f t="shared" si="1"/>
        <v/>
      </c>
    </row>
    <row r="66" spans="1:5" ht="31.5" customHeight="1" x14ac:dyDescent="0.45">
      <c r="A66" s="8" t="s">
        <v>109</v>
      </c>
      <c r="B66" s="9" t="s">
        <v>115</v>
      </c>
      <c r="C66" s="10"/>
      <c r="D66" s="11"/>
      <c r="E66" s="12" t="str">
        <f t="shared" si="1"/>
        <v/>
      </c>
    </row>
    <row r="67" spans="1:5" ht="27.75" customHeight="1" x14ac:dyDescent="0.45">
      <c r="A67" s="37" t="s">
        <v>116</v>
      </c>
      <c r="B67" s="37"/>
      <c r="C67" s="37"/>
      <c r="D67" s="37"/>
      <c r="E67" s="1">
        <f>SUM(E5:E66)</f>
        <v>0</v>
      </c>
    </row>
    <row r="68" spans="1:5" x14ac:dyDescent="0.45">
      <c r="A68" s="38" t="s">
        <v>117</v>
      </c>
      <c r="B68" s="38"/>
      <c r="C68" s="38"/>
      <c r="D68" s="38"/>
      <c r="E68" s="13">
        <f>E67/(62*2)</f>
        <v>0</v>
      </c>
    </row>
  </sheetData>
  <mergeCells count="4">
    <mergeCell ref="A1:E1"/>
    <mergeCell ref="A2:E2"/>
    <mergeCell ref="A67:D67"/>
    <mergeCell ref="A68:D68"/>
  </mergeCells>
  <conditionalFormatting sqref="C5:C66">
    <cfRule type="expression" dxfId="23" priority="2">
      <formula>$C5="Tem"</formula>
    </cfRule>
    <cfRule type="expression" dxfId="22" priority="3">
      <formula>$C5="Parcial"</formula>
    </cfRule>
    <cfRule type="expression" dxfId="21" priority="4">
      <formula>$C5="Não tem"</formula>
    </cfRule>
  </conditionalFormatting>
  <dataValidations count="1">
    <dataValidation type="list" allowBlank="1" errorTitle="Valor inválido" error="Selecione: Tem · Parcial · Não tem" sqref="C5:C66" xr:uid="{00000000-0002-0000-0200-000000000000}">
      <formula1>"Tem,Parcial,Não tem"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showGridLines="0" zoomScaleNormal="100" workbookViewId="0">
      <pane xSplit="2" ySplit="4" topLeftCell="C12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25" x14ac:dyDescent="0.45"/>
  <cols>
    <col min="1" max="1" width="20" customWidth="1"/>
    <col min="2" max="2" width="48" customWidth="1"/>
    <col min="3" max="3" width="9" customWidth="1"/>
    <col min="4" max="6" width="32" customWidth="1"/>
    <col min="7" max="7" width="11" customWidth="1"/>
    <col min="8" max="8" width="13" customWidth="1"/>
    <col min="9" max="9" width="22" customWidth="1"/>
  </cols>
  <sheetData>
    <row r="1" spans="1:9" ht="30" customHeight="1" x14ac:dyDescent="0.45">
      <c r="A1" s="35" t="s">
        <v>118</v>
      </c>
      <c r="B1" s="35"/>
      <c r="C1" s="35"/>
      <c r="D1" s="35"/>
      <c r="E1" s="35"/>
      <c r="F1" s="35"/>
      <c r="G1" s="35"/>
      <c r="H1" s="35"/>
      <c r="I1" s="35"/>
    </row>
    <row r="2" spans="1:9" ht="30" customHeight="1" x14ac:dyDescent="0.45">
      <c r="A2" s="36" t="s">
        <v>119</v>
      </c>
      <c r="B2" s="36"/>
      <c r="C2" s="36"/>
      <c r="D2" s="36"/>
      <c r="E2" s="36"/>
      <c r="F2" s="36"/>
      <c r="G2" s="36"/>
      <c r="H2" s="36"/>
      <c r="I2" s="36"/>
    </row>
    <row r="4" spans="1:9" ht="36" customHeight="1" x14ac:dyDescent="0.45">
      <c r="A4" s="7" t="s">
        <v>41</v>
      </c>
      <c r="B4" s="7" t="s">
        <v>42</v>
      </c>
      <c r="C4" s="7" t="s">
        <v>120</v>
      </c>
      <c r="D4" s="7" t="s">
        <v>121</v>
      </c>
      <c r="E4" s="7" t="s">
        <v>122</v>
      </c>
      <c r="F4" s="7" t="s">
        <v>123</v>
      </c>
      <c r="G4" s="7" t="s">
        <v>124</v>
      </c>
      <c r="H4" s="7" t="s">
        <v>125</v>
      </c>
      <c r="I4" s="7" t="s">
        <v>126</v>
      </c>
    </row>
    <row r="5" spans="1:9" ht="45.75" customHeight="1" x14ac:dyDescent="0.45">
      <c r="A5" s="8" t="s">
        <v>46</v>
      </c>
      <c r="B5" s="9" t="s">
        <v>47</v>
      </c>
      <c r="C5" s="14"/>
      <c r="D5" s="15"/>
      <c r="E5" s="15"/>
      <c r="F5" s="15"/>
      <c r="G5" s="16"/>
      <c r="H5" s="17"/>
      <c r="I5" s="15"/>
    </row>
    <row r="6" spans="1:9" ht="45.75" customHeight="1" x14ac:dyDescent="0.45">
      <c r="A6" s="8" t="s">
        <v>46</v>
      </c>
      <c r="B6" s="9" t="s">
        <v>48</v>
      </c>
      <c r="C6" s="14"/>
      <c r="D6" s="15"/>
      <c r="E6" s="15"/>
      <c r="F6" s="15"/>
      <c r="G6" s="16"/>
      <c r="H6" s="17"/>
      <c r="I6" s="15"/>
    </row>
    <row r="7" spans="1:9" ht="45.75" customHeight="1" x14ac:dyDescent="0.45">
      <c r="A7" s="8" t="s">
        <v>46</v>
      </c>
      <c r="B7" s="9" t="s">
        <v>49</v>
      </c>
      <c r="C7" s="14"/>
      <c r="D7" s="15"/>
      <c r="E7" s="15"/>
      <c r="F7" s="15"/>
      <c r="G7" s="16"/>
      <c r="H7" s="17"/>
      <c r="I7" s="15"/>
    </row>
    <row r="8" spans="1:9" ht="45.75" customHeight="1" x14ac:dyDescent="0.45">
      <c r="A8" s="8" t="s">
        <v>46</v>
      </c>
      <c r="B8" s="9" t="s">
        <v>50</v>
      </c>
      <c r="C8" s="14"/>
      <c r="D8" s="15"/>
      <c r="E8" s="15"/>
      <c r="F8" s="15"/>
      <c r="G8" s="16"/>
      <c r="H8" s="17"/>
      <c r="I8" s="15"/>
    </row>
    <row r="9" spans="1:9" ht="45.75" customHeight="1" x14ac:dyDescent="0.45">
      <c r="A9" s="8" t="s">
        <v>46</v>
      </c>
      <c r="B9" s="9" t="s">
        <v>51</v>
      </c>
      <c r="C9" s="14"/>
      <c r="D9" s="15"/>
      <c r="E9" s="15"/>
      <c r="F9" s="15"/>
      <c r="G9" s="16"/>
      <c r="H9" s="17"/>
      <c r="I9" s="15"/>
    </row>
    <row r="10" spans="1:9" ht="45.75" customHeight="1" x14ac:dyDescent="0.45">
      <c r="A10" s="8" t="s">
        <v>46</v>
      </c>
      <c r="B10" s="9" t="s">
        <v>52</v>
      </c>
      <c r="C10" s="14"/>
      <c r="D10" s="15"/>
      <c r="E10" s="15"/>
      <c r="F10" s="15"/>
      <c r="G10" s="16"/>
      <c r="H10" s="17"/>
      <c r="I10" s="15"/>
    </row>
    <row r="11" spans="1:9" ht="45.75" customHeight="1" x14ac:dyDescent="0.45">
      <c r="A11" s="8" t="s">
        <v>46</v>
      </c>
      <c r="B11" s="9" t="s">
        <v>53</v>
      </c>
      <c r="C11" s="14"/>
      <c r="D11" s="15"/>
      <c r="E11" s="15"/>
      <c r="F11" s="15"/>
      <c r="G11" s="16"/>
      <c r="H11" s="17"/>
      <c r="I11" s="15"/>
    </row>
    <row r="12" spans="1:9" ht="45.75" customHeight="1" x14ac:dyDescent="0.45">
      <c r="A12" s="8" t="s">
        <v>46</v>
      </c>
      <c r="B12" s="9" t="s">
        <v>54</v>
      </c>
      <c r="C12" s="14"/>
      <c r="D12" s="15"/>
      <c r="E12" s="15"/>
      <c r="F12" s="15"/>
      <c r="G12" s="16"/>
      <c r="H12" s="17"/>
      <c r="I12" s="15"/>
    </row>
    <row r="13" spans="1:9" ht="45.75" customHeight="1" x14ac:dyDescent="0.45">
      <c r="A13" s="8" t="s">
        <v>46</v>
      </c>
      <c r="B13" s="9" t="s">
        <v>55</v>
      </c>
      <c r="C13" s="14"/>
      <c r="D13" s="15"/>
      <c r="E13" s="15"/>
      <c r="F13" s="15"/>
      <c r="G13" s="16"/>
      <c r="H13" s="17"/>
      <c r="I13" s="15"/>
    </row>
    <row r="14" spans="1:9" ht="45.75" customHeight="1" x14ac:dyDescent="0.45">
      <c r="A14" s="8" t="s">
        <v>46</v>
      </c>
      <c r="B14" s="9" t="s">
        <v>56</v>
      </c>
      <c r="C14" s="14"/>
      <c r="D14" s="15"/>
      <c r="E14" s="15"/>
      <c r="F14" s="15"/>
      <c r="G14" s="16"/>
      <c r="H14" s="17"/>
      <c r="I14" s="15"/>
    </row>
    <row r="15" spans="1:9" ht="45.75" customHeight="1" x14ac:dyDescent="0.45">
      <c r="A15" s="8" t="s">
        <v>46</v>
      </c>
      <c r="B15" s="9" t="s">
        <v>57</v>
      </c>
      <c r="C15" s="14"/>
      <c r="D15" s="15"/>
      <c r="E15" s="15"/>
      <c r="F15" s="15"/>
      <c r="G15" s="16"/>
      <c r="H15" s="17"/>
      <c r="I15" s="15"/>
    </row>
    <row r="16" spans="1:9" ht="24" customHeight="1" x14ac:dyDescent="0.45">
      <c r="A16" s="48" t="s">
        <v>127</v>
      </c>
      <c r="B16" s="48"/>
      <c r="C16" s="18">
        <f>IFERROR(AVERAGE(C5:C15),0)</f>
        <v>0</v>
      </c>
      <c r="D16" s="19"/>
      <c r="E16" s="19"/>
      <c r="F16" s="19"/>
      <c r="G16" s="19"/>
      <c r="H16" s="19"/>
      <c r="I16" s="19"/>
    </row>
    <row r="17" spans="1:9" ht="45.75" customHeight="1" x14ac:dyDescent="0.45">
      <c r="A17" s="8" t="s">
        <v>58</v>
      </c>
      <c r="B17" s="9" t="s">
        <v>59</v>
      </c>
      <c r="C17" s="14"/>
      <c r="D17" s="15"/>
      <c r="E17" s="15"/>
      <c r="F17" s="15"/>
      <c r="G17" s="16"/>
      <c r="H17" s="17"/>
      <c r="I17" s="15"/>
    </row>
    <row r="18" spans="1:9" ht="45.75" customHeight="1" x14ac:dyDescent="0.45">
      <c r="A18" s="8" t="s">
        <v>58</v>
      </c>
      <c r="B18" s="9" t="s">
        <v>60</v>
      </c>
      <c r="C18" s="14"/>
      <c r="D18" s="15"/>
      <c r="E18" s="15"/>
      <c r="F18" s="15"/>
      <c r="G18" s="16"/>
      <c r="H18" s="17"/>
      <c r="I18" s="15"/>
    </row>
    <row r="19" spans="1:9" ht="45.75" customHeight="1" x14ac:dyDescent="0.45">
      <c r="A19" s="8" t="s">
        <v>58</v>
      </c>
      <c r="B19" s="9" t="s">
        <v>61</v>
      </c>
      <c r="C19" s="14"/>
      <c r="D19" s="15"/>
      <c r="E19" s="15"/>
      <c r="F19" s="15"/>
      <c r="G19" s="16"/>
      <c r="H19" s="17"/>
      <c r="I19" s="15"/>
    </row>
    <row r="20" spans="1:9" ht="45.75" customHeight="1" x14ac:dyDescent="0.45">
      <c r="A20" s="8" t="s">
        <v>58</v>
      </c>
      <c r="B20" s="9" t="s">
        <v>62</v>
      </c>
      <c r="C20" s="14"/>
      <c r="D20" s="15"/>
      <c r="E20" s="15"/>
      <c r="F20" s="15"/>
      <c r="G20" s="16"/>
      <c r="H20" s="17"/>
      <c r="I20" s="15"/>
    </row>
    <row r="21" spans="1:9" ht="45.75" customHeight="1" x14ac:dyDescent="0.45">
      <c r="A21" s="8" t="s">
        <v>58</v>
      </c>
      <c r="B21" s="9" t="s">
        <v>63</v>
      </c>
      <c r="C21" s="14"/>
      <c r="D21" s="15"/>
      <c r="E21" s="15"/>
      <c r="F21" s="15"/>
      <c r="G21" s="16"/>
      <c r="H21" s="17"/>
      <c r="I21" s="15"/>
    </row>
    <row r="22" spans="1:9" ht="45.75" customHeight="1" x14ac:dyDescent="0.45">
      <c r="A22" s="8" t="s">
        <v>58</v>
      </c>
      <c r="B22" s="9" t="s">
        <v>64</v>
      </c>
      <c r="C22" s="14"/>
      <c r="D22" s="15"/>
      <c r="E22" s="15"/>
      <c r="F22" s="15"/>
      <c r="G22" s="16"/>
      <c r="H22" s="17"/>
      <c r="I22" s="15"/>
    </row>
    <row r="23" spans="1:9" ht="45.75" customHeight="1" x14ac:dyDescent="0.45">
      <c r="A23" s="8" t="s">
        <v>58</v>
      </c>
      <c r="B23" s="9" t="s">
        <v>65</v>
      </c>
      <c r="C23" s="14"/>
      <c r="D23" s="15"/>
      <c r="E23" s="15"/>
      <c r="F23" s="15"/>
      <c r="G23" s="16"/>
      <c r="H23" s="17"/>
      <c r="I23" s="15"/>
    </row>
    <row r="24" spans="1:9" ht="45.75" customHeight="1" x14ac:dyDescent="0.45">
      <c r="A24" s="8" t="s">
        <v>58</v>
      </c>
      <c r="B24" s="9" t="s">
        <v>66</v>
      </c>
      <c r="C24" s="14"/>
      <c r="D24" s="15"/>
      <c r="E24" s="15"/>
      <c r="F24" s="15"/>
      <c r="G24" s="16"/>
      <c r="H24" s="17"/>
      <c r="I24" s="15"/>
    </row>
    <row r="25" spans="1:9" ht="45.75" customHeight="1" x14ac:dyDescent="0.45">
      <c r="A25" s="8" t="s">
        <v>58</v>
      </c>
      <c r="B25" s="9" t="s">
        <v>67</v>
      </c>
      <c r="C25" s="14"/>
      <c r="D25" s="15"/>
      <c r="E25" s="15"/>
      <c r="F25" s="15"/>
      <c r="G25" s="16"/>
      <c r="H25" s="17"/>
      <c r="I25" s="15"/>
    </row>
    <row r="26" spans="1:9" ht="24" customHeight="1" x14ac:dyDescent="0.45">
      <c r="A26" s="48" t="s">
        <v>128</v>
      </c>
      <c r="B26" s="48"/>
      <c r="C26" s="18">
        <f>IFERROR(AVERAGE(C17:C25),0)</f>
        <v>0</v>
      </c>
      <c r="D26" s="19"/>
      <c r="E26" s="19"/>
      <c r="F26" s="19"/>
      <c r="G26" s="19"/>
      <c r="H26" s="19"/>
      <c r="I26" s="19"/>
    </row>
    <row r="27" spans="1:9" ht="45.75" customHeight="1" x14ac:dyDescent="0.45">
      <c r="A27" s="8" t="s">
        <v>68</v>
      </c>
      <c r="B27" s="9" t="s">
        <v>69</v>
      </c>
      <c r="C27" s="14"/>
      <c r="D27" s="15"/>
      <c r="E27" s="15"/>
      <c r="F27" s="15"/>
      <c r="G27" s="16"/>
      <c r="H27" s="17"/>
      <c r="I27" s="15"/>
    </row>
    <row r="28" spans="1:9" ht="45.75" customHeight="1" x14ac:dyDescent="0.45">
      <c r="A28" s="8" t="s">
        <v>68</v>
      </c>
      <c r="B28" s="9" t="s">
        <v>70</v>
      </c>
      <c r="C28" s="14"/>
      <c r="D28" s="15"/>
      <c r="E28" s="15"/>
      <c r="F28" s="15"/>
      <c r="G28" s="16"/>
      <c r="H28" s="17"/>
      <c r="I28" s="15"/>
    </row>
    <row r="29" spans="1:9" ht="45.75" customHeight="1" x14ac:dyDescent="0.45">
      <c r="A29" s="8" t="s">
        <v>68</v>
      </c>
      <c r="B29" s="9" t="s">
        <v>71</v>
      </c>
      <c r="C29" s="14"/>
      <c r="D29" s="15"/>
      <c r="E29" s="15"/>
      <c r="F29" s="15"/>
      <c r="G29" s="16"/>
      <c r="H29" s="17"/>
      <c r="I29" s="15"/>
    </row>
    <row r="30" spans="1:9" ht="45.75" customHeight="1" x14ac:dyDescent="0.45">
      <c r="A30" s="8" t="s">
        <v>68</v>
      </c>
      <c r="B30" s="9" t="s">
        <v>72</v>
      </c>
      <c r="C30" s="14"/>
      <c r="D30" s="15"/>
      <c r="E30" s="15"/>
      <c r="F30" s="15"/>
      <c r="G30" s="16"/>
      <c r="H30" s="17"/>
      <c r="I30" s="15"/>
    </row>
    <row r="31" spans="1:9" ht="45.75" customHeight="1" x14ac:dyDescent="0.45">
      <c r="A31" s="8" t="s">
        <v>68</v>
      </c>
      <c r="B31" s="9" t="s">
        <v>73</v>
      </c>
      <c r="C31" s="14"/>
      <c r="D31" s="15"/>
      <c r="E31" s="15"/>
      <c r="F31" s="15"/>
      <c r="G31" s="16"/>
      <c r="H31" s="17"/>
      <c r="I31" s="15"/>
    </row>
    <row r="32" spans="1:9" ht="45.75" customHeight="1" x14ac:dyDescent="0.45">
      <c r="A32" s="8" t="s">
        <v>68</v>
      </c>
      <c r="B32" s="9" t="s">
        <v>74</v>
      </c>
      <c r="C32" s="14"/>
      <c r="D32" s="15"/>
      <c r="E32" s="15"/>
      <c r="F32" s="15"/>
      <c r="G32" s="16"/>
      <c r="H32" s="17"/>
      <c r="I32" s="15"/>
    </row>
    <row r="33" spans="1:9" ht="45.75" customHeight="1" x14ac:dyDescent="0.45">
      <c r="A33" s="8" t="s">
        <v>68</v>
      </c>
      <c r="B33" s="9" t="s">
        <v>75</v>
      </c>
      <c r="C33" s="14"/>
      <c r="D33" s="15"/>
      <c r="E33" s="15"/>
      <c r="F33" s="15"/>
      <c r="G33" s="16"/>
      <c r="H33" s="17"/>
      <c r="I33" s="15"/>
    </row>
    <row r="34" spans="1:9" ht="45.75" customHeight="1" x14ac:dyDescent="0.45">
      <c r="A34" s="8" t="s">
        <v>68</v>
      </c>
      <c r="B34" s="9" t="s">
        <v>76</v>
      </c>
      <c r="C34" s="14"/>
      <c r="D34" s="15"/>
      <c r="E34" s="15"/>
      <c r="F34" s="15"/>
      <c r="G34" s="16"/>
      <c r="H34" s="17"/>
      <c r="I34" s="15"/>
    </row>
    <row r="35" spans="1:9" ht="24" customHeight="1" x14ac:dyDescent="0.45">
      <c r="A35" s="48" t="s">
        <v>129</v>
      </c>
      <c r="B35" s="48"/>
      <c r="C35" s="18">
        <f>IFERROR(AVERAGE(C27:C34),0)</f>
        <v>0</v>
      </c>
      <c r="D35" s="19"/>
      <c r="E35" s="19"/>
      <c r="F35" s="19"/>
      <c r="G35" s="19"/>
      <c r="H35" s="19"/>
      <c r="I35" s="19"/>
    </row>
    <row r="36" spans="1:9" ht="45.75" customHeight="1" x14ac:dyDescent="0.45">
      <c r="A36" s="8" t="s">
        <v>77</v>
      </c>
      <c r="B36" s="9" t="s">
        <v>78</v>
      </c>
      <c r="C36" s="14"/>
      <c r="D36" s="15"/>
      <c r="E36" s="15"/>
      <c r="F36" s="15"/>
      <c r="G36" s="16"/>
      <c r="H36" s="17"/>
      <c r="I36" s="15"/>
    </row>
    <row r="37" spans="1:9" ht="45.75" customHeight="1" x14ac:dyDescent="0.45">
      <c r="A37" s="8" t="s">
        <v>77</v>
      </c>
      <c r="B37" s="9" t="s">
        <v>79</v>
      </c>
      <c r="C37" s="14"/>
      <c r="D37" s="15"/>
      <c r="E37" s="15"/>
      <c r="F37" s="15"/>
      <c r="G37" s="16"/>
      <c r="H37" s="17"/>
      <c r="I37" s="15"/>
    </row>
    <row r="38" spans="1:9" ht="45.75" customHeight="1" x14ac:dyDescent="0.45">
      <c r="A38" s="8" t="s">
        <v>77</v>
      </c>
      <c r="B38" s="9" t="s">
        <v>80</v>
      </c>
      <c r="C38" s="14"/>
      <c r="D38" s="15"/>
      <c r="E38" s="15"/>
      <c r="F38" s="15"/>
      <c r="G38" s="16"/>
      <c r="H38" s="17"/>
      <c r="I38" s="15"/>
    </row>
    <row r="39" spans="1:9" ht="45.75" customHeight="1" x14ac:dyDescent="0.45">
      <c r="A39" s="8" t="s">
        <v>77</v>
      </c>
      <c r="B39" s="9" t="s">
        <v>81</v>
      </c>
      <c r="C39" s="14"/>
      <c r="D39" s="15"/>
      <c r="E39" s="15"/>
      <c r="F39" s="15"/>
      <c r="G39" s="16"/>
      <c r="H39" s="17"/>
      <c r="I39" s="15"/>
    </row>
    <row r="40" spans="1:9" ht="45.75" customHeight="1" x14ac:dyDescent="0.45">
      <c r="A40" s="8" t="s">
        <v>77</v>
      </c>
      <c r="B40" s="9" t="s">
        <v>82</v>
      </c>
      <c r="C40" s="14"/>
      <c r="D40" s="15"/>
      <c r="E40" s="15"/>
      <c r="F40" s="15"/>
      <c r="G40" s="16"/>
      <c r="H40" s="17"/>
      <c r="I40" s="15"/>
    </row>
    <row r="41" spans="1:9" ht="45.75" customHeight="1" x14ac:dyDescent="0.45">
      <c r="A41" s="8" t="s">
        <v>77</v>
      </c>
      <c r="B41" s="9" t="s">
        <v>83</v>
      </c>
      <c r="C41" s="14"/>
      <c r="D41" s="15"/>
      <c r="E41" s="15"/>
      <c r="F41" s="15"/>
      <c r="G41" s="16"/>
      <c r="H41" s="17"/>
      <c r="I41" s="15"/>
    </row>
    <row r="42" spans="1:9" ht="45.75" customHeight="1" x14ac:dyDescent="0.45">
      <c r="A42" s="8" t="s">
        <v>77</v>
      </c>
      <c r="B42" s="9" t="s">
        <v>84</v>
      </c>
      <c r="C42" s="14"/>
      <c r="D42" s="15"/>
      <c r="E42" s="15"/>
      <c r="F42" s="15"/>
      <c r="G42" s="16"/>
      <c r="H42" s="17"/>
      <c r="I42" s="15"/>
    </row>
    <row r="43" spans="1:9" ht="45.75" customHeight="1" x14ac:dyDescent="0.45">
      <c r="A43" s="8" t="s">
        <v>77</v>
      </c>
      <c r="B43" s="9" t="s">
        <v>85</v>
      </c>
      <c r="C43" s="14"/>
      <c r="D43" s="15"/>
      <c r="E43" s="15"/>
      <c r="F43" s="15"/>
      <c r="G43" s="16"/>
      <c r="H43" s="17"/>
      <c r="I43" s="15"/>
    </row>
    <row r="44" spans="1:9" ht="45.75" customHeight="1" x14ac:dyDescent="0.45">
      <c r="A44" s="8" t="s">
        <v>77</v>
      </c>
      <c r="B44" s="9" t="s">
        <v>86</v>
      </c>
      <c r="C44" s="14"/>
      <c r="D44" s="15"/>
      <c r="E44" s="15"/>
      <c r="F44" s="15"/>
      <c r="G44" s="16"/>
      <c r="H44" s="17"/>
      <c r="I44" s="15"/>
    </row>
    <row r="45" spans="1:9" ht="24" customHeight="1" x14ac:dyDescent="0.45">
      <c r="A45" s="48" t="s">
        <v>130</v>
      </c>
      <c r="B45" s="48"/>
      <c r="C45" s="18">
        <f>IFERROR(AVERAGE(C36:C44),0)</f>
        <v>0</v>
      </c>
      <c r="D45" s="19"/>
      <c r="E45" s="19"/>
      <c r="F45" s="19"/>
      <c r="G45" s="19"/>
      <c r="H45" s="19"/>
      <c r="I45" s="19"/>
    </row>
  </sheetData>
  <mergeCells count="6">
    <mergeCell ref="A45:B45"/>
    <mergeCell ref="A1:I1"/>
    <mergeCell ref="A2:I2"/>
    <mergeCell ref="A16:B16"/>
    <mergeCell ref="A26:B26"/>
    <mergeCell ref="A35:B35"/>
  </mergeCells>
  <conditionalFormatting sqref="C5:C45">
    <cfRule type="cellIs" dxfId="20" priority="2" operator="between">
      <formula>0</formula>
      <formula>1.9</formula>
    </cfRule>
    <cfRule type="cellIs" dxfId="19" priority="3" operator="between">
      <formula>2</formula>
      <formula>3.4</formula>
    </cfRule>
    <cfRule type="cellIs" dxfId="18" priority="4" operator="between">
      <formula>3.5</formula>
      <formula>5</formula>
    </cfRule>
  </conditionalFormatting>
  <conditionalFormatting sqref="G5:G45">
    <cfRule type="expression" dxfId="17" priority="5">
      <formula>$G5="Alta"</formula>
    </cfRule>
    <cfRule type="expression" dxfId="16" priority="6">
      <formula>$G5="Média"</formula>
    </cfRule>
    <cfRule type="expression" dxfId="15" priority="7">
      <formula>$G5="Baixa"</formula>
    </cfRule>
  </conditionalFormatting>
  <dataValidations count="3">
    <dataValidation type="whole" allowBlank="1" errorTitle="Valor inválido" error="Use somente inteiros de 0 a 5" sqref="C5:C15 C17:C25 C27:C34 C36:C44" xr:uid="{00000000-0002-0000-0300-000000000000}">
      <formula1>0</formula1>
      <formula2>5</formula2>
    </dataValidation>
    <dataValidation type="list" allowBlank="1" sqref="G5:G15 G17:G25 G27:G34 G36:G44" xr:uid="{00000000-0002-0000-0300-000001000000}">
      <formula1>"Alta,Média,Baixa"</formula1>
      <formula2>0</formula2>
    </dataValidation>
    <dataValidation type="list" allowBlank="1" sqref="H5:H15 H17:H25 H27:H34 H36:H44" xr:uid="{00000000-0002-0000-0300-000002000000}">
      <formula1>"Curto (0-3 m),Médio (3-6 m),Longo (6-12 m)"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7" sqref="D7"/>
    </sheetView>
  </sheetViews>
  <sheetFormatPr defaultColWidth="8.6640625" defaultRowHeight="14.25" x14ac:dyDescent="0.45"/>
  <cols>
    <col min="1" max="1" width="20" customWidth="1"/>
    <col min="2" max="2" width="48" customWidth="1"/>
    <col min="3" max="3" width="9" customWidth="1"/>
    <col min="4" max="6" width="32" customWidth="1"/>
    <col min="7" max="7" width="11" customWidth="1"/>
    <col min="8" max="8" width="13" customWidth="1"/>
    <col min="9" max="9" width="22" customWidth="1"/>
  </cols>
  <sheetData>
    <row r="1" spans="1:9" ht="30" customHeight="1" x14ac:dyDescent="0.45">
      <c r="A1" s="35" t="s">
        <v>131</v>
      </c>
      <c r="B1" s="35"/>
      <c r="C1" s="35"/>
      <c r="D1" s="35"/>
      <c r="E1" s="35"/>
      <c r="F1" s="35"/>
      <c r="G1" s="35"/>
      <c r="H1" s="35"/>
      <c r="I1" s="35"/>
    </row>
    <row r="2" spans="1:9" ht="30" customHeight="1" x14ac:dyDescent="0.45">
      <c r="A2" s="36" t="s">
        <v>119</v>
      </c>
      <c r="B2" s="36"/>
      <c r="C2" s="36"/>
      <c r="D2" s="36"/>
      <c r="E2" s="36"/>
      <c r="F2" s="36"/>
      <c r="G2" s="36"/>
      <c r="H2" s="36"/>
      <c r="I2" s="36"/>
    </row>
    <row r="4" spans="1:9" ht="36" customHeight="1" x14ac:dyDescent="0.45">
      <c r="A4" s="7" t="s">
        <v>41</v>
      </c>
      <c r="B4" s="7" t="s">
        <v>42</v>
      </c>
      <c r="C4" s="7" t="s">
        <v>120</v>
      </c>
      <c r="D4" s="7" t="s">
        <v>121</v>
      </c>
      <c r="E4" s="7" t="s">
        <v>122</v>
      </c>
      <c r="F4" s="7" t="s">
        <v>123</v>
      </c>
      <c r="G4" s="7" t="s">
        <v>124</v>
      </c>
      <c r="H4" s="7" t="s">
        <v>125</v>
      </c>
      <c r="I4" s="7" t="s">
        <v>126</v>
      </c>
    </row>
    <row r="5" spans="1:9" ht="45.75" customHeight="1" x14ac:dyDescent="0.45">
      <c r="A5" s="8" t="s">
        <v>87</v>
      </c>
      <c r="B5" s="9" t="s">
        <v>88</v>
      </c>
      <c r="C5" s="14"/>
      <c r="D5" s="15"/>
      <c r="E5" s="15"/>
      <c r="F5" s="15"/>
      <c r="G5" s="16"/>
      <c r="H5" s="17"/>
      <c r="I5" s="15"/>
    </row>
    <row r="6" spans="1:9" ht="45.75" customHeight="1" x14ac:dyDescent="0.45">
      <c r="A6" s="8" t="s">
        <v>87</v>
      </c>
      <c r="B6" s="9" t="s">
        <v>89</v>
      </c>
      <c r="C6" s="14"/>
      <c r="D6" s="15"/>
      <c r="E6" s="15"/>
      <c r="F6" s="15"/>
      <c r="G6" s="16"/>
      <c r="H6" s="17"/>
      <c r="I6" s="15"/>
    </row>
    <row r="7" spans="1:9" ht="45.75" customHeight="1" x14ac:dyDescent="0.45">
      <c r="A7" s="8" t="s">
        <v>87</v>
      </c>
      <c r="B7" s="9" t="s">
        <v>90</v>
      </c>
      <c r="C7" s="14"/>
      <c r="D7" s="15"/>
      <c r="E7" s="15"/>
      <c r="F7" s="15"/>
      <c r="G7" s="16"/>
      <c r="H7" s="17"/>
      <c r="I7" s="15"/>
    </row>
    <row r="8" spans="1:9" ht="45.75" customHeight="1" x14ac:dyDescent="0.45">
      <c r="A8" s="8" t="s">
        <v>87</v>
      </c>
      <c r="B8" s="9" t="s">
        <v>91</v>
      </c>
      <c r="C8" s="14"/>
      <c r="D8" s="15"/>
      <c r="E8" s="15"/>
      <c r="F8" s="15"/>
      <c r="G8" s="16"/>
      <c r="H8" s="17"/>
      <c r="I8" s="15"/>
    </row>
    <row r="9" spans="1:9" ht="45.75" customHeight="1" x14ac:dyDescent="0.45">
      <c r="A9" s="8" t="s">
        <v>87</v>
      </c>
      <c r="B9" s="9" t="s">
        <v>92</v>
      </c>
      <c r="C9" s="14"/>
      <c r="D9" s="15"/>
      <c r="E9" s="15"/>
      <c r="F9" s="15"/>
      <c r="G9" s="16"/>
      <c r="H9" s="17"/>
      <c r="I9" s="15"/>
    </row>
    <row r="10" spans="1:9" ht="45.75" customHeight="1" x14ac:dyDescent="0.45">
      <c r="A10" s="8" t="s">
        <v>87</v>
      </c>
      <c r="B10" s="9" t="s">
        <v>93</v>
      </c>
      <c r="C10" s="14"/>
      <c r="D10" s="15"/>
      <c r="E10" s="15"/>
      <c r="F10" s="15"/>
      <c r="G10" s="16"/>
      <c r="H10" s="17"/>
      <c r="I10" s="15"/>
    </row>
    <row r="11" spans="1:9" ht="45.75" customHeight="1" x14ac:dyDescent="0.45">
      <c r="A11" s="8" t="s">
        <v>87</v>
      </c>
      <c r="B11" s="9" t="s">
        <v>94</v>
      </c>
      <c r="C11" s="14"/>
      <c r="D11" s="15"/>
      <c r="E11" s="15"/>
      <c r="F11" s="15"/>
      <c r="G11" s="16"/>
      <c r="H11" s="17"/>
      <c r="I11" s="15"/>
    </row>
    <row r="12" spans="1:9" ht="24" customHeight="1" x14ac:dyDescent="0.45">
      <c r="A12" s="48" t="s">
        <v>132</v>
      </c>
      <c r="B12" s="48"/>
      <c r="C12" s="18">
        <f>IFERROR(AVERAGE(C5:C11),0)</f>
        <v>0</v>
      </c>
      <c r="D12" s="19"/>
      <c r="E12" s="19"/>
      <c r="F12" s="19"/>
      <c r="G12" s="19"/>
      <c r="H12" s="19"/>
      <c r="I12" s="19"/>
    </row>
    <row r="13" spans="1:9" ht="45.75" customHeight="1" x14ac:dyDescent="0.45">
      <c r="A13" s="8" t="s">
        <v>95</v>
      </c>
      <c r="B13" s="9" t="s">
        <v>96</v>
      </c>
      <c r="C13" s="14"/>
      <c r="D13" s="15"/>
      <c r="E13" s="15"/>
      <c r="F13" s="15"/>
      <c r="G13" s="16"/>
      <c r="H13" s="17"/>
      <c r="I13" s="15"/>
    </row>
    <row r="14" spans="1:9" ht="45.75" customHeight="1" x14ac:dyDescent="0.45">
      <c r="A14" s="8" t="s">
        <v>95</v>
      </c>
      <c r="B14" s="9" t="s">
        <v>97</v>
      </c>
      <c r="C14" s="14"/>
      <c r="D14" s="15"/>
      <c r="E14" s="15"/>
      <c r="F14" s="15"/>
      <c r="G14" s="16"/>
      <c r="H14" s="17"/>
      <c r="I14" s="15"/>
    </row>
    <row r="15" spans="1:9" ht="45.75" customHeight="1" x14ac:dyDescent="0.45">
      <c r="A15" s="8" t="s">
        <v>95</v>
      </c>
      <c r="B15" s="9" t="s">
        <v>98</v>
      </c>
      <c r="C15" s="14"/>
      <c r="D15" s="15"/>
      <c r="E15" s="15"/>
      <c r="F15" s="15"/>
      <c r="G15" s="16"/>
      <c r="H15" s="17"/>
      <c r="I15" s="15"/>
    </row>
    <row r="16" spans="1:9" ht="45.75" customHeight="1" x14ac:dyDescent="0.45">
      <c r="A16" s="8" t="s">
        <v>95</v>
      </c>
      <c r="B16" s="9" t="s">
        <v>99</v>
      </c>
      <c r="C16" s="14"/>
      <c r="D16" s="15"/>
      <c r="E16" s="15"/>
      <c r="F16" s="15"/>
      <c r="G16" s="16"/>
      <c r="H16" s="17"/>
      <c r="I16" s="15"/>
    </row>
    <row r="17" spans="1:9" ht="45.75" customHeight="1" x14ac:dyDescent="0.45">
      <c r="A17" s="8" t="s">
        <v>95</v>
      </c>
      <c r="B17" s="9" t="s">
        <v>100</v>
      </c>
      <c r="C17" s="14"/>
      <c r="D17" s="15"/>
      <c r="E17" s="15"/>
      <c r="F17" s="15"/>
      <c r="G17" s="16"/>
      <c r="H17" s="17"/>
      <c r="I17" s="15"/>
    </row>
    <row r="18" spans="1:9" ht="45.75" customHeight="1" x14ac:dyDescent="0.45">
      <c r="A18" s="8" t="s">
        <v>95</v>
      </c>
      <c r="B18" s="9" t="s">
        <v>101</v>
      </c>
      <c r="C18" s="14"/>
      <c r="D18" s="15"/>
      <c r="E18" s="15"/>
      <c r="F18" s="15"/>
      <c r="G18" s="16"/>
      <c r="H18" s="17"/>
      <c r="I18" s="15"/>
    </row>
    <row r="19" spans="1:9" ht="24" customHeight="1" x14ac:dyDescent="0.45">
      <c r="A19" s="48" t="s">
        <v>133</v>
      </c>
      <c r="B19" s="48"/>
      <c r="C19" s="18">
        <f>IFERROR(AVERAGE(C13:C18),0)</f>
        <v>0</v>
      </c>
      <c r="D19" s="19"/>
      <c r="E19" s="19"/>
      <c r="F19" s="19"/>
      <c r="G19" s="19"/>
      <c r="H19" s="19"/>
      <c r="I19" s="19"/>
    </row>
    <row r="20" spans="1:9" ht="45.75" customHeight="1" x14ac:dyDescent="0.45">
      <c r="A20" s="8" t="s">
        <v>102</v>
      </c>
      <c r="B20" s="9" t="s">
        <v>103</v>
      </c>
      <c r="C20" s="14"/>
      <c r="D20" s="15"/>
      <c r="E20" s="15"/>
      <c r="F20" s="15"/>
      <c r="G20" s="16"/>
      <c r="H20" s="17"/>
      <c r="I20" s="15"/>
    </row>
    <row r="21" spans="1:9" ht="45.75" customHeight="1" x14ac:dyDescent="0.45">
      <c r="A21" s="8" t="s">
        <v>102</v>
      </c>
      <c r="B21" s="9" t="s">
        <v>104</v>
      </c>
      <c r="C21" s="14"/>
      <c r="D21" s="15"/>
      <c r="E21" s="15"/>
      <c r="F21" s="15"/>
      <c r="G21" s="16"/>
      <c r="H21" s="17"/>
      <c r="I21" s="15"/>
    </row>
    <row r="22" spans="1:9" ht="45.75" customHeight="1" x14ac:dyDescent="0.45">
      <c r="A22" s="8" t="s">
        <v>102</v>
      </c>
      <c r="B22" s="9" t="s">
        <v>105</v>
      </c>
      <c r="C22" s="14"/>
      <c r="D22" s="15"/>
      <c r="E22" s="15"/>
      <c r="F22" s="15"/>
      <c r="G22" s="16"/>
      <c r="H22" s="17"/>
      <c r="I22" s="15"/>
    </row>
    <row r="23" spans="1:9" ht="45.75" customHeight="1" x14ac:dyDescent="0.45">
      <c r="A23" s="8" t="s">
        <v>102</v>
      </c>
      <c r="B23" s="9" t="s">
        <v>106</v>
      </c>
      <c r="C23" s="14"/>
      <c r="D23" s="15"/>
      <c r="E23" s="15"/>
      <c r="F23" s="15"/>
      <c r="G23" s="16"/>
      <c r="H23" s="17"/>
      <c r="I23" s="15"/>
    </row>
    <row r="24" spans="1:9" ht="45.75" customHeight="1" x14ac:dyDescent="0.45">
      <c r="A24" s="8" t="s">
        <v>102</v>
      </c>
      <c r="B24" s="9" t="s">
        <v>107</v>
      </c>
      <c r="C24" s="14"/>
      <c r="D24" s="15"/>
      <c r="E24" s="15"/>
      <c r="F24" s="15"/>
      <c r="G24" s="16"/>
      <c r="H24" s="17"/>
      <c r="I24" s="15"/>
    </row>
    <row r="25" spans="1:9" ht="45.75" customHeight="1" x14ac:dyDescent="0.45">
      <c r="A25" s="8" t="s">
        <v>102</v>
      </c>
      <c r="B25" s="9" t="s">
        <v>108</v>
      </c>
      <c r="C25" s="14"/>
      <c r="D25" s="15"/>
      <c r="E25" s="15"/>
      <c r="F25" s="15"/>
      <c r="G25" s="16"/>
      <c r="H25" s="17"/>
      <c r="I25" s="15"/>
    </row>
    <row r="26" spans="1:9" ht="24" customHeight="1" x14ac:dyDescent="0.45">
      <c r="A26" s="48" t="s">
        <v>134</v>
      </c>
      <c r="B26" s="48"/>
      <c r="C26" s="18">
        <f>IFERROR(AVERAGE(C20:C25),0)</f>
        <v>0</v>
      </c>
      <c r="D26" s="19"/>
      <c r="E26" s="19"/>
      <c r="F26" s="19"/>
      <c r="G26" s="19"/>
      <c r="H26" s="19"/>
      <c r="I26" s="19"/>
    </row>
    <row r="27" spans="1:9" ht="45.75" customHeight="1" x14ac:dyDescent="0.45">
      <c r="A27" s="8" t="s">
        <v>109</v>
      </c>
      <c r="B27" s="9" t="s">
        <v>110</v>
      </c>
      <c r="C27" s="14"/>
      <c r="D27" s="15"/>
      <c r="E27" s="15"/>
      <c r="F27" s="15"/>
      <c r="G27" s="16"/>
      <c r="H27" s="17"/>
      <c r="I27" s="15"/>
    </row>
    <row r="28" spans="1:9" ht="45.75" customHeight="1" x14ac:dyDescent="0.45">
      <c r="A28" s="8" t="s">
        <v>109</v>
      </c>
      <c r="B28" s="9" t="s">
        <v>111</v>
      </c>
      <c r="C28" s="14"/>
      <c r="D28" s="15"/>
      <c r="E28" s="15"/>
      <c r="F28" s="15"/>
      <c r="G28" s="16"/>
      <c r="H28" s="17"/>
      <c r="I28" s="15"/>
    </row>
    <row r="29" spans="1:9" ht="45.75" customHeight="1" x14ac:dyDescent="0.45">
      <c r="A29" s="8" t="s">
        <v>109</v>
      </c>
      <c r="B29" s="9" t="s">
        <v>112</v>
      </c>
      <c r="C29" s="14"/>
      <c r="D29" s="15"/>
      <c r="E29" s="15"/>
      <c r="F29" s="15"/>
      <c r="G29" s="16"/>
      <c r="H29" s="17"/>
      <c r="I29" s="15"/>
    </row>
    <row r="30" spans="1:9" ht="45.75" customHeight="1" x14ac:dyDescent="0.45">
      <c r="A30" s="8" t="s">
        <v>109</v>
      </c>
      <c r="B30" s="9" t="s">
        <v>113</v>
      </c>
      <c r="C30" s="14"/>
      <c r="D30" s="15"/>
      <c r="E30" s="15"/>
      <c r="F30" s="15"/>
      <c r="G30" s="16"/>
      <c r="H30" s="17"/>
      <c r="I30" s="15"/>
    </row>
    <row r="31" spans="1:9" ht="45.75" customHeight="1" x14ac:dyDescent="0.45">
      <c r="A31" s="8" t="s">
        <v>109</v>
      </c>
      <c r="B31" s="9" t="s">
        <v>114</v>
      </c>
      <c r="C31" s="14"/>
      <c r="D31" s="15"/>
      <c r="E31" s="15"/>
      <c r="F31" s="15"/>
      <c r="G31" s="16"/>
      <c r="H31" s="17"/>
      <c r="I31" s="15"/>
    </row>
    <row r="32" spans="1:9" ht="45.75" customHeight="1" x14ac:dyDescent="0.45">
      <c r="A32" s="8" t="s">
        <v>109</v>
      </c>
      <c r="B32" s="9" t="s">
        <v>115</v>
      </c>
      <c r="C32" s="14"/>
      <c r="D32" s="15"/>
      <c r="E32" s="15"/>
      <c r="F32" s="15"/>
      <c r="G32" s="16"/>
      <c r="H32" s="17"/>
      <c r="I32" s="15"/>
    </row>
    <row r="33" spans="1:9" ht="24" customHeight="1" x14ac:dyDescent="0.45">
      <c r="A33" s="48" t="s">
        <v>135</v>
      </c>
      <c r="B33" s="48"/>
      <c r="C33" s="18">
        <f>IFERROR(AVERAGE(C27:C32),0)</f>
        <v>0</v>
      </c>
      <c r="D33" s="19"/>
      <c r="E33" s="19"/>
      <c r="F33" s="19"/>
      <c r="G33" s="19"/>
      <c r="H33" s="19"/>
      <c r="I33" s="19"/>
    </row>
  </sheetData>
  <mergeCells count="6">
    <mergeCell ref="A33:B33"/>
    <mergeCell ref="A1:I1"/>
    <mergeCell ref="A2:I2"/>
    <mergeCell ref="A12:B12"/>
    <mergeCell ref="A19:B19"/>
    <mergeCell ref="A26:B26"/>
  </mergeCells>
  <conditionalFormatting sqref="C5:C33">
    <cfRule type="cellIs" dxfId="14" priority="2" operator="between">
      <formula>0</formula>
      <formula>1.9</formula>
    </cfRule>
    <cfRule type="cellIs" dxfId="13" priority="3" operator="between">
      <formula>2</formula>
      <formula>3.4</formula>
    </cfRule>
    <cfRule type="cellIs" dxfId="12" priority="4" operator="between">
      <formula>3.5</formula>
      <formula>5</formula>
    </cfRule>
  </conditionalFormatting>
  <conditionalFormatting sqref="G5:G33">
    <cfRule type="expression" dxfId="11" priority="5">
      <formula>$G5="Alta"</formula>
    </cfRule>
    <cfRule type="expression" dxfId="10" priority="6">
      <formula>$G5="Média"</formula>
    </cfRule>
    <cfRule type="expression" dxfId="9" priority="7">
      <formula>$G5="Baixa"</formula>
    </cfRule>
  </conditionalFormatting>
  <dataValidations count="3">
    <dataValidation type="whole" allowBlank="1" errorTitle="Valor inválido" error="Use somente inteiros de 0 a 5" sqref="C5:C11 C13:C18 C20:C25 C27:C32" xr:uid="{00000000-0002-0000-0400-000000000000}">
      <formula1>0</formula1>
      <formula2>5</formula2>
    </dataValidation>
    <dataValidation type="list" allowBlank="1" sqref="G5:G11 G13:G18 G20:G25 G27:G32" xr:uid="{00000000-0002-0000-0400-000001000000}">
      <formula1>"Alta,Média,Baixa"</formula1>
      <formula2>0</formula2>
    </dataValidation>
    <dataValidation type="list" allowBlank="1" sqref="H5:H11 H13:H18 H20:H25 H27:H32" xr:uid="{00000000-0002-0000-0400-000002000000}">
      <formula1>"Curto (0-3 m),Médio (3-6 m),Longo (6-12 m)"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4"/>
  <sheetViews>
    <sheetView showGridLines="0" tabSelected="1" topLeftCell="A10" zoomScale="70" zoomScaleNormal="70" workbookViewId="0">
      <selection activeCell="C6" sqref="C6"/>
    </sheetView>
  </sheetViews>
  <sheetFormatPr defaultColWidth="8.6640625" defaultRowHeight="14.25" x14ac:dyDescent="0.45"/>
  <cols>
    <col min="1" max="1" width="3" customWidth="1"/>
    <col min="2" max="2" width="26" customWidth="1"/>
    <col min="3" max="4" width="14" customWidth="1"/>
    <col min="5" max="5" width="16" customWidth="1"/>
    <col min="6" max="6" width="22" customWidth="1"/>
    <col min="7" max="7" width="4" customWidth="1"/>
    <col min="8" max="8" width="33.59765625" bestFit="1" customWidth="1"/>
    <col min="9" max="9" width="14" customWidth="1"/>
  </cols>
  <sheetData>
    <row r="2" spans="1:9" ht="33.75" customHeight="1" x14ac:dyDescent="0.45">
      <c r="B2" s="47" t="s">
        <v>136</v>
      </c>
      <c r="C2" s="47"/>
      <c r="D2" s="47"/>
      <c r="E2" s="47"/>
      <c r="F2" s="47"/>
      <c r="G2" s="47"/>
      <c r="H2" s="47"/>
      <c r="I2" s="47"/>
    </row>
    <row r="3" spans="1:9" ht="21.75" customHeight="1" x14ac:dyDescent="0.45">
      <c r="B3" s="49" t="s">
        <v>137</v>
      </c>
      <c r="C3" s="49"/>
      <c r="D3" s="49"/>
      <c r="E3" s="49"/>
      <c r="F3" s="49"/>
      <c r="G3" s="49"/>
      <c r="H3" s="49"/>
      <c r="I3" s="49"/>
    </row>
    <row r="5" spans="1:9" ht="30" customHeight="1" x14ac:dyDescent="0.45">
      <c r="A5" s="20"/>
      <c r="B5" s="7" t="s">
        <v>41</v>
      </c>
      <c r="C5" s="7" t="s">
        <v>138</v>
      </c>
      <c r="D5" s="7" t="s">
        <v>139</v>
      </c>
      <c r="E5" s="7" t="s">
        <v>140</v>
      </c>
      <c r="F5" s="7" t="s">
        <v>141</v>
      </c>
      <c r="G5" s="20"/>
      <c r="H5" s="7" t="s">
        <v>142</v>
      </c>
      <c r="I5" s="7" t="s">
        <v>143</v>
      </c>
    </row>
    <row r="6" spans="1:9" ht="21.75" customHeight="1" x14ac:dyDescent="0.45">
      <c r="B6" s="3" t="s">
        <v>46</v>
      </c>
      <c r="C6" s="21">
        <f>IFERROR(AVERAGE(Detalhado_F1!C5:C15),0)</f>
        <v>0</v>
      </c>
      <c r="D6" s="22">
        <f t="shared" ref="D6:D13" si="0">IFERROR(1-C6/5,0)</f>
        <v>1</v>
      </c>
      <c r="E6" s="12" t="str">
        <f t="shared" ref="E6:E13" si="1">IF(C6=0,"—",IF(C6&lt;2,"Crítico",IF(C6&lt;3.5,"Relevante","Aderente")))</f>
        <v>—</v>
      </c>
      <c r="F6" s="23">
        <f>COUNTIFS(Detalhado_F1!C5:C15,"&lt;=2",Detalhado_F1!C5:C15,"&gt;0")+COUNTIF(Detalhado_F1!C5:C15,0)</f>
        <v>0</v>
      </c>
      <c r="H6" s="3" t="s">
        <v>144</v>
      </c>
      <c r="I6" s="24">
        <f>'Quick-Scan'!E67</f>
        <v>0</v>
      </c>
    </row>
    <row r="7" spans="1:9" ht="21.75" customHeight="1" x14ac:dyDescent="0.45">
      <c r="B7" s="3" t="s">
        <v>58</v>
      </c>
      <c r="C7" s="21">
        <f>IFERROR(AVERAGE(Detalhado_F1!C17:C25),0)</f>
        <v>0</v>
      </c>
      <c r="D7" s="22">
        <f t="shared" si="0"/>
        <v>1</v>
      </c>
      <c r="E7" s="12" t="str">
        <f t="shared" si="1"/>
        <v>—</v>
      </c>
      <c r="F7" s="23">
        <f>COUNTIFS(Detalhado_F1!C17:C25,"&lt;=2",Detalhado_F1!C17:C25,"&gt;0")+COUNTIF(Detalhado_F1!C17:C25,0)</f>
        <v>0</v>
      </c>
      <c r="H7" s="3" t="s">
        <v>145</v>
      </c>
      <c r="I7" s="22">
        <f>'Quick-Scan'!E68</f>
        <v>0</v>
      </c>
    </row>
    <row r="8" spans="1:9" ht="21.75" customHeight="1" x14ac:dyDescent="0.45">
      <c r="B8" s="3" t="s">
        <v>68</v>
      </c>
      <c r="C8" s="21">
        <f>IFERROR(AVERAGE(Detalhado_F1!C27:C34),0)</f>
        <v>0</v>
      </c>
      <c r="D8" s="22">
        <f t="shared" si="0"/>
        <v>1</v>
      </c>
      <c r="E8" s="12" t="str">
        <f t="shared" si="1"/>
        <v>—</v>
      </c>
      <c r="F8" s="23">
        <f>COUNTIFS(Detalhado_F1!C27:C34,"&lt;=2",Detalhado_F1!C27:C34,"&gt;0")+COUNTIF(Detalhado_F1!C27:C34,0)</f>
        <v>0</v>
      </c>
      <c r="H8" s="3" t="s">
        <v>146</v>
      </c>
      <c r="I8" s="24">
        <f>62</f>
        <v>62</v>
      </c>
    </row>
    <row r="9" spans="1:9" ht="21.75" customHeight="1" x14ac:dyDescent="0.45">
      <c r="B9" s="3" t="s">
        <v>77</v>
      </c>
      <c r="C9" s="21">
        <f>IFERROR(AVERAGE(Detalhado_F1!C36:C44),0)</f>
        <v>0</v>
      </c>
      <c r="D9" s="22">
        <f t="shared" si="0"/>
        <v>1</v>
      </c>
      <c r="E9" s="12" t="str">
        <f t="shared" si="1"/>
        <v>—</v>
      </c>
      <c r="F9" s="23">
        <f>COUNTIFS(Detalhado_F1!C36:C44,"&lt;=2",Detalhado_F1!C36:C44,"&gt;0")+COUNTIF(Detalhado_F1!C36:C44,0)</f>
        <v>0</v>
      </c>
      <c r="H9" s="3" t="s">
        <v>147</v>
      </c>
      <c r="I9" s="24">
        <f>SUM(F6:F13)</f>
        <v>0</v>
      </c>
    </row>
    <row r="10" spans="1:9" ht="21.75" customHeight="1" x14ac:dyDescent="0.45">
      <c r="B10" s="3" t="s">
        <v>87</v>
      </c>
      <c r="C10" s="21">
        <f>IFERROR(AVERAGE(Detalhado_F2!C5:C11),0)</f>
        <v>0</v>
      </c>
      <c r="D10" s="22">
        <f t="shared" si="0"/>
        <v>1</v>
      </c>
      <c r="E10" s="12" t="str">
        <f t="shared" si="1"/>
        <v>—</v>
      </c>
      <c r="F10" s="23">
        <f>COUNTIFS(Detalhado_F2!C5:C11,"&lt;=2",Detalhado_F2!C5:C11,"&gt;0")+COUNTIF(Detalhado_F2!C5:C11,0)</f>
        <v>0</v>
      </c>
      <c r="H10" s="3" t="s">
        <v>148</v>
      </c>
      <c r="I10" s="24">
        <f>COUNTIF(D6:D13,"&gt;=0.3")</f>
        <v>0</v>
      </c>
    </row>
    <row r="11" spans="1:9" ht="21.75" customHeight="1" x14ac:dyDescent="0.45">
      <c r="B11" s="3" t="s">
        <v>95</v>
      </c>
      <c r="C11" s="21">
        <f>IFERROR(AVERAGE(Detalhado_F2!C13:C18),0)</f>
        <v>0</v>
      </c>
      <c r="D11" s="22">
        <f t="shared" si="0"/>
        <v>1</v>
      </c>
      <c r="E11" s="12" t="str">
        <f t="shared" si="1"/>
        <v>—</v>
      </c>
      <c r="F11" s="23">
        <f>COUNTIFS(Detalhado_F2!C13:C18,"&lt;=2",Detalhado_F2!C13:C18,"&gt;0")+COUNTIF(Detalhado_F2!C13:C18,0)</f>
        <v>0</v>
      </c>
      <c r="H11" s="3" t="s">
        <v>149</v>
      </c>
      <c r="I11" s="25" t="str">
        <f>INDEX(B6:B13,MATCH(MAX(D6:D13),D6:D13,0))</f>
        <v>F1.1 Premissas</v>
      </c>
    </row>
    <row r="12" spans="1:9" ht="21.75" customHeight="1" x14ac:dyDescent="0.45">
      <c r="B12" s="3" t="s">
        <v>102</v>
      </c>
      <c r="C12" s="21">
        <f>IFERROR(AVERAGE(Detalhado_F2!C20:C25),0)</f>
        <v>0</v>
      </c>
      <c r="D12" s="22">
        <f t="shared" si="0"/>
        <v>1</v>
      </c>
      <c r="E12" s="12" t="str">
        <f t="shared" si="1"/>
        <v>—</v>
      </c>
      <c r="F12" s="23">
        <f>COUNTIFS(Detalhado_F2!C20:C25,"&lt;=2",Detalhado_F2!C20:C25,"&gt;0")+COUNTIF(Detalhado_F2!C20:C25,0)</f>
        <v>0</v>
      </c>
      <c r="H12" s="3" t="s">
        <v>150</v>
      </c>
      <c r="I12" s="26">
        <f>INDEX(C6:C13,MATCH(MAX(D6:D13),D6:D13,0))</f>
        <v>0</v>
      </c>
    </row>
    <row r="13" spans="1:9" ht="24" customHeight="1" x14ac:dyDescent="0.45">
      <c r="B13" s="3" t="s">
        <v>109</v>
      </c>
      <c r="C13" s="21">
        <f>IFERROR(AVERAGE(Detalhado_F2!C27:C32),0)</f>
        <v>0</v>
      </c>
      <c r="D13" s="22">
        <f t="shared" si="0"/>
        <v>1</v>
      </c>
      <c r="E13" s="12" t="str">
        <f t="shared" si="1"/>
        <v>—</v>
      </c>
      <c r="F13" s="23">
        <f>COUNTIFS(Detalhado_F2!C27:C32,"&lt;=2",Detalhado_F2!C27:C32,"&gt;0")+COUNTIF(Detalhado_F2!C27:C32,0)</f>
        <v>0</v>
      </c>
    </row>
    <row r="14" spans="1:9" ht="27.75" customHeight="1" x14ac:dyDescent="0.45">
      <c r="B14" s="27" t="s">
        <v>151</v>
      </c>
      <c r="C14" s="28">
        <f>AVERAGE(C6:C13)</f>
        <v>0</v>
      </c>
      <c r="D14" s="29">
        <f>1-C14/5</f>
        <v>1</v>
      </c>
      <c r="E14" s="1" t="str">
        <f>IF(C14&lt;2,"Crítico",IF(C14&lt;3.5,"Relevante","Aderente"))</f>
        <v>Crítico</v>
      </c>
      <c r="F14" s="1">
        <f>SUM(F6:F13)</f>
        <v>0</v>
      </c>
    </row>
  </sheetData>
  <mergeCells count="2">
    <mergeCell ref="B2:I2"/>
    <mergeCell ref="B3:I3"/>
  </mergeCells>
  <conditionalFormatting sqref="C6:C13">
    <cfRule type="cellIs" dxfId="8" priority="2" operator="between">
      <formula>0</formula>
      <formula>1.99</formula>
    </cfRule>
    <cfRule type="cellIs" dxfId="7" priority="3" operator="between">
      <formula>2</formula>
      <formula>3.49</formula>
    </cfRule>
    <cfRule type="cellIs" dxfId="6" priority="4" operator="between">
      <formula>3.5</formula>
      <formula>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ColWidth="8.6640625" defaultRowHeight="14.25" x14ac:dyDescent="0.45"/>
  <cols>
    <col min="1" max="1" width="6" customWidth="1"/>
    <col min="2" max="2" width="22" customWidth="1"/>
    <col min="3" max="3" width="50" customWidth="1"/>
    <col min="4" max="4" width="36" customWidth="1"/>
    <col min="5" max="5" width="11" customWidth="1"/>
    <col min="6" max="6" width="13" customWidth="1"/>
    <col min="7" max="7" width="22" customWidth="1"/>
    <col min="8" max="8" width="18" customWidth="1"/>
    <col min="9" max="9" width="14" customWidth="1"/>
  </cols>
  <sheetData>
    <row r="1" spans="1:9" ht="30" customHeight="1" x14ac:dyDescent="0.45">
      <c r="A1" s="35" t="s">
        <v>152</v>
      </c>
      <c r="B1" s="35"/>
      <c r="C1" s="35"/>
      <c r="D1" s="35"/>
      <c r="E1" s="35"/>
      <c r="F1" s="35"/>
      <c r="G1" s="35"/>
      <c r="H1" s="35"/>
      <c r="I1" s="35"/>
    </row>
    <row r="2" spans="1:9" ht="25.5" customHeight="1" x14ac:dyDescent="0.45">
      <c r="A2" s="50" t="s">
        <v>153</v>
      </c>
      <c r="B2" s="50"/>
      <c r="C2" s="50"/>
      <c r="D2" s="50"/>
      <c r="E2" s="50"/>
      <c r="F2" s="50"/>
      <c r="G2" s="50"/>
      <c r="H2" s="50"/>
      <c r="I2" s="50"/>
    </row>
    <row r="4" spans="1:9" ht="31.5" customHeight="1" x14ac:dyDescent="0.45">
      <c r="A4" s="7" t="s">
        <v>154</v>
      </c>
      <c r="B4" s="7" t="s">
        <v>41</v>
      </c>
      <c r="C4" s="7" t="s">
        <v>155</v>
      </c>
      <c r="D4" s="7" t="s">
        <v>156</v>
      </c>
      <c r="E4" s="7" t="s">
        <v>124</v>
      </c>
      <c r="F4" s="7" t="s">
        <v>125</v>
      </c>
      <c r="G4" s="7" t="s">
        <v>157</v>
      </c>
      <c r="H4" s="7" t="s">
        <v>158</v>
      </c>
      <c r="I4" s="7" t="s">
        <v>43</v>
      </c>
    </row>
    <row r="5" spans="1:9" ht="45.75" customHeight="1" x14ac:dyDescent="0.45">
      <c r="A5" s="30">
        <v>1</v>
      </c>
      <c r="B5" s="31"/>
      <c r="C5" s="31"/>
      <c r="D5" s="31"/>
      <c r="E5" s="12"/>
      <c r="F5" s="12"/>
      <c r="G5" s="31"/>
      <c r="H5" s="32"/>
      <c r="I5" s="12"/>
    </row>
    <row r="6" spans="1:9" ht="45.75" customHeight="1" x14ac:dyDescent="0.45">
      <c r="A6" s="30">
        <v>2</v>
      </c>
      <c r="B6" s="31"/>
      <c r="C6" s="31"/>
      <c r="D6" s="31"/>
      <c r="E6" s="12"/>
      <c r="F6" s="12"/>
      <c r="G6" s="31"/>
      <c r="H6" s="32"/>
      <c r="I6" s="12"/>
    </row>
    <row r="7" spans="1:9" ht="45.75" customHeight="1" x14ac:dyDescent="0.45">
      <c r="A7" s="30">
        <v>3</v>
      </c>
      <c r="B7" s="31"/>
      <c r="C7" s="31"/>
      <c r="D7" s="31"/>
      <c r="E7" s="12"/>
      <c r="F7" s="12"/>
      <c r="G7" s="31"/>
      <c r="H7" s="32"/>
      <c r="I7" s="12"/>
    </row>
    <row r="8" spans="1:9" ht="45.75" customHeight="1" x14ac:dyDescent="0.45">
      <c r="A8" s="30">
        <v>4</v>
      </c>
      <c r="B8" s="31"/>
      <c r="C8" s="31"/>
      <c r="D8" s="31"/>
      <c r="E8" s="12"/>
      <c r="F8" s="12"/>
      <c r="G8" s="31"/>
      <c r="H8" s="32"/>
      <c r="I8" s="12"/>
    </row>
    <row r="9" spans="1:9" ht="45.75" customHeight="1" x14ac:dyDescent="0.45">
      <c r="A9" s="30">
        <v>5</v>
      </c>
      <c r="B9" s="31"/>
      <c r="C9" s="31"/>
      <c r="D9" s="31"/>
      <c r="E9" s="12"/>
      <c r="F9" s="12"/>
      <c r="G9" s="31"/>
      <c r="H9" s="32"/>
      <c r="I9" s="12"/>
    </row>
    <row r="10" spans="1:9" ht="45.75" customHeight="1" x14ac:dyDescent="0.45">
      <c r="A10" s="30">
        <v>6</v>
      </c>
      <c r="B10" s="31"/>
      <c r="C10" s="31"/>
      <c r="D10" s="31"/>
      <c r="E10" s="12"/>
      <c r="F10" s="12"/>
      <c r="G10" s="31"/>
      <c r="H10" s="32"/>
      <c r="I10" s="12"/>
    </row>
    <row r="11" spans="1:9" ht="45.75" customHeight="1" x14ac:dyDescent="0.45">
      <c r="A11" s="30">
        <v>7</v>
      </c>
      <c r="B11" s="31"/>
      <c r="C11" s="31"/>
      <c r="D11" s="31"/>
      <c r="E11" s="12"/>
      <c r="F11" s="12"/>
      <c r="G11" s="31"/>
      <c r="H11" s="32"/>
      <c r="I11" s="12"/>
    </row>
    <row r="12" spans="1:9" ht="45.75" customHeight="1" x14ac:dyDescent="0.45">
      <c r="A12" s="30">
        <v>8</v>
      </c>
      <c r="B12" s="31"/>
      <c r="C12" s="31"/>
      <c r="D12" s="31"/>
      <c r="E12" s="12"/>
      <c r="F12" s="12"/>
      <c r="G12" s="31"/>
      <c r="H12" s="32"/>
      <c r="I12" s="12"/>
    </row>
    <row r="13" spans="1:9" ht="45.75" customHeight="1" x14ac:dyDescent="0.45">
      <c r="A13" s="30">
        <v>9</v>
      </c>
      <c r="B13" s="31"/>
      <c r="C13" s="31"/>
      <c r="D13" s="31"/>
      <c r="E13" s="12"/>
      <c r="F13" s="12"/>
      <c r="G13" s="31"/>
      <c r="H13" s="32"/>
      <c r="I13" s="12"/>
    </row>
    <row r="14" spans="1:9" ht="45.75" customHeight="1" x14ac:dyDescent="0.45">
      <c r="A14" s="30">
        <v>10</v>
      </c>
      <c r="B14" s="31"/>
      <c r="C14" s="31"/>
      <c r="D14" s="31"/>
      <c r="E14" s="12"/>
      <c r="F14" s="12"/>
      <c r="G14" s="31"/>
      <c r="H14" s="32"/>
      <c r="I14" s="12"/>
    </row>
    <row r="15" spans="1:9" ht="45.75" customHeight="1" x14ac:dyDescent="0.45">
      <c r="A15" s="30">
        <v>11</v>
      </c>
      <c r="B15" s="31"/>
      <c r="C15" s="31"/>
      <c r="D15" s="31"/>
      <c r="E15" s="12"/>
      <c r="F15" s="12"/>
      <c r="G15" s="31"/>
      <c r="H15" s="32"/>
      <c r="I15" s="12"/>
    </row>
    <row r="16" spans="1:9" ht="45.75" customHeight="1" x14ac:dyDescent="0.45">
      <c r="A16" s="30">
        <v>12</v>
      </c>
      <c r="B16" s="31"/>
      <c r="C16" s="31"/>
      <c r="D16" s="31"/>
      <c r="E16" s="12"/>
      <c r="F16" s="12"/>
      <c r="G16" s="31"/>
      <c r="H16" s="32"/>
      <c r="I16" s="12"/>
    </row>
    <row r="17" spans="1:9" ht="45.75" customHeight="1" x14ac:dyDescent="0.45">
      <c r="A17" s="30">
        <v>13</v>
      </c>
      <c r="B17" s="31"/>
      <c r="C17" s="31"/>
      <c r="D17" s="31"/>
      <c r="E17" s="12"/>
      <c r="F17" s="12"/>
      <c r="G17" s="31"/>
      <c r="H17" s="32"/>
      <c r="I17" s="12"/>
    </row>
    <row r="18" spans="1:9" ht="45.75" customHeight="1" x14ac:dyDescent="0.45">
      <c r="A18" s="30">
        <v>14</v>
      </c>
      <c r="B18" s="31"/>
      <c r="C18" s="31"/>
      <c r="D18" s="31"/>
      <c r="E18" s="12"/>
      <c r="F18" s="12"/>
      <c r="G18" s="31"/>
      <c r="H18" s="32"/>
      <c r="I18" s="12"/>
    </row>
    <row r="19" spans="1:9" ht="45.75" customHeight="1" x14ac:dyDescent="0.45">
      <c r="A19" s="30">
        <v>15</v>
      </c>
      <c r="B19" s="31"/>
      <c r="C19" s="31"/>
      <c r="D19" s="31"/>
      <c r="E19" s="12"/>
      <c r="F19" s="12"/>
      <c r="G19" s="31"/>
      <c r="H19" s="32"/>
      <c r="I19" s="12"/>
    </row>
    <row r="20" spans="1:9" ht="45.75" customHeight="1" x14ac:dyDescent="0.45">
      <c r="A20" s="30">
        <v>16</v>
      </c>
      <c r="B20" s="31"/>
      <c r="C20" s="31"/>
      <c r="D20" s="31"/>
      <c r="E20" s="12"/>
      <c r="F20" s="12"/>
      <c r="G20" s="31"/>
      <c r="H20" s="32"/>
      <c r="I20" s="12"/>
    </row>
    <row r="21" spans="1:9" ht="45.75" customHeight="1" x14ac:dyDescent="0.45">
      <c r="A21" s="30">
        <v>17</v>
      </c>
      <c r="B21" s="31"/>
      <c r="C21" s="31"/>
      <c r="D21" s="31"/>
      <c r="E21" s="12"/>
      <c r="F21" s="12"/>
      <c r="G21" s="31"/>
      <c r="H21" s="32"/>
      <c r="I21" s="12"/>
    </row>
    <row r="22" spans="1:9" ht="45.75" customHeight="1" x14ac:dyDescent="0.45">
      <c r="A22" s="30">
        <v>18</v>
      </c>
      <c r="B22" s="31"/>
      <c r="C22" s="31"/>
      <c r="D22" s="31"/>
      <c r="E22" s="12"/>
      <c r="F22" s="12"/>
      <c r="G22" s="31"/>
      <c r="H22" s="32"/>
      <c r="I22" s="12"/>
    </row>
    <row r="23" spans="1:9" ht="45.75" customHeight="1" x14ac:dyDescent="0.45">
      <c r="A23" s="30">
        <v>19</v>
      </c>
      <c r="B23" s="31"/>
      <c r="C23" s="31"/>
      <c r="D23" s="31"/>
      <c r="E23" s="12"/>
      <c r="F23" s="12"/>
      <c r="G23" s="31"/>
      <c r="H23" s="32"/>
      <c r="I23" s="12"/>
    </row>
    <row r="24" spans="1:9" ht="45.75" customHeight="1" x14ac:dyDescent="0.45">
      <c r="A24" s="30">
        <v>20</v>
      </c>
      <c r="B24" s="31"/>
      <c r="C24" s="31"/>
      <c r="D24" s="31"/>
      <c r="E24" s="12"/>
      <c r="F24" s="12"/>
      <c r="G24" s="31"/>
      <c r="H24" s="32"/>
      <c r="I24" s="12"/>
    </row>
    <row r="25" spans="1:9" ht="25.5" customHeight="1" x14ac:dyDescent="0.45">
      <c r="A25" s="51" t="s">
        <v>159</v>
      </c>
      <c r="B25" s="51"/>
      <c r="C25" s="51"/>
      <c r="D25" s="51"/>
      <c r="E25" s="51"/>
      <c r="F25" s="51"/>
      <c r="G25" s="51"/>
      <c r="H25" s="33">
        <f>SUM(H5:H24)</f>
        <v>0</v>
      </c>
      <c r="I25" s="34"/>
    </row>
  </sheetData>
  <mergeCells count="3">
    <mergeCell ref="A1:I1"/>
    <mergeCell ref="A2:I2"/>
    <mergeCell ref="A25:G25"/>
  </mergeCells>
  <conditionalFormatting sqref="E5:E24">
    <cfRule type="expression" dxfId="5" priority="2">
      <formula>$E5="Alta"</formula>
    </cfRule>
    <cfRule type="expression" dxfId="4" priority="3">
      <formula>$E5="Média"</formula>
    </cfRule>
    <cfRule type="expression" dxfId="3" priority="4">
      <formula>$E5="Baixa"</formula>
    </cfRule>
  </conditionalFormatting>
  <conditionalFormatting sqref="I5:I24">
    <cfRule type="expression" dxfId="2" priority="5">
      <formula>$I5="Concluído"</formula>
    </cfRule>
    <cfRule type="expression" dxfId="1" priority="6">
      <formula>$I5="Em andamento"</formula>
    </cfRule>
    <cfRule type="expression" dxfId="0" priority="7">
      <formula>$I5="Pausado"</formula>
    </cfRule>
  </conditionalFormatting>
  <dataValidations count="3">
    <dataValidation type="list" allowBlank="1" sqref="E5:E24" xr:uid="{00000000-0002-0000-0600-000000000000}">
      <formula1>"Alta,Média,Baixa"</formula1>
      <formula2>0</formula2>
    </dataValidation>
    <dataValidation type="list" allowBlank="1" sqref="F5:F24" xr:uid="{00000000-0002-0000-0600-000001000000}">
      <formula1>"Curto (0-3 m),Médio (3-6 m),Longo (6-12 m)"</formula1>
      <formula2>0</formula2>
    </dataValidation>
    <dataValidation type="list" allowBlank="1" sqref="I5:I24" xr:uid="{00000000-0002-0000-0600-000002000000}">
      <formula1>"Não iniciado,Em andamento,Concluído,Pausado"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Instruções</vt:lpstr>
      <vt:lpstr>Quick-Scan</vt:lpstr>
      <vt:lpstr>Detalhado_F1</vt:lpstr>
      <vt:lpstr>Detalhado_F2</vt:lpstr>
      <vt:lpstr>Dashboard</vt:lpstr>
      <vt:lpstr>Plano_Ação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Fabio Iacono</cp:lastModifiedBy>
  <cp:revision>1</cp:revision>
  <dcterms:created xsi:type="dcterms:W3CDTF">2026-05-19T12:10:50Z</dcterms:created>
  <dcterms:modified xsi:type="dcterms:W3CDTF">2026-06-11T20:12:19Z</dcterms:modified>
  <dc:language>en-US</dc:language>
</cp:coreProperties>
</file>