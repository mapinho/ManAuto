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Frota" sheetId="3" state="visible" r:id="rId5"/>
    <sheet name="Pessoas" sheetId="4" state="visible" r:id="rId6"/>
    <sheet name="Checklist" sheetId="5" state="visible" r:id="rId7"/>
    <sheet name="Semanas" sheetId="6" state="visible" r:id="rId8"/>
    <sheet name="Cron_Uso" sheetId="7" state="visible" r:id="rId9"/>
    <sheet name="Cronograma" sheetId="8" state="visible" r:id="rId10"/>
    <sheet name="Aux_HH" sheetId="9" state="visible" r:id="rId11"/>
    <sheet name="Eventos" sheetId="10" state="visible" r:id="rId12"/>
    <sheet name="Plan_Prev" sheetId="11" state="visible" r:id="rId13"/>
    <sheet name="Plan_Corr" sheetId="12" state="visible" r:id="rId14"/>
    <sheet name="Disponibilidade" sheetId="13" state="visible" r:id="rId15"/>
    <sheet name="Recursos" sheetId="14" state="visible" r:id="rId16"/>
    <sheet name="Insumos" sheetId="15" state="visible" r:id="rId17"/>
    <sheet name="Saving" sheetId="16" state="visible" r:id="rId18"/>
    <sheet name="Resumo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<sst xmlns="http://schemas.openxmlformats.org/spreadsheetml/2006/main" count="926" uniqueCount="363">
  <si>
    <t xml:space="preserve">PLANEJAMENTO DE MANUTENÇÃO — RÉPLICA FUNCIONAL DO APP AGROVECTOR v4.2</t>
  </si>
  <si>
    <t xml:space="preserve">1</t>
  </si>
  <si>
    <t xml:space="preserve">O que é</t>
  </si>
  <si>
    <t xml:space="preserve">Réplica em Excel do motor de cálculo do app (agrovector_manutencao_v4.2). Altere Premissas, Frota, Pessoas ou Checklist — Cronograma, Planos, Disponibilidade, Recursos, Insumos, Saving e Resumo recalculam automaticamente, com as MESMAS fórmulas do app.</t>
  </si>
  <si>
    <t xml:space="preserve">2</t>
  </si>
  <si>
    <t xml:space="preserve">Abas de entrada (editar)</t>
  </si>
  <si>
    <t xml:space="preserve">Premissas · Frota · Pessoas · Checklist. Preencha apenas células brancas; use os menus suspensos. Dados atuais = demonstração do app (substituir pelos do cliente).</t>
  </si>
  <si>
    <t xml:space="preserve">3</t>
  </si>
  <si>
    <t xml:space="preserve">Abas de resultado (não editar)</t>
  </si>
  <si>
    <t xml:space="preserve">Cronograma · Plan_Prev · Plan_Corr · Disponibilidade · Recursos · Insumos · Saving · Resumo — 100% fórmulas.</t>
  </si>
  <si>
    <t xml:space="preserve">4</t>
  </si>
  <si>
    <t xml:space="preserve">Abas auxiliares (não mexer)</t>
  </si>
  <si>
    <t xml:space="preserve">Semanas, Cron_Uso, Eventos e Aux_HH são o motor de cálculo (uso acumulado semanal, herança de checklists, contagem de eventos).</t>
  </si>
  <si>
    <t xml:space="preserve">5</t>
  </si>
  <si>
    <t xml:space="preserve">Lógica do motor</t>
  </si>
  <si>
    <t xml:space="preserve">52 semanas a partir do Início da Safra; uso acumulado semanal (safra/entressafra) dispara preventiva ao cruzar múltiplo do intervalo; tipo S/A/B pelo maior gatilho divisível; HH com herança cumulativa (B executa S+A+B); corretiva = preventiva × (corr/prev) × deflator progressivo × sazonalidade mensal; disponibilidade = pessoas ativas × dias úteis × horas líquidas; saving = corretiva sem deflator (baseline) − corretiva com plano, valorizada pelo custo/HH médio da oficina.</t>
  </si>
  <si>
    <t xml:space="preserve">6</t>
  </si>
  <si>
    <t xml:space="preserve">Simplificações</t>
  </si>
  <si>
    <t xml:space="preserve">Máx. 1 preventiva por ativo/semana (válido quando uso semanal &lt;&lt; intervalo) · Tipos S/A/B (C/D podem ser acrescentados nos gatilhos e checklists) · Capacidade: 30 ativos, 40 pessoas, 100 atividades de checklist (linhas já formatadas).</t>
  </si>
  <si>
    <t xml:space="preserve">7</t>
  </si>
  <si>
    <t xml:space="preserve">Carga no app</t>
  </si>
  <si>
    <t xml:space="preserve">Após validar aqui, use a planilha Parametrizacao_AgroVector_v4.2.xlsx (abas Frota/Pessoas/Checklist → CSV UTF-8 → botões 📥 Importar do app). Premissas são digitadas na aba 📐 do app.</t>
  </si>
  <si>
    <t xml:space="preserve">8</t>
  </si>
  <si>
    <t xml:space="preserve">Cores Fabio</t>
  </si>
  <si>
    <t xml:space="preserve">VERDE #00FF00 = OK · AMARELO #FFFF00 = atenção · VERMELHO #FF3300 = crítico (fonte branca). Aplicadas nos saldos, gaps e no cronograma (S=verde, A=amarelo, B=vermelho).</t>
  </si>
  <si>
    <t xml:space="preserve">PREMISSAS — ponto de partida de todos os cálculos</t>
  </si>
  <si>
    <t xml:space="preserve">ÍNDICES POR OFICINA</t>
  </si>
  <si>
    <t xml:space="preserve">Oficina</t>
  </si>
  <si>
    <t xml:space="preserve">% Preventiva</t>
  </si>
  <si>
    <t xml:space="preserve">% Corretiva</t>
  </si>
  <si>
    <t xml:space="preserve">Check %</t>
  </si>
  <si>
    <t xml:space="preserve">Deflator (% a.a.)</t>
  </si>
  <si>
    <t xml:space="preserve">% Terceiros</t>
  </si>
  <si>
    <t xml:space="preserve">Mec. Oficina</t>
  </si>
  <si>
    <t xml:space="preserve">Mec. Campo</t>
  </si>
  <si>
    <t xml:space="preserve">Elétrica</t>
  </si>
  <si>
    <t xml:space="preserve">Lubrificação</t>
  </si>
  <si>
    <t xml:space="preserve">Borracharia</t>
  </si>
  <si>
    <t xml:space="preserve">Caldeiraria</t>
  </si>
  <si>
    <t xml:space="preserve">DISPONIBILIDADE DE MÃO DE OBRA (fórmula idêntica ao app)</t>
  </si>
  <si>
    <t xml:space="preserve">H.Brutas/dia</t>
  </si>
  <si>
    <t xml:space="preserve">Almoço (h)</t>
  </si>
  <si>
    <t xml:space="preserve">Café (h)</t>
  </si>
  <si>
    <t xml:space="preserve">Abertura OS (h)</t>
  </si>
  <si>
    <t xml:space="preserve">Produtividade %</t>
  </si>
  <si>
    <t xml:space="preserve">Absenteísmo %</t>
  </si>
  <si>
    <t xml:space="preserve">Férias %</t>
  </si>
  <si>
    <t xml:space="preserve">Trein. (h/ano)</t>
  </si>
  <si>
    <t xml:space="preserve">H.Efetivas/dia</t>
  </si>
  <si>
    <t xml:space="preserve">H.Líquidas/dia</t>
  </si>
  <si>
    <t xml:space="preserve">CALENDÁRIO E SAZONALIDADE</t>
  </si>
  <si>
    <t xml:space="preserve">Início da safra</t>
  </si>
  <si>
    <t xml:space="preserve">2025-04-01</t>
  </si>
  <si>
    <t xml:space="preserve">Mês</t>
  </si>
  <si>
    <t xml:space="preserve">Dias úteis</t>
  </si>
  <si>
    <t xml:space="preserve">Fator sazonal corretivas</t>
  </si>
  <si>
    <t xml:space="preserve">Safra (informativo)</t>
  </si>
  <si>
    <t xml:space="preserve">Fim da safra</t>
  </si>
  <si>
    <t xml:space="preserve">2025-11-30</t>
  </si>
  <si>
    <t xml:space="preserve">Jan</t>
  </si>
  <si>
    <t xml:space="preserve">Sim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</si>
  <si>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</si>
  <si>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</si>
  <si>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</si>
  <si>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</si>
  <si>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</si>
  <si>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</si>
  <si>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Não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</si>
  <si>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</si>
  <si>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</si>
  <si>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</si>
  <si>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</si>
  <si>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</si>
  <si>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TOTAL/MÉDIA</t>
  </si>
  <si>
    <t xml:space="preserve">GATILHOS DE PREVENTIVA POR CLASSE (herança cumulativa S ⊂ A ⊂ B)</t>
  </si>
  <si>
    <t xml:space="preserve">Classe</t>
  </si>
  <si>
    <t xml:space="preserve">Tipo gatilho</t>
  </si>
  <si>
    <t xml:space="preserve">Intervalo S</t>
  </si>
  <si>
    <t xml:space="preserve">Intervalo A</t>
  </si>
  <si>
    <t xml:space="preserve">Intervalo B</t>
  </si>
  <si>
    <t xml:space="preserve">Colhedora</t>
  </si>
  <si>
    <t xml:space="preserve">Horas</t>
  </si>
  <si>
    <t xml:space="preserve">Trator</t>
  </si>
  <si>
    <t xml:space="preserve">Caminhão</t>
  </si>
  <si>
    <t xml:space="preserve">KM</t>
  </si>
  <si>
    <t xml:space="preserve">Implemento</t>
  </si>
  <si>
    <t xml:space="preserve">Veículo Leve</t>
  </si>
  <si>
    <t xml:space="preserve">FROTA — cadastro de ativos (motor usa: Status=Ativo, Uso Atual, Uso Semanal Safra/Entressafra, Intervalo)</t>
  </si>
  <si>
    <t xml:space="preserve">Uso semanal na unidade do gatilho (Horas ou KM). Intervalo = gatilho S do ativo. Linhas em branco são ignoradas.</t>
  </si>
  <si>
    <t xml:space="preserve">Nome</t>
  </si>
  <si>
    <t xml:space="preserve">Modelo</t>
  </si>
  <si>
    <t xml:space="preserve">Fabricante</t>
  </si>
  <si>
    <t xml:space="preserve">Ano</t>
  </si>
  <si>
    <t xml:space="preserve">Filial</t>
  </si>
  <si>
    <t xml:space="preserve">Status</t>
  </si>
  <si>
    <t xml:space="preserve">Tipo Gatilho</t>
  </si>
  <si>
    <t xml:space="preserve">Uso Atual</t>
  </si>
  <si>
    <t xml:space="preserve">Uso Semanal Safra</t>
  </si>
  <si>
    <t xml:space="preserve">Uso Semanal Entressafra</t>
  </si>
  <si>
    <t xml:space="preserve">Intervalo Preventiva</t>
  </si>
  <si>
    <t xml:space="preserve">Garantia</t>
  </si>
  <si>
    <t xml:space="preserve">Colhedora CASE A8810 — 1035</t>
  </si>
  <si>
    <t xml:space="preserve">CASE A8810</t>
  </si>
  <si>
    <t xml:space="preserve">CASE</t>
  </si>
  <si>
    <t xml:space="preserve">Sede</t>
  </si>
  <si>
    <t xml:space="preserve">Ativo</t>
  </si>
  <si>
    <t xml:space="preserve">false</t>
  </si>
  <si>
    <t xml:space="preserve">Colhedora CASE A8810 — 1036</t>
  </si>
  <si>
    <t xml:space="preserve">Colhedora JD CH570 — 1027</t>
  </si>
  <si>
    <t xml:space="preserve">JD CH570</t>
  </si>
  <si>
    <t xml:space="preserve">John Deere</t>
  </si>
  <si>
    <t xml:space="preserve">Colhedora CASE A9000 — 1043</t>
  </si>
  <si>
    <t xml:space="preserve">CASE A9000</t>
  </si>
  <si>
    <t xml:space="preserve">true</t>
  </si>
  <si>
    <t xml:space="preserve">Trator NH T7.315 — 401</t>
  </si>
  <si>
    <t xml:space="preserve">NH T7.315</t>
  </si>
  <si>
    <t xml:space="preserve">New Holland</t>
  </si>
  <si>
    <t xml:space="preserve">Trator NH T7.315 — 402</t>
  </si>
  <si>
    <t xml:space="preserve">Trator Case Puma 175 — 403</t>
  </si>
  <si>
    <t xml:space="preserve">Case Puma 175</t>
  </si>
  <si>
    <t xml:space="preserve">Caminhão Scania G480 — 2748</t>
  </si>
  <si>
    <t xml:space="preserve">Scania G 480</t>
  </si>
  <si>
    <t xml:space="preserve">Scania</t>
  </si>
  <si>
    <t xml:space="preserve">Caminhão Scania G540 — 2763</t>
  </si>
  <si>
    <t xml:space="preserve">Scania G 540</t>
  </si>
  <si>
    <t xml:space="preserve">Transbordo Mambra 20t — 801</t>
  </si>
  <si>
    <t xml:space="preserve">Transbordo 20t</t>
  </si>
  <si>
    <t xml:space="preserve">Mambra</t>
  </si>
  <si>
    <t xml:space="preserve">Implemento Distribuidor — 802</t>
  </si>
  <si>
    <t xml:space="preserve">Dist. Calcário</t>
  </si>
  <si>
    <t xml:space="preserve">Siltres</t>
  </si>
  <si>
    <t xml:space="preserve">Fiat Toro — 5001</t>
  </si>
  <si>
    <t xml:space="preserve">Toro Endurance</t>
  </si>
  <si>
    <t xml:space="preserve">Fiat</t>
  </si>
  <si>
    <t xml:space="preserve">Toyota Hilux — 5002</t>
  </si>
  <si>
    <t xml:space="preserve">Hilux SR</t>
  </si>
  <si>
    <t xml:space="preserve">Toyota</t>
  </si>
  <si>
    <t xml:space="preserve">PESSOAS — equipe de manutenção (custo mensal e custo/hora idênticos ao app)</t>
  </si>
  <si>
    <t xml:space="preserve">Cargo</t>
  </si>
  <si>
    <t xml:space="preserve">Turno</t>
  </si>
  <si>
    <t xml:space="preserve">Salário</t>
  </si>
  <si>
    <t xml:space="preserve">Encargos %</t>
  </si>
  <si>
    <t xml:space="preserve">Custo Mensal (R$)</t>
  </si>
  <si>
    <t xml:space="preserve">Custo/Hora (R$)</t>
  </si>
  <si>
    <t xml:space="preserve">Eduardo Lima</t>
  </si>
  <si>
    <t xml:space="preserve">Líder de Manutenção</t>
  </si>
  <si>
    <t xml:space="preserve">Diurno</t>
  </si>
  <si>
    <t xml:space="preserve">Carlos Rodrigues</t>
  </si>
  <si>
    <t xml:space="preserve">Mecânico Sênior</t>
  </si>
  <si>
    <t xml:space="preserve">Marcos Ferreira</t>
  </si>
  <si>
    <t xml:space="preserve">Mecânico Pleno</t>
  </si>
  <si>
    <t xml:space="preserve">João Alves</t>
  </si>
  <si>
    <t xml:space="preserve">Mecânico Júnior</t>
  </si>
  <si>
    <t xml:space="preserve">Noturno</t>
  </si>
  <si>
    <t xml:space="preserve">André Souza</t>
  </si>
  <si>
    <t xml:space="preserve">Mecânico Socorrista</t>
  </si>
  <si>
    <t xml:space="preserve">Safra</t>
  </si>
  <si>
    <t xml:space="preserve">Paulo Carvalho</t>
  </si>
  <si>
    <t xml:space="preserve">Roberto Santos</t>
  </si>
  <si>
    <t xml:space="preserve">Eletricista Sênior</t>
  </si>
  <si>
    <t xml:space="preserve">Diego Costa</t>
  </si>
  <si>
    <t xml:space="preserve">Eletricista Pleno</t>
  </si>
  <si>
    <t xml:space="preserve">Marcos Vieira</t>
  </si>
  <si>
    <t xml:space="preserve">Lubrificador</t>
  </si>
  <si>
    <t xml:space="preserve">Fábio Nascimento</t>
  </si>
  <si>
    <t xml:space="preserve">João Borges</t>
  </si>
  <si>
    <t xml:space="preserve">Borracheiro</t>
  </si>
  <si>
    <t xml:space="preserve">Sérgio Monteiro</t>
  </si>
  <si>
    <t xml:space="preserve">Soldador/Caldeireiro Sr.</t>
  </si>
  <si>
    <t xml:space="preserve">Antônio Silva</t>
  </si>
  <si>
    <t xml:space="preserve">Soldador Pleno</t>
  </si>
  <si>
    <t xml:space="preserve">CHECKLIST — atividades por classe × tipo de preventiva (HH alimenta o cronograma com herança cumulativa)</t>
  </si>
  <si>
    <t xml:space="preserve">Checklist</t>
  </si>
  <si>
    <t xml:space="preserve">Tipo Prev</t>
  </si>
  <si>
    <t xml:space="preserve">Atividade</t>
  </si>
  <si>
    <t xml:space="preserve">Tipo Ativ</t>
  </si>
  <si>
    <t xml:space="preserve">HH</t>
  </si>
  <si>
    <t xml:space="preserve">Insumo</t>
  </si>
  <si>
    <t xml:space="preserve">Qtd Insumo</t>
  </si>
  <si>
    <t xml:space="preserve">Un</t>
  </si>
  <si>
    <t xml:space="preserve">Peça</t>
  </si>
  <si>
    <t xml:space="preserve">Qtd Peça</t>
  </si>
  <si>
    <t xml:space="preserve">Rev. S — Colhedora (250h)</t>
  </si>
  <si>
    <t xml:space="preserve">S</t>
  </si>
  <si>
    <t xml:space="preserve">Troca de óleo do motor</t>
  </si>
  <si>
    <t xml:space="preserve">Mecânico Sr.</t>
  </si>
  <si>
    <t xml:space="preserve">Troca</t>
  </si>
  <si>
    <t xml:space="preserve">Óleo Motor 15W40</t>
  </si>
  <si>
    <t xml:space="preserve">L</t>
  </si>
  <si>
    <t xml:space="preserve">Filtro de óleo</t>
  </si>
  <si>
    <t xml:space="preserve">Troca filtro de combustível</t>
  </si>
  <si>
    <t xml:space="preserve">Filtro combustível</t>
  </si>
  <si>
    <t xml:space="preserve">Inspeção sistema hidráulico</t>
  </si>
  <si>
    <t xml:space="preserve">Inspeção</t>
  </si>
  <si>
    <t xml:space="preserve">Verificação tensão correntes/correias</t>
  </si>
  <si>
    <t xml:space="preserve">Verificação</t>
  </si>
  <si>
    <t xml:space="preserve">Lubrificação de pontos fixos</t>
  </si>
  <si>
    <t xml:space="preserve">Graxa EP2</t>
  </si>
  <si>
    <t xml:space="preserve">kg</t>
  </si>
  <si>
    <t xml:space="preserve">Inspeção elétrica geral</t>
  </si>
  <si>
    <t xml:space="preserve">Eletricista</t>
  </si>
  <si>
    <t xml:space="preserve">Rev. A — Colhedora (500h)</t>
  </si>
  <si>
    <t xml:space="preserve">A</t>
  </si>
  <si>
    <t xml:space="preserve">Troca óleo motor + hidráulico + filtros</t>
  </si>
  <si>
    <t xml:space="preserve">Kit filtros (3 un)</t>
  </si>
  <si>
    <t xml:space="preserve">Regulagem sistema de corte</t>
  </si>
  <si>
    <t xml:space="preserve">Regulagem</t>
  </si>
  <si>
    <t xml:space="preserve">Inspeção e ajuste caixa de câmbio</t>
  </si>
  <si>
    <t xml:space="preserve">Ajuste</t>
  </si>
  <si>
    <t xml:space="preserve">Óleo câmbio SAE 90</t>
  </si>
  <si>
    <t xml:space="preserve">Verificação sistema elétrico completo</t>
  </si>
  <si>
    <t xml:space="preserve">Eletricista Sr.</t>
  </si>
  <si>
    <t xml:space="preserve">Lubrificação e troca graxa pivôs</t>
  </si>
  <si>
    <t xml:space="preserve">Rev. S — Trator (250h)</t>
  </si>
  <si>
    <t xml:space="preserve">Troca óleo motor</t>
  </si>
  <si>
    <t xml:space="preserve">Óleo Motor 10W40</t>
  </si>
  <si>
    <t xml:space="preserve">Verificação freios e embreagem</t>
  </si>
  <si>
    <t xml:space="preserve">Lubrificação pontos fixos</t>
  </si>
  <si>
    <t xml:space="preserve">Rev. S — Caminhão (10Kkm)</t>
  </si>
  <si>
    <t xml:space="preserve">Troca óleo motor + filtro</t>
  </si>
  <si>
    <t xml:space="preserve">Inspeção sistema de freios</t>
  </si>
  <si>
    <t xml:space="preserve">Calibragem e inspeção de pneus</t>
  </si>
  <si>
    <t xml:space="preserve">Calibragem</t>
  </si>
  <si>
    <t xml:space="preserve">Lubrificação chassi e 5ª roda</t>
  </si>
  <si>
    <t xml:space="preserve">Rev. A — Caminhão (20Kkm)</t>
  </si>
  <si>
    <t xml:space="preserve">Troca óleo + filtros + filtro ar</t>
  </si>
  <si>
    <t xml:space="preserve">Kit filtros (2un)</t>
  </si>
  <si>
    <t xml:space="preserve">Regulagem freios e embreagem</t>
  </si>
  <si>
    <t xml:space="preserve">Fluido de freio</t>
  </si>
  <si>
    <t xml:space="preserve">Verificação sistema elétrico + bateria</t>
  </si>
  <si>
    <t xml:space="preserve">Rev. S — Implemento (300h)</t>
  </si>
  <si>
    <t xml:space="preserve">Inspeção estrutural e solda</t>
  </si>
  <si>
    <t xml:space="preserve">Soldador Sr.</t>
  </si>
  <si>
    <t xml:space="preserve">Verificação sistema hidráulico</t>
  </si>
  <si>
    <t xml:space="preserve">Óleo hidráulico</t>
  </si>
  <si>
    <t xml:space="preserve">Lubrificação rolamentos e articulações</t>
  </si>
  <si>
    <t xml:space="preserve">AUXILIAR — 52 semanas a partir do início da safra</t>
  </si>
  <si>
    <t xml:space="preserve">Semana</t>
  </si>
  <si>
    <t xml:space="preserve">Data início</t>
  </si>
  <si>
    <t xml:space="preserve">Data fim</t>
  </si>
  <si>
    <t xml:space="preserve">Safra (1/0)</t>
  </si>
  <si>
    <t xml:space="preserve">Mês (1-12)</t>
  </si>
  <si>
    <t xml:space="preserve">AUXILIAR — uso acumulado por ativo × semana (fim da semana)</t>
  </si>
  <si>
    <t xml:space="preserve">Mês →</t>
  </si>
  <si>
    <t xml:space="preserve">Safra →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</si>
  <si>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</si>
  <si>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</si>
  <si>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</si>
  <si>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</si>
  <si>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</si>
  <si>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</si>
  <si>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</si>
  <si>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</si>
  <si>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</si>
  <si>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</si>
  <si>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</si>
  <si>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</si>
  <si>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</si>
  <si>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</si>
  <si>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</si>
  <si>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</si>
  <si>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</si>
  <si>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</si>
  <si>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</si>
  <si>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</si>
  <si>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</si>
  <si>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</si>
  <si>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</si>
  <si>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</si>
  <si>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</si>
  <si>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</si>
  <si>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</si>
  <si>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</si>
  <si>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</si>
  <si>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</si>
  <si>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</si>
  <si>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</si>
  <si>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</si>
  <si>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</si>
  <si>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</si>
  <si>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</si>
  <si>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</si>
  <si>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</si>
  <si>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</si>
  <si>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</si>
  <si>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</si>
  <si>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</si>
  <si>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</si>
  <si>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</si>
  <si>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</si>
  <si>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</si>
  <si>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</si>
  <si>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</si>
  <si>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</si>
  <si>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</si>
  <si>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</si>
  <si>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</si>
  <si>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CRONOGRAMA — grade Ativo × 52 Semanas (tipo de preventiva disparada; herança cumulativa aplicada no HH)</t>
  </si>
  <si>
    <t xml:space="preserve">S = verde · A = amarelo · B = vermelho (cores Fabio). Semana com fundo escuro no cabeçalho = safra. Gerado automaticamente do uso acumulado × gatilhos.</t>
  </si>
  <si>
    <t xml:space="preserve">AUXILIAR — HH cumulativa por classe × tipo × oficina (herança S⊂A⊂B) e contagem de eventos/ano</t>
  </si>
  <si>
    <t xml:space="preserve">Chave</t>
  </si>
  <si>
    <t xml:space="preserve">Tipo</t>
  </si>
  <si>
    <t xml:space="preserve">HH Total</t>
  </si>
  <si>
    <t xml:space="preserve">Eventos/ano</t>
  </si>
  <si>
    <t xml:space="preserve">B</t>
  </si>
  <si>
    <t xml:space="preserve">AUXILIAR — 1 linha por ativo × semana (base dos planos mensais)</t>
  </si>
  <si>
    <t xml:space="preserve">Prev (1/0)</t>
  </si>
  <si>
    <t xml:space="preserve">HH Mec. Oficina</t>
  </si>
  <si>
    <t xml:space="preserve">HH Mec. Campo</t>
  </si>
  <si>
    <t xml:space="preserve">HH Elétrica</t>
  </si>
  <si>
    <t xml:space="preserve">HH Lubrificação</t>
  </si>
  <si>
    <t xml:space="preserve">HH Borracharia</t>
  </si>
  <si>
    <t xml:space="preserve">HH Caldeiraria</t>
  </si>
  <si>
    <t xml:space="preserve">PLANO DE PREVENTIVAS — HH necessária por oficina × mês (Cronograma × Checklist, herança aplicada)</t>
  </si>
  <si>
    <t xml:space="preserve">TOTAL ANO</t>
  </si>
  <si>
    <t xml:space="preserve">TOTAL</t>
  </si>
  <si>
    <t xml:space="preserve">PLANO DE CORRETIVAS — HH esperada por oficina × mês = Prev × (corr/prev) × deflator progressivo × sazonalidade</t>
  </si>
  <si>
    <t xml:space="preserve">DISPONIBILIDADE — capacidade instalada vs. demanda (prev + corr) por oficina × mês</t>
  </si>
  <si>
    <t xml:space="preserve">Saldo VERMELHO = déficit (requer ação: hora extra, terceiros ou contratação) · AMARELO = margem &lt; 10% · VERDE = ok.</t>
  </si>
  <si>
    <t xml:space="preserve">HH DISPONÍVEL</t>
  </si>
  <si>
    <t xml:space="preserve">HH NECESSÁRIA</t>
  </si>
  <si>
    <t xml:space="preserve">SALDO (disp − nec)</t>
  </si>
  <si>
    <t xml:space="preserve">RECURSOS — headcount necessário vs. atual por oficina × mês</t>
  </si>
  <si>
    <t xml:space="preserve">Necessário = HH demanda ÷ (dias úteis × horas líquidas). Gap VERMELHO = falta gente · VERDE = adequado.</t>
  </si>
  <si>
    <t xml:space="preserve">HC NECESSÁRIO</t>
  </si>
  <si>
    <t xml:space="preserve">HC ATUAL / GAP</t>
  </si>
  <si>
    <t xml:space="preserve">—</t>
  </si>
  <si>
    <t xml:space="preserve">INSUMOS &amp; PEÇAS — demanda anual = quantidade por atividade × nº de execuções (com herança)</t>
  </si>
  <si>
    <t xml:space="preserve">Execuções/ano do item = eventos do tipo do item + eventos dos tipos superiores que o herdam (S conta em S, A e B).</t>
  </si>
  <si>
    <t xml:space="preserve">Execuções/ano</t>
  </si>
  <si>
    <t xml:space="preserve">Demanda Insumo (un)</t>
  </si>
  <si>
    <t xml:space="preserve">Demanda Peças (un)</t>
  </si>
  <si>
    <t xml:space="preserve">SAVING — corretiva sem plano (baseline, deflator = 0) vs. corretiva com plano preventivo</t>
  </si>
  <si>
    <t xml:space="preserve">Baseline = Prev × (corr/prev) × sazonalidade (sem deflator). Saving = (HH baseline − HH com plano) × custo médio/HH da oficina. Argumento direto de EBITDA.</t>
  </si>
  <si>
    <t xml:space="preserve">HH CORR BASELINE</t>
  </si>
  <si>
    <t xml:space="preserve">SAVING (R$)</t>
  </si>
  <si>
    <t xml:space="preserve">SAVING TOTAL</t>
  </si>
  <si>
    <t xml:space="preserve">RESUMO EXECUTIVO — visão consolidada (recalcula em tempo real)</t>
  </si>
  <si>
    <t xml:space="preserve">KPI</t>
  </si>
  <si>
    <t xml:space="preserve">Valor</t>
  </si>
  <si>
    <t xml:space="preserve">Unidade</t>
  </si>
  <si>
    <t xml:space="preserve">Fonte</t>
  </si>
  <si>
    <t xml:space="preserve">Ativos na frota (status Ativo)</t>
  </si>
  <si>
    <t xml:space="preserve">ativos</t>
  </si>
  <si>
    <t xml:space="preserve">Frota</t>
  </si>
  <si>
    <t xml:space="preserve">Equipe de manutenção ativa</t>
  </si>
  <si>
    <t xml:space="preserve">pessoas</t>
  </si>
  <si>
    <t xml:space="preserve">Pessoas</t>
  </si>
  <si>
    <t xml:space="preserve">Custo de MO mensal</t>
  </si>
  <si>
    <t xml:space="preserve">R$/mês</t>
  </si>
  <si>
    <t xml:space="preserve">Preventivas programadas / 12 meses</t>
  </si>
  <si>
    <t xml:space="preserve">preventivas</t>
  </si>
  <si>
    <t xml:space="preserve">Cronograma</t>
  </si>
  <si>
    <t xml:space="preserve">HH Preventiva / ano</t>
  </si>
  <si>
    <t xml:space="preserve">Plan_Prev</t>
  </si>
  <si>
    <t xml:space="preserve">HH Corretiva esperada / ano</t>
  </si>
  <si>
    <t xml:space="preserve">Plan_Corr</t>
  </si>
  <si>
    <t xml:space="preserve">HH Disponível / ano</t>
  </si>
  <si>
    <t xml:space="preserve">Disponibilidade</t>
  </si>
  <si>
    <t xml:space="preserve">Saldo HH anual (disp − nec)</t>
  </si>
  <si>
    <t xml:space="preserve">Saving projetado / ano</t>
  </si>
  <si>
    <t xml:space="preserve">R$</t>
  </si>
  <si>
    <t xml:space="preserve">Saving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</si>
</sst>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1"/>
      <color rgb="FF1F306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5070A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060"/>
        <bgColor rgb="FF333333"/>
      </patternFill>
    </fill>
    <fill>
      <patternFill patternType="solid">
        <fgColor rgb="FFE8EC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5B7"/>
      </left>
      <right style="thin">
        <color rgb="FFB2B5B7"/>
      </right>
      <top style="thin">
        <color rgb="FFB2B5B7"/>
      </top>
      <bottom style="thin">
        <color rgb="FFB2B5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000000"/>
      </font>
      <fill>
        <patternFill>
          <bgColor rgb="FF00FF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FF3300"/>
        </patternFill>
      </fill>
    </dxf>
    <dxf>
      <font>
        <name val="Calibri"/>
        <charset val="1"/>
        <family val="0"/>
        <b val="1"/>
        <color rgb="FF000000"/>
      </font>
      <fill>
        <patternFill>
          <bgColor rgb="FFFFFF00"/>
        </patternFill>
      </fill>
    </dxf>
  </dxf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5B7"/>
      <rgbColor rgb="FF808080"/>
      <rgbColor rgb="FF9999FF"/>
      <rgbColor rgb="FF993366"/>
      <rgbColor rgb="FFFFFFCC"/>
      <rgbColor rgb="FFE8EC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70A0"/>
      <rgbColor rgb="FF969696"/>
      <rgbColor rgb="FF1F3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16.15" hidden="false" customHeight="false" outlineLevel="0" collapsed="false">
      <c r="A1" s="1" t="s">
        <v>0</v>
      </c>
      <c r="B1" s="1"/>
      <c r="C1" s="1"/>
    </row>
    <row r="3" customFormat="false" ht="51.75" hidden="false" customHeight="true" outlineLevel="0" collapsed="false">
      <c r="A3" s="2" t="s">
        <v>1</v>
      </c>
      <c r="B3" s="3" t="s">
        <v>2</v>
      </c>
      <c r="C3" s="4" t="s">
        <v>3</v>
      </c>
    </row>
    <row r="4" customFormat="false" ht="51.75" hidden="false" customHeight="true" outlineLevel="0" collapsed="false">
      <c r="A4" s="2" t="s">
        <v>4</v>
      </c>
      <c r="B4" s="3" t="s">
        <v>5</v>
      </c>
      <c r="C4" s="4" t="s">
        <v>6</v>
      </c>
    </row>
    <row r="5" customFormat="false" ht="51.75" hidden="false" customHeight="true" outlineLevel="0" collapsed="false">
      <c r="A5" s="2" t="s">
        <v>7</v>
      </c>
      <c r="B5" s="3" t="s">
        <v>8</v>
      </c>
      <c r="C5" s="4" t="s">
        <v>9</v>
      </c>
    </row>
    <row r="6" customFormat="false" ht="51.75" hidden="false" customHeight="true" outlineLevel="0" collapsed="false">
      <c r="A6" s="2" t="s">
        <v>10</v>
      </c>
      <c r="B6" s="3" t="s">
        <v>11</v>
      </c>
      <c r="C6" s="4" t="s">
        <v>12</v>
      </c>
    </row>
    <row r="7" customFormat="false" ht="51.75" hidden="false" customHeight="true" outlineLevel="0" collapsed="false">
      <c r="A7" s="2" t="s">
        <v>13</v>
      </c>
      <c r="B7" s="3" t="s">
        <v>14</v>
      </c>
      <c r="C7" s="4" t="s">
        <v>15</v>
      </c>
    </row>
    <row r="8" customFormat="false" ht="51.75" hidden="false" customHeight="true" outlineLevel="0" collapsed="false">
      <c r="A8" s="2" t="s">
        <v>16</v>
      </c>
      <c r="B8" s="3" t="s">
        <v>17</v>
      </c>
      <c r="C8" s="4" t="s">
        <v>18</v>
      </c>
    </row>
    <row r="9" customFormat="false" ht="51.75" hidden="false" customHeight="true" outlineLevel="0" collapsed="false">
      <c r="A9" s="2" t="s">
        <v>19</v>
      </c>
      <c r="B9" s="3" t="s">
        <v>20</v>
      </c>
      <c r="C9" s="4" t="s">
        <v>21</v>
      </c>
    </row>
    <row r="10" customFormat="false" ht="51.75" hidden="false" customHeight="true" outlineLevel="0" collapsed="false">
      <c r="A10" s="2" t="s">
        <v>22</v>
      </c>
      <c r="B10" s="3" t="s">
        <v>23</v>
      </c>
      <c r="C10" s="4" t="s">
        <v>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3"/>
  </cols>
  <sheetData>
    <row r="1" customFormat="false" ht="16.1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26</v>
      </c>
    </row>
    <row r="4" customFormat="false" ht="23.85" hidden="false" customHeight="false" outlineLevel="0" collapsed="false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</row>
    <row r="5" customFormat="false" ht="15" hidden="false" customHeight="false" outlineLevel="0" collapsed="false">
      <c r="A5" s="6" t="s">
        <v>33</v>
      </c>
      <c r="B5" s="7" t="n">
        <v>60</v>
      </c>
      <c r="C5" s="7" t="n">
        <v>40</v>
      </c>
      <c r="D5" s="7" t="str">
        <f aca="false">IF(B5+C5=100,"OK","≠100")</f>
        <v>OK</v>
      </c>
      <c r="E5" s="7" t="n">
        <v>5</v>
      </c>
      <c r="F5" s="7" t="n">
        <v>10</v>
      </c>
    </row>
    <row r="6" customFormat="false" ht="15" hidden="false" customHeight="false" outlineLevel="0" collapsed="false">
      <c r="A6" s="6" t="s">
        <v>34</v>
      </c>
      <c r="B6" s="7" t="n">
        <v>40</v>
      </c>
      <c r="C6" s="7" t="n">
        <v>60</v>
      </c>
      <c r="D6" s="7" t="str">
        <f aca="false">IF(B6+C6=100,"OK","≠100")</f>
        <v>OK</v>
      </c>
      <c r="E6" s="7" t="n">
        <v>8</v>
      </c>
      <c r="F6" s="7" t="n">
        <v>5</v>
      </c>
    </row>
    <row r="7" customFormat="false" ht="15" hidden="false" customHeight="false" outlineLevel="0" collapsed="false">
      <c r="A7" s="6" t="s">
        <v>35</v>
      </c>
      <c r="B7" s="7" t="n">
        <v>55</v>
      </c>
      <c r="C7" s="7" t="n">
        <v>45</v>
      </c>
      <c r="D7" s="7" t="str">
        <f aca="false">IF(B7+C7=100,"OK","≠100")</f>
        <v>OK</v>
      </c>
      <c r="E7" s="7" t="n">
        <v>5</v>
      </c>
      <c r="F7" s="7" t="n">
        <v>15</v>
      </c>
    </row>
    <row r="8" customFormat="false" ht="15" hidden="false" customHeight="false" outlineLevel="0" collapsed="false">
      <c r="A8" s="6" t="s">
        <v>36</v>
      </c>
      <c r="B8" s="7" t="n">
        <v>100</v>
      </c>
      <c r="C8" s="7" t="n">
        <v>0</v>
      </c>
      <c r="D8" s="7" t="str">
        <f aca="false">IF(B8+C8=100,"OK","≠100")</f>
        <v>OK</v>
      </c>
      <c r="E8" s="7" t="n">
        <v>0</v>
      </c>
      <c r="F8" s="7" t="n">
        <v>0</v>
      </c>
    </row>
    <row r="9" customFormat="false" ht="15" hidden="false" customHeight="false" outlineLevel="0" collapsed="false">
      <c r="A9" s="6" t="s">
        <v>37</v>
      </c>
      <c r="B9" s="7" t="n">
        <v>30</v>
      </c>
      <c r="C9" s="7" t="n">
        <v>70</v>
      </c>
      <c r="D9" s="7" t="str">
        <f aca="false">IF(B9+C9=100,"OK","≠100")</f>
        <v>OK</v>
      </c>
      <c r="E9" s="7" t="n">
        <v>5</v>
      </c>
      <c r="F9" s="7" t="n">
        <v>20</v>
      </c>
    </row>
    <row r="10" customFormat="false" ht="15" hidden="false" customHeight="false" outlineLevel="0" collapsed="false">
      <c r="A10" s="6" t="s">
        <v>38</v>
      </c>
      <c r="B10" s="7" t="n">
        <v>20</v>
      </c>
      <c r="C10" s="7" t="n">
        <v>80</v>
      </c>
      <c r="D10" s="7" t="str">
        <f aca="false">IF(B10+C10=100,"OK","≠100")</f>
        <v>OK</v>
      </c>
      <c r="E10" s="7" t="n">
        <v>3</v>
      </c>
      <c r="F10" s="7" t="n">
        <v>30</v>
      </c>
    </row>
    <row r="12" customFormat="false" ht="15" hidden="false" customHeight="false" outlineLevel="0" collapsed="false">
      <c r="A12" s="2" t="s">
        <v>39</v>
      </c>
    </row>
    <row r="13" customFormat="false" ht="23.85" hidden="false" customHeight="false" outlineLevel="0" collapsed="false">
      <c r="A13" s="5" t="s">
        <v>27</v>
      </c>
      <c r="B13" s="5" t="s">
        <v>40</v>
      </c>
      <c r="C13" s="5" t="s">
        <v>41</v>
      </c>
      <c r="D13" s="5" t="s">
        <v>42</v>
      </c>
      <c r="E13" s="5" t="s">
        <v>43</v>
      </c>
      <c r="F13" s="5" t="s">
        <v>44</v>
      </c>
      <c r="G13" s="5" t="s">
        <v>45</v>
      </c>
      <c r="H13" s="5" t="s">
        <v>46</v>
      </c>
      <c r="I13" s="5" t="s">
        <v>47</v>
      </c>
      <c r="J13" s="5" t="s">
        <v>48</v>
      </c>
      <c r="K13" s="5" t="s">
        <v>49</v>
      </c>
    </row>
    <row r="14" customFormat="false" ht="15" hidden="false" customHeight="false" outlineLevel="0" collapsed="false">
      <c r="A14" s="6" t="s">
        <v>33</v>
      </c>
      <c r="B14" s="7" t="n">
        <v>8.8</v>
      </c>
      <c r="C14" s="7" t="n">
        <v>1.2</v>
      </c>
      <c r="D14" s="7" t="n">
        <v>0.17</v>
      </c>
      <c r="E14" s="7" t="n">
        <v>0.25</v>
      </c>
      <c r="F14" s="7" t="n">
        <v>80</v>
      </c>
      <c r="G14" s="7" t="n">
        <v>5</v>
      </c>
      <c r="H14" s="7" t="n">
        <v>8.33</v>
      </c>
      <c r="I14" s="7" t="n">
        <v>16</v>
      </c>
      <c r="J14" s="8" t="n">
        <f aca="false">MAX(0,B14-C14-D14-E14)</f>
        <v>7.18</v>
      </c>
      <c r="K14" s="8" t="n">
        <f aca="false">ROUND(J14*(1-MIN(G14/100+H14/100/12+I14/MAX(1,252*J14),0.99))*(F14/100),2)</f>
        <v>5.37</v>
      </c>
    </row>
    <row r="15" customFormat="false" ht="15" hidden="false" customHeight="false" outlineLevel="0" collapsed="false">
      <c r="A15" s="6" t="s">
        <v>34</v>
      </c>
      <c r="B15" s="7" t="n">
        <v>9</v>
      </c>
      <c r="C15" s="7" t="n">
        <v>1</v>
      </c>
      <c r="D15" s="7" t="n">
        <v>0.17</v>
      </c>
      <c r="E15" s="7" t="n">
        <v>0.17</v>
      </c>
      <c r="F15" s="7" t="n">
        <v>75</v>
      </c>
      <c r="G15" s="7" t="n">
        <v>6</v>
      </c>
      <c r="H15" s="7" t="n">
        <v>8.33</v>
      </c>
      <c r="I15" s="7" t="n">
        <v>12</v>
      </c>
      <c r="J15" s="8" t="n">
        <f aca="false">MAX(0,B15-C15-D15-E15)</f>
        <v>7.66</v>
      </c>
      <c r="K15" s="8" t="n">
        <f aca="false">ROUND(J15*(1-MIN(G15/100+H15/100/12+I15/MAX(1,252*J15),0.99))*(F15/100),2)</f>
        <v>5.32</v>
      </c>
    </row>
    <row r="16" customFormat="false" ht="15" hidden="false" customHeight="false" outlineLevel="0" collapsed="false">
      <c r="A16" s="6" t="s">
        <v>35</v>
      </c>
      <c r="B16" s="7" t="n">
        <v>8.8</v>
      </c>
      <c r="C16" s="7" t="n">
        <v>1.2</v>
      </c>
      <c r="D16" s="7" t="n">
        <v>0.17</v>
      </c>
      <c r="E16" s="7" t="n">
        <v>0.25</v>
      </c>
      <c r="F16" s="7" t="n">
        <v>80</v>
      </c>
      <c r="G16" s="7" t="n">
        <v>5</v>
      </c>
      <c r="H16" s="7" t="n">
        <v>8.33</v>
      </c>
      <c r="I16" s="7" t="n">
        <v>16</v>
      </c>
      <c r="J16" s="8" t="n">
        <f aca="false">MAX(0,B16-C16-D16-E16)</f>
        <v>7.18</v>
      </c>
      <c r="K16" s="8" t="n">
        <f aca="false">ROUND(J16*(1-MIN(G16/100+H16/100/12+I16/MAX(1,252*J16),0.99))*(F16/100),2)</f>
        <v>5.37</v>
      </c>
    </row>
    <row r="17" customFormat="false" ht="15" hidden="false" customHeight="false" outlineLevel="0" collapsed="false">
      <c r="A17" s="6" t="s">
        <v>36</v>
      </c>
      <c r="B17" s="7" t="n">
        <v>8.8</v>
      </c>
      <c r="C17" s="7" t="n">
        <v>1</v>
      </c>
      <c r="D17" s="7" t="n">
        <v>0.17</v>
      </c>
      <c r="E17" s="7" t="n">
        <v>0.17</v>
      </c>
      <c r="F17" s="7" t="n">
        <v>85</v>
      </c>
      <c r="G17" s="7" t="n">
        <v>4</v>
      </c>
      <c r="H17" s="7" t="n">
        <v>8.33</v>
      </c>
      <c r="I17" s="7" t="n">
        <v>8</v>
      </c>
      <c r="J17" s="8" t="n">
        <f aca="false">MAX(0,B17-C17-D17-E17)</f>
        <v>7.46</v>
      </c>
      <c r="K17" s="8" t="n">
        <f aca="false">ROUND(J17*(1-MIN(G17/100+H17/100/12+I17/MAX(1,252*J17),0.99))*(F17/100),2)</f>
        <v>6.02</v>
      </c>
    </row>
    <row r="18" customFormat="false" ht="15" hidden="false" customHeight="false" outlineLevel="0" collapsed="false">
      <c r="A18" s="6" t="s">
        <v>37</v>
      </c>
      <c r="B18" s="7" t="n">
        <v>8.8</v>
      </c>
      <c r="C18" s="7" t="n">
        <v>1</v>
      </c>
      <c r="D18" s="7" t="n">
        <v>0.17</v>
      </c>
      <c r="E18" s="7" t="n">
        <v>0.17</v>
      </c>
      <c r="F18" s="7" t="n">
        <v>82</v>
      </c>
      <c r="G18" s="7" t="n">
        <v>5</v>
      </c>
      <c r="H18" s="7" t="n">
        <v>8.33</v>
      </c>
      <c r="I18" s="7" t="n">
        <v>8</v>
      </c>
      <c r="J18" s="8" t="n">
        <f aca="false">MAX(0,B18-C18-D18-E18)</f>
        <v>7.46</v>
      </c>
      <c r="K18" s="8" t="n">
        <f aca="false">ROUND(J18*(1-MIN(G18/100+H18/100/12+I18/MAX(1,252*J18),0.99))*(F18/100),2)</f>
        <v>5.74</v>
      </c>
    </row>
    <row r="19" customFormat="false" ht="15" hidden="false" customHeight="false" outlineLevel="0" collapsed="false">
      <c r="A19" s="6" t="s">
        <v>38</v>
      </c>
      <c r="B19" s="7" t="n">
        <v>8.8</v>
      </c>
      <c r="C19" s="7" t="n">
        <v>1.2</v>
      </c>
      <c r="D19" s="7" t="n">
        <v>0.17</v>
      </c>
      <c r="E19" s="7" t="n">
        <v>0.25</v>
      </c>
      <c r="F19" s="7" t="n">
        <v>78</v>
      </c>
      <c r="G19" s="7" t="n">
        <v>5</v>
      </c>
      <c r="H19" s="7" t="n">
        <v>8.33</v>
      </c>
      <c r="I19" s="7" t="n">
        <v>16</v>
      </c>
      <c r="J19" s="8" t="n">
        <f aca="false">MAX(0,B19-C19-D19-E19)</f>
        <v>7.18</v>
      </c>
      <c r="K19" s="8" t="n">
        <f aca="false">ROUND(J19*(1-MIN(G19/100+H19/100/12+I19/MAX(1,252*J19),0.99))*(F19/100),2)</f>
        <v>5.23</v>
      </c>
    </row>
    <row r="21" customFormat="false" ht="15" hidden="false" customHeight="false" outlineLevel="0" collapsed="false">
      <c r="A21" s="2" t="s">
        <v>50</v>
      </c>
      <c r="F21" s="6" t="s">
        <v>51</v>
      </c>
      <c r="G21" s="9" t="s">
        <v>52</v>
      </c>
    </row>
    <row r="22" customFormat="false" ht="35.05" hidden="false" customHeight="false" outlineLevel="0" collapsed="false">
      <c r="A22" s="5" t="s">
        <v>53</v>
      </c>
      <c r="B22" s="5" t="s">
        <v>54</v>
      </c>
      <c r="C22" s="5" t="s">
        <v>55</v>
      </c>
      <c r="D22" s="5" t="s">
        <v>56</v>
      </c>
      <c r="F22" s="6" t="s">
        <v>57</v>
      </c>
      <c r="G22" s="9" t="s">
        <v>58</v>
      </c>
    </row>
    <row r="23" customFormat="false" ht="15" hidden="false" customHeight="false" outlineLevel="0" collapsed="false">
      <c r="A23" s="6" t="s">
        <v>59</v>
      </c>
      <c r="B23" s="9" t="n">
        <v>22</v>
      </c>
      <c r="C23" s="9" t="n">
        <v>1.8</v>
      </c>
      <c r="D23" s="9" t="s">
        <v>60</v>
      </c>
    </row>
    <row r="24" customFormat="false" ht="15" hidden="false" customHeight="false" outlineLevel="0" collapsed="false">
      <c r="A24" s="6" t="s">
        <v>61</v>
      </c>
      <c r="B24" s="9" t="n">
        <v>20</v>
      </c>
      <c r="C24" s="9" t="n">
        <v>1.5</v>
      </c>
      <c r="D24" s="9" t="s">
        <v>60</v>
      </c>
    </row>
    <row r="25" customFormat="false" ht="15" hidden="false" customHeight="false" outlineLevel="0" collapsed="false">
      <c r="A25" s="6" t="s">
        <v>62</v>
      </c>
      <c r="B25" s="9" t="n">
        <v>22</v>
      </c>
      <c r="C25" s="9" t="n">
        <v>1.3</v>
      </c>
      <c r="D25" s="9" t="s">
        <v>60</v>
      </c>
    </row>
    <row r="26" customFormat="false" ht="15" hidden="false" customHeight="false" outlineLevel="0" collapsed="false">
      <c r="A26" s="6" t="s">
        <v>63</v>
      </c>
      <c r="B26" s="9" t="n">
        <v>20</v>
      </c>
      <c r="C26" s="9" t="n">
        <v>1.2</v>
      </c>
      <c r="D26" s="9" t="s">
        <v>60</v>
      </c>
    </row>
    <row r="27" customFormat="false" ht="15" hidden="false" customHeight="false" outlineLevel="0" collapsed="false">
      <c r="A27" s="6" t="s">
        <v>64</v>
      </c>
      <c r="B27" s="9" t="n">
        <v>20</v>
      </c>
      <c r="C27" s="9" t="n">
        <v>1.1</v>
      </c>
      <c r="D27" s="9" t="s">
        <v>60</v>
      </c>
    </row>
    <row r="28" customFormat="false" ht="15" hidden="false" customHeight="false" outlineLevel="0" collapsed="false">
      <c r="A28" s="6" t="s">
        <v>65</v>
      </c>
      <c r="B28" s="9" t="n">
        <v>22</v>
      </c>
      <c r="C28" s="9" t="n">
        <v>1</v>
      </c>
      <c r="D28" s="9" t="s">
        <v>60</v>
      </c>
    </row>
    <row r="29" customFormat="false" ht="15" hidden="false" customHeight="false" outlineLevel="0" collapsed="false">
      <c r="A29" s="6" t="s">
        <v>66</v>
      </c>
      <c r="B29" s="9" t="n">
        <v>21</v>
      </c>
      <c r="C29" s="9" t="n">
        <v>0.7</v>
      </c>
      <c r="D29" s="9" t="s">
        <v>67</v>
      </c>
    </row>
    <row r="30" customFormat="false" ht="15" hidden="false" customHeight="false" outlineLevel="0" collapsed="false">
      <c r="A30" s="6" t="s">
        <v>68</v>
      </c>
      <c r="B30" s="9" t="n">
        <v>20</v>
      </c>
      <c r="C30" s="9" t="n">
        <v>0.6</v>
      </c>
      <c r="D30" s="9" t="s">
        <v>67</v>
      </c>
    </row>
    <row r="31" customFormat="false" ht="15" hidden="false" customHeight="false" outlineLevel="0" collapsed="false">
      <c r="A31" s="6" t="s">
        <v>69</v>
      </c>
      <c r="B31" s="9" t="n">
        <v>23</v>
      </c>
      <c r="C31" s="9" t="n">
        <v>0.7</v>
      </c>
      <c r="D31" s="9" t="s">
        <v>67</v>
      </c>
    </row>
    <row r="32" customFormat="false" ht="15" hidden="false" customHeight="false" outlineLevel="0" collapsed="false">
      <c r="A32" s="6" t="s">
        <v>70</v>
      </c>
      <c r="B32" s="9" t="n">
        <v>22</v>
      </c>
      <c r="C32" s="9" t="n">
        <v>0.9</v>
      </c>
      <c r="D32" s="9" t="s">
        <v>67</v>
      </c>
    </row>
    <row r="33" customFormat="false" ht="15" hidden="false" customHeight="false" outlineLevel="0" collapsed="false">
      <c r="A33" s="6" t="s">
        <v>71</v>
      </c>
      <c r="B33" s="9" t="n">
        <v>21</v>
      </c>
      <c r="C33" s="9" t="n">
        <v>1</v>
      </c>
      <c r="D33" s="9" t="s">
        <v>67</v>
      </c>
    </row>
    <row r="34" customFormat="false" ht="15" hidden="false" customHeight="false" outlineLevel="0" collapsed="false">
      <c r="A34" s="6" t="s">
        <v>72</v>
      </c>
      <c r="B34" s="9" t="n">
        <v>23</v>
      </c>
      <c r="C34" s="9" t="n">
        <v>1.4</v>
      </c>
      <c r="D34" s="9" t="s">
        <v>60</v>
      </c>
    </row>
    <row r="35" customFormat="false" ht="15" hidden="false" customHeight="false" outlineLevel="0" collapsed="false">
      <c r="A35" s="10" t="s">
        <v>73</v>
      </c>
      <c r="B35" s="10" t="n">
        <f aca="false">SUM(B23:B34)</f>
        <v>256</v>
      </c>
      <c r="C35" s="10" t="n">
        <f aca="false">ROUND(AVERAGE(C23:C34),2)</f>
        <v>1.1</v>
      </c>
      <c r="D35" s="9"/>
    </row>
    <row r="37" customFormat="false" ht="15" hidden="false" customHeight="false" outlineLevel="0" collapsed="false">
      <c r="A37" s="2" t="s">
        <v>74</v>
      </c>
    </row>
    <row r="38" customFormat="false" ht="23.85" hidden="false" customHeight="false" outlineLevel="0" collapsed="false">
      <c r="A38" s="5" t="s">
        <v>75</v>
      </c>
      <c r="B38" s="5" t="s">
        <v>76</v>
      </c>
      <c r="C38" s="5" t="s">
        <v>77</v>
      </c>
      <c r="D38" s="5" t="s">
        <v>78</v>
      </c>
      <c r="E38" s="5" t="s">
        <v>79</v>
      </c>
    </row>
    <row r="39" customFormat="false" ht="15" hidden="false" customHeight="false" outlineLevel="0" collapsed="false">
      <c r="A39" s="6" t="s">
        <v>80</v>
      </c>
      <c r="B39" s="7" t="s">
        <v>81</v>
      </c>
      <c r="C39" s="7" t="n">
        <v>250</v>
      </c>
      <c r="D39" s="7" t="n">
        <v>500</v>
      </c>
      <c r="E39" s="7" t="n">
        <v>1000</v>
      </c>
    </row>
    <row r="40" customFormat="false" ht="15" hidden="false" customHeight="false" outlineLevel="0" collapsed="false">
      <c r="A40" s="6" t="s">
        <v>82</v>
      </c>
      <c r="B40" s="7" t="s">
        <v>81</v>
      </c>
      <c r="C40" s="7" t="n">
        <v>250</v>
      </c>
      <c r="D40" s="7" t="n">
        <v>500</v>
      </c>
      <c r="E40" s="7" t="n">
        <v>1000</v>
      </c>
    </row>
    <row r="41" customFormat="false" ht="15" hidden="false" customHeight="false" outlineLevel="0" collapsed="false">
      <c r="A41" s="6" t="s">
        <v>83</v>
      </c>
      <c r="B41" s="7" t="s">
        <v>84</v>
      </c>
      <c r="C41" s="7" t="n">
        <v>10000</v>
      </c>
      <c r="D41" s="7" t="n">
        <v>20000</v>
      </c>
      <c r="E41" s="7" t="n">
        <v>40000</v>
      </c>
    </row>
    <row r="42" customFormat="false" ht="15" hidden="false" customHeight="false" outlineLevel="0" collapsed="false">
      <c r="A42" s="6" t="s">
        <v>85</v>
      </c>
      <c r="B42" s="7" t="s">
        <v>81</v>
      </c>
      <c r="C42" s="7" t="n">
        <v>300</v>
      </c>
      <c r="D42" s="7" t="n">
        <v>600</v>
      </c>
      <c r="E42" s="7"/>
    </row>
    <row r="43" customFormat="false" ht="15" hidden="false" customHeight="false" outlineLevel="0" collapsed="false">
      <c r="A43" s="6" t="s">
        <v>86</v>
      </c>
      <c r="B43" s="7" t="s">
        <v>84</v>
      </c>
      <c r="C43" s="7" t="n">
        <v>10000</v>
      </c>
      <c r="D43" s="7" t="n">
        <v>20000</v>
      </c>
      <c r="E43" s="7"/>
    </row>
  </sheetData>
  <mergeCells count="1">
    <mergeCell ref="A1:K1"/>
  </mergeCells>
  <conditionalFormatting sqref="D5:D10">
    <cfRule type="expression" priority="2" aboveAverage="0" equalAverage="0" bottom="0" percent="0" rank="0" text="" dxfId="0">
      <formula>EXACT(D5,"OK")</formula>
    </cfRule>
    <cfRule type="expression" priority="3" aboveAverage="0" equalAverage="0" bottom="0" percent="0" rank="0" text="" dxfId="1">
      <formula>NOT(EXACT(D5,"OK"))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6.15" hidden="false" customHeight="fals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11" t="s">
        <v>88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customFormat="false" ht="23.85" hidden="false" customHeight="false" outlineLevel="0" collapsed="false">
      <c r="A4" s="5" t="s">
        <v>89</v>
      </c>
      <c r="B4" s="5" t="s">
        <v>75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  <c r="I4" s="5" t="s">
        <v>96</v>
      </c>
      <c r="J4" s="5" t="s">
        <v>97</v>
      </c>
      <c r="K4" s="5" t="s">
        <v>98</v>
      </c>
      <c r="L4" s="5" t="s">
        <v>99</v>
      </c>
      <c r="M4" s="5" t="s">
        <v>100</v>
      </c>
    </row>
    <row r="5" customFormat="false" ht="15" hidden="false" customHeight="false" outlineLevel="0" collapsed="false">
      <c r="A5" s="7" t="s">
        <v>101</v>
      </c>
      <c r="B5" s="7" t="s">
        <v>80</v>
      </c>
      <c r="C5" s="7" t="s">
        <v>102</v>
      </c>
      <c r="D5" s="7" t="s">
        <v>103</v>
      </c>
      <c r="E5" s="7" t="n">
        <v>2018</v>
      </c>
      <c r="F5" s="7" t="s">
        <v>104</v>
      </c>
      <c r="G5" s="7" t="s">
        <v>105</v>
      </c>
      <c r="H5" s="7" t="s">
        <v>81</v>
      </c>
      <c r="I5" s="7" t="n">
        <v>5780</v>
      </c>
      <c r="J5" s="7" t="n">
        <v>45</v>
      </c>
      <c r="K5" s="7" t="n">
        <v>8</v>
      </c>
      <c r="L5" s="7" t="n">
        <v>250</v>
      </c>
      <c r="M5" s="7" t="s">
        <v>106</v>
      </c>
    </row>
    <row r="6" customFormat="false" ht="15" hidden="false" customHeight="false" outlineLevel="0" collapsed="false">
      <c r="A6" s="7" t="s">
        <v>107</v>
      </c>
      <c r="B6" s="7" t="s">
        <v>80</v>
      </c>
      <c r="C6" s="7" t="s">
        <v>102</v>
      </c>
      <c r="D6" s="7" t="s">
        <v>103</v>
      </c>
      <c r="E6" s="7" t="n">
        <v>2019</v>
      </c>
      <c r="F6" s="7" t="s">
        <v>104</v>
      </c>
      <c r="G6" s="7" t="s">
        <v>105</v>
      </c>
      <c r="H6" s="7" t="s">
        <v>81</v>
      </c>
      <c r="I6" s="7" t="n">
        <v>4490</v>
      </c>
      <c r="J6" s="7" t="n">
        <v>44</v>
      </c>
      <c r="K6" s="7" t="n">
        <v>8</v>
      </c>
      <c r="L6" s="7" t="n">
        <v>250</v>
      </c>
      <c r="M6" s="7" t="s">
        <v>106</v>
      </c>
    </row>
    <row r="7" customFormat="false" ht="15" hidden="false" customHeight="false" outlineLevel="0" collapsed="false">
      <c r="A7" s="7" t="s">
        <v>108</v>
      </c>
      <c r="B7" s="7" t="s">
        <v>80</v>
      </c>
      <c r="C7" s="7" t="s">
        <v>109</v>
      </c>
      <c r="D7" s="7" t="s">
        <v>110</v>
      </c>
      <c r="E7" s="7" t="n">
        <v>2017</v>
      </c>
      <c r="F7" s="7" t="s">
        <v>104</v>
      </c>
      <c r="G7" s="7" t="s">
        <v>105</v>
      </c>
      <c r="H7" s="7" t="s">
        <v>81</v>
      </c>
      <c r="I7" s="7" t="n">
        <v>8860</v>
      </c>
      <c r="J7" s="7" t="n">
        <v>41</v>
      </c>
      <c r="K7" s="7" t="n">
        <v>8</v>
      </c>
      <c r="L7" s="7" t="n">
        <v>250</v>
      </c>
      <c r="M7" s="7" t="s">
        <v>106</v>
      </c>
    </row>
    <row r="8" customFormat="false" ht="15" hidden="false" customHeight="false" outlineLevel="0" collapsed="false">
      <c r="A8" s="7" t="s">
        <v>111</v>
      </c>
      <c r="B8" s="7" t="s">
        <v>80</v>
      </c>
      <c r="C8" s="7" t="s">
        <v>112</v>
      </c>
      <c r="D8" s="7" t="s">
        <v>103</v>
      </c>
      <c r="E8" s="7" t="n">
        <v>2021</v>
      </c>
      <c r="F8" s="7" t="s">
        <v>104</v>
      </c>
      <c r="G8" s="7" t="s">
        <v>105</v>
      </c>
      <c r="H8" s="7" t="s">
        <v>81</v>
      </c>
      <c r="I8" s="7" t="n">
        <v>1200</v>
      </c>
      <c r="J8" s="7" t="n">
        <v>48</v>
      </c>
      <c r="K8" s="7" t="n">
        <v>8</v>
      </c>
      <c r="L8" s="7" t="n">
        <v>250</v>
      </c>
      <c r="M8" s="7" t="s">
        <v>113</v>
      </c>
    </row>
    <row r="9" customFormat="false" ht="15" hidden="false" customHeight="false" outlineLevel="0" collapsed="false">
      <c r="A9" s="7" t="s">
        <v>114</v>
      </c>
      <c r="B9" s="7" t="s">
        <v>82</v>
      </c>
      <c r="C9" s="7" t="s">
        <v>115</v>
      </c>
      <c r="D9" s="7" t="s">
        <v>116</v>
      </c>
      <c r="E9" s="7" t="n">
        <v>2020</v>
      </c>
      <c r="F9" s="7" t="s">
        <v>104</v>
      </c>
      <c r="G9" s="7" t="s">
        <v>105</v>
      </c>
      <c r="H9" s="7" t="s">
        <v>81</v>
      </c>
      <c r="I9" s="7" t="n">
        <v>3200</v>
      </c>
      <c r="J9" s="7" t="n">
        <v>50</v>
      </c>
      <c r="K9" s="7" t="n">
        <v>12</v>
      </c>
      <c r="L9" s="7" t="n">
        <v>250</v>
      </c>
      <c r="M9" s="7" t="s">
        <v>106</v>
      </c>
    </row>
    <row r="10" customFormat="false" ht="15" hidden="false" customHeight="false" outlineLevel="0" collapsed="false">
      <c r="A10" s="7" t="s">
        <v>117</v>
      </c>
      <c r="B10" s="7" t="s">
        <v>82</v>
      </c>
      <c r="C10" s="7" t="s">
        <v>115</v>
      </c>
      <c r="D10" s="7" t="s">
        <v>116</v>
      </c>
      <c r="E10" s="7" t="n">
        <v>2021</v>
      </c>
      <c r="F10" s="7" t="s">
        <v>104</v>
      </c>
      <c r="G10" s="7" t="s">
        <v>105</v>
      </c>
      <c r="H10" s="7" t="s">
        <v>81</v>
      </c>
      <c r="I10" s="7" t="n">
        <v>2100</v>
      </c>
      <c r="J10" s="7" t="n">
        <v>49</v>
      </c>
      <c r="K10" s="7" t="n">
        <v>12</v>
      </c>
      <c r="L10" s="7" t="n">
        <v>250</v>
      </c>
      <c r="M10" s="7" t="s">
        <v>113</v>
      </c>
    </row>
    <row r="11" customFormat="false" ht="15" hidden="false" customHeight="false" outlineLevel="0" collapsed="false">
      <c r="A11" s="7" t="s">
        <v>118</v>
      </c>
      <c r="B11" s="7" t="s">
        <v>82</v>
      </c>
      <c r="C11" s="7" t="s">
        <v>119</v>
      </c>
      <c r="D11" s="7" t="s">
        <v>103</v>
      </c>
      <c r="E11" s="7" t="n">
        <v>2019</v>
      </c>
      <c r="F11" s="7" t="s">
        <v>104</v>
      </c>
      <c r="G11" s="7" t="s">
        <v>105</v>
      </c>
      <c r="H11" s="7" t="s">
        <v>81</v>
      </c>
      <c r="I11" s="7" t="n">
        <v>4100</v>
      </c>
      <c r="J11" s="7" t="n">
        <v>46</v>
      </c>
      <c r="K11" s="7" t="n">
        <v>12</v>
      </c>
      <c r="L11" s="7" t="n">
        <v>250</v>
      </c>
      <c r="M11" s="7" t="s">
        <v>106</v>
      </c>
    </row>
    <row r="12" customFormat="false" ht="15" hidden="false" customHeight="false" outlineLevel="0" collapsed="false">
      <c r="A12" s="7" t="s">
        <v>120</v>
      </c>
      <c r="B12" s="7" t="s">
        <v>83</v>
      </c>
      <c r="C12" s="7" t="s">
        <v>121</v>
      </c>
      <c r="D12" s="7" t="s">
        <v>122</v>
      </c>
      <c r="E12" s="7" t="n">
        <v>2015</v>
      </c>
      <c r="F12" s="7" t="s">
        <v>104</v>
      </c>
      <c r="G12" s="7" t="s">
        <v>105</v>
      </c>
      <c r="H12" s="7" t="s">
        <v>84</v>
      </c>
      <c r="I12" s="7" t="n">
        <v>304000</v>
      </c>
      <c r="J12" s="7" t="n">
        <v>1400</v>
      </c>
      <c r="K12" s="7" t="n">
        <v>500</v>
      </c>
      <c r="L12" s="7" t="n">
        <v>10000</v>
      </c>
      <c r="M12" s="7" t="s">
        <v>106</v>
      </c>
    </row>
    <row r="13" customFormat="false" ht="15" hidden="false" customHeight="false" outlineLevel="0" collapsed="false">
      <c r="A13" s="7" t="s">
        <v>123</v>
      </c>
      <c r="B13" s="7" t="s">
        <v>83</v>
      </c>
      <c r="C13" s="7" t="s">
        <v>124</v>
      </c>
      <c r="D13" s="7" t="s">
        <v>122</v>
      </c>
      <c r="E13" s="7" t="n">
        <v>2020</v>
      </c>
      <c r="F13" s="7" t="s">
        <v>104</v>
      </c>
      <c r="G13" s="7" t="s">
        <v>105</v>
      </c>
      <c r="H13" s="7" t="s">
        <v>84</v>
      </c>
      <c r="I13" s="7" t="n">
        <v>85000</v>
      </c>
      <c r="J13" s="7" t="n">
        <v>1350</v>
      </c>
      <c r="K13" s="7" t="n">
        <v>480</v>
      </c>
      <c r="L13" s="7" t="n">
        <v>10000</v>
      </c>
      <c r="M13" s="7" t="s">
        <v>113</v>
      </c>
    </row>
    <row r="14" customFormat="false" ht="15" hidden="false" customHeight="false" outlineLevel="0" collapsed="false">
      <c r="A14" s="7" t="s">
        <v>125</v>
      </c>
      <c r="B14" s="7" t="s">
        <v>85</v>
      </c>
      <c r="C14" s="7" t="s">
        <v>126</v>
      </c>
      <c r="D14" s="7" t="s">
        <v>127</v>
      </c>
      <c r="E14" s="7" t="n">
        <v>2018</v>
      </c>
      <c r="F14" s="7" t="s">
        <v>104</v>
      </c>
      <c r="G14" s="7" t="s">
        <v>105</v>
      </c>
      <c r="H14" s="7" t="s">
        <v>81</v>
      </c>
      <c r="I14" s="7" t="n">
        <v>4200</v>
      </c>
      <c r="J14" s="7" t="n">
        <v>40</v>
      </c>
      <c r="K14" s="7" t="n">
        <v>8</v>
      </c>
      <c r="L14" s="7" t="n">
        <v>300</v>
      </c>
      <c r="M14" s="7" t="s">
        <v>106</v>
      </c>
    </row>
    <row r="15" customFormat="false" ht="15" hidden="false" customHeight="false" outlineLevel="0" collapsed="false">
      <c r="A15" s="7" t="s">
        <v>128</v>
      </c>
      <c r="B15" s="7" t="s">
        <v>85</v>
      </c>
      <c r="C15" s="7" t="s">
        <v>129</v>
      </c>
      <c r="D15" s="7" t="s">
        <v>130</v>
      </c>
      <c r="E15" s="7" t="n">
        <v>2019</v>
      </c>
      <c r="F15" s="7" t="s">
        <v>104</v>
      </c>
      <c r="G15" s="7" t="s">
        <v>105</v>
      </c>
      <c r="H15" s="7" t="s">
        <v>81</v>
      </c>
      <c r="I15" s="7" t="n">
        <v>2800</v>
      </c>
      <c r="J15" s="7" t="n">
        <v>32</v>
      </c>
      <c r="K15" s="7" t="n">
        <v>6</v>
      </c>
      <c r="L15" s="7" t="n">
        <v>300</v>
      </c>
      <c r="M15" s="7" t="s">
        <v>106</v>
      </c>
    </row>
    <row r="16" customFormat="false" ht="15" hidden="false" customHeight="false" outlineLevel="0" collapsed="false">
      <c r="A16" s="7" t="s">
        <v>131</v>
      </c>
      <c r="B16" s="7" t="s">
        <v>86</v>
      </c>
      <c r="C16" s="7" t="s">
        <v>132</v>
      </c>
      <c r="D16" s="7" t="s">
        <v>133</v>
      </c>
      <c r="E16" s="7" t="n">
        <v>2022</v>
      </c>
      <c r="F16" s="7" t="s">
        <v>104</v>
      </c>
      <c r="G16" s="7" t="s">
        <v>105</v>
      </c>
      <c r="H16" s="7" t="s">
        <v>84</v>
      </c>
      <c r="I16" s="7" t="n">
        <v>32000</v>
      </c>
      <c r="J16" s="7" t="n">
        <v>700</v>
      </c>
      <c r="K16" s="7" t="n">
        <v>400</v>
      </c>
      <c r="L16" s="7" t="n">
        <v>10000</v>
      </c>
      <c r="M16" s="7" t="s">
        <v>113</v>
      </c>
    </row>
    <row r="17" customFormat="false" ht="15" hidden="false" customHeight="false" outlineLevel="0" collapsed="false">
      <c r="A17" s="7" t="s">
        <v>134</v>
      </c>
      <c r="B17" s="7" t="s">
        <v>86</v>
      </c>
      <c r="C17" s="7" t="s">
        <v>135</v>
      </c>
      <c r="D17" s="7" t="s">
        <v>136</v>
      </c>
      <c r="E17" s="7" t="n">
        <v>2021</v>
      </c>
      <c r="F17" s="7" t="s">
        <v>104</v>
      </c>
      <c r="G17" s="7" t="s">
        <v>105</v>
      </c>
      <c r="H17" s="7" t="s">
        <v>84</v>
      </c>
      <c r="I17" s="7" t="n">
        <v>48000</v>
      </c>
      <c r="J17" s="7" t="n">
        <v>850</v>
      </c>
      <c r="K17" s="7" t="n">
        <v>450</v>
      </c>
      <c r="L17" s="7" t="n">
        <v>10000</v>
      </c>
      <c r="M17" s="7" t="s">
        <v>106</v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</sheetData>
  <mergeCells count="2">
    <mergeCell ref="A1:M1"/>
    <mergeCell ref="A2:M2"/>
  </mergeCells>
  <dataValidations count="4">
    <dataValidation allowBlank="true" errorStyle="stop" operator="between" showDropDown="false" showErrorMessage="false" showInputMessage="false" sqref="B5:B34" type="list">
      <formula1>"Colhedora,Trator,Caminhão,Implemento,Veículo Leve"</formula1>
      <formula2>0</formula2>
    </dataValidation>
    <dataValidation allowBlank="true" errorStyle="stop" operator="between" showDropDown="false" showErrorMessage="false" showInputMessage="false" sqref="G5:G34" type="list">
      <formula1>"Ativo,Reforma,Inativo,Vendido"</formula1>
      <formula2>0</formula2>
    </dataValidation>
    <dataValidation allowBlank="true" errorStyle="stop" operator="between" showDropDown="false" showErrorMessage="false" showInputMessage="false" sqref="H5:H34" type="list">
      <formula1>"Horas,KM"</formula1>
      <formula2>0</formula2>
    </dataValidation>
    <dataValidation allowBlank="true" errorStyle="stop" operator="between" showDropDown="false" showErrorMessage="false" showInputMessage="false" sqref="M5:M34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16.15" hidden="false" customHeight="false" outlineLevel="0" collapsed="false">
      <c r="A1" s="1" t="s">
        <v>137</v>
      </c>
      <c r="B1" s="1"/>
      <c r="C1" s="1"/>
      <c r="D1" s="1"/>
      <c r="E1" s="1"/>
      <c r="F1" s="1"/>
      <c r="G1" s="1"/>
      <c r="H1" s="1"/>
      <c r="I1" s="1"/>
    </row>
    <row r="4" customFormat="false" ht="23.85" hidden="false" customHeight="false" outlineLevel="0" collapsed="false">
      <c r="A4" s="5" t="s">
        <v>89</v>
      </c>
      <c r="B4" s="5" t="s">
        <v>138</v>
      </c>
      <c r="C4" s="5" t="s">
        <v>27</v>
      </c>
      <c r="D4" s="5" t="s">
        <v>139</v>
      </c>
      <c r="E4" s="5" t="s">
        <v>140</v>
      </c>
      <c r="F4" s="5" t="s">
        <v>141</v>
      </c>
      <c r="G4" s="5" t="s">
        <v>94</v>
      </c>
      <c r="H4" s="5" t="s">
        <v>142</v>
      </c>
      <c r="I4" s="5" t="s">
        <v>143</v>
      </c>
    </row>
    <row r="5" customFormat="false" ht="15" hidden="false" customHeight="false" outlineLevel="0" collapsed="false">
      <c r="A5" s="7" t="s">
        <v>144</v>
      </c>
      <c r="B5" s="7" t="s">
        <v>145</v>
      </c>
      <c r="C5" s="7" t="s">
        <v>33</v>
      </c>
      <c r="D5" s="7" t="s">
        <v>146</v>
      </c>
      <c r="E5" s="7" t="n">
        <v>7500</v>
      </c>
      <c r="F5" s="7" t="n">
        <v>72</v>
      </c>
      <c r="G5" s="7" t="s">
        <v>105</v>
      </c>
      <c r="H5" s="8" t="n">
        <f aca="false">IF($A5="","",ROUND(E5*(1+F5/100),2))</f>
        <v>12900</v>
      </c>
      <c r="I5" s="8" t="n">
        <f aca="false">IF($A5="","",ROUND(H5/MAX(1,(Premissas!$B$35/12)*VLOOKUP(C5,Premissas!$A$14:$K$19,11,0)),2))</f>
        <v>112.6</v>
      </c>
    </row>
    <row r="6" customFormat="false" ht="15" hidden="false" customHeight="false" outlineLevel="0" collapsed="false">
      <c r="A6" s="7" t="s">
        <v>147</v>
      </c>
      <c r="B6" s="7" t="s">
        <v>148</v>
      </c>
      <c r="C6" s="7" t="s">
        <v>33</v>
      </c>
      <c r="D6" s="7" t="s">
        <v>146</v>
      </c>
      <c r="E6" s="7" t="n">
        <v>4500</v>
      </c>
      <c r="F6" s="7" t="n">
        <v>72</v>
      </c>
      <c r="G6" s="7" t="s">
        <v>105</v>
      </c>
      <c r="H6" s="8" t="n">
        <f aca="false">IF($A6="","",ROUND(E6*(1+F6/100),2))</f>
        <v>7740</v>
      </c>
      <c r="I6" s="8" t="n">
        <f aca="false">IF($A6="","",ROUND(H6/MAX(1,(Premissas!$B$35/12)*VLOOKUP(C6,Premissas!$A$14:$K$19,11,0)),2))</f>
        <v>67.56</v>
      </c>
    </row>
    <row r="7" customFormat="false" ht="15" hidden="false" customHeight="false" outlineLevel="0" collapsed="false">
      <c r="A7" s="7" t="s">
        <v>149</v>
      </c>
      <c r="B7" s="7" t="s">
        <v>150</v>
      </c>
      <c r="C7" s="7" t="s">
        <v>33</v>
      </c>
      <c r="D7" s="7" t="s">
        <v>146</v>
      </c>
      <c r="E7" s="7" t="n">
        <v>3800</v>
      </c>
      <c r="F7" s="7" t="n">
        <v>72</v>
      </c>
      <c r="G7" s="7" t="s">
        <v>105</v>
      </c>
      <c r="H7" s="8" t="n">
        <f aca="false">IF($A7="","",ROUND(E7*(1+F7/100),2))</f>
        <v>6536</v>
      </c>
      <c r="I7" s="8" t="n">
        <f aca="false">IF($A7="","",ROUND(H7/MAX(1,(Premissas!$B$35/12)*VLOOKUP(C7,Premissas!$A$14:$K$19,11,0)),2))</f>
        <v>57.05</v>
      </c>
    </row>
    <row r="8" customFormat="false" ht="15" hidden="false" customHeight="false" outlineLevel="0" collapsed="false">
      <c r="A8" s="7" t="s">
        <v>151</v>
      </c>
      <c r="B8" s="7" t="s">
        <v>152</v>
      </c>
      <c r="C8" s="7" t="s">
        <v>33</v>
      </c>
      <c r="D8" s="7" t="s">
        <v>153</v>
      </c>
      <c r="E8" s="7" t="n">
        <v>3200</v>
      </c>
      <c r="F8" s="7" t="n">
        <v>72</v>
      </c>
      <c r="G8" s="7" t="s">
        <v>105</v>
      </c>
      <c r="H8" s="8" t="n">
        <f aca="false">IF($A8="","",ROUND(E8*(1+F8/100),2))</f>
        <v>5504</v>
      </c>
      <c r="I8" s="8" t="n">
        <f aca="false">IF($A8="","",ROUND(H8/MAX(1,(Premissas!$B$35/12)*VLOOKUP(C8,Premissas!$A$14:$K$19,11,0)),2))</f>
        <v>48.04</v>
      </c>
    </row>
    <row r="9" customFormat="false" ht="15" hidden="false" customHeight="false" outlineLevel="0" collapsed="false">
      <c r="A9" s="7" t="s">
        <v>154</v>
      </c>
      <c r="B9" s="7" t="s">
        <v>155</v>
      </c>
      <c r="C9" s="7" t="s">
        <v>34</v>
      </c>
      <c r="D9" s="7" t="s">
        <v>156</v>
      </c>
      <c r="E9" s="7" t="n">
        <v>3800</v>
      </c>
      <c r="F9" s="7" t="n">
        <v>72</v>
      </c>
      <c r="G9" s="7" t="s">
        <v>105</v>
      </c>
      <c r="H9" s="8" t="n">
        <f aca="false">IF($A9="","",ROUND(E9*(1+F9/100),2))</f>
        <v>6536</v>
      </c>
      <c r="I9" s="8" t="n">
        <f aca="false">IF($A9="","",ROUND(H9/MAX(1,(Premissas!$B$35/12)*VLOOKUP(C9,Premissas!$A$14:$K$19,11,0)),2))</f>
        <v>57.59</v>
      </c>
    </row>
    <row r="10" customFormat="false" ht="15" hidden="false" customHeight="false" outlineLevel="0" collapsed="false">
      <c r="A10" s="7" t="s">
        <v>157</v>
      </c>
      <c r="B10" s="7" t="s">
        <v>155</v>
      </c>
      <c r="C10" s="7" t="s">
        <v>34</v>
      </c>
      <c r="D10" s="7" t="s">
        <v>156</v>
      </c>
      <c r="E10" s="7" t="n">
        <v>3800</v>
      </c>
      <c r="F10" s="7" t="n">
        <v>72</v>
      </c>
      <c r="G10" s="7" t="s">
        <v>105</v>
      </c>
      <c r="H10" s="8" t="n">
        <f aca="false">IF($A10="","",ROUND(E10*(1+F10/100),2))</f>
        <v>6536</v>
      </c>
      <c r="I10" s="8" t="n">
        <f aca="false">IF($A10="","",ROUND(H10/MAX(1,(Premissas!$B$35/12)*VLOOKUP(C10,Premissas!$A$14:$K$19,11,0)),2))</f>
        <v>57.59</v>
      </c>
    </row>
    <row r="11" customFormat="false" ht="15" hidden="false" customHeight="false" outlineLevel="0" collapsed="false">
      <c r="A11" s="7" t="s">
        <v>158</v>
      </c>
      <c r="B11" s="7" t="s">
        <v>159</v>
      </c>
      <c r="C11" s="7" t="s">
        <v>35</v>
      </c>
      <c r="D11" s="7" t="s">
        <v>146</v>
      </c>
      <c r="E11" s="7" t="n">
        <v>5000</v>
      </c>
      <c r="F11" s="7" t="n">
        <v>72</v>
      </c>
      <c r="G11" s="7" t="s">
        <v>105</v>
      </c>
      <c r="H11" s="8" t="n">
        <f aca="false">IF($A11="","",ROUND(E11*(1+F11/100),2))</f>
        <v>8600</v>
      </c>
      <c r="I11" s="8" t="n">
        <f aca="false">IF($A11="","",ROUND(H11/MAX(1,(Premissas!$B$35/12)*VLOOKUP(C11,Premissas!$A$14:$K$19,11,0)),2))</f>
        <v>75.07</v>
      </c>
    </row>
    <row r="12" customFormat="false" ht="15" hidden="false" customHeight="false" outlineLevel="0" collapsed="false">
      <c r="A12" s="7" t="s">
        <v>160</v>
      </c>
      <c r="B12" s="7" t="s">
        <v>161</v>
      </c>
      <c r="C12" s="7" t="s">
        <v>35</v>
      </c>
      <c r="D12" s="7" t="s">
        <v>146</v>
      </c>
      <c r="E12" s="7" t="n">
        <v>4200</v>
      </c>
      <c r="F12" s="7" t="n">
        <v>72</v>
      </c>
      <c r="G12" s="7" t="s">
        <v>105</v>
      </c>
      <c r="H12" s="8" t="n">
        <f aca="false">IF($A12="","",ROUND(E12*(1+F12/100),2))</f>
        <v>7224</v>
      </c>
      <c r="I12" s="8" t="n">
        <f aca="false">IF($A12="","",ROUND(H12/MAX(1,(Premissas!$B$35/12)*VLOOKUP(C12,Premissas!$A$14:$K$19,11,0)),2))</f>
        <v>63.06</v>
      </c>
    </row>
    <row r="13" customFormat="false" ht="15" hidden="false" customHeight="false" outlineLevel="0" collapsed="false">
      <c r="A13" s="7" t="s">
        <v>162</v>
      </c>
      <c r="B13" s="7" t="s">
        <v>163</v>
      </c>
      <c r="C13" s="7" t="s">
        <v>36</v>
      </c>
      <c r="D13" s="7" t="s">
        <v>146</v>
      </c>
      <c r="E13" s="7" t="n">
        <v>2800</v>
      </c>
      <c r="F13" s="7" t="n">
        <v>72</v>
      </c>
      <c r="G13" s="7" t="s">
        <v>105</v>
      </c>
      <c r="H13" s="8" t="n">
        <f aca="false">IF($A13="","",ROUND(E13*(1+F13/100),2))</f>
        <v>4816</v>
      </c>
      <c r="I13" s="8" t="n">
        <f aca="false">IF($A13="","",ROUND(H13/MAX(1,(Premissas!$B$35/12)*VLOOKUP(C13,Premissas!$A$14:$K$19,11,0)),2))</f>
        <v>37.5</v>
      </c>
    </row>
    <row r="14" customFormat="false" ht="15" hidden="false" customHeight="false" outlineLevel="0" collapsed="false">
      <c r="A14" s="7" t="s">
        <v>164</v>
      </c>
      <c r="B14" s="7" t="s">
        <v>163</v>
      </c>
      <c r="C14" s="7" t="s">
        <v>36</v>
      </c>
      <c r="D14" s="7" t="s">
        <v>153</v>
      </c>
      <c r="E14" s="7" t="n">
        <v>2800</v>
      </c>
      <c r="F14" s="7" t="n">
        <v>72</v>
      </c>
      <c r="G14" s="7" t="s">
        <v>105</v>
      </c>
      <c r="H14" s="8" t="n">
        <f aca="false">IF($A14="","",ROUND(E14*(1+F14/100),2))</f>
        <v>4816</v>
      </c>
      <c r="I14" s="8" t="n">
        <f aca="false">IF($A14="","",ROUND(H14/MAX(1,(Premissas!$B$35/12)*VLOOKUP(C14,Premissas!$A$14:$K$19,11,0)),2))</f>
        <v>37.5</v>
      </c>
    </row>
    <row r="15" customFormat="false" ht="15" hidden="false" customHeight="false" outlineLevel="0" collapsed="false">
      <c r="A15" s="7" t="s">
        <v>165</v>
      </c>
      <c r="B15" s="7" t="s">
        <v>166</v>
      </c>
      <c r="C15" s="7" t="s">
        <v>37</v>
      </c>
      <c r="D15" s="7" t="s">
        <v>146</v>
      </c>
      <c r="E15" s="7" t="n">
        <v>3100</v>
      </c>
      <c r="F15" s="7" t="n">
        <v>72</v>
      </c>
      <c r="G15" s="7" t="s">
        <v>105</v>
      </c>
      <c r="H15" s="8" t="n">
        <f aca="false">IF($A15="","",ROUND(E15*(1+F15/100),2))</f>
        <v>5332</v>
      </c>
      <c r="I15" s="8" t="n">
        <f aca="false">IF($A15="","",ROUND(H15/MAX(1,(Premissas!$B$35/12)*VLOOKUP(C15,Premissas!$A$14:$K$19,11,0)),2))</f>
        <v>43.54</v>
      </c>
    </row>
    <row r="16" customFormat="false" ht="15" hidden="false" customHeight="false" outlineLevel="0" collapsed="false">
      <c r="A16" s="7" t="s">
        <v>167</v>
      </c>
      <c r="B16" s="7" t="s">
        <v>168</v>
      </c>
      <c r="C16" s="7" t="s">
        <v>38</v>
      </c>
      <c r="D16" s="7" t="s">
        <v>146</v>
      </c>
      <c r="E16" s="7" t="n">
        <v>4200</v>
      </c>
      <c r="F16" s="7" t="n">
        <v>72</v>
      </c>
      <c r="G16" s="7" t="s">
        <v>105</v>
      </c>
      <c r="H16" s="8" t="n">
        <f aca="false">IF($A16="","",ROUND(E16*(1+F16/100),2))</f>
        <v>7224</v>
      </c>
      <c r="I16" s="8" t="n">
        <f aca="false">IF($A16="","",ROUND(H16/MAX(1,(Premissas!$B$35/12)*VLOOKUP(C16,Premissas!$A$14:$K$19,11,0)),2))</f>
        <v>64.75</v>
      </c>
    </row>
    <row r="17" customFormat="false" ht="15" hidden="false" customHeight="false" outlineLevel="0" collapsed="false">
      <c r="A17" s="7" t="s">
        <v>169</v>
      </c>
      <c r="B17" s="7" t="s">
        <v>170</v>
      </c>
      <c r="C17" s="7" t="s">
        <v>38</v>
      </c>
      <c r="D17" s="7" t="s">
        <v>146</v>
      </c>
      <c r="E17" s="7" t="n">
        <v>3500</v>
      </c>
      <c r="F17" s="7" t="n">
        <v>72</v>
      </c>
      <c r="G17" s="7" t="s">
        <v>105</v>
      </c>
      <c r="H17" s="8" t="n">
        <f aca="false">IF($A17="","",ROUND(E17*(1+F17/100),2))</f>
        <v>6020</v>
      </c>
      <c r="I17" s="8" t="n">
        <f aca="false">IF($A17="","",ROUND(H17/MAX(1,(Premissas!$B$35/12)*VLOOKUP(C17,Premissas!$A$14:$K$19,11,0)),2))</f>
        <v>53.96</v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8" t="str">
        <f aca="false">IF($A18="","",ROUND(E18*(1+F18/100),2))</f>
        <v/>
      </c>
      <c r="I18" s="8" t="str">
        <f aca="false">IF($A18="","",ROUND(H18/MAX(1,(Premissas!$B$35/12)*VLOOKUP(C18,Premissas!$A$14:$K$19,11,0)),2))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8" t="str">
        <f aca="false">IF($A19="","",ROUND(E19*(1+F19/100),2))</f>
        <v/>
      </c>
      <c r="I19" s="8" t="str">
        <f aca="false">IF($A19="","",ROUND(H19/MAX(1,(Premissas!$B$35/12)*VLOOKUP(C19,Premissas!$A$14:$K$19,11,0)),2))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8" t="str">
        <f aca="false">IF($A20="","",ROUND(E20*(1+F20/100),2))</f>
        <v/>
      </c>
      <c r="I20" s="8" t="str">
        <f aca="false">IF($A20="","",ROUND(H20/MAX(1,(Premissas!$B$35/12)*VLOOKUP(C20,Premissas!$A$14:$K$19,11,0)),2))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8" t="str">
        <f aca="false">IF($A21="","",ROUND(E21*(1+F21/100),2))</f>
        <v/>
      </c>
      <c r="I21" s="8" t="str">
        <f aca="false">IF($A21="","",ROUND(H21/MAX(1,(Premissas!$B$35/12)*VLOOKUP(C21,Premissas!$A$14:$K$19,11,0)),2))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8" t="str">
        <f aca="false">IF($A22="","",ROUND(E22*(1+F22/100),2))</f>
        <v/>
      </c>
      <c r="I22" s="8" t="str">
        <f aca="false">IF($A22="","",ROUND(H22/MAX(1,(Premissas!$B$35/12)*VLOOKUP(C22,Premissas!$A$14:$K$19,11,0)),2))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8" t="str">
        <f aca="false">IF($A23="","",ROUND(E23*(1+F23/100),2))</f>
        <v/>
      </c>
      <c r="I23" s="8" t="str">
        <f aca="false">IF($A23="","",ROUND(H23/MAX(1,(Premissas!$B$35/12)*VLOOKUP(C23,Premissas!$A$14:$K$19,11,0)),2))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8" t="str">
        <f aca="false">IF($A24="","",ROUND(E24*(1+F24/100),2))</f>
        <v/>
      </c>
      <c r="I24" s="8" t="str">
        <f aca="false">IF($A24="","",ROUND(H24/MAX(1,(Premissas!$B$35/12)*VLOOKUP(C24,Premissas!$A$14:$K$19,11,0)),2))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8" t="str">
        <f aca="false">IF($A25="","",ROUND(E25*(1+F25/100),2))</f>
        <v/>
      </c>
      <c r="I25" s="8" t="str">
        <f aca="false">IF($A25="","",ROUND(H25/MAX(1,(Premissas!$B$35/12)*VLOOKUP(C25,Premissas!$A$14:$K$19,11,0)),2))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8" t="str">
        <f aca="false">IF($A26="","",ROUND(E26*(1+F26/100),2))</f>
        <v/>
      </c>
      <c r="I26" s="8" t="str">
        <f aca="false">IF($A26="","",ROUND(H26/MAX(1,(Premissas!$B$35/12)*VLOOKUP(C26,Premissas!$A$14:$K$19,11,0)),2))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8" t="str">
        <f aca="false">IF($A27="","",ROUND(E27*(1+F27/100),2))</f>
        <v/>
      </c>
      <c r="I27" s="8" t="str">
        <f aca="false">IF($A27="","",ROUND(H27/MAX(1,(Premissas!$B$35/12)*VLOOKUP(C27,Premissas!$A$14:$K$19,11,0)),2))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8" t="str">
        <f aca="false">IF($A28="","",ROUND(E28*(1+F28/100),2))</f>
        <v/>
      </c>
      <c r="I28" s="8" t="str">
        <f aca="false">IF($A28="","",ROUND(H28/MAX(1,(Premissas!$B$35/12)*VLOOKUP(C28,Premissas!$A$14:$K$19,11,0)),2))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8" t="str">
        <f aca="false">IF($A29="","",ROUND(E29*(1+F29/100),2))</f>
        <v/>
      </c>
      <c r="I29" s="8" t="str">
        <f aca="false">IF($A29="","",ROUND(H29/MAX(1,(Premissas!$B$35/12)*VLOOKUP(C29,Premissas!$A$14:$K$19,11,0)),2))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8" t="str">
        <f aca="false">IF($A30="","",ROUND(E30*(1+F30/100),2))</f>
        <v/>
      </c>
      <c r="I30" s="8" t="str">
        <f aca="false">IF($A30="","",ROUND(H30/MAX(1,(Premissas!$B$35/12)*VLOOKUP(C30,Premissas!$A$14:$K$19,11,0)),2))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8" t="str">
        <f aca="false">IF($A31="","",ROUND(E31*(1+F31/100),2))</f>
        <v/>
      </c>
      <c r="I31" s="8" t="str">
        <f aca="false">IF($A31="","",ROUND(H31/MAX(1,(Premissas!$B$35/12)*VLOOKUP(C31,Premissas!$A$14:$K$19,11,0)),2))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8" t="str">
        <f aca="false">IF($A32="","",ROUND(E32*(1+F32/100),2))</f>
        <v/>
      </c>
      <c r="I32" s="8" t="str">
        <f aca="false">IF($A32="","",ROUND(H32/MAX(1,(Premissas!$B$35/12)*VLOOKUP(C32,Premissas!$A$14:$K$19,11,0)),2))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8" t="str">
        <f aca="false">IF($A33="","",ROUND(E33*(1+F33/100),2))</f>
        <v/>
      </c>
      <c r="I33" s="8" t="str">
        <f aca="false">IF($A33="","",ROUND(H33/MAX(1,(Premissas!$B$35/12)*VLOOKUP(C33,Premissas!$A$14:$K$19,11,0)),2))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8" t="str">
        <f aca="false">IF($A34="","",ROUND(E34*(1+F34/100),2))</f>
        <v/>
      </c>
      <c r="I34" s="8" t="str">
        <f aca="false">IF($A34="","",ROUND(H34/MAX(1,(Premissas!$B$35/12)*VLOOKUP(C34,Premissas!$A$14:$K$19,11,0)),2))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8" t="str">
        <f aca="false">IF($A35="","",ROUND(E35*(1+F35/100),2))</f>
        <v/>
      </c>
      <c r="I35" s="8" t="str">
        <f aca="false">IF($A35="","",ROUND(H35/MAX(1,(Premissas!$B$35/12)*VLOOKUP(C35,Premissas!$A$14:$K$19,11,0)),2))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8" t="str">
        <f aca="false">IF($A36="","",ROUND(E36*(1+F36/100),2))</f>
        <v/>
      </c>
      <c r="I36" s="8" t="str">
        <f aca="false">IF($A36="","",ROUND(H36/MAX(1,(Premissas!$B$35/12)*VLOOKUP(C36,Premissas!$A$14:$K$19,11,0)),2))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8" t="str">
        <f aca="false">IF($A37="","",ROUND(E37*(1+F37/100),2))</f>
        <v/>
      </c>
      <c r="I37" s="8" t="str">
        <f aca="false">IF($A37="","",ROUND(H37/MAX(1,(Premissas!$B$35/12)*VLOOKUP(C37,Premissas!$A$14:$K$19,11,0)),2))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8" t="str">
        <f aca="false">IF($A38="","",ROUND(E38*(1+F38/100),2))</f>
        <v/>
      </c>
      <c r="I38" s="8" t="str">
        <f aca="false">IF($A38="","",ROUND(H38/MAX(1,(Premissas!$B$35/12)*VLOOKUP(C38,Premissas!$A$14:$K$19,11,0)),2))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8" t="str">
        <f aca="false">IF($A39="","",ROUND(E39*(1+F39/100),2))</f>
        <v/>
      </c>
      <c r="I39" s="8" t="str">
        <f aca="false">IF($A39="","",ROUND(H39/MAX(1,(Premissas!$B$35/12)*VLOOKUP(C39,Premissas!$A$14:$K$19,11,0)),2))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8" t="str">
        <f aca="false">IF($A40="","",ROUND(E40*(1+F40/100),2))</f>
        <v/>
      </c>
      <c r="I40" s="8" t="str">
        <f aca="false">IF($A40="","",ROUND(H40/MAX(1,(Premissas!$B$35/12)*VLOOKUP(C40,Premissas!$A$14:$K$19,11,0)),2))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8" t="str">
        <f aca="false">IF($A41="","",ROUND(E41*(1+F41/100),2))</f>
        <v/>
      </c>
      <c r="I41" s="8" t="str">
        <f aca="false">IF($A41="","",ROUND(H41/MAX(1,(Premissas!$B$35/12)*VLOOKUP(C41,Premissas!$A$14:$K$19,11,0)),2))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8" t="str">
        <f aca="false">IF($A42="","",ROUND(E42*(1+F42/100),2))</f>
        <v/>
      </c>
      <c r="I42" s="8" t="str">
        <f aca="false">IF($A42="","",ROUND(H42/MAX(1,(Premissas!$B$35/12)*VLOOKUP(C42,Premissas!$A$14:$K$19,11,0)),2))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8" t="str">
        <f aca="false">IF($A43="","",ROUND(E43*(1+F43/100),2))</f>
        <v/>
      </c>
      <c r="I43" s="8" t="str">
        <f aca="false">IF($A43="","",ROUND(H43/MAX(1,(Premissas!$B$35/12)*VLOOKUP(C43,Premissas!$A$14:$K$19,11,0)),2))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8" t="str">
        <f aca="false">IF($A44="","",ROUND(E44*(1+F44/100),2))</f>
        <v/>
      </c>
      <c r="I44" s="8" t="str">
        <f aca="false">IF($A44="","",ROUND(H44/MAX(1,(Premissas!$B$35/12)*VLOOKUP(C44,Premissas!$A$14:$K$19,11,0)),2))</f>
        <v/>
      </c>
    </row>
  </sheetData>
  <mergeCells count="1">
    <mergeCell ref="A1:I1"/>
  </mergeCells>
  <dataValidations count="3">
    <dataValidation allowBlank="true" errorStyle="stop" operator="between" showDropDown="false" showErrorMessage="false" showInputMessage="false" sqref="C5:C44" type="list">
      <formula1>"Mec. Oficina,Mec. Campo,Elétrica,Lubrificação,Borracharia,Caldeiraria"</formula1>
      <formula2>0</formula2>
    </dataValidation>
    <dataValidation allowBlank="true" errorStyle="stop" operator="between" showDropDown="false" showErrorMessage="false" showInputMessage="false" sqref="D5:D44" type="list">
      <formula1>"Diurno,Noturno,Safra,Turno 5x1"</formula1>
      <formula2>0</formula2>
    </dataValidation>
    <dataValidation allowBlank="true" errorStyle="stop" operator="between" showDropDown="false" showErrorMessage="false" showInputMessage="false" sqref="G5:G44" type="list">
      <formula1>"Ativo,Inativo,Férias,Afastado"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8"/>
    <col collapsed="false" customWidth="true" hidden="false" outlineLevel="0" max="13" min="13" style="0" width="9"/>
  </cols>
  <sheetData>
    <row r="1" customFormat="false" ht="16.15" hidden="false" customHeight="fals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4" customFormat="false" ht="23.85" hidden="false" customHeight="false" outlineLevel="0" collapsed="false">
      <c r="A4" s="5" t="s">
        <v>172</v>
      </c>
      <c r="B4" s="5" t="s">
        <v>173</v>
      </c>
      <c r="C4" s="5" t="s">
        <v>75</v>
      </c>
      <c r="D4" s="5" t="s">
        <v>27</v>
      </c>
      <c r="E4" s="5" t="s">
        <v>174</v>
      </c>
      <c r="F4" s="5" t="s">
        <v>138</v>
      </c>
      <c r="G4" s="5" t="s">
        <v>175</v>
      </c>
      <c r="H4" s="5" t="s">
        <v>176</v>
      </c>
      <c r="I4" s="5" t="s">
        <v>177</v>
      </c>
      <c r="J4" s="5" t="s">
        <v>178</v>
      </c>
      <c r="K4" s="5" t="s">
        <v>179</v>
      </c>
      <c r="L4" s="5" t="s">
        <v>180</v>
      </c>
      <c r="M4" s="5" t="s">
        <v>181</v>
      </c>
    </row>
    <row r="5" customFormat="false" ht="15" hidden="false" customHeight="false" outlineLevel="0" collapsed="false">
      <c r="A5" s="7" t="s">
        <v>182</v>
      </c>
      <c r="B5" s="7" t="s">
        <v>183</v>
      </c>
      <c r="C5" s="7" t="s">
        <v>80</v>
      </c>
      <c r="D5" s="7" t="s">
        <v>33</v>
      </c>
      <c r="E5" s="7" t="s">
        <v>184</v>
      </c>
      <c r="F5" s="7" t="s">
        <v>185</v>
      </c>
      <c r="G5" s="7" t="s">
        <v>186</v>
      </c>
      <c r="H5" s="7" t="n">
        <v>1.5</v>
      </c>
      <c r="I5" s="7" t="s">
        <v>187</v>
      </c>
      <c r="J5" s="7" t="n">
        <v>20</v>
      </c>
      <c r="K5" s="7" t="s">
        <v>188</v>
      </c>
      <c r="L5" s="7" t="s">
        <v>189</v>
      </c>
      <c r="M5" s="7" t="n">
        <v>1</v>
      </c>
    </row>
    <row r="6" customFormat="false" ht="15" hidden="false" customHeight="false" outlineLevel="0" collapsed="false">
      <c r="A6" s="7" t="s">
        <v>182</v>
      </c>
      <c r="B6" s="7" t="s">
        <v>183</v>
      </c>
      <c r="C6" s="7" t="s">
        <v>80</v>
      </c>
      <c r="D6" s="7" t="s">
        <v>33</v>
      </c>
      <c r="E6" s="7" t="s">
        <v>190</v>
      </c>
      <c r="F6" s="7" t="s">
        <v>150</v>
      </c>
      <c r="G6" s="7" t="s">
        <v>186</v>
      </c>
      <c r="H6" s="7" t="n">
        <v>0.5</v>
      </c>
      <c r="I6" s="7"/>
      <c r="J6" s="7" t="n">
        <v>0</v>
      </c>
      <c r="K6" s="7"/>
      <c r="L6" s="7" t="s">
        <v>191</v>
      </c>
      <c r="M6" s="7" t="n">
        <v>1</v>
      </c>
    </row>
    <row r="7" customFormat="false" ht="15" hidden="false" customHeight="false" outlineLevel="0" collapsed="false">
      <c r="A7" s="7" t="s">
        <v>182</v>
      </c>
      <c r="B7" s="7" t="s">
        <v>183</v>
      </c>
      <c r="C7" s="7" t="s">
        <v>80</v>
      </c>
      <c r="D7" s="7" t="s">
        <v>33</v>
      </c>
      <c r="E7" s="7" t="s">
        <v>192</v>
      </c>
      <c r="F7" s="7" t="s">
        <v>185</v>
      </c>
      <c r="G7" s="7" t="s">
        <v>193</v>
      </c>
      <c r="H7" s="7" t="n">
        <v>1</v>
      </c>
      <c r="I7" s="7"/>
      <c r="J7" s="7" t="n">
        <v>0</v>
      </c>
      <c r="K7" s="7"/>
      <c r="L7" s="7"/>
      <c r="M7" s="7" t="n">
        <v>0</v>
      </c>
    </row>
    <row r="8" customFormat="false" ht="15" hidden="false" customHeight="false" outlineLevel="0" collapsed="false">
      <c r="A8" s="7" t="s">
        <v>182</v>
      </c>
      <c r="B8" s="7" t="s">
        <v>183</v>
      </c>
      <c r="C8" s="7" t="s">
        <v>80</v>
      </c>
      <c r="D8" s="7" t="s">
        <v>33</v>
      </c>
      <c r="E8" s="7" t="s">
        <v>194</v>
      </c>
      <c r="F8" s="7" t="s">
        <v>150</v>
      </c>
      <c r="G8" s="7" t="s">
        <v>195</v>
      </c>
      <c r="H8" s="7" t="n">
        <v>0.75</v>
      </c>
      <c r="I8" s="7"/>
      <c r="J8" s="7" t="n">
        <v>0</v>
      </c>
      <c r="K8" s="7"/>
      <c r="L8" s="7"/>
      <c r="M8" s="7" t="n">
        <v>0</v>
      </c>
    </row>
    <row r="9" customFormat="false" ht="15" hidden="false" customHeight="false" outlineLevel="0" collapsed="false">
      <c r="A9" s="7" t="s">
        <v>182</v>
      </c>
      <c r="B9" s="7" t="s">
        <v>183</v>
      </c>
      <c r="C9" s="7" t="s">
        <v>80</v>
      </c>
      <c r="D9" s="7" t="s">
        <v>36</v>
      </c>
      <c r="E9" s="7" t="s">
        <v>196</v>
      </c>
      <c r="F9" s="7" t="s">
        <v>163</v>
      </c>
      <c r="G9" s="7" t="s">
        <v>36</v>
      </c>
      <c r="H9" s="7" t="n">
        <v>0.75</v>
      </c>
      <c r="I9" s="7" t="s">
        <v>197</v>
      </c>
      <c r="J9" s="7" t="n">
        <v>0.5</v>
      </c>
      <c r="K9" s="7" t="s">
        <v>198</v>
      </c>
      <c r="L9" s="7"/>
      <c r="M9" s="7" t="n">
        <v>0</v>
      </c>
    </row>
    <row r="10" customFormat="false" ht="15" hidden="false" customHeight="false" outlineLevel="0" collapsed="false">
      <c r="A10" s="7" t="s">
        <v>182</v>
      </c>
      <c r="B10" s="7" t="s">
        <v>183</v>
      </c>
      <c r="C10" s="7" t="s">
        <v>80</v>
      </c>
      <c r="D10" s="7" t="s">
        <v>35</v>
      </c>
      <c r="E10" s="7" t="s">
        <v>199</v>
      </c>
      <c r="F10" s="7" t="s">
        <v>200</v>
      </c>
      <c r="G10" s="7" t="s">
        <v>193</v>
      </c>
      <c r="H10" s="7" t="n">
        <v>1</v>
      </c>
      <c r="I10" s="7"/>
      <c r="J10" s="7" t="n">
        <v>0</v>
      </c>
      <c r="K10" s="7"/>
      <c r="L10" s="7"/>
      <c r="M10" s="7" t="n">
        <v>0</v>
      </c>
    </row>
    <row r="11" customFormat="false" ht="15" hidden="false" customHeight="false" outlineLevel="0" collapsed="false">
      <c r="A11" s="7" t="s">
        <v>201</v>
      </c>
      <c r="B11" s="7" t="s">
        <v>202</v>
      </c>
      <c r="C11" s="7" t="s">
        <v>80</v>
      </c>
      <c r="D11" s="7" t="s">
        <v>33</v>
      </c>
      <c r="E11" s="7" t="s">
        <v>203</v>
      </c>
      <c r="F11" s="7" t="s">
        <v>185</v>
      </c>
      <c r="G11" s="7" t="s">
        <v>186</v>
      </c>
      <c r="H11" s="7" t="n">
        <v>3</v>
      </c>
      <c r="I11" s="7" t="s">
        <v>187</v>
      </c>
      <c r="J11" s="7" t="n">
        <v>20</v>
      </c>
      <c r="K11" s="7" t="s">
        <v>188</v>
      </c>
      <c r="L11" s="7" t="s">
        <v>204</v>
      </c>
      <c r="M11" s="7" t="n">
        <v>3</v>
      </c>
    </row>
    <row r="12" customFormat="false" ht="15" hidden="false" customHeight="false" outlineLevel="0" collapsed="false">
      <c r="A12" s="7" t="s">
        <v>201</v>
      </c>
      <c r="B12" s="7" t="s">
        <v>202</v>
      </c>
      <c r="C12" s="7" t="s">
        <v>80</v>
      </c>
      <c r="D12" s="7" t="s">
        <v>33</v>
      </c>
      <c r="E12" s="7" t="s">
        <v>205</v>
      </c>
      <c r="F12" s="7" t="s">
        <v>185</v>
      </c>
      <c r="G12" s="7" t="s">
        <v>206</v>
      </c>
      <c r="H12" s="7" t="n">
        <v>2</v>
      </c>
      <c r="I12" s="7"/>
      <c r="J12" s="7" t="n">
        <v>0</v>
      </c>
      <c r="K12" s="7"/>
      <c r="L12" s="7"/>
      <c r="M12" s="7" t="n">
        <v>0</v>
      </c>
    </row>
    <row r="13" customFormat="false" ht="15" hidden="false" customHeight="false" outlineLevel="0" collapsed="false">
      <c r="A13" s="7" t="s">
        <v>201</v>
      </c>
      <c r="B13" s="7" t="s">
        <v>202</v>
      </c>
      <c r="C13" s="7" t="s">
        <v>80</v>
      </c>
      <c r="D13" s="7" t="s">
        <v>33</v>
      </c>
      <c r="E13" s="7" t="s">
        <v>207</v>
      </c>
      <c r="F13" s="7" t="s">
        <v>185</v>
      </c>
      <c r="G13" s="7" t="s">
        <v>208</v>
      </c>
      <c r="H13" s="7" t="n">
        <v>1.5</v>
      </c>
      <c r="I13" s="7" t="s">
        <v>209</v>
      </c>
      <c r="J13" s="7" t="n">
        <v>5</v>
      </c>
      <c r="K13" s="7" t="s">
        <v>188</v>
      </c>
      <c r="L13" s="7"/>
      <c r="M13" s="7" t="n">
        <v>0</v>
      </c>
    </row>
    <row r="14" customFormat="false" ht="15" hidden="false" customHeight="false" outlineLevel="0" collapsed="false">
      <c r="A14" s="7" t="s">
        <v>201</v>
      </c>
      <c r="B14" s="7" t="s">
        <v>202</v>
      </c>
      <c r="C14" s="7" t="s">
        <v>80</v>
      </c>
      <c r="D14" s="7" t="s">
        <v>35</v>
      </c>
      <c r="E14" s="7" t="s">
        <v>210</v>
      </c>
      <c r="F14" s="7" t="s">
        <v>211</v>
      </c>
      <c r="G14" s="7" t="s">
        <v>195</v>
      </c>
      <c r="H14" s="7" t="n">
        <v>2</v>
      </c>
      <c r="I14" s="7"/>
      <c r="J14" s="7" t="n">
        <v>0</v>
      </c>
      <c r="K14" s="7"/>
      <c r="L14" s="7"/>
      <c r="M14" s="7" t="n">
        <v>0</v>
      </c>
    </row>
    <row r="15" customFormat="false" ht="15" hidden="false" customHeight="false" outlineLevel="0" collapsed="false">
      <c r="A15" s="7" t="s">
        <v>201</v>
      </c>
      <c r="B15" s="7" t="s">
        <v>202</v>
      </c>
      <c r="C15" s="7" t="s">
        <v>80</v>
      </c>
      <c r="D15" s="7" t="s">
        <v>36</v>
      </c>
      <c r="E15" s="7" t="s">
        <v>212</v>
      </c>
      <c r="F15" s="7" t="s">
        <v>163</v>
      </c>
      <c r="G15" s="7" t="s">
        <v>36</v>
      </c>
      <c r="H15" s="7" t="n">
        <v>1</v>
      </c>
      <c r="I15" s="7" t="s">
        <v>197</v>
      </c>
      <c r="J15" s="7" t="n">
        <v>1</v>
      </c>
      <c r="K15" s="7" t="s">
        <v>198</v>
      </c>
      <c r="L15" s="7"/>
      <c r="M15" s="7" t="n">
        <v>0</v>
      </c>
    </row>
    <row r="16" customFormat="false" ht="15" hidden="false" customHeight="false" outlineLevel="0" collapsed="false">
      <c r="A16" s="7" t="s">
        <v>213</v>
      </c>
      <c r="B16" s="7" t="s">
        <v>183</v>
      </c>
      <c r="C16" s="7" t="s">
        <v>82</v>
      </c>
      <c r="D16" s="7" t="s">
        <v>33</v>
      </c>
      <c r="E16" s="7" t="s">
        <v>214</v>
      </c>
      <c r="F16" s="7" t="s">
        <v>150</v>
      </c>
      <c r="G16" s="7" t="s">
        <v>186</v>
      </c>
      <c r="H16" s="7" t="n">
        <v>1</v>
      </c>
      <c r="I16" s="7" t="s">
        <v>215</v>
      </c>
      <c r="J16" s="7" t="n">
        <v>12</v>
      </c>
      <c r="K16" s="7" t="s">
        <v>188</v>
      </c>
      <c r="L16" s="7" t="s">
        <v>189</v>
      </c>
      <c r="M16" s="7" t="n">
        <v>1</v>
      </c>
    </row>
    <row r="17" customFormat="false" ht="15" hidden="false" customHeight="false" outlineLevel="0" collapsed="false">
      <c r="A17" s="7" t="s">
        <v>213</v>
      </c>
      <c r="B17" s="7" t="s">
        <v>183</v>
      </c>
      <c r="C17" s="7" t="s">
        <v>82</v>
      </c>
      <c r="D17" s="7" t="s">
        <v>33</v>
      </c>
      <c r="E17" s="7" t="s">
        <v>216</v>
      </c>
      <c r="F17" s="7" t="s">
        <v>150</v>
      </c>
      <c r="G17" s="7" t="s">
        <v>195</v>
      </c>
      <c r="H17" s="7" t="n">
        <v>0.5</v>
      </c>
      <c r="I17" s="7"/>
      <c r="J17" s="7" t="n">
        <v>0</v>
      </c>
      <c r="K17" s="7"/>
      <c r="L17" s="7"/>
      <c r="M17" s="7" t="n">
        <v>0</v>
      </c>
    </row>
    <row r="18" customFormat="false" ht="15" hidden="false" customHeight="false" outlineLevel="0" collapsed="false">
      <c r="A18" s="7" t="s">
        <v>213</v>
      </c>
      <c r="B18" s="7" t="s">
        <v>183</v>
      </c>
      <c r="C18" s="7" t="s">
        <v>82</v>
      </c>
      <c r="D18" s="7" t="s">
        <v>36</v>
      </c>
      <c r="E18" s="7" t="s">
        <v>217</v>
      </c>
      <c r="F18" s="7" t="s">
        <v>163</v>
      </c>
      <c r="G18" s="7" t="s">
        <v>36</v>
      </c>
      <c r="H18" s="7" t="n">
        <v>0.5</v>
      </c>
      <c r="I18" s="7" t="s">
        <v>197</v>
      </c>
      <c r="J18" s="7" t="n">
        <v>0.3</v>
      </c>
      <c r="K18" s="7" t="s">
        <v>198</v>
      </c>
      <c r="L18" s="7"/>
      <c r="M18" s="7" t="n">
        <v>0</v>
      </c>
    </row>
    <row r="19" customFormat="false" ht="15" hidden="false" customHeight="false" outlineLevel="0" collapsed="false">
      <c r="A19" s="7" t="s">
        <v>218</v>
      </c>
      <c r="B19" s="7" t="s">
        <v>183</v>
      </c>
      <c r="C19" s="7" t="s">
        <v>83</v>
      </c>
      <c r="D19" s="7" t="s">
        <v>33</v>
      </c>
      <c r="E19" s="7" t="s">
        <v>219</v>
      </c>
      <c r="F19" s="7" t="s">
        <v>150</v>
      </c>
      <c r="G19" s="7" t="s">
        <v>186</v>
      </c>
      <c r="H19" s="7" t="n">
        <v>1.5</v>
      </c>
      <c r="I19" s="7" t="s">
        <v>187</v>
      </c>
      <c r="J19" s="7" t="n">
        <v>25</v>
      </c>
      <c r="K19" s="7" t="s">
        <v>188</v>
      </c>
      <c r="L19" s="7" t="s">
        <v>189</v>
      </c>
      <c r="M19" s="7" t="n">
        <v>1</v>
      </c>
    </row>
    <row r="20" customFormat="false" ht="15" hidden="false" customHeight="false" outlineLevel="0" collapsed="false">
      <c r="A20" s="7" t="s">
        <v>218</v>
      </c>
      <c r="B20" s="7" t="s">
        <v>183</v>
      </c>
      <c r="C20" s="7" t="s">
        <v>83</v>
      </c>
      <c r="D20" s="7" t="s">
        <v>33</v>
      </c>
      <c r="E20" s="7" t="s">
        <v>220</v>
      </c>
      <c r="F20" s="7" t="s">
        <v>150</v>
      </c>
      <c r="G20" s="7" t="s">
        <v>193</v>
      </c>
      <c r="H20" s="7" t="n">
        <v>0.75</v>
      </c>
      <c r="I20" s="7"/>
      <c r="J20" s="7" t="n">
        <v>0</v>
      </c>
      <c r="K20" s="7"/>
      <c r="L20" s="7"/>
      <c r="M20" s="7" t="n">
        <v>0</v>
      </c>
    </row>
    <row r="21" customFormat="false" ht="15" hidden="false" customHeight="false" outlineLevel="0" collapsed="false">
      <c r="A21" s="7" t="s">
        <v>218</v>
      </c>
      <c r="B21" s="7" t="s">
        <v>183</v>
      </c>
      <c r="C21" s="7" t="s">
        <v>83</v>
      </c>
      <c r="D21" s="7" t="s">
        <v>37</v>
      </c>
      <c r="E21" s="7" t="s">
        <v>221</v>
      </c>
      <c r="F21" s="7" t="s">
        <v>166</v>
      </c>
      <c r="G21" s="7" t="s">
        <v>222</v>
      </c>
      <c r="H21" s="7" t="n">
        <v>0.5</v>
      </c>
      <c r="I21" s="7"/>
      <c r="J21" s="7" t="n">
        <v>0</v>
      </c>
      <c r="K21" s="7"/>
      <c r="L21" s="7"/>
      <c r="M21" s="7" t="n">
        <v>0</v>
      </c>
    </row>
    <row r="22" customFormat="false" ht="15" hidden="false" customHeight="false" outlineLevel="0" collapsed="false">
      <c r="A22" s="7" t="s">
        <v>218</v>
      </c>
      <c r="B22" s="7" t="s">
        <v>183</v>
      </c>
      <c r="C22" s="7" t="s">
        <v>83</v>
      </c>
      <c r="D22" s="7" t="s">
        <v>36</v>
      </c>
      <c r="E22" s="7" t="s">
        <v>223</v>
      </c>
      <c r="F22" s="7" t="s">
        <v>163</v>
      </c>
      <c r="G22" s="7" t="s">
        <v>36</v>
      </c>
      <c r="H22" s="7" t="n">
        <v>0.5</v>
      </c>
      <c r="I22" s="7" t="s">
        <v>197</v>
      </c>
      <c r="J22" s="7" t="n">
        <v>0.5</v>
      </c>
      <c r="K22" s="7" t="s">
        <v>198</v>
      </c>
      <c r="L22" s="7"/>
      <c r="M22" s="7" t="n">
        <v>0</v>
      </c>
    </row>
    <row r="23" customFormat="false" ht="15" hidden="false" customHeight="false" outlineLevel="0" collapsed="false">
      <c r="A23" s="7" t="s">
        <v>224</v>
      </c>
      <c r="B23" s="7" t="s">
        <v>202</v>
      </c>
      <c r="C23" s="7" t="s">
        <v>83</v>
      </c>
      <c r="D23" s="7" t="s">
        <v>33</v>
      </c>
      <c r="E23" s="7" t="s">
        <v>225</v>
      </c>
      <c r="F23" s="7" t="s">
        <v>185</v>
      </c>
      <c r="G23" s="7" t="s">
        <v>186</v>
      </c>
      <c r="H23" s="7" t="n">
        <v>2.5</v>
      </c>
      <c r="I23" s="7" t="s">
        <v>187</v>
      </c>
      <c r="J23" s="7" t="n">
        <v>25</v>
      </c>
      <c r="K23" s="7" t="s">
        <v>188</v>
      </c>
      <c r="L23" s="7" t="s">
        <v>226</v>
      </c>
      <c r="M23" s="7" t="n">
        <v>2</v>
      </c>
    </row>
    <row r="24" customFormat="false" ht="15" hidden="false" customHeight="false" outlineLevel="0" collapsed="false">
      <c r="A24" s="7" t="s">
        <v>224</v>
      </c>
      <c r="B24" s="7" t="s">
        <v>202</v>
      </c>
      <c r="C24" s="7" t="s">
        <v>83</v>
      </c>
      <c r="D24" s="7" t="s">
        <v>33</v>
      </c>
      <c r="E24" s="7" t="s">
        <v>227</v>
      </c>
      <c r="F24" s="7" t="s">
        <v>185</v>
      </c>
      <c r="G24" s="7" t="s">
        <v>206</v>
      </c>
      <c r="H24" s="7" t="n">
        <v>1.5</v>
      </c>
      <c r="I24" s="7" t="s">
        <v>228</v>
      </c>
      <c r="J24" s="7" t="n">
        <v>0.5</v>
      </c>
      <c r="K24" s="7" t="s">
        <v>188</v>
      </c>
      <c r="L24" s="7"/>
      <c r="M24" s="7" t="n">
        <v>0</v>
      </c>
    </row>
    <row r="25" customFormat="false" ht="15" hidden="false" customHeight="false" outlineLevel="0" collapsed="false">
      <c r="A25" s="7" t="s">
        <v>224</v>
      </c>
      <c r="B25" s="7" t="s">
        <v>202</v>
      </c>
      <c r="C25" s="7" t="s">
        <v>83</v>
      </c>
      <c r="D25" s="7" t="s">
        <v>35</v>
      </c>
      <c r="E25" s="7" t="s">
        <v>229</v>
      </c>
      <c r="F25" s="7" t="s">
        <v>200</v>
      </c>
      <c r="G25" s="7" t="s">
        <v>195</v>
      </c>
      <c r="H25" s="7" t="n">
        <v>1</v>
      </c>
      <c r="I25" s="7"/>
      <c r="J25" s="7" t="n">
        <v>0</v>
      </c>
      <c r="K25" s="7"/>
      <c r="L25" s="7"/>
      <c r="M25" s="7" t="n">
        <v>0</v>
      </c>
    </row>
    <row r="26" customFormat="false" ht="15" hidden="false" customHeight="false" outlineLevel="0" collapsed="false">
      <c r="A26" s="7" t="s">
        <v>230</v>
      </c>
      <c r="B26" s="7" t="s">
        <v>183</v>
      </c>
      <c r="C26" s="7" t="s">
        <v>85</v>
      </c>
      <c r="D26" s="7" t="s">
        <v>38</v>
      </c>
      <c r="E26" s="7" t="s">
        <v>231</v>
      </c>
      <c r="F26" s="7" t="s">
        <v>232</v>
      </c>
      <c r="G26" s="7" t="s">
        <v>193</v>
      </c>
      <c r="H26" s="7" t="n">
        <v>1.5</v>
      </c>
      <c r="I26" s="7"/>
      <c r="J26" s="7" t="n">
        <v>0</v>
      </c>
      <c r="K26" s="7"/>
      <c r="L26" s="7"/>
      <c r="M26" s="7" t="n">
        <v>0</v>
      </c>
    </row>
    <row r="27" customFormat="false" ht="15" hidden="false" customHeight="false" outlineLevel="0" collapsed="false">
      <c r="A27" s="7" t="s">
        <v>230</v>
      </c>
      <c r="B27" s="7" t="s">
        <v>183</v>
      </c>
      <c r="C27" s="7" t="s">
        <v>85</v>
      </c>
      <c r="D27" s="7" t="s">
        <v>33</v>
      </c>
      <c r="E27" s="7" t="s">
        <v>233</v>
      </c>
      <c r="F27" s="7" t="s">
        <v>150</v>
      </c>
      <c r="G27" s="7" t="s">
        <v>195</v>
      </c>
      <c r="H27" s="7" t="n">
        <v>0.75</v>
      </c>
      <c r="I27" s="7" t="s">
        <v>234</v>
      </c>
      <c r="J27" s="7" t="n">
        <v>2</v>
      </c>
      <c r="K27" s="7" t="s">
        <v>188</v>
      </c>
      <c r="L27" s="7"/>
      <c r="M27" s="7" t="n">
        <v>0</v>
      </c>
    </row>
    <row r="28" customFormat="false" ht="15" hidden="false" customHeight="false" outlineLevel="0" collapsed="false">
      <c r="A28" s="7" t="s">
        <v>230</v>
      </c>
      <c r="B28" s="7" t="s">
        <v>183</v>
      </c>
      <c r="C28" s="7" t="s">
        <v>85</v>
      </c>
      <c r="D28" s="7" t="s">
        <v>36</v>
      </c>
      <c r="E28" s="7" t="s">
        <v>235</v>
      </c>
      <c r="F28" s="7" t="s">
        <v>163</v>
      </c>
      <c r="G28" s="7" t="s">
        <v>36</v>
      </c>
      <c r="H28" s="7" t="n">
        <v>0.5</v>
      </c>
      <c r="I28" s="7" t="s">
        <v>197</v>
      </c>
      <c r="J28" s="7" t="n">
        <v>0.3</v>
      </c>
      <c r="K28" s="7" t="s">
        <v>198</v>
      </c>
      <c r="L28" s="7"/>
      <c r="M28" s="7" t="n">
        <v>0</v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</sheetData>
  <mergeCells count="1">
    <mergeCell ref="A1:M1"/>
  </mergeCells>
  <dataValidations count="4">
    <dataValidation allowBlank="true" errorStyle="stop" operator="between" showDropDown="false" showErrorMessage="false" showInputMessage="false" sqref="B5:B104" type="list">
      <formula1>"S,A,B,C,D"</formula1>
      <formula2>0</formula2>
    </dataValidation>
    <dataValidation allowBlank="true" errorStyle="stop" operator="between" showDropDown="false" showErrorMessage="false" showInputMessage="false" sqref="C5:C104" type="list">
      <formula1>"Colhedora,Trator,Caminhão,Implemento,Veículo Leve"</formula1>
      <formula2>0</formula2>
    </dataValidation>
    <dataValidation allowBlank="true" errorStyle="stop" operator="between" showDropDown="false" showErrorMessage="false" showInputMessage="false" sqref="D5:D104" type="list">
      <formula1>"Mec. Oficina,Mec. Campo,Elétrica,Lubrificação,Borracharia,Caldeiraria"</formula1>
      <formula2>0</formula2>
    </dataValidation>
    <dataValidation allowBlank="true" errorStyle="stop" operator="between" showDropDown="false" showErrorMessage="false" showInputMessage="false" sqref="G5:G104" type="list">
      <formula1>"Troca,Verificação,Inspeção,Lubrificação,Calibragem,Limpeza,Ajuste,Regulagem"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B5B7"/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3"/>
    <col collapsed="false" customWidth="true" hidden="false" outlineLevel="0" max="5" min="4" style="0" width="10"/>
  </cols>
  <sheetData>
    <row r="1" customFormat="false" ht="16.15" hidden="false" customHeight="false" outlineLevel="0" collapsed="false">
      <c r="A1" s="1" t="s">
        <v>236</v>
      </c>
      <c r="B1" s="1"/>
      <c r="C1" s="1"/>
      <c r="D1" s="1"/>
      <c r="E1" s="1"/>
    </row>
    <row r="2" customFormat="false" ht="15" hidden="false" customHeight="false" outlineLevel="0" collapsed="false">
      <c r="A2" s="5" t="s">
        <v>237</v>
      </c>
      <c r="B2" s="5" t="s">
        <v>238</v>
      </c>
      <c r="C2" s="5" t="s">
        <v>239</v>
      </c>
      <c r="D2" s="5" t="s">
        <v>240</v>
      </c>
      <c r="E2" s="5" t="s">
        <v>241</v>
      </c>
    </row>
    <row r="3" customFormat="false" ht="15" hidden="false" customHeight="false" outlineLevel="0" collapsed="false">
      <c r="A3" s="9" t="n">
        <v>1</v>
      </c>
      <c r="B3" s="12" t="n">
        <f aca="false">DATE(VALUE(LEFT(Premissas!$G$21,4)),VALUE(MID(Premissas!$G$21,6,2)),VALUE(RIGHT(Premissas!$G$21,2)))</f>
        <v>45748</v>
      </c>
      <c r="C3" s="12" t="n">
        <f aca="false">B3+6</f>
        <v>45754</v>
      </c>
      <c r="D3" s="9" t="n">
        <f aca="false">IF(AND(B3&gt;=$B$3,B3&lt;=DATE(VALUE(LEFT(Premissas!$G$22,4)),VALUE(MID(Premissas!$G$22,6,2)),VALUE(RIGHT(Premissas!$G$22,2)))),1,0)</f>
        <v>1</v>
      </c>
      <c r="E3" s="9" t="n">
        <f aca="false">MONTH(B3)</f>
        <v>4</v>
      </c>
    </row>
    <row r="4" customFormat="false" ht="15" hidden="false" customHeight="false" outlineLevel="0" collapsed="false">
      <c r="A4" s="9" t="n">
        <v>2</v>
      </c>
      <c r="B4" s="12" t="n">
        <f aca="false">B3+7</f>
        <v>45755</v>
      </c>
      <c r="C4" s="12" t="n">
        <f aca="false">B4+6</f>
        <v>45761</v>
      </c>
      <c r="D4" s="9" t="n">
        <f aca="false">IF(AND(B4&gt;=$B$3,B4&lt;=DATE(VALUE(LEFT(Premissas!$G$22,4)),VALUE(MID(Premissas!$G$22,6,2)),VALUE(RIGHT(Premissas!$G$22,2)))),1,0)</f>
        <v>1</v>
      </c>
      <c r="E4" s="9" t="n">
        <f aca="false">MONTH(B4)</f>
        <v>4</v>
      </c>
    </row>
    <row r="5" customFormat="false" ht="15" hidden="false" customHeight="false" outlineLevel="0" collapsed="false">
      <c r="A5" s="9" t="n">
        <v>3</v>
      </c>
      <c r="B5" s="12" t="n">
        <f aca="false">B4+7</f>
        <v>45762</v>
      </c>
      <c r="C5" s="12" t="n">
        <f aca="false">B5+6</f>
        <v>45768</v>
      </c>
      <c r="D5" s="9" t="n">
        <f aca="false">IF(AND(B5&gt;=$B$3,B5&lt;=DATE(VALUE(LEFT(Premissas!$G$22,4)),VALUE(MID(Premissas!$G$22,6,2)),VALUE(RIGHT(Premissas!$G$22,2)))),1,0)</f>
        <v>1</v>
      </c>
      <c r="E5" s="9" t="n">
        <f aca="false">MONTH(B5)</f>
        <v>4</v>
      </c>
    </row>
    <row r="6" customFormat="false" ht="15" hidden="false" customHeight="false" outlineLevel="0" collapsed="false">
      <c r="A6" s="9" t="n">
        <v>4</v>
      </c>
      <c r="B6" s="12" t="n">
        <f aca="false">B5+7</f>
        <v>45769</v>
      </c>
      <c r="C6" s="12" t="n">
        <f aca="false">B6+6</f>
        <v>45775</v>
      </c>
      <c r="D6" s="9" t="n">
        <f aca="false">IF(AND(B6&gt;=$B$3,B6&lt;=DATE(VALUE(LEFT(Premissas!$G$22,4)),VALUE(MID(Premissas!$G$22,6,2)),VALUE(RIGHT(Premissas!$G$22,2)))),1,0)</f>
        <v>1</v>
      </c>
      <c r="E6" s="9" t="n">
        <f aca="false">MONTH(B6)</f>
        <v>4</v>
      </c>
    </row>
    <row r="7" customFormat="false" ht="15" hidden="false" customHeight="false" outlineLevel="0" collapsed="false">
      <c r="A7" s="9" t="n">
        <v>5</v>
      </c>
      <c r="B7" s="12" t="n">
        <f aca="false">B6+7</f>
        <v>45776</v>
      </c>
      <c r="C7" s="12" t="n">
        <f aca="false">B7+6</f>
        <v>45782</v>
      </c>
      <c r="D7" s="9" t="n">
        <f aca="false">IF(AND(B7&gt;=$B$3,B7&lt;=DATE(VALUE(LEFT(Premissas!$G$22,4)),VALUE(MID(Premissas!$G$22,6,2)),VALUE(RIGHT(Premissas!$G$22,2)))),1,0)</f>
        <v>1</v>
      </c>
      <c r="E7" s="9" t="n">
        <f aca="false">MONTH(B7)</f>
        <v>4</v>
      </c>
    </row>
    <row r="8" customFormat="false" ht="15" hidden="false" customHeight="false" outlineLevel="0" collapsed="false">
      <c r="A8" s="9" t="n">
        <v>6</v>
      </c>
      <c r="B8" s="12" t="n">
        <f aca="false">B7+7</f>
        <v>45783</v>
      </c>
      <c r="C8" s="12" t="n">
        <f aca="false">B8+6</f>
        <v>45789</v>
      </c>
      <c r="D8" s="9" t="n">
        <f aca="false">IF(AND(B8&gt;=$B$3,B8&lt;=DATE(VALUE(LEFT(Premissas!$G$22,4)),VALUE(MID(Premissas!$G$22,6,2)),VALUE(RIGHT(Premissas!$G$22,2)))),1,0)</f>
        <v>1</v>
      </c>
      <c r="E8" s="9" t="n">
        <f aca="false">MONTH(B8)</f>
        <v>5</v>
      </c>
    </row>
    <row r="9" customFormat="false" ht="15" hidden="false" customHeight="false" outlineLevel="0" collapsed="false">
      <c r="A9" s="9" t="n">
        <v>7</v>
      </c>
      <c r="B9" s="12" t="n">
        <f aca="false">B8+7</f>
        <v>45790</v>
      </c>
      <c r="C9" s="12" t="n">
        <f aca="false">B9+6</f>
        <v>45796</v>
      </c>
      <c r="D9" s="9" t="n">
        <f aca="false">IF(AND(B9&gt;=$B$3,B9&lt;=DATE(VALUE(LEFT(Premissas!$G$22,4)),VALUE(MID(Premissas!$G$22,6,2)),VALUE(RIGHT(Premissas!$G$22,2)))),1,0)</f>
        <v>1</v>
      </c>
      <c r="E9" s="9" t="n">
        <f aca="false">MONTH(B9)</f>
        <v>5</v>
      </c>
    </row>
    <row r="10" customFormat="false" ht="15" hidden="false" customHeight="false" outlineLevel="0" collapsed="false">
      <c r="A10" s="9" t="n">
        <v>8</v>
      </c>
      <c r="B10" s="12" t="n">
        <f aca="false">B9+7</f>
        <v>45797</v>
      </c>
      <c r="C10" s="12" t="n">
        <f aca="false">B10+6</f>
        <v>45803</v>
      </c>
      <c r="D10" s="9" t="n">
        <f aca="false">IF(AND(B10&gt;=$B$3,B10&lt;=DATE(VALUE(LEFT(Premissas!$G$22,4)),VALUE(MID(Premissas!$G$22,6,2)),VALUE(RIGHT(Premissas!$G$22,2)))),1,0)</f>
        <v>1</v>
      </c>
      <c r="E10" s="9" t="n">
        <f aca="false">MONTH(B10)</f>
        <v>5</v>
      </c>
    </row>
    <row r="11" customFormat="false" ht="15" hidden="false" customHeight="false" outlineLevel="0" collapsed="false">
      <c r="A11" s="9" t="n">
        <v>9</v>
      </c>
      <c r="B11" s="12" t="n">
        <f aca="false">B10+7</f>
        <v>45804</v>
      </c>
      <c r="C11" s="12" t="n">
        <f aca="false">B11+6</f>
        <v>45810</v>
      </c>
      <c r="D11" s="9" t="n">
        <f aca="false">IF(AND(B11&gt;=$B$3,B11&lt;=DATE(VALUE(LEFT(Premissas!$G$22,4)),VALUE(MID(Premissas!$G$22,6,2)),VALUE(RIGHT(Premissas!$G$22,2)))),1,0)</f>
        <v>1</v>
      </c>
      <c r="E11" s="9" t="n">
        <f aca="false">MONTH(B11)</f>
        <v>5</v>
      </c>
    </row>
    <row r="12" customFormat="false" ht="15" hidden="false" customHeight="false" outlineLevel="0" collapsed="false">
      <c r="A12" s="9" t="n">
        <v>10</v>
      </c>
      <c r="B12" s="12" t="n">
        <f aca="false">B11+7</f>
        <v>45811</v>
      </c>
      <c r="C12" s="12" t="n">
        <f aca="false">B12+6</f>
        <v>45817</v>
      </c>
      <c r="D12" s="9" t="n">
        <f aca="false">IF(AND(B12&gt;=$B$3,B12&lt;=DATE(VALUE(LEFT(Premissas!$G$22,4)),VALUE(MID(Premissas!$G$22,6,2)),VALUE(RIGHT(Premissas!$G$22,2)))),1,0)</f>
        <v>1</v>
      </c>
      <c r="E12" s="9" t="n">
        <f aca="false">MONTH(B12)</f>
        <v>6</v>
      </c>
    </row>
    <row r="13" customFormat="false" ht="15" hidden="false" customHeight="false" outlineLevel="0" collapsed="false">
      <c r="A13" s="9" t="n">
        <v>11</v>
      </c>
      <c r="B13" s="12" t="n">
        <f aca="false">B12+7</f>
        <v>45818</v>
      </c>
      <c r="C13" s="12" t="n">
        <f aca="false">B13+6</f>
        <v>45824</v>
      </c>
      <c r="D13" s="9" t="n">
        <f aca="false">IF(AND(B13&gt;=$B$3,B13&lt;=DATE(VALUE(LEFT(Premissas!$G$22,4)),VALUE(MID(Premissas!$G$22,6,2)),VALUE(RIGHT(Premissas!$G$22,2)))),1,0)</f>
        <v>1</v>
      </c>
      <c r="E13" s="9" t="n">
        <f aca="false">MONTH(B13)</f>
        <v>6</v>
      </c>
    </row>
    <row r="14" customFormat="false" ht="15" hidden="false" customHeight="false" outlineLevel="0" collapsed="false">
      <c r="A14" s="9" t="n">
        <v>12</v>
      </c>
      <c r="B14" s="12" t="n">
        <f aca="false">B13+7</f>
        <v>45825</v>
      </c>
      <c r="C14" s="12" t="n">
        <f aca="false">B14+6</f>
        <v>45831</v>
      </c>
      <c r="D14" s="9" t="n">
        <f aca="false">IF(AND(B14&gt;=$B$3,B14&lt;=DATE(VALUE(LEFT(Premissas!$G$22,4)),VALUE(MID(Premissas!$G$22,6,2)),VALUE(RIGHT(Premissas!$G$22,2)))),1,0)</f>
        <v>1</v>
      </c>
      <c r="E14" s="9" t="n">
        <f aca="false">MONTH(B14)</f>
        <v>6</v>
      </c>
    </row>
    <row r="15" customFormat="false" ht="15" hidden="false" customHeight="false" outlineLevel="0" collapsed="false">
      <c r="A15" s="9" t="n">
        <v>13</v>
      </c>
      <c r="B15" s="12" t="n">
        <f aca="false">B14+7</f>
        <v>45832</v>
      </c>
      <c r="C15" s="12" t="n">
        <f aca="false">B15+6</f>
        <v>45838</v>
      </c>
      <c r="D15" s="9" t="n">
        <f aca="false">IF(AND(B15&gt;=$B$3,B15&lt;=DATE(VALUE(LEFT(Premissas!$G$22,4)),VALUE(MID(Premissas!$G$22,6,2)),VALUE(RIGHT(Premissas!$G$22,2)))),1,0)</f>
        <v>1</v>
      </c>
      <c r="E15" s="9" t="n">
        <f aca="false">MONTH(B15)</f>
        <v>6</v>
      </c>
    </row>
    <row r="16" customFormat="false" ht="15" hidden="false" customHeight="false" outlineLevel="0" collapsed="false">
      <c r="A16" s="9" t="n">
        <v>14</v>
      </c>
      <c r="B16" s="12" t="n">
        <f aca="false">B15+7</f>
        <v>45839</v>
      </c>
      <c r="C16" s="12" t="n">
        <f aca="false">B16+6</f>
        <v>45845</v>
      </c>
      <c r="D16" s="9" t="n">
        <f aca="false">IF(AND(B16&gt;=$B$3,B16&lt;=DATE(VALUE(LEFT(Premissas!$G$22,4)),VALUE(MID(Premissas!$G$22,6,2)),VALUE(RIGHT(Premissas!$G$22,2)))),1,0)</f>
        <v>1</v>
      </c>
      <c r="E16" s="9" t="n">
        <f aca="false">MONTH(B16)</f>
        <v>7</v>
      </c>
    </row>
    <row r="17" customFormat="false" ht="15" hidden="false" customHeight="false" outlineLevel="0" collapsed="false">
      <c r="A17" s="9" t="n">
        <v>15</v>
      </c>
      <c r="B17" s="12" t="n">
        <f aca="false">B16+7</f>
        <v>45846</v>
      </c>
      <c r="C17" s="12" t="n">
        <f aca="false">B17+6</f>
        <v>45852</v>
      </c>
      <c r="D17" s="9" t="n">
        <f aca="false">IF(AND(B17&gt;=$B$3,B17&lt;=DATE(VALUE(LEFT(Premissas!$G$22,4)),VALUE(MID(Premissas!$G$22,6,2)),VALUE(RIGHT(Premissas!$G$22,2)))),1,0)</f>
        <v>1</v>
      </c>
      <c r="E17" s="9" t="n">
        <f aca="false">MONTH(B17)</f>
        <v>7</v>
      </c>
    </row>
    <row r="18" customFormat="false" ht="15" hidden="false" customHeight="false" outlineLevel="0" collapsed="false">
      <c r="A18" s="9" t="n">
        <v>16</v>
      </c>
      <c r="B18" s="12" t="n">
        <f aca="false">B17+7</f>
        <v>45853</v>
      </c>
      <c r="C18" s="12" t="n">
        <f aca="false">B18+6</f>
        <v>45859</v>
      </c>
      <c r="D18" s="9" t="n">
        <f aca="false">IF(AND(B18&gt;=$B$3,B18&lt;=DATE(VALUE(LEFT(Premissas!$G$22,4)),VALUE(MID(Premissas!$G$22,6,2)),VALUE(RIGHT(Premissas!$G$22,2)))),1,0)</f>
        <v>1</v>
      </c>
      <c r="E18" s="9" t="n">
        <f aca="false">MONTH(B18)</f>
        <v>7</v>
      </c>
    </row>
    <row r="19" customFormat="false" ht="15" hidden="false" customHeight="false" outlineLevel="0" collapsed="false">
      <c r="A19" s="9" t="n">
        <v>17</v>
      </c>
      <c r="B19" s="12" t="n">
        <f aca="false">B18+7</f>
        <v>45860</v>
      </c>
      <c r="C19" s="12" t="n">
        <f aca="false">B19+6</f>
        <v>45866</v>
      </c>
      <c r="D19" s="9" t="n">
        <f aca="false">IF(AND(B19&gt;=$B$3,B19&lt;=DATE(VALUE(LEFT(Premissas!$G$22,4)),VALUE(MID(Premissas!$G$22,6,2)),VALUE(RIGHT(Premissas!$G$22,2)))),1,0)</f>
        <v>1</v>
      </c>
      <c r="E19" s="9" t="n">
        <f aca="false">MONTH(B19)</f>
        <v>7</v>
      </c>
    </row>
    <row r="20" customFormat="false" ht="15" hidden="false" customHeight="false" outlineLevel="0" collapsed="false">
      <c r="A20" s="9" t="n">
        <v>18</v>
      </c>
      <c r="B20" s="12" t="n">
        <f aca="false">B19+7</f>
        <v>45867</v>
      </c>
      <c r="C20" s="12" t="n">
        <f aca="false">B20+6</f>
        <v>45873</v>
      </c>
      <c r="D20" s="9" t="n">
        <f aca="false">IF(AND(B20&gt;=$B$3,B20&lt;=DATE(VALUE(LEFT(Premissas!$G$22,4)),VALUE(MID(Premissas!$G$22,6,2)),VALUE(RIGHT(Premissas!$G$22,2)))),1,0)</f>
        <v>1</v>
      </c>
      <c r="E20" s="9" t="n">
        <f aca="false">MONTH(B20)</f>
        <v>7</v>
      </c>
    </row>
    <row r="21" customFormat="false" ht="15" hidden="false" customHeight="false" outlineLevel="0" collapsed="false">
      <c r="A21" s="9" t="n">
        <v>19</v>
      </c>
      <c r="B21" s="12" t="n">
        <f aca="false">B20+7</f>
        <v>45874</v>
      </c>
      <c r="C21" s="12" t="n">
        <f aca="false">B21+6</f>
        <v>45880</v>
      </c>
      <c r="D21" s="9" t="n">
        <f aca="false">IF(AND(B21&gt;=$B$3,B21&lt;=DATE(VALUE(LEFT(Premissas!$G$22,4)),VALUE(MID(Premissas!$G$22,6,2)),VALUE(RIGHT(Premissas!$G$22,2)))),1,0)</f>
        <v>1</v>
      </c>
      <c r="E21" s="9" t="n">
        <f aca="false">MONTH(B21)</f>
        <v>8</v>
      </c>
    </row>
    <row r="22" customFormat="false" ht="15" hidden="false" customHeight="false" outlineLevel="0" collapsed="false">
      <c r="A22" s="9" t="n">
        <v>20</v>
      </c>
      <c r="B22" s="12" t="n">
        <f aca="false">B21+7</f>
        <v>45881</v>
      </c>
      <c r="C22" s="12" t="n">
        <f aca="false">B22+6</f>
        <v>45887</v>
      </c>
      <c r="D22" s="9" t="n">
        <f aca="false">IF(AND(B22&gt;=$B$3,B22&lt;=DATE(VALUE(LEFT(Premissas!$G$22,4)),VALUE(MID(Premissas!$G$22,6,2)),VALUE(RIGHT(Premissas!$G$22,2)))),1,0)</f>
        <v>1</v>
      </c>
      <c r="E22" s="9" t="n">
        <f aca="false">MONTH(B22)</f>
        <v>8</v>
      </c>
    </row>
    <row r="23" customFormat="false" ht="15" hidden="false" customHeight="false" outlineLevel="0" collapsed="false">
      <c r="A23" s="9" t="n">
        <v>21</v>
      </c>
      <c r="B23" s="12" t="n">
        <f aca="false">B22+7</f>
        <v>45888</v>
      </c>
      <c r="C23" s="12" t="n">
        <f aca="false">B23+6</f>
        <v>45894</v>
      </c>
      <c r="D23" s="9" t="n">
        <f aca="false">IF(AND(B23&gt;=$B$3,B23&lt;=DATE(VALUE(LEFT(Premissas!$G$22,4)),VALUE(MID(Premissas!$G$22,6,2)),VALUE(RIGHT(Premissas!$G$22,2)))),1,0)</f>
        <v>1</v>
      </c>
      <c r="E23" s="9" t="n">
        <f aca="false">MONTH(B23)</f>
        <v>8</v>
      </c>
    </row>
    <row r="24" customFormat="false" ht="15" hidden="false" customHeight="false" outlineLevel="0" collapsed="false">
      <c r="A24" s="9" t="n">
        <v>22</v>
      </c>
      <c r="B24" s="12" t="n">
        <f aca="false">B23+7</f>
        <v>45895</v>
      </c>
      <c r="C24" s="12" t="n">
        <f aca="false">B24+6</f>
        <v>45901</v>
      </c>
      <c r="D24" s="9" t="n">
        <f aca="false">IF(AND(B24&gt;=$B$3,B24&lt;=DATE(VALUE(LEFT(Premissas!$G$22,4)),VALUE(MID(Premissas!$G$22,6,2)),VALUE(RIGHT(Premissas!$G$22,2)))),1,0)</f>
        <v>1</v>
      </c>
      <c r="E24" s="9" t="n">
        <f aca="false">MONTH(B24)</f>
        <v>8</v>
      </c>
    </row>
    <row r="25" customFormat="false" ht="15" hidden="false" customHeight="false" outlineLevel="0" collapsed="false">
      <c r="A25" s="9" t="n">
        <v>23</v>
      </c>
      <c r="B25" s="12" t="n">
        <f aca="false">B24+7</f>
        <v>45902</v>
      </c>
      <c r="C25" s="12" t="n">
        <f aca="false">B25+6</f>
        <v>45908</v>
      </c>
      <c r="D25" s="9" t="n">
        <f aca="false">IF(AND(B25&gt;=$B$3,B25&lt;=DATE(VALUE(LEFT(Premissas!$G$22,4)),VALUE(MID(Premissas!$G$22,6,2)),VALUE(RIGHT(Premissas!$G$22,2)))),1,0)</f>
        <v>1</v>
      </c>
      <c r="E25" s="9" t="n">
        <f aca="false">MONTH(B25)</f>
        <v>9</v>
      </c>
    </row>
    <row r="26" customFormat="false" ht="15" hidden="false" customHeight="false" outlineLevel="0" collapsed="false">
      <c r="A26" s="9" t="n">
        <v>24</v>
      </c>
      <c r="B26" s="12" t="n">
        <f aca="false">B25+7</f>
        <v>45909</v>
      </c>
      <c r="C26" s="12" t="n">
        <f aca="false">B26+6</f>
        <v>45915</v>
      </c>
      <c r="D26" s="9" t="n">
        <f aca="false">IF(AND(B26&gt;=$B$3,B26&lt;=DATE(VALUE(LEFT(Premissas!$G$22,4)),VALUE(MID(Premissas!$G$22,6,2)),VALUE(RIGHT(Premissas!$G$22,2)))),1,0)</f>
        <v>1</v>
      </c>
      <c r="E26" s="9" t="n">
        <f aca="false">MONTH(B26)</f>
        <v>9</v>
      </c>
    </row>
    <row r="27" customFormat="false" ht="15" hidden="false" customHeight="false" outlineLevel="0" collapsed="false">
      <c r="A27" s="9" t="n">
        <v>25</v>
      </c>
      <c r="B27" s="12" t="n">
        <f aca="false">B26+7</f>
        <v>45916</v>
      </c>
      <c r="C27" s="12" t="n">
        <f aca="false">B27+6</f>
        <v>45922</v>
      </c>
      <c r="D27" s="9" t="n">
        <f aca="false">IF(AND(B27&gt;=$B$3,B27&lt;=DATE(VALUE(LEFT(Premissas!$G$22,4)),VALUE(MID(Premissas!$G$22,6,2)),VALUE(RIGHT(Premissas!$G$22,2)))),1,0)</f>
        <v>1</v>
      </c>
      <c r="E27" s="9" t="n">
        <f aca="false">MONTH(B27)</f>
        <v>9</v>
      </c>
    </row>
    <row r="28" customFormat="false" ht="15" hidden="false" customHeight="false" outlineLevel="0" collapsed="false">
      <c r="A28" s="9" t="n">
        <v>26</v>
      </c>
      <c r="B28" s="12" t="n">
        <f aca="false">B27+7</f>
        <v>45923</v>
      </c>
      <c r="C28" s="12" t="n">
        <f aca="false">B28+6</f>
        <v>45929</v>
      </c>
      <c r="D28" s="9" t="n">
        <f aca="false">IF(AND(B28&gt;=$B$3,B28&lt;=DATE(VALUE(LEFT(Premissas!$G$22,4)),VALUE(MID(Premissas!$G$22,6,2)),VALUE(RIGHT(Premissas!$G$22,2)))),1,0)</f>
        <v>1</v>
      </c>
      <c r="E28" s="9" t="n">
        <f aca="false">MONTH(B28)</f>
        <v>9</v>
      </c>
    </row>
    <row r="29" customFormat="false" ht="15" hidden="false" customHeight="false" outlineLevel="0" collapsed="false">
      <c r="A29" s="9" t="n">
        <v>27</v>
      </c>
      <c r="B29" s="12" t="n">
        <f aca="false">B28+7</f>
        <v>45930</v>
      </c>
      <c r="C29" s="12" t="n">
        <f aca="false">B29+6</f>
        <v>45936</v>
      </c>
      <c r="D29" s="9" t="n">
        <f aca="false">IF(AND(B29&gt;=$B$3,B29&lt;=DATE(VALUE(LEFT(Premissas!$G$22,4)),VALUE(MID(Premissas!$G$22,6,2)),VALUE(RIGHT(Premissas!$G$22,2)))),1,0)</f>
        <v>1</v>
      </c>
      <c r="E29" s="9" t="n">
        <f aca="false">MONTH(B29)</f>
        <v>9</v>
      </c>
    </row>
    <row r="30" customFormat="false" ht="15" hidden="false" customHeight="false" outlineLevel="0" collapsed="false">
      <c r="A30" s="9" t="n">
        <v>28</v>
      </c>
      <c r="B30" s="12" t="n">
        <f aca="false">B29+7</f>
        <v>45937</v>
      </c>
      <c r="C30" s="12" t="n">
        <f aca="false">B30+6</f>
        <v>45943</v>
      </c>
      <c r="D30" s="9" t="n">
        <f aca="false">IF(AND(B30&gt;=$B$3,B30&lt;=DATE(VALUE(LEFT(Premissas!$G$22,4)),VALUE(MID(Premissas!$G$22,6,2)),VALUE(RIGHT(Premissas!$G$22,2)))),1,0)</f>
        <v>1</v>
      </c>
      <c r="E30" s="9" t="n">
        <f aca="false">MONTH(B30)</f>
        <v>10</v>
      </c>
    </row>
    <row r="31" customFormat="false" ht="15" hidden="false" customHeight="false" outlineLevel="0" collapsed="false">
      <c r="A31" s="9" t="n">
        <v>29</v>
      </c>
      <c r="B31" s="12" t="n">
        <f aca="false">B30+7</f>
        <v>45944</v>
      </c>
      <c r="C31" s="12" t="n">
        <f aca="false">B31+6</f>
        <v>45950</v>
      </c>
      <c r="D31" s="9" t="n">
        <f aca="false">IF(AND(B31&gt;=$B$3,B31&lt;=DATE(VALUE(LEFT(Premissas!$G$22,4)),VALUE(MID(Premissas!$G$22,6,2)),VALUE(RIGHT(Premissas!$G$22,2)))),1,0)</f>
        <v>1</v>
      </c>
      <c r="E31" s="9" t="n">
        <f aca="false">MONTH(B31)</f>
        <v>10</v>
      </c>
    </row>
    <row r="32" customFormat="false" ht="15" hidden="false" customHeight="false" outlineLevel="0" collapsed="false">
      <c r="A32" s="9" t="n">
        <v>30</v>
      </c>
      <c r="B32" s="12" t="n">
        <f aca="false">B31+7</f>
        <v>45951</v>
      </c>
      <c r="C32" s="12" t="n">
        <f aca="false">B32+6</f>
        <v>45957</v>
      </c>
      <c r="D32" s="9" t="n">
        <f aca="false">IF(AND(B32&gt;=$B$3,B32&lt;=DATE(VALUE(LEFT(Premissas!$G$22,4)),VALUE(MID(Premissas!$G$22,6,2)),VALUE(RIGHT(Premissas!$G$22,2)))),1,0)</f>
        <v>1</v>
      </c>
      <c r="E32" s="9" t="n">
        <f aca="false">MONTH(B32)</f>
        <v>10</v>
      </c>
    </row>
    <row r="33" customFormat="false" ht="15" hidden="false" customHeight="false" outlineLevel="0" collapsed="false">
      <c r="A33" s="9" t="n">
        <v>31</v>
      </c>
      <c r="B33" s="12" t="n">
        <f aca="false">B32+7</f>
        <v>45958</v>
      </c>
      <c r="C33" s="12" t="n">
        <f aca="false">B33+6</f>
        <v>45964</v>
      </c>
      <c r="D33" s="9" t="n">
        <f aca="false">IF(AND(B33&gt;=$B$3,B33&lt;=DATE(VALUE(LEFT(Premissas!$G$22,4)),VALUE(MID(Premissas!$G$22,6,2)),VALUE(RIGHT(Premissas!$G$22,2)))),1,0)</f>
        <v>1</v>
      </c>
      <c r="E33" s="9" t="n">
        <f aca="false">MONTH(B33)</f>
        <v>10</v>
      </c>
    </row>
    <row r="34" customFormat="false" ht="15" hidden="false" customHeight="false" outlineLevel="0" collapsed="false">
      <c r="A34" s="9" t="n">
        <v>32</v>
      </c>
      <c r="B34" s="12" t="n">
        <f aca="false">B33+7</f>
        <v>45965</v>
      </c>
      <c r="C34" s="12" t="n">
        <f aca="false">B34+6</f>
        <v>45971</v>
      </c>
      <c r="D34" s="9" t="n">
        <f aca="false">IF(AND(B34&gt;=$B$3,B34&lt;=DATE(VALUE(LEFT(Premissas!$G$22,4)),VALUE(MID(Premissas!$G$22,6,2)),VALUE(RIGHT(Premissas!$G$22,2)))),1,0)</f>
        <v>1</v>
      </c>
      <c r="E34" s="9" t="n">
        <f aca="false">MONTH(B34)</f>
        <v>11</v>
      </c>
    </row>
    <row r="35" customFormat="false" ht="15" hidden="false" customHeight="false" outlineLevel="0" collapsed="false">
      <c r="A35" s="9" t="n">
        <v>33</v>
      </c>
      <c r="B35" s="12" t="n">
        <f aca="false">B34+7</f>
        <v>45972</v>
      </c>
      <c r="C35" s="12" t="n">
        <f aca="false">B35+6</f>
        <v>45978</v>
      </c>
      <c r="D35" s="9" t="n">
        <f aca="false">IF(AND(B35&gt;=$B$3,B35&lt;=DATE(VALUE(LEFT(Premissas!$G$22,4)),VALUE(MID(Premissas!$G$22,6,2)),VALUE(RIGHT(Premissas!$G$22,2)))),1,0)</f>
        <v>1</v>
      </c>
      <c r="E35" s="9" t="n">
        <f aca="false">MONTH(B35)</f>
        <v>11</v>
      </c>
    </row>
    <row r="36" customFormat="false" ht="15" hidden="false" customHeight="false" outlineLevel="0" collapsed="false">
      <c r="A36" s="9" t="n">
        <v>34</v>
      </c>
      <c r="B36" s="12" t="n">
        <f aca="false">B35+7</f>
        <v>45979</v>
      </c>
      <c r="C36" s="12" t="n">
        <f aca="false">B36+6</f>
        <v>45985</v>
      </c>
      <c r="D36" s="9" t="n">
        <f aca="false">IF(AND(B36&gt;=$B$3,B36&lt;=DATE(VALUE(LEFT(Premissas!$G$22,4)),VALUE(MID(Premissas!$G$22,6,2)),VALUE(RIGHT(Premissas!$G$22,2)))),1,0)</f>
        <v>1</v>
      </c>
      <c r="E36" s="9" t="n">
        <f aca="false">MONTH(B36)</f>
        <v>11</v>
      </c>
    </row>
    <row r="37" customFormat="false" ht="15" hidden="false" customHeight="false" outlineLevel="0" collapsed="false">
      <c r="A37" s="9" t="n">
        <v>35</v>
      </c>
      <c r="B37" s="12" t="n">
        <f aca="false">B36+7</f>
        <v>45986</v>
      </c>
      <c r="C37" s="12" t="n">
        <f aca="false">B37+6</f>
        <v>45992</v>
      </c>
      <c r="D37" s="9" t="n">
        <f aca="false">IF(AND(B37&gt;=$B$3,B37&lt;=DATE(VALUE(LEFT(Premissas!$G$22,4)),VALUE(MID(Premissas!$G$22,6,2)),VALUE(RIGHT(Premissas!$G$22,2)))),1,0)</f>
        <v>1</v>
      </c>
      <c r="E37" s="9" t="n">
        <f aca="false">MONTH(B37)</f>
        <v>11</v>
      </c>
    </row>
    <row r="38" customFormat="false" ht="15" hidden="false" customHeight="false" outlineLevel="0" collapsed="false">
      <c r="A38" s="9" t="n">
        <v>36</v>
      </c>
      <c r="B38" s="12" t="n">
        <f aca="false">B37+7</f>
        <v>45993</v>
      </c>
      <c r="C38" s="12" t="n">
        <f aca="false">B38+6</f>
        <v>45999</v>
      </c>
      <c r="D38" s="9" t="n">
        <f aca="false">IF(AND(B38&gt;=$B$3,B38&lt;=DATE(VALUE(LEFT(Premissas!$G$22,4)),VALUE(MID(Premissas!$G$22,6,2)),VALUE(RIGHT(Premissas!$G$22,2)))),1,0)</f>
        <v>0</v>
      </c>
      <c r="E38" s="9" t="n">
        <f aca="false">MONTH(B38)</f>
        <v>12</v>
      </c>
    </row>
    <row r="39" customFormat="false" ht="15" hidden="false" customHeight="false" outlineLevel="0" collapsed="false">
      <c r="A39" s="9" t="n">
        <v>37</v>
      </c>
      <c r="B39" s="12" t="n">
        <f aca="false">B38+7</f>
        <v>46000</v>
      </c>
      <c r="C39" s="12" t="n">
        <f aca="false">B39+6</f>
        <v>46006</v>
      </c>
      <c r="D39" s="9" t="n">
        <f aca="false">IF(AND(B39&gt;=$B$3,B39&lt;=DATE(VALUE(LEFT(Premissas!$G$22,4)),VALUE(MID(Premissas!$G$22,6,2)),VALUE(RIGHT(Premissas!$G$22,2)))),1,0)</f>
        <v>0</v>
      </c>
      <c r="E39" s="9" t="n">
        <f aca="false">MONTH(B39)</f>
        <v>12</v>
      </c>
    </row>
    <row r="40" customFormat="false" ht="15" hidden="false" customHeight="false" outlineLevel="0" collapsed="false">
      <c r="A40" s="9" t="n">
        <v>38</v>
      </c>
      <c r="B40" s="12" t="n">
        <f aca="false">B39+7</f>
        <v>46007</v>
      </c>
      <c r="C40" s="12" t="n">
        <f aca="false">B40+6</f>
        <v>46013</v>
      </c>
      <c r="D40" s="9" t="n">
        <f aca="false">IF(AND(B40&gt;=$B$3,B40&lt;=DATE(VALUE(LEFT(Premissas!$G$22,4)),VALUE(MID(Premissas!$G$22,6,2)),VALUE(RIGHT(Premissas!$G$22,2)))),1,0)</f>
        <v>0</v>
      </c>
      <c r="E40" s="9" t="n">
        <f aca="false">MONTH(B40)</f>
        <v>12</v>
      </c>
    </row>
    <row r="41" customFormat="false" ht="15" hidden="false" customHeight="false" outlineLevel="0" collapsed="false">
      <c r="A41" s="9" t="n">
        <v>39</v>
      </c>
      <c r="B41" s="12" t="n">
        <f aca="false">B40+7</f>
        <v>46014</v>
      </c>
      <c r="C41" s="12" t="n">
        <f aca="false">B41+6</f>
        <v>46020</v>
      </c>
      <c r="D41" s="9" t="n">
        <f aca="false">IF(AND(B41&gt;=$B$3,B41&lt;=DATE(VALUE(LEFT(Premissas!$G$22,4)),VALUE(MID(Premissas!$G$22,6,2)),VALUE(RIGHT(Premissas!$G$22,2)))),1,0)</f>
        <v>0</v>
      </c>
      <c r="E41" s="9" t="n">
        <f aca="false">MONTH(B41)</f>
        <v>12</v>
      </c>
    </row>
    <row r="42" customFormat="false" ht="15" hidden="false" customHeight="false" outlineLevel="0" collapsed="false">
      <c r="A42" s="9" t="n">
        <v>40</v>
      </c>
      <c r="B42" s="12" t="n">
        <f aca="false">B41+7</f>
        <v>46021</v>
      </c>
      <c r="C42" s="12" t="n">
        <f aca="false">B42+6</f>
        <v>46027</v>
      </c>
      <c r="D42" s="9" t="n">
        <f aca="false">IF(AND(B42&gt;=$B$3,B42&lt;=DATE(VALUE(LEFT(Premissas!$G$22,4)),VALUE(MID(Premissas!$G$22,6,2)),VALUE(RIGHT(Premissas!$G$22,2)))),1,0)</f>
        <v>0</v>
      </c>
      <c r="E42" s="9" t="n">
        <f aca="false">MONTH(B42)</f>
        <v>12</v>
      </c>
    </row>
    <row r="43" customFormat="false" ht="15" hidden="false" customHeight="false" outlineLevel="0" collapsed="false">
      <c r="A43" s="9" t="n">
        <v>41</v>
      </c>
      <c r="B43" s="12" t="n">
        <f aca="false">B42+7</f>
        <v>46028</v>
      </c>
      <c r="C43" s="12" t="n">
        <f aca="false">B43+6</f>
        <v>46034</v>
      </c>
      <c r="D43" s="9" t="n">
        <f aca="false">IF(AND(B43&gt;=$B$3,B43&lt;=DATE(VALUE(LEFT(Premissas!$G$22,4)),VALUE(MID(Premissas!$G$22,6,2)),VALUE(RIGHT(Premissas!$G$22,2)))),1,0)</f>
        <v>0</v>
      </c>
      <c r="E43" s="9" t="n">
        <f aca="false">MONTH(B43)</f>
        <v>1</v>
      </c>
    </row>
    <row r="44" customFormat="false" ht="15" hidden="false" customHeight="false" outlineLevel="0" collapsed="false">
      <c r="A44" s="9" t="n">
        <v>42</v>
      </c>
      <c r="B44" s="12" t="n">
        <f aca="false">B43+7</f>
        <v>46035</v>
      </c>
      <c r="C44" s="12" t="n">
        <f aca="false">B44+6</f>
        <v>46041</v>
      </c>
      <c r="D44" s="9" t="n">
        <f aca="false">IF(AND(B44&gt;=$B$3,B44&lt;=DATE(VALUE(LEFT(Premissas!$G$22,4)),VALUE(MID(Premissas!$G$22,6,2)),VALUE(RIGHT(Premissas!$G$22,2)))),1,0)</f>
        <v>0</v>
      </c>
      <c r="E44" s="9" t="n">
        <f aca="false">MONTH(B44)</f>
        <v>1</v>
      </c>
    </row>
    <row r="45" customFormat="false" ht="15" hidden="false" customHeight="false" outlineLevel="0" collapsed="false">
      <c r="A45" s="9" t="n">
        <v>43</v>
      </c>
      <c r="B45" s="12" t="n">
        <f aca="false">B44+7</f>
        <v>46042</v>
      </c>
      <c r="C45" s="12" t="n">
        <f aca="false">B45+6</f>
        <v>46048</v>
      </c>
      <c r="D45" s="9" t="n">
        <f aca="false">IF(AND(B45&gt;=$B$3,B45&lt;=DATE(VALUE(LEFT(Premissas!$G$22,4)),VALUE(MID(Premissas!$G$22,6,2)),VALUE(RIGHT(Premissas!$G$22,2)))),1,0)</f>
        <v>0</v>
      </c>
      <c r="E45" s="9" t="n">
        <f aca="false">MONTH(B45)</f>
        <v>1</v>
      </c>
    </row>
    <row r="46" customFormat="false" ht="15" hidden="false" customHeight="false" outlineLevel="0" collapsed="false">
      <c r="A46" s="9" t="n">
        <v>44</v>
      </c>
      <c r="B46" s="12" t="n">
        <f aca="false">B45+7</f>
        <v>46049</v>
      </c>
      <c r="C46" s="12" t="n">
        <f aca="false">B46+6</f>
        <v>46055</v>
      </c>
      <c r="D46" s="9" t="n">
        <f aca="false">IF(AND(B46&gt;=$B$3,B46&lt;=DATE(VALUE(LEFT(Premissas!$G$22,4)),VALUE(MID(Premissas!$G$22,6,2)),VALUE(RIGHT(Premissas!$G$22,2)))),1,0)</f>
        <v>0</v>
      </c>
      <c r="E46" s="9" t="n">
        <f aca="false">MONTH(B46)</f>
        <v>1</v>
      </c>
    </row>
    <row r="47" customFormat="false" ht="15" hidden="false" customHeight="false" outlineLevel="0" collapsed="false">
      <c r="A47" s="9" t="n">
        <v>45</v>
      </c>
      <c r="B47" s="12" t="n">
        <f aca="false">B46+7</f>
        <v>46056</v>
      </c>
      <c r="C47" s="12" t="n">
        <f aca="false">B47+6</f>
        <v>46062</v>
      </c>
      <c r="D47" s="9" t="n">
        <f aca="false">IF(AND(B47&gt;=$B$3,B47&lt;=DATE(VALUE(LEFT(Premissas!$G$22,4)),VALUE(MID(Premissas!$G$22,6,2)),VALUE(RIGHT(Premissas!$G$22,2)))),1,0)</f>
        <v>0</v>
      </c>
      <c r="E47" s="9" t="n">
        <f aca="false">MONTH(B47)</f>
        <v>2</v>
      </c>
    </row>
    <row r="48" customFormat="false" ht="15" hidden="false" customHeight="false" outlineLevel="0" collapsed="false">
      <c r="A48" s="9" t="n">
        <v>46</v>
      </c>
      <c r="B48" s="12" t="n">
        <f aca="false">B47+7</f>
        <v>46063</v>
      </c>
      <c r="C48" s="12" t="n">
        <f aca="false">B48+6</f>
        <v>46069</v>
      </c>
      <c r="D48" s="9" t="n">
        <f aca="false">IF(AND(B48&gt;=$B$3,B48&lt;=DATE(VALUE(LEFT(Premissas!$G$22,4)),VALUE(MID(Premissas!$G$22,6,2)),VALUE(RIGHT(Premissas!$G$22,2)))),1,0)</f>
        <v>0</v>
      </c>
      <c r="E48" s="9" t="n">
        <f aca="false">MONTH(B48)</f>
        <v>2</v>
      </c>
    </row>
    <row r="49" customFormat="false" ht="15" hidden="false" customHeight="false" outlineLevel="0" collapsed="false">
      <c r="A49" s="9" t="n">
        <v>47</v>
      </c>
      <c r="B49" s="12" t="n">
        <f aca="false">B48+7</f>
        <v>46070</v>
      </c>
      <c r="C49" s="12" t="n">
        <f aca="false">B49+6</f>
        <v>46076</v>
      </c>
      <c r="D49" s="9" t="n">
        <f aca="false">IF(AND(B49&gt;=$B$3,B49&lt;=DATE(VALUE(LEFT(Premissas!$G$22,4)),VALUE(MID(Premissas!$G$22,6,2)),VALUE(RIGHT(Premissas!$G$22,2)))),1,0)</f>
        <v>0</v>
      </c>
      <c r="E49" s="9" t="n">
        <f aca="false">MONTH(B49)</f>
        <v>2</v>
      </c>
    </row>
    <row r="50" customFormat="false" ht="15" hidden="false" customHeight="false" outlineLevel="0" collapsed="false">
      <c r="A50" s="9" t="n">
        <v>48</v>
      </c>
      <c r="B50" s="12" t="n">
        <f aca="false">B49+7</f>
        <v>46077</v>
      </c>
      <c r="C50" s="12" t="n">
        <f aca="false">B50+6</f>
        <v>46083</v>
      </c>
      <c r="D50" s="9" t="n">
        <f aca="false">IF(AND(B50&gt;=$B$3,B50&lt;=DATE(VALUE(LEFT(Premissas!$G$22,4)),VALUE(MID(Premissas!$G$22,6,2)),VALUE(RIGHT(Premissas!$G$22,2)))),1,0)</f>
        <v>0</v>
      </c>
      <c r="E50" s="9" t="n">
        <f aca="false">MONTH(B50)</f>
        <v>2</v>
      </c>
    </row>
    <row r="51" customFormat="false" ht="15" hidden="false" customHeight="false" outlineLevel="0" collapsed="false">
      <c r="A51" s="9" t="n">
        <v>49</v>
      </c>
      <c r="B51" s="12" t="n">
        <f aca="false">B50+7</f>
        <v>46084</v>
      </c>
      <c r="C51" s="12" t="n">
        <f aca="false">B51+6</f>
        <v>46090</v>
      </c>
      <c r="D51" s="9" t="n">
        <f aca="false">IF(AND(B51&gt;=$B$3,B51&lt;=DATE(VALUE(LEFT(Premissas!$G$22,4)),VALUE(MID(Premissas!$G$22,6,2)),VALUE(RIGHT(Premissas!$G$22,2)))),1,0)</f>
        <v>0</v>
      </c>
      <c r="E51" s="9" t="n">
        <f aca="false">MONTH(B51)</f>
        <v>3</v>
      </c>
    </row>
    <row r="52" customFormat="false" ht="15" hidden="false" customHeight="false" outlineLevel="0" collapsed="false">
      <c r="A52" s="9" t="n">
        <v>50</v>
      </c>
      <c r="B52" s="12" t="n">
        <f aca="false">B51+7</f>
        <v>46091</v>
      </c>
      <c r="C52" s="12" t="n">
        <f aca="false">B52+6</f>
        <v>46097</v>
      </c>
      <c r="D52" s="9" t="n">
        <f aca="false">IF(AND(B52&gt;=$B$3,B52&lt;=DATE(VALUE(LEFT(Premissas!$G$22,4)),VALUE(MID(Premissas!$G$22,6,2)),VALUE(RIGHT(Premissas!$G$22,2)))),1,0)</f>
        <v>0</v>
      </c>
      <c r="E52" s="9" t="n">
        <f aca="false">MONTH(B52)</f>
        <v>3</v>
      </c>
    </row>
    <row r="53" customFormat="false" ht="15" hidden="false" customHeight="false" outlineLevel="0" collapsed="false">
      <c r="A53" s="9" t="n">
        <v>51</v>
      </c>
      <c r="B53" s="12" t="n">
        <f aca="false">B52+7</f>
        <v>46098</v>
      </c>
      <c r="C53" s="12" t="n">
        <f aca="false">B53+6</f>
        <v>46104</v>
      </c>
      <c r="D53" s="9" t="n">
        <f aca="false">IF(AND(B53&gt;=$B$3,B53&lt;=DATE(VALUE(LEFT(Premissas!$G$22,4)),VALUE(MID(Premissas!$G$22,6,2)),VALUE(RIGHT(Premissas!$G$22,2)))),1,0)</f>
        <v>0</v>
      </c>
      <c r="E53" s="9" t="n">
        <f aca="false">MONTH(B53)</f>
        <v>3</v>
      </c>
    </row>
    <row r="54" customFormat="false" ht="15" hidden="false" customHeight="false" outlineLevel="0" collapsed="false">
      <c r="A54" s="9" t="n">
        <v>52</v>
      </c>
      <c r="B54" s="12" t="n">
        <f aca="false">B53+7</f>
        <v>46105</v>
      </c>
      <c r="C54" s="12" t="n">
        <f aca="false">B54+6</f>
        <v>46111</v>
      </c>
      <c r="D54" s="9" t="n">
        <f aca="false">IF(AND(B54&gt;=$B$3,B54&lt;=DATE(VALUE(LEFT(Premissas!$G$22,4)),VALUE(MID(Premissas!$G$22,6,2)),VALUE(RIGHT(Premissas!$G$22,2)))),1,0)</f>
        <v>0</v>
      </c>
      <c r="E54" s="9" t="n">
        <f aca="false">MONTH(B54)</f>
        <v>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B5B7"/>
    <pageSetUpPr fitToPage="false"/>
  </sheetPr>
  <dimension ref="A1:B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3" min="2" style="0" width="9"/>
  </cols>
  <sheetData>
    <row r="1" customFormat="false" ht="16.15" hidden="false" customHeight="false" outlineLevel="0" collapsed="false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243</v>
      </c>
      <c r="B2" s="13" t="n">
        <f aca="false">INDEX(Semanas!$E$3:$E$54,1)</f>
        <v>4</v>
      </c>
      <c r="C2" s="13" t="n">
        <f aca="false">INDEX(Semanas!$E$3:$E$54,2)</f>
        <v>4</v>
      </c>
      <c r="D2" s="13" t="n">
        <f aca="false">INDEX(Semanas!$E$3:$E$54,3)</f>
        <v>4</v>
      </c>
      <c r="E2" s="13" t="n">
        <f aca="false">INDEX(Semanas!$E$3:$E$54,4)</f>
        <v>4</v>
      </c>
      <c r="F2" s="13" t="n">
        <f aca="false">INDEX(Semanas!$E$3:$E$54,5)</f>
        <v>4</v>
      </c>
      <c r="G2" s="13" t="n">
        <f aca="false">INDEX(Semanas!$E$3:$E$54,6)</f>
        <v>5</v>
      </c>
      <c r="H2" s="13" t="n">
        <f aca="false">INDEX(Semanas!$E$3:$E$54,7)</f>
        <v>5</v>
      </c>
      <c r="I2" s="13" t="n">
        <f aca="false">INDEX(Semanas!$E$3:$E$54,8)</f>
        <v>5</v>
      </c>
      <c r="J2" s="13" t="n">
        <f aca="false">INDEX(Semanas!$E$3:$E$54,9)</f>
        <v>5</v>
      </c>
      <c r="K2" s="13" t="n">
        <f aca="false">INDEX(Semanas!$E$3:$E$54,10)</f>
        <v>6</v>
      </c>
      <c r="L2" s="13" t="n">
        <f aca="false">INDEX(Semanas!$E$3:$E$54,11)</f>
        <v>6</v>
      </c>
      <c r="M2" s="13" t="n">
        <f aca="false">INDEX(Semanas!$E$3:$E$54,12)</f>
        <v>6</v>
      </c>
      <c r="N2" s="13" t="n">
        <f aca="false">INDEX(Semanas!$E$3:$E$54,13)</f>
        <v>6</v>
      </c>
      <c r="O2" s="13" t="n">
        <f aca="false">INDEX(Semanas!$E$3:$E$54,14)</f>
        <v>7</v>
      </c>
      <c r="P2" s="13" t="n">
        <f aca="false">INDEX(Semanas!$E$3:$E$54,15)</f>
        <v>7</v>
      </c>
      <c r="Q2" s="13" t="n">
        <f aca="false">INDEX(Semanas!$E$3:$E$54,16)</f>
        <v>7</v>
      </c>
      <c r="R2" s="13" t="n">
        <f aca="false">INDEX(Semanas!$E$3:$E$54,17)</f>
        <v>7</v>
      </c>
      <c r="S2" s="13" t="n">
        <f aca="false">INDEX(Semanas!$E$3:$E$54,18)</f>
        <v>7</v>
      </c>
      <c r="T2" s="13" t="n">
        <f aca="false">INDEX(Semanas!$E$3:$E$54,19)</f>
        <v>8</v>
      </c>
      <c r="U2" s="13" t="n">
        <f aca="false">INDEX(Semanas!$E$3:$E$54,20)</f>
        <v>8</v>
      </c>
      <c r="V2" s="13" t="n">
        <f aca="false">INDEX(Semanas!$E$3:$E$54,21)</f>
        <v>8</v>
      </c>
      <c r="W2" s="13" t="n">
        <f aca="false">INDEX(Semanas!$E$3:$E$54,22)</f>
        <v>8</v>
      </c>
      <c r="X2" s="13" t="n">
        <f aca="false">INDEX(Semanas!$E$3:$E$54,23)</f>
        <v>9</v>
      </c>
      <c r="Y2" s="13" t="n">
        <f aca="false">INDEX(Semanas!$E$3:$E$54,24)</f>
        <v>9</v>
      </c>
      <c r="Z2" s="13" t="n">
        <f aca="false">INDEX(Semanas!$E$3:$E$54,25)</f>
        <v>9</v>
      </c>
      <c r="AA2" s="13" t="n">
        <f aca="false">INDEX(Semanas!$E$3:$E$54,26)</f>
        <v>9</v>
      </c>
      <c r="AB2" s="13" t="n">
        <f aca="false">INDEX(Semanas!$E$3:$E$54,27)</f>
        <v>9</v>
      </c>
      <c r="AC2" s="13" t="n">
        <f aca="false">INDEX(Semanas!$E$3:$E$54,28)</f>
        <v>10</v>
      </c>
      <c r="AD2" s="13" t="n">
        <f aca="false">INDEX(Semanas!$E$3:$E$54,29)</f>
        <v>10</v>
      </c>
      <c r="AE2" s="13" t="n">
        <f aca="false">INDEX(Semanas!$E$3:$E$54,30)</f>
        <v>10</v>
      </c>
      <c r="AF2" s="13" t="n">
        <f aca="false">INDEX(Semanas!$E$3:$E$54,31)</f>
        <v>10</v>
      </c>
      <c r="AG2" s="13" t="n">
        <f aca="false">INDEX(Semanas!$E$3:$E$54,32)</f>
        <v>11</v>
      </c>
      <c r="AH2" s="13" t="n">
        <f aca="false">INDEX(Semanas!$E$3:$E$54,33)</f>
        <v>11</v>
      </c>
      <c r="AI2" s="13" t="n">
        <f aca="false">INDEX(Semanas!$E$3:$E$54,34)</f>
        <v>11</v>
      </c>
      <c r="AJ2" s="13" t="n">
        <f aca="false">INDEX(Semanas!$E$3:$E$54,35)</f>
        <v>11</v>
      </c>
      <c r="AK2" s="13" t="n">
        <f aca="false">INDEX(Semanas!$E$3:$E$54,36)</f>
        <v>12</v>
      </c>
      <c r="AL2" s="13" t="n">
        <f aca="false">INDEX(Semanas!$E$3:$E$54,37)</f>
        <v>12</v>
      </c>
      <c r="AM2" s="13" t="n">
        <f aca="false">INDEX(Semanas!$E$3:$E$54,38)</f>
        <v>12</v>
      </c>
      <c r="AN2" s="13" t="n">
        <f aca="false">INDEX(Semanas!$E$3:$E$54,39)</f>
        <v>12</v>
      </c>
      <c r="AO2" s="13" t="n">
        <f aca="false">INDEX(Semanas!$E$3:$E$54,40)</f>
        <v>12</v>
      </c>
      <c r="AP2" s="13" t="n">
        <f aca="false">INDEX(Semanas!$E$3:$E$54,41)</f>
        <v>1</v>
      </c>
      <c r="AQ2" s="13" t="n">
        <f aca="false">INDEX(Semanas!$E$3:$E$54,42)</f>
        <v>1</v>
      </c>
      <c r="AR2" s="13" t="n">
        <f aca="false">INDEX(Semanas!$E$3:$E$54,43)</f>
        <v>1</v>
      </c>
      <c r="AS2" s="13" t="n">
        <f aca="false">INDEX(Semanas!$E$3:$E$54,44)</f>
        <v>1</v>
      </c>
      <c r="AT2" s="13" t="n">
        <f aca="false">INDEX(Semanas!$E$3:$E$54,45)</f>
        <v>2</v>
      </c>
      <c r="AU2" s="13" t="n">
        <f aca="false">INDEX(Semanas!$E$3:$E$54,46)</f>
        <v>2</v>
      </c>
      <c r="AV2" s="13" t="n">
        <f aca="false">INDEX(Semanas!$E$3:$E$54,47)</f>
        <v>2</v>
      </c>
      <c r="AW2" s="13" t="n">
        <f aca="false">INDEX(Semanas!$E$3:$E$54,48)</f>
        <v>2</v>
      </c>
      <c r="AX2" s="13" t="n">
        <f aca="false">INDEX(Semanas!$E$3:$E$54,49)</f>
        <v>3</v>
      </c>
      <c r="AY2" s="13" t="n">
        <f aca="false">INDEX(Semanas!$E$3:$E$54,50)</f>
        <v>3</v>
      </c>
      <c r="AZ2" s="13" t="n">
        <f aca="false">INDEX(Semanas!$E$3:$E$54,51)</f>
        <v>3</v>
      </c>
      <c r="BA2" s="13" t="n">
        <f aca="false">INDEX(Semanas!$E$3:$E$54,52)</f>
        <v>3</v>
      </c>
    </row>
    <row r="3" customFormat="false" ht="15" hidden="false" customHeight="false" outlineLevel="0" collapsed="false">
      <c r="A3" s="2" t="s">
        <v>244</v>
      </c>
      <c r="B3" s="13" t="n">
        <f aca="false">INDEX(Semanas!$D$3:$D$54,1)</f>
        <v>1</v>
      </c>
      <c r="C3" s="13" t="n">
        <f aca="false">INDEX(Semanas!$D$3:$D$54,2)</f>
        <v>1</v>
      </c>
      <c r="D3" s="13" t="n">
        <f aca="false">INDEX(Semanas!$D$3:$D$54,3)</f>
        <v>1</v>
      </c>
      <c r="E3" s="13" t="n">
        <f aca="false">INDEX(Semanas!$D$3:$D$54,4)</f>
        <v>1</v>
      </c>
      <c r="F3" s="13" t="n">
        <f aca="false">INDEX(Semanas!$D$3:$D$54,5)</f>
        <v>1</v>
      </c>
      <c r="G3" s="13" t="n">
        <f aca="false">INDEX(Semanas!$D$3:$D$54,6)</f>
        <v>1</v>
      </c>
      <c r="H3" s="13" t="n">
        <f aca="false">INDEX(Semanas!$D$3:$D$54,7)</f>
        <v>1</v>
      </c>
      <c r="I3" s="13" t="n">
        <f aca="false">INDEX(Semanas!$D$3:$D$54,8)</f>
        <v>1</v>
      </c>
      <c r="J3" s="13" t="n">
        <f aca="false">INDEX(Semanas!$D$3:$D$54,9)</f>
        <v>1</v>
      </c>
      <c r="K3" s="13" t="n">
        <f aca="false">INDEX(Semanas!$D$3:$D$54,10)</f>
        <v>1</v>
      </c>
      <c r="L3" s="13" t="n">
        <f aca="false">INDEX(Semanas!$D$3:$D$54,11)</f>
        <v>1</v>
      </c>
      <c r="M3" s="13" t="n">
        <f aca="false">INDEX(Semanas!$D$3:$D$54,12)</f>
        <v>1</v>
      </c>
      <c r="N3" s="13" t="n">
        <f aca="false">INDEX(Semanas!$D$3:$D$54,13)</f>
        <v>1</v>
      </c>
      <c r="O3" s="13" t="n">
        <f aca="false">INDEX(Semanas!$D$3:$D$54,14)</f>
        <v>1</v>
      </c>
      <c r="P3" s="13" t="n">
        <f aca="false">INDEX(Semanas!$D$3:$D$54,15)</f>
        <v>1</v>
      </c>
      <c r="Q3" s="13" t="n">
        <f aca="false">INDEX(Semanas!$D$3:$D$54,16)</f>
        <v>1</v>
      </c>
      <c r="R3" s="13" t="n">
        <f aca="false">INDEX(Semanas!$D$3:$D$54,17)</f>
        <v>1</v>
      </c>
      <c r="S3" s="13" t="n">
        <f aca="false">INDEX(Semanas!$D$3:$D$54,18)</f>
        <v>1</v>
      </c>
      <c r="T3" s="13" t="n">
        <f aca="false">INDEX(Semanas!$D$3:$D$54,19)</f>
        <v>1</v>
      </c>
      <c r="U3" s="13" t="n">
        <f aca="false">INDEX(Semanas!$D$3:$D$54,20)</f>
        <v>1</v>
      </c>
      <c r="V3" s="13" t="n">
        <f aca="false">INDEX(Semanas!$D$3:$D$54,21)</f>
        <v>1</v>
      </c>
      <c r="W3" s="13" t="n">
        <f aca="false">INDEX(Semanas!$D$3:$D$54,22)</f>
        <v>1</v>
      </c>
      <c r="X3" s="13" t="n">
        <f aca="false">INDEX(Semanas!$D$3:$D$54,23)</f>
        <v>1</v>
      </c>
      <c r="Y3" s="13" t="n">
        <f aca="false">INDEX(Semanas!$D$3:$D$54,24)</f>
        <v>1</v>
      </c>
      <c r="Z3" s="13" t="n">
        <f aca="false">INDEX(Semanas!$D$3:$D$54,25)</f>
        <v>1</v>
      </c>
      <c r="AA3" s="13" t="n">
        <f aca="false">INDEX(Semanas!$D$3:$D$54,26)</f>
        <v>1</v>
      </c>
      <c r="AB3" s="13" t="n">
        <f aca="false">INDEX(Semanas!$D$3:$D$54,27)</f>
        <v>1</v>
      </c>
      <c r="AC3" s="13" t="n">
        <f aca="false">INDEX(Semanas!$D$3:$D$54,28)</f>
        <v>1</v>
      </c>
      <c r="AD3" s="13" t="n">
        <f aca="false">INDEX(Semanas!$D$3:$D$54,29)</f>
        <v>1</v>
      </c>
      <c r="AE3" s="13" t="n">
        <f aca="false">INDEX(Semanas!$D$3:$D$54,30)</f>
        <v>1</v>
      </c>
      <c r="AF3" s="13" t="n">
        <f aca="false">INDEX(Semanas!$D$3:$D$54,31)</f>
        <v>1</v>
      </c>
      <c r="AG3" s="13" t="n">
        <f aca="false">INDEX(Semanas!$D$3:$D$54,32)</f>
        <v>1</v>
      </c>
      <c r="AH3" s="13" t="n">
        <f aca="false">INDEX(Semanas!$D$3:$D$54,33)</f>
        <v>1</v>
      </c>
      <c r="AI3" s="13" t="n">
        <f aca="false">INDEX(Semanas!$D$3:$D$54,34)</f>
        <v>1</v>
      </c>
      <c r="AJ3" s="13" t="n">
        <f aca="false">INDEX(Semanas!$D$3:$D$54,35)</f>
        <v>1</v>
      </c>
      <c r="AK3" s="13" t="n">
        <f aca="false">INDEX(Semanas!$D$3:$D$54,36)</f>
        <v>0</v>
      </c>
      <c r="AL3" s="13" t="n">
        <f aca="false">INDEX(Semanas!$D$3:$D$54,37)</f>
        <v>0</v>
      </c>
      <c r="AM3" s="13" t="n">
        <f aca="false">INDEX(Semanas!$D$3:$D$54,38)</f>
        <v>0</v>
      </c>
      <c r="AN3" s="13" t="n">
        <f aca="false">INDEX(Semanas!$D$3:$D$54,39)</f>
        <v>0</v>
      </c>
      <c r="AO3" s="13" t="n">
        <f aca="false">INDEX(Semanas!$D$3:$D$54,40)</f>
        <v>0</v>
      </c>
      <c r="AP3" s="13" t="n">
        <f aca="false">INDEX(Semanas!$D$3:$D$54,41)</f>
        <v>0</v>
      </c>
      <c r="AQ3" s="13" t="n">
        <f aca="false">INDEX(Semanas!$D$3:$D$54,42)</f>
        <v>0</v>
      </c>
      <c r="AR3" s="13" t="n">
        <f aca="false">INDEX(Semanas!$D$3:$D$54,43)</f>
        <v>0</v>
      </c>
      <c r="AS3" s="13" t="n">
        <f aca="false">INDEX(Semanas!$D$3:$D$54,44)</f>
        <v>0</v>
      </c>
      <c r="AT3" s="13" t="n">
        <f aca="false">INDEX(Semanas!$D$3:$D$54,45)</f>
        <v>0</v>
      </c>
      <c r="AU3" s="13" t="n">
        <f aca="false">INDEX(Semanas!$D$3:$D$54,46)</f>
        <v>0</v>
      </c>
      <c r="AV3" s="13" t="n">
        <f aca="false">INDEX(Semanas!$D$3:$D$54,47)</f>
        <v>0</v>
      </c>
      <c r="AW3" s="13" t="n">
        <f aca="false">INDEX(Semanas!$D$3:$D$54,48)</f>
        <v>0</v>
      </c>
      <c r="AX3" s="13" t="n">
        <f aca="false">INDEX(Semanas!$D$3:$D$54,49)</f>
        <v>0</v>
      </c>
      <c r="AY3" s="13" t="n">
        <f aca="false">INDEX(Semanas!$D$3:$D$54,50)</f>
        <v>0</v>
      </c>
      <c r="AZ3" s="13" t="n">
        <f aca="false">INDEX(Semanas!$D$3:$D$54,51)</f>
        <v>0</v>
      </c>
      <c r="BA3" s="13" t="n">
        <f aca="false">INDEX(Semanas!$D$3:$D$54,52)</f>
        <v>0</v>
      </c>
    </row>
    <row r="4" customFormat="false" ht="15" hidden="false" customHeight="false" outlineLevel="0" collapsed="false">
      <c r="A4" s="14" t="s">
        <v>105</v>
      </c>
      <c r="B4" s="14" t="s">
        <v>245</v>
      </c>
      <c r="C4" s="14" t="s">
        <v>246</v>
      </c>
      <c r="D4" s="14" t="s">
        <v>247</v>
      </c>
      <c r="E4" s="14" t="s">
        <v>248</v>
      </c>
      <c r="F4" s="14" t="s">
        <v>249</v>
      </c>
      <c r="G4" s="14" t="s">
        <v>250</v>
      </c>
      <c r="H4" s="14" t="s">
        <v>251</v>
      </c>
      <c r="I4" s="14" t="s">
        <v>252</v>
      </c>
      <c r="J4" s="14" t="s">
        <v>253</v>
      </c>
      <c r="K4" s="14" t="s">
        <v>254</v>
      </c>
      <c r="L4" s="14" t="s">
        <v>255</v>
      </c>
      <c r="M4" s="14" t="s">
        <v>256</v>
      </c>
      <c r="N4" s="14" t="s">
        <v>257</v>
      </c>
      <c r="O4" s="14" t="s">
        <v>258</v>
      </c>
      <c r="P4" s="14" t="s">
        <v>259</v>
      </c>
      <c r="Q4" s="14" t="s">
        <v>260</v>
      </c>
      <c r="R4" s="14" t="s">
        <v>261</v>
      </c>
      <c r="S4" s="14" t="s">
        <v>262</v>
      </c>
      <c r="T4" s="14" t="s">
        <v>263</v>
      </c>
      <c r="U4" s="14" t="s">
        <v>264</v>
      </c>
      <c r="V4" s="14" t="s">
        <v>265</v>
      </c>
      <c r="W4" s="14" t="s">
        <v>266</v>
      </c>
      <c r="X4" s="14" t="s">
        <v>267</v>
      </c>
      <c r="Y4" s="14" t="s">
        <v>268</v>
      </c>
      <c r="Z4" s="14" t="s">
        <v>269</v>
      </c>
      <c r="AA4" s="14" t="s">
        <v>270</v>
      </c>
      <c r="AB4" s="14" t="s">
        <v>271</v>
      </c>
      <c r="AC4" s="14" t="s">
        <v>272</v>
      </c>
      <c r="AD4" s="14" t="s">
        <v>273</v>
      </c>
      <c r="AE4" s="14" t="s">
        <v>274</v>
      </c>
      <c r="AF4" s="14" t="s">
        <v>275</v>
      </c>
      <c r="AG4" s="14" t="s">
        <v>276</v>
      </c>
      <c r="AH4" s="14" t="s">
        <v>277</v>
      </c>
      <c r="AI4" s="14" t="s">
        <v>278</v>
      </c>
      <c r="AJ4" s="14" t="s">
        <v>279</v>
      </c>
      <c r="AK4" s="14" t="s">
        <v>280</v>
      </c>
      <c r="AL4" s="14" t="s">
        <v>281</v>
      </c>
      <c r="AM4" s="14" t="s">
        <v>282</v>
      </c>
      <c r="AN4" s="14" t="s">
        <v>283</v>
      </c>
      <c r="AO4" s="14" t="s">
        <v>284</v>
      </c>
      <c r="AP4" s="14" t="s">
        <v>285</v>
      </c>
      <c r="AQ4" s="14" t="s">
        <v>286</v>
      </c>
      <c r="AR4" s="14" t="s">
        <v>287</v>
      </c>
      <c r="AS4" s="14" t="s">
        <v>288</v>
      </c>
      <c r="AT4" s="14" t="s">
        <v>289</v>
      </c>
      <c r="AU4" s="14" t="s">
        <v>290</v>
      </c>
      <c r="AV4" s="14" t="s">
        <v>291</v>
      </c>
      <c r="AW4" s="14" t="s">
        <v>292</v>
      </c>
      <c r="AX4" s="14" t="s">
        <v>293</v>
      </c>
      <c r="AY4" s="14" t="s">
        <v>294</v>
      </c>
      <c r="AZ4" s="14" t="s">
        <v>295</v>
      </c>
      <c r="BA4" s="14" t="s">
        <v>296</v>
      </c>
    </row>
    <row r="5" customFormat="false" ht="15" hidden="false" customHeight="false" outlineLevel="0" collapsed="false">
      <c r="A5" s="2" t="str">
        <f aca="false">IF(Frota!$A5="","",Frota!$A5)</f>
        <v>Colhedora CASE A8810 — 1035</v>
      </c>
      <c r="B5" s="0" t="n">
        <f aca="false">IF(OR(Frota!$A5="",Frota!$G5&lt;&gt;"Ativo",N(Frota!$L5)=0),"",ROUND(Frota!$I5+IF(B$3=1,N(Frota!$J5),N(Frota!$K5)),2))</f>
        <v>5825</v>
      </c>
      <c r="C5" s="0" t="n">
        <f aca="false">IF(B5="","",ROUND(B5+IF(C$3=1,N(Frota!$J5),N(Frota!$K5)),2))</f>
        <v>5870</v>
      </c>
      <c r="D5" s="0" t="n">
        <f aca="false">IF(C5="","",ROUND(C5+IF(D$3=1,N(Frota!$J5),N(Frota!$K5)),2))</f>
        <v>5915</v>
      </c>
      <c r="E5" s="0" t="n">
        <f aca="false">IF(D5="","",ROUND(D5+IF(E$3=1,N(Frota!$J5),N(Frota!$K5)),2))</f>
        <v>5960</v>
      </c>
      <c r="F5" s="0" t="n">
        <f aca="false">IF(E5="","",ROUND(E5+IF(F$3=1,N(Frota!$J5),N(Frota!$K5)),2))</f>
        <v>6005</v>
      </c>
      <c r="G5" s="0" t="n">
        <f aca="false">IF(F5="","",ROUND(F5+IF(G$3=1,N(Frota!$J5),N(Frota!$K5)),2))</f>
        <v>6050</v>
      </c>
      <c r="H5" s="0" t="n">
        <f aca="false">IF(G5="","",ROUND(G5+IF(H$3=1,N(Frota!$J5),N(Frota!$K5)),2))</f>
        <v>6095</v>
      </c>
      <c r="I5" s="0" t="n">
        <f aca="false">IF(H5="","",ROUND(H5+IF(I$3=1,N(Frota!$J5),N(Frota!$K5)),2))</f>
        <v>6140</v>
      </c>
      <c r="J5" s="0" t="n">
        <f aca="false">IF(I5="","",ROUND(I5+IF(J$3=1,N(Frota!$J5),N(Frota!$K5)),2))</f>
        <v>6185</v>
      </c>
      <c r="K5" s="0" t="n">
        <f aca="false">IF(J5="","",ROUND(J5+IF(K$3=1,N(Frota!$J5),N(Frota!$K5)),2))</f>
        <v>6230</v>
      </c>
      <c r="L5" s="0" t="n">
        <f aca="false">IF(K5="","",ROUND(K5+IF(L$3=1,N(Frota!$J5),N(Frota!$K5)),2))</f>
        <v>6275</v>
      </c>
      <c r="M5" s="0" t="n">
        <f aca="false">IF(L5="","",ROUND(L5+IF(M$3=1,N(Frota!$J5),N(Frota!$K5)),2))</f>
        <v>6320</v>
      </c>
      <c r="N5" s="0" t="n">
        <f aca="false">IF(M5="","",ROUND(M5+IF(N$3=1,N(Frota!$J5),N(Frota!$K5)),2))</f>
        <v>6365</v>
      </c>
      <c r="O5" s="0" t="n">
        <f aca="false">IF(N5="","",ROUND(N5+IF(O$3=1,N(Frota!$J5),N(Frota!$K5)),2))</f>
        <v>6410</v>
      </c>
      <c r="P5" s="0" t="n">
        <f aca="false">IF(O5="","",ROUND(O5+IF(P$3=1,N(Frota!$J5),N(Frota!$K5)),2))</f>
        <v>6455</v>
      </c>
      <c r="Q5" s="0" t="n">
        <f aca="false">IF(P5="","",ROUND(P5+IF(Q$3=1,N(Frota!$J5),N(Frota!$K5)),2))</f>
        <v>6500</v>
      </c>
      <c r="R5" s="0" t="n">
        <f aca="false">IF(Q5="","",ROUND(Q5+IF(R$3=1,N(Frota!$J5),N(Frota!$K5)),2))</f>
        <v>6545</v>
      </c>
      <c r="S5" s="0" t="n">
        <f aca="false">IF(R5="","",ROUND(R5+IF(S$3=1,N(Frota!$J5),N(Frota!$K5)),2))</f>
        <v>6590</v>
      </c>
      <c r="T5" s="0" t="n">
        <f aca="false">IF(S5="","",ROUND(S5+IF(T$3=1,N(Frota!$J5),N(Frota!$K5)),2))</f>
        <v>6635</v>
      </c>
      <c r="U5" s="0" t="n">
        <f aca="false">IF(T5="","",ROUND(T5+IF(U$3=1,N(Frota!$J5),N(Frota!$K5)),2))</f>
        <v>6680</v>
      </c>
      <c r="V5" s="0" t="n">
        <f aca="false">IF(U5="","",ROUND(U5+IF(V$3=1,N(Frota!$J5),N(Frota!$K5)),2))</f>
        <v>6725</v>
      </c>
      <c r="W5" s="0" t="n">
        <f aca="false">IF(V5="","",ROUND(V5+IF(W$3=1,N(Frota!$J5),N(Frota!$K5)),2))</f>
        <v>6770</v>
      </c>
      <c r="X5" s="0" t="n">
        <f aca="false">IF(W5="","",ROUND(W5+IF(X$3=1,N(Frota!$J5),N(Frota!$K5)),2))</f>
        <v>6815</v>
      </c>
      <c r="Y5" s="0" t="n">
        <f aca="false">IF(X5="","",ROUND(X5+IF(Y$3=1,N(Frota!$J5),N(Frota!$K5)),2))</f>
        <v>6860</v>
      </c>
      <c r="Z5" s="0" t="n">
        <f aca="false">IF(Y5="","",ROUND(Y5+IF(Z$3=1,N(Frota!$J5),N(Frota!$K5)),2))</f>
        <v>6905</v>
      </c>
      <c r="AA5" s="0" t="n">
        <f aca="false">IF(Z5="","",ROUND(Z5+IF(AA$3=1,N(Frota!$J5),N(Frota!$K5)),2))</f>
        <v>6950</v>
      </c>
      <c r="AB5" s="0" t="n">
        <f aca="false">IF(AA5="","",ROUND(AA5+IF(AB$3=1,N(Frota!$J5),N(Frota!$K5)),2))</f>
        <v>6995</v>
      </c>
      <c r="AC5" s="0" t="n">
        <f aca="false">IF(AB5="","",ROUND(AB5+IF(AC$3=1,N(Frota!$J5),N(Frota!$K5)),2))</f>
        <v>7040</v>
      </c>
      <c r="AD5" s="0" t="n">
        <f aca="false">IF(AC5="","",ROUND(AC5+IF(AD$3=1,N(Frota!$J5),N(Frota!$K5)),2))</f>
        <v>7085</v>
      </c>
      <c r="AE5" s="0" t="n">
        <f aca="false">IF(AD5="","",ROUND(AD5+IF(AE$3=1,N(Frota!$J5),N(Frota!$K5)),2))</f>
        <v>7130</v>
      </c>
      <c r="AF5" s="0" t="n">
        <f aca="false">IF(AE5="","",ROUND(AE5+IF(AF$3=1,N(Frota!$J5),N(Frota!$K5)),2))</f>
        <v>7175</v>
      </c>
      <c r="AG5" s="0" t="n">
        <f aca="false">IF(AF5="","",ROUND(AF5+IF(AG$3=1,N(Frota!$J5),N(Frota!$K5)),2))</f>
        <v>7220</v>
      </c>
      <c r="AH5" s="0" t="n">
        <f aca="false">IF(AG5="","",ROUND(AG5+IF(AH$3=1,N(Frota!$J5),N(Frota!$K5)),2))</f>
        <v>7265</v>
      </c>
      <c r="AI5" s="0" t="n">
        <f aca="false">IF(AH5="","",ROUND(AH5+IF(AI$3=1,N(Frota!$J5),N(Frota!$K5)),2))</f>
        <v>7310</v>
      </c>
      <c r="AJ5" s="0" t="n">
        <f aca="false">IF(AI5="","",ROUND(AI5+IF(AJ$3=1,N(Frota!$J5),N(Frota!$K5)),2))</f>
        <v>7355</v>
      </c>
      <c r="AK5" s="0" t="n">
        <f aca="false">IF(AJ5="","",ROUND(AJ5+IF(AK$3=1,N(Frota!$J5),N(Frota!$K5)),2))</f>
        <v>7363</v>
      </c>
      <c r="AL5" s="0" t="n">
        <f aca="false">IF(AK5="","",ROUND(AK5+IF(AL$3=1,N(Frota!$J5),N(Frota!$K5)),2))</f>
        <v>7371</v>
      </c>
      <c r="AM5" s="0" t="n">
        <f aca="false">IF(AL5="","",ROUND(AL5+IF(AM$3=1,N(Frota!$J5),N(Frota!$K5)),2))</f>
        <v>7379</v>
      </c>
      <c r="AN5" s="0" t="n">
        <f aca="false">IF(AM5="","",ROUND(AM5+IF(AN$3=1,N(Frota!$J5),N(Frota!$K5)),2))</f>
        <v>7387</v>
      </c>
      <c r="AO5" s="0" t="n">
        <f aca="false">IF(AN5="","",ROUND(AN5+IF(AO$3=1,N(Frota!$J5),N(Frota!$K5)),2))</f>
        <v>7395</v>
      </c>
      <c r="AP5" s="0" t="n">
        <f aca="false">IF(AO5="","",ROUND(AO5+IF(AP$3=1,N(Frota!$J5),N(Frota!$K5)),2))</f>
        <v>7403</v>
      </c>
      <c r="AQ5" s="0" t="n">
        <f aca="false">IF(AP5="","",ROUND(AP5+IF(AQ$3=1,N(Frota!$J5),N(Frota!$K5)),2))</f>
        <v>7411</v>
      </c>
      <c r="AR5" s="0" t="n">
        <f aca="false">IF(AQ5="","",ROUND(AQ5+IF(AR$3=1,N(Frota!$J5),N(Frota!$K5)),2))</f>
        <v>7419</v>
      </c>
      <c r="AS5" s="0" t="n">
        <f aca="false">IF(AR5="","",ROUND(AR5+IF(AS$3=1,N(Frota!$J5),N(Frota!$K5)),2))</f>
        <v>7427</v>
      </c>
      <c r="AT5" s="0" t="n">
        <f aca="false">IF(AS5="","",ROUND(AS5+IF(AT$3=1,N(Frota!$J5),N(Frota!$K5)),2))</f>
        <v>7435</v>
      </c>
      <c r="AU5" s="0" t="n">
        <f aca="false">IF(AT5="","",ROUND(AT5+IF(AU$3=1,N(Frota!$J5),N(Frota!$K5)),2))</f>
        <v>7443</v>
      </c>
      <c r="AV5" s="0" t="n">
        <f aca="false">IF(AU5="","",ROUND(AU5+IF(AV$3=1,N(Frota!$J5),N(Frota!$K5)),2))</f>
        <v>7451</v>
      </c>
      <c r="AW5" s="0" t="n">
        <f aca="false">IF(AV5="","",ROUND(AV5+IF(AW$3=1,N(Frota!$J5),N(Frota!$K5)),2))</f>
        <v>7459</v>
      </c>
      <c r="AX5" s="0" t="n">
        <f aca="false">IF(AW5="","",ROUND(AW5+IF(AX$3=1,N(Frota!$J5),N(Frota!$K5)),2))</f>
        <v>7467</v>
      </c>
      <c r="AY5" s="0" t="n">
        <f aca="false">IF(AX5="","",ROUND(AX5+IF(AY$3=1,N(Frota!$J5),N(Frota!$K5)),2))</f>
        <v>7475</v>
      </c>
      <c r="AZ5" s="0" t="n">
        <f aca="false">IF(AY5="","",ROUND(AY5+IF(AZ$3=1,N(Frota!$J5),N(Frota!$K5)),2))</f>
        <v>7483</v>
      </c>
      <c r="BA5" s="0" t="n">
        <f aca="false">IF(AZ5="","",ROUND(AZ5+IF(BA$3=1,N(Frota!$J5),N(Frota!$K5)),2))</f>
        <v>7491</v>
      </c>
    </row>
    <row r="6" customFormat="false" ht="15" hidden="false" customHeight="false" outlineLevel="0" collapsed="false">
      <c r="A6" s="2" t="str">
        <f aca="false">IF(Frota!$A6="","",Frota!$A6)</f>
        <v>Colhedora CASE A8810 — 1036</v>
      </c>
      <c r="B6" s="0" t="n">
        <f aca="false">IF(OR(Frota!$A6="",Frota!$G6&lt;&gt;"Ativo",N(Frota!$L6)=0),"",ROUND(Frota!$I6+IF(B$3=1,N(Frota!$J6),N(Frota!$K6)),2))</f>
        <v>4534</v>
      </c>
      <c r="C6" s="0" t="n">
        <f aca="false">IF(B6="","",ROUND(B6+IF(C$3=1,N(Frota!$J6),N(Frota!$K6)),2))</f>
        <v>4578</v>
      </c>
      <c r="D6" s="0" t="n">
        <f aca="false">IF(C6="","",ROUND(C6+IF(D$3=1,N(Frota!$J6),N(Frota!$K6)),2))</f>
        <v>4622</v>
      </c>
      <c r="E6" s="0" t="n">
        <f aca="false">IF(D6="","",ROUND(D6+IF(E$3=1,N(Frota!$J6),N(Frota!$K6)),2))</f>
        <v>4666</v>
      </c>
      <c r="F6" s="0" t="n">
        <f aca="false">IF(E6="","",ROUND(E6+IF(F$3=1,N(Frota!$J6),N(Frota!$K6)),2))</f>
        <v>4710</v>
      </c>
      <c r="G6" s="0" t="n">
        <f aca="false">IF(F6="","",ROUND(F6+IF(G$3=1,N(Frota!$J6),N(Frota!$K6)),2))</f>
        <v>4754</v>
      </c>
      <c r="H6" s="0" t="n">
        <f aca="false">IF(G6="","",ROUND(G6+IF(H$3=1,N(Frota!$J6),N(Frota!$K6)),2))</f>
        <v>4798</v>
      </c>
      <c r="I6" s="0" t="n">
        <f aca="false">IF(H6="","",ROUND(H6+IF(I$3=1,N(Frota!$J6),N(Frota!$K6)),2))</f>
        <v>4842</v>
      </c>
      <c r="J6" s="0" t="n">
        <f aca="false">IF(I6="","",ROUND(I6+IF(J$3=1,N(Frota!$J6),N(Frota!$K6)),2))</f>
        <v>4886</v>
      </c>
      <c r="K6" s="0" t="n">
        <f aca="false">IF(J6="","",ROUND(J6+IF(K$3=1,N(Frota!$J6),N(Frota!$K6)),2))</f>
        <v>4930</v>
      </c>
      <c r="L6" s="0" t="n">
        <f aca="false">IF(K6="","",ROUND(K6+IF(L$3=1,N(Frota!$J6),N(Frota!$K6)),2))</f>
        <v>4974</v>
      </c>
      <c r="M6" s="0" t="n">
        <f aca="false">IF(L6="","",ROUND(L6+IF(M$3=1,N(Frota!$J6),N(Frota!$K6)),2))</f>
        <v>5018</v>
      </c>
      <c r="N6" s="0" t="n">
        <f aca="false">IF(M6="","",ROUND(M6+IF(N$3=1,N(Frota!$J6),N(Frota!$K6)),2))</f>
        <v>5062</v>
      </c>
      <c r="O6" s="0" t="n">
        <f aca="false">IF(N6="","",ROUND(N6+IF(O$3=1,N(Frota!$J6),N(Frota!$K6)),2))</f>
        <v>5106</v>
      </c>
      <c r="P6" s="0" t="n">
        <f aca="false">IF(O6="","",ROUND(O6+IF(P$3=1,N(Frota!$J6),N(Frota!$K6)),2))</f>
        <v>5150</v>
      </c>
      <c r="Q6" s="0" t="n">
        <f aca="false">IF(P6="","",ROUND(P6+IF(Q$3=1,N(Frota!$J6),N(Frota!$K6)),2))</f>
        <v>5194</v>
      </c>
      <c r="R6" s="0" t="n">
        <f aca="false">IF(Q6="","",ROUND(Q6+IF(R$3=1,N(Frota!$J6),N(Frota!$K6)),2))</f>
        <v>5238</v>
      </c>
      <c r="S6" s="0" t="n">
        <f aca="false">IF(R6="","",ROUND(R6+IF(S$3=1,N(Frota!$J6),N(Frota!$K6)),2))</f>
        <v>5282</v>
      </c>
      <c r="T6" s="0" t="n">
        <f aca="false">IF(S6="","",ROUND(S6+IF(T$3=1,N(Frota!$J6),N(Frota!$K6)),2))</f>
        <v>5326</v>
      </c>
      <c r="U6" s="0" t="n">
        <f aca="false">IF(T6="","",ROUND(T6+IF(U$3=1,N(Frota!$J6),N(Frota!$K6)),2))</f>
        <v>5370</v>
      </c>
      <c r="V6" s="0" t="n">
        <f aca="false">IF(U6="","",ROUND(U6+IF(V$3=1,N(Frota!$J6),N(Frota!$K6)),2))</f>
        <v>5414</v>
      </c>
      <c r="W6" s="0" t="n">
        <f aca="false">IF(V6="","",ROUND(V6+IF(W$3=1,N(Frota!$J6),N(Frota!$K6)),2))</f>
        <v>5458</v>
      </c>
      <c r="X6" s="0" t="n">
        <f aca="false">IF(W6="","",ROUND(W6+IF(X$3=1,N(Frota!$J6),N(Frota!$K6)),2))</f>
        <v>5502</v>
      </c>
      <c r="Y6" s="0" t="n">
        <f aca="false">IF(X6="","",ROUND(X6+IF(Y$3=1,N(Frota!$J6),N(Frota!$K6)),2))</f>
        <v>5546</v>
      </c>
      <c r="Z6" s="0" t="n">
        <f aca="false">IF(Y6="","",ROUND(Y6+IF(Z$3=1,N(Frota!$J6),N(Frota!$K6)),2))</f>
        <v>5590</v>
      </c>
      <c r="AA6" s="0" t="n">
        <f aca="false">IF(Z6="","",ROUND(Z6+IF(AA$3=1,N(Frota!$J6),N(Frota!$K6)),2))</f>
        <v>5634</v>
      </c>
      <c r="AB6" s="0" t="n">
        <f aca="false">IF(AA6="","",ROUND(AA6+IF(AB$3=1,N(Frota!$J6),N(Frota!$K6)),2))</f>
        <v>5678</v>
      </c>
      <c r="AC6" s="0" t="n">
        <f aca="false">IF(AB6="","",ROUND(AB6+IF(AC$3=1,N(Frota!$J6),N(Frota!$K6)),2))</f>
        <v>5722</v>
      </c>
      <c r="AD6" s="0" t="n">
        <f aca="false">IF(AC6="","",ROUND(AC6+IF(AD$3=1,N(Frota!$J6),N(Frota!$K6)),2))</f>
        <v>5766</v>
      </c>
      <c r="AE6" s="0" t="n">
        <f aca="false">IF(AD6="","",ROUND(AD6+IF(AE$3=1,N(Frota!$J6),N(Frota!$K6)),2))</f>
        <v>5810</v>
      </c>
      <c r="AF6" s="0" t="n">
        <f aca="false">IF(AE6="","",ROUND(AE6+IF(AF$3=1,N(Frota!$J6),N(Frota!$K6)),2))</f>
        <v>5854</v>
      </c>
      <c r="AG6" s="0" t="n">
        <f aca="false">IF(AF6="","",ROUND(AF6+IF(AG$3=1,N(Frota!$J6),N(Frota!$K6)),2))</f>
        <v>5898</v>
      </c>
      <c r="AH6" s="0" t="n">
        <f aca="false">IF(AG6="","",ROUND(AG6+IF(AH$3=1,N(Frota!$J6),N(Frota!$K6)),2))</f>
        <v>5942</v>
      </c>
      <c r="AI6" s="0" t="n">
        <f aca="false">IF(AH6="","",ROUND(AH6+IF(AI$3=1,N(Frota!$J6),N(Frota!$K6)),2))</f>
        <v>5986</v>
      </c>
      <c r="AJ6" s="0" t="n">
        <f aca="false">IF(AI6="","",ROUND(AI6+IF(AJ$3=1,N(Frota!$J6),N(Frota!$K6)),2))</f>
        <v>6030</v>
      </c>
      <c r="AK6" s="0" t="n">
        <f aca="false">IF(AJ6="","",ROUND(AJ6+IF(AK$3=1,N(Frota!$J6),N(Frota!$K6)),2))</f>
        <v>6038</v>
      </c>
      <c r="AL6" s="0" t="n">
        <f aca="false">IF(AK6="","",ROUND(AK6+IF(AL$3=1,N(Frota!$J6),N(Frota!$K6)),2))</f>
        <v>6046</v>
      </c>
      <c r="AM6" s="0" t="n">
        <f aca="false">IF(AL6="","",ROUND(AL6+IF(AM$3=1,N(Frota!$J6),N(Frota!$K6)),2))</f>
        <v>6054</v>
      </c>
      <c r="AN6" s="0" t="n">
        <f aca="false">IF(AM6="","",ROUND(AM6+IF(AN$3=1,N(Frota!$J6),N(Frota!$K6)),2))</f>
        <v>6062</v>
      </c>
      <c r="AO6" s="0" t="n">
        <f aca="false">IF(AN6="","",ROUND(AN6+IF(AO$3=1,N(Frota!$J6),N(Frota!$K6)),2))</f>
        <v>6070</v>
      </c>
      <c r="AP6" s="0" t="n">
        <f aca="false">IF(AO6="","",ROUND(AO6+IF(AP$3=1,N(Frota!$J6),N(Frota!$K6)),2))</f>
        <v>6078</v>
      </c>
      <c r="AQ6" s="0" t="n">
        <f aca="false">IF(AP6="","",ROUND(AP6+IF(AQ$3=1,N(Frota!$J6),N(Frota!$K6)),2))</f>
        <v>6086</v>
      </c>
      <c r="AR6" s="0" t="n">
        <f aca="false">IF(AQ6="","",ROUND(AQ6+IF(AR$3=1,N(Frota!$J6),N(Frota!$K6)),2))</f>
        <v>6094</v>
      </c>
      <c r="AS6" s="0" t="n">
        <f aca="false">IF(AR6="","",ROUND(AR6+IF(AS$3=1,N(Frota!$J6),N(Frota!$K6)),2))</f>
        <v>6102</v>
      </c>
      <c r="AT6" s="0" t="n">
        <f aca="false">IF(AS6="","",ROUND(AS6+IF(AT$3=1,N(Frota!$J6),N(Frota!$K6)),2))</f>
        <v>6110</v>
      </c>
      <c r="AU6" s="0" t="n">
        <f aca="false">IF(AT6="","",ROUND(AT6+IF(AU$3=1,N(Frota!$J6),N(Frota!$K6)),2))</f>
        <v>6118</v>
      </c>
      <c r="AV6" s="0" t="n">
        <f aca="false">IF(AU6="","",ROUND(AU6+IF(AV$3=1,N(Frota!$J6),N(Frota!$K6)),2))</f>
        <v>6126</v>
      </c>
      <c r="AW6" s="0" t="n">
        <f aca="false">IF(AV6="","",ROUND(AV6+IF(AW$3=1,N(Frota!$J6),N(Frota!$K6)),2))</f>
        <v>6134</v>
      </c>
      <c r="AX6" s="0" t="n">
        <f aca="false">IF(AW6="","",ROUND(AW6+IF(AX$3=1,N(Frota!$J6),N(Frota!$K6)),2))</f>
        <v>6142</v>
      </c>
      <c r="AY6" s="0" t="n">
        <f aca="false">IF(AX6="","",ROUND(AX6+IF(AY$3=1,N(Frota!$J6),N(Frota!$K6)),2))</f>
        <v>6150</v>
      </c>
      <c r="AZ6" s="0" t="n">
        <f aca="false">IF(AY6="","",ROUND(AY6+IF(AZ$3=1,N(Frota!$J6),N(Frota!$K6)),2))</f>
        <v>6158</v>
      </c>
      <c r="BA6" s="0" t="n">
        <f aca="false">IF(AZ6="","",ROUND(AZ6+IF(BA$3=1,N(Frota!$J6),N(Frota!$K6)),2))</f>
        <v>6166</v>
      </c>
    </row>
    <row r="7" customFormat="false" ht="15" hidden="false" customHeight="false" outlineLevel="0" collapsed="false">
      <c r="A7" s="2" t="str">
        <f aca="false">IF(Frota!$A7="","",Frota!$A7)</f>
        <v>Colhedora JD CH570 — 1027</v>
      </c>
      <c r="B7" s="0" t="n">
        <f aca="false">IF(OR(Frota!$A7="",Frota!$G7&lt;&gt;"Ativo",N(Frota!$L7)=0),"",ROUND(Frota!$I7+IF(B$3=1,N(Frota!$J7),N(Frota!$K7)),2))</f>
        <v>8901</v>
      </c>
      <c r="C7" s="0" t="n">
        <f aca="false">IF(B7="","",ROUND(B7+IF(C$3=1,N(Frota!$J7),N(Frota!$K7)),2))</f>
        <v>8942</v>
      </c>
      <c r="D7" s="0" t="n">
        <f aca="false">IF(C7="","",ROUND(C7+IF(D$3=1,N(Frota!$J7),N(Frota!$K7)),2))</f>
        <v>8983</v>
      </c>
      <c r="E7" s="0" t="n">
        <f aca="false">IF(D7="","",ROUND(D7+IF(E$3=1,N(Frota!$J7),N(Frota!$K7)),2))</f>
        <v>9024</v>
      </c>
      <c r="F7" s="0" t="n">
        <f aca="false">IF(E7="","",ROUND(E7+IF(F$3=1,N(Frota!$J7),N(Frota!$K7)),2))</f>
        <v>9065</v>
      </c>
      <c r="G7" s="0" t="n">
        <f aca="false">IF(F7="","",ROUND(F7+IF(G$3=1,N(Frota!$J7),N(Frota!$K7)),2))</f>
        <v>9106</v>
      </c>
      <c r="H7" s="0" t="n">
        <f aca="false">IF(G7="","",ROUND(G7+IF(H$3=1,N(Frota!$J7),N(Frota!$K7)),2))</f>
        <v>9147</v>
      </c>
      <c r="I7" s="0" t="n">
        <f aca="false">IF(H7="","",ROUND(H7+IF(I$3=1,N(Frota!$J7),N(Frota!$K7)),2))</f>
        <v>9188</v>
      </c>
      <c r="J7" s="0" t="n">
        <f aca="false">IF(I7="","",ROUND(I7+IF(J$3=1,N(Frota!$J7),N(Frota!$K7)),2))</f>
        <v>9229</v>
      </c>
      <c r="K7" s="0" t="n">
        <f aca="false">IF(J7="","",ROUND(J7+IF(K$3=1,N(Frota!$J7),N(Frota!$K7)),2))</f>
        <v>9270</v>
      </c>
      <c r="L7" s="0" t="n">
        <f aca="false">IF(K7="","",ROUND(K7+IF(L$3=1,N(Frota!$J7),N(Frota!$K7)),2))</f>
        <v>9311</v>
      </c>
      <c r="M7" s="0" t="n">
        <f aca="false">IF(L7="","",ROUND(L7+IF(M$3=1,N(Frota!$J7),N(Frota!$K7)),2))</f>
        <v>9352</v>
      </c>
      <c r="N7" s="0" t="n">
        <f aca="false">IF(M7="","",ROUND(M7+IF(N$3=1,N(Frota!$J7),N(Frota!$K7)),2))</f>
        <v>9393</v>
      </c>
      <c r="O7" s="0" t="n">
        <f aca="false">IF(N7="","",ROUND(N7+IF(O$3=1,N(Frota!$J7),N(Frota!$K7)),2))</f>
        <v>9434</v>
      </c>
      <c r="P7" s="0" t="n">
        <f aca="false">IF(O7="","",ROUND(O7+IF(P$3=1,N(Frota!$J7),N(Frota!$K7)),2))</f>
        <v>9475</v>
      </c>
      <c r="Q7" s="0" t="n">
        <f aca="false">IF(P7="","",ROUND(P7+IF(Q$3=1,N(Frota!$J7),N(Frota!$K7)),2))</f>
        <v>9516</v>
      </c>
      <c r="R7" s="0" t="n">
        <f aca="false">IF(Q7="","",ROUND(Q7+IF(R$3=1,N(Frota!$J7),N(Frota!$K7)),2))</f>
        <v>9557</v>
      </c>
      <c r="S7" s="0" t="n">
        <f aca="false">IF(R7="","",ROUND(R7+IF(S$3=1,N(Frota!$J7),N(Frota!$K7)),2))</f>
        <v>9598</v>
      </c>
      <c r="T7" s="0" t="n">
        <f aca="false">IF(S7="","",ROUND(S7+IF(T$3=1,N(Frota!$J7),N(Frota!$K7)),2))</f>
        <v>9639</v>
      </c>
      <c r="U7" s="0" t="n">
        <f aca="false">IF(T7="","",ROUND(T7+IF(U$3=1,N(Frota!$J7),N(Frota!$K7)),2))</f>
        <v>9680</v>
      </c>
      <c r="V7" s="0" t="n">
        <f aca="false">IF(U7="","",ROUND(U7+IF(V$3=1,N(Frota!$J7),N(Frota!$K7)),2))</f>
        <v>9721</v>
      </c>
      <c r="W7" s="0" t="n">
        <f aca="false">IF(V7="","",ROUND(V7+IF(W$3=1,N(Frota!$J7),N(Frota!$K7)),2))</f>
        <v>9762</v>
      </c>
      <c r="X7" s="0" t="n">
        <f aca="false">IF(W7="","",ROUND(W7+IF(X$3=1,N(Frota!$J7),N(Frota!$K7)),2))</f>
        <v>9803</v>
      </c>
      <c r="Y7" s="0" t="n">
        <f aca="false">IF(X7="","",ROUND(X7+IF(Y$3=1,N(Frota!$J7),N(Frota!$K7)),2))</f>
        <v>9844</v>
      </c>
      <c r="Z7" s="0" t="n">
        <f aca="false">IF(Y7="","",ROUND(Y7+IF(Z$3=1,N(Frota!$J7),N(Frota!$K7)),2))</f>
        <v>9885</v>
      </c>
      <c r="AA7" s="0" t="n">
        <f aca="false">IF(Z7="","",ROUND(Z7+IF(AA$3=1,N(Frota!$J7),N(Frota!$K7)),2))</f>
        <v>9926</v>
      </c>
      <c r="AB7" s="0" t="n">
        <f aca="false">IF(AA7="","",ROUND(AA7+IF(AB$3=1,N(Frota!$J7),N(Frota!$K7)),2))</f>
        <v>9967</v>
      </c>
      <c r="AC7" s="0" t="n">
        <f aca="false">IF(AB7="","",ROUND(AB7+IF(AC$3=1,N(Frota!$J7),N(Frota!$K7)),2))</f>
        <v>10008</v>
      </c>
      <c r="AD7" s="0" t="n">
        <f aca="false">IF(AC7="","",ROUND(AC7+IF(AD$3=1,N(Frota!$J7),N(Frota!$K7)),2))</f>
        <v>10049</v>
      </c>
      <c r="AE7" s="0" t="n">
        <f aca="false">IF(AD7="","",ROUND(AD7+IF(AE$3=1,N(Frota!$J7),N(Frota!$K7)),2))</f>
        <v>10090</v>
      </c>
      <c r="AF7" s="0" t="n">
        <f aca="false">IF(AE7="","",ROUND(AE7+IF(AF$3=1,N(Frota!$J7),N(Frota!$K7)),2))</f>
        <v>10131</v>
      </c>
      <c r="AG7" s="0" t="n">
        <f aca="false">IF(AF7="","",ROUND(AF7+IF(AG$3=1,N(Frota!$J7),N(Frota!$K7)),2))</f>
        <v>10172</v>
      </c>
      <c r="AH7" s="0" t="n">
        <f aca="false">IF(AG7="","",ROUND(AG7+IF(AH$3=1,N(Frota!$J7),N(Frota!$K7)),2))</f>
        <v>10213</v>
      </c>
      <c r="AI7" s="0" t="n">
        <f aca="false">IF(AH7="","",ROUND(AH7+IF(AI$3=1,N(Frota!$J7),N(Frota!$K7)),2))</f>
        <v>10254</v>
      </c>
      <c r="AJ7" s="0" t="n">
        <f aca="false">IF(AI7="","",ROUND(AI7+IF(AJ$3=1,N(Frota!$J7),N(Frota!$K7)),2))</f>
        <v>10295</v>
      </c>
      <c r="AK7" s="0" t="n">
        <f aca="false">IF(AJ7="","",ROUND(AJ7+IF(AK$3=1,N(Frota!$J7),N(Frota!$K7)),2))</f>
        <v>10303</v>
      </c>
      <c r="AL7" s="0" t="n">
        <f aca="false">IF(AK7="","",ROUND(AK7+IF(AL$3=1,N(Frota!$J7),N(Frota!$K7)),2))</f>
        <v>10311</v>
      </c>
      <c r="AM7" s="0" t="n">
        <f aca="false">IF(AL7="","",ROUND(AL7+IF(AM$3=1,N(Frota!$J7),N(Frota!$K7)),2))</f>
        <v>10319</v>
      </c>
      <c r="AN7" s="0" t="n">
        <f aca="false">IF(AM7="","",ROUND(AM7+IF(AN$3=1,N(Frota!$J7),N(Frota!$K7)),2))</f>
        <v>10327</v>
      </c>
      <c r="AO7" s="0" t="n">
        <f aca="false">IF(AN7="","",ROUND(AN7+IF(AO$3=1,N(Frota!$J7),N(Frota!$K7)),2))</f>
        <v>10335</v>
      </c>
      <c r="AP7" s="0" t="n">
        <f aca="false">IF(AO7="","",ROUND(AO7+IF(AP$3=1,N(Frota!$J7),N(Frota!$K7)),2))</f>
        <v>10343</v>
      </c>
      <c r="AQ7" s="0" t="n">
        <f aca="false">IF(AP7="","",ROUND(AP7+IF(AQ$3=1,N(Frota!$J7),N(Frota!$K7)),2))</f>
        <v>10351</v>
      </c>
      <c r="AR7" s="0" t="n">
        <f aca="false">IF(AQ7="","",ROUND(AQ7+IF(AR$3=1,N(Frota!$J7),N(Frota!$K7)),2))</f>
        <v>10359</v>
      </c>
      <c r="AS7" s="0" t="n">
        <f aca="false">IF(AR7="","",ROUND(AR7+IF(AS$3=1,N(Frota!$J7),N(Frota!$K7)),2))</f>
        <v>10367</v>
      </c>
      <c r="AT7" s="0" t="n">
        <f aca="false">IF(AS7="","",ROUND(AS7+IF(AT$3=1,N(Frota!$J7),N(Frota!$K7)),2))</f>
        <v>10375</v>
      </c>
      <c r="AU7" s="0" t="n">
        <f aca="false">IF(AT7="","",ROUND(AT7+IF(AU$3=1,N(Frota!$J7),N(Frota!$K7)),2))</f>
        <v>10383</v>
      </c>
      <c r="AV7" s="0" t="n">
        <f aca="false">IF(AU7="","",ROUND(AU7+IF(AV$3=1,N(Frota!$J7),N(Frota!$K7)),2))</f>
        <v>10391</v>
      </c>
      <c r="AW7" s="0" t="n">
        <f aca="false">IF(AV7="","",ROUND(AV7+IF(AW$3=1,N(Frota!$J7),N(Frota!$K7)),2))</f>
        <v>10399</v>
      </c>
      <c r="AX7" s="0" t="n">
        <f aca="false">IF(AW7="","",ROUND(AW7+IF(AX$3=1,N(Frota!$J7),N(Frota!$K7)),2))</f>
        <v>10407</v>
      </c>
      <c r="AY7" s="0" t="n">
        <f aca="false">IF(AX7="","",ROUND(AX7+IF(AY$3=1,N(Frota!$J7),N(Frota!$K7)),2))</f>
        <v>10415</v>
      </c>
      <c r="AZ7" s="0" t="n">
        <f aca="false">IF(AY7="","",ROUND(AY7+IF(AZ$3=1,N(Frota!$J7),N(Frota!$K7)),2))</f>
        <v>10423</v>
      </c>
      <c r="BA7" s="0" t="n">
        <f aca="false">IF(AZ7="","",ROUND(AZ7+IF(BA$3=1,N(Frota!$J7),N(Frota!$K7)),2))</f>
        <v>10431</v>
      </c>
    </row>
    <row r="8" customFormat="false" ht="15" hidden="false" customHeight="false" outlineLevel="0" collapsed="false">
      <c r="A8" s="2" t="str">
        <f aca="false">IF(Frota!$A8="","",Frota!$A8)</f>
        <v>Colhedora CASE A9000 — 1043</v>
      </c>
      <c r="B8" s="0" t="n">
        <f aca="false">IF(OR(Frota!$A8="",Frota!$G8&lt;&gt;"Ativo",N(Frota!$L8)=0),"",ROUND(Frota!$I8+IF(B$3=1,N(Frota!$J8),N(Frota!$K8)),2))</f>
        <v>1248</v>
      </c>
      <c r="C8" s="0" t="n">
        <f aca="false">IF(B8="","",ROUND(B8+IF(C$3=1,N(Frota!$J8),N(Frota!$K8)),2))</f>
        <v>1296</v>
      </c>
      <c r="D8" s="0" t="n">
        <f aca="false">IF(C8="","",ROUND(C8+IF(D$3=1,N(Frota!$J8),N(Frota!$K8)),2))</f>
        <v>1344</v>
      </c>
      <c r="E8" s="0" t="n">
        <f aca="false">IF(D8="","",ROUND(D8+IF(E$3=1,N(Frota!$J8),N(Frota!$K8)),2))</f>
        <v>1392</v>
      </c>
      <c r="F8" s="0" t="n">
        <f aca="false">IF(E8="","",ROUND(E8+IF(F$3=1,N(Frota!$J8),N(Frota!$K8)),2))</f>
        <v>1440</v>
      </c>
      <c r="G8" s="0" t="n">
        <f aca="false">IF(F8="","",ROUND(F8+IF(G$3=1,N(Frota!$J8),N(Frota!$K8)),2))</f>
        <v>1488</v>
      </c>
      <c r="H8" s="0" t="n">
        <f aca="false">IF(G8="","",ROUND(G8+IF(H$3=1,N(Frota!$J8),N(Frota!$K8)),2))</f>
        <v>1536</v>
      </c>
      <c r="I8" s="0" t="n">
        <f aca="false">IF(H8="","",ROUND(H8+IF(I$3=1,N(Frota!$J8),N(Frota!$K8)),2))</f>
        <v>1584</v>
      </c>
      <c r="J8" s="0" t="n">
        <f aca="false">IF(I8="","",ROUND(I8+IF(J$3=1,N(Frota!$J8),N(Frota!$K8)),2))</f>
        <v>1632</v>
      </c>
      <c r="K8" s="0" t="n">
        <f aca="false">IF(J8="","",ROUND(J8+IF(K$3=1,N(Frota!$J8),N(Frota!$K8)),2))</f>
        <v>1680</v>
      </c>
      <c r="L8" s="0" t="n">
        <f aca="false">IF(K8="","",ROUND(K8+IF(L$3=1,N(Frota!$J8),N(Frota!$K8)),2))</f>
        <v>1728</v>
      </c>
      <c r="M8" s="0" t="n">
        <f aca="false">IF(L8="","",ROUND(L8+IF(M$3=1,N(Frota!$J8),N(Frota!$K8)),2))</f>
        <v>1776</v>
      </c>
      <c r="N8" s="0" t="n">
        <f aca="false">IF(M8="","",ROUND(M8+IF(N$3=1,N(Frota!$J8),N(Frota!$K8)),2))</f>
        <v>1824</v>
      </c>
      <c r="O8" s="0" t="n">
        <f aca="false">IF(N8="","",ROUND(N8+IF(O$3=1,N(Frota!$J8),N(Frota!$K8)),2))</f>
        <v>1872</v>
      </c>
      <c r="P8" s="0" t="n">
        <f aca="false">IF(O8="","",ROUND(O8+IF(P$3=1,N(Frota!$J8),N(Frota!$K8)),2))</f>
        <v>1920</v>
      </c>
      <c r="Q8" s="0" t="n">
        <f aca="false">IF(P8="","",ROUND(P8+IF(Q$3=1,N(Frota!$J8),N(Frota!$K8)),2))</f>
        <v>1968</v>
      </c>
      <c r="R8" s="0" t="n">
        <f aca="false">IF(Q8="","",ROUND(Q8+IF(R$3=1,N(Frota!$J8),N(Frota!$K8)),2))</f>
        <v>2016</v>
      </c>
      <c r="S8" s="0" t="n">
        <f aca="false">IF(R8="","",ROUND(R8+IF(S$3=1,N(Frota!$J8),N(Frota!$K8)),2))</f>
        <v>2064</v>
      </c>
      <c r="T8" s="0" t="n">
        <f aca="false">IF(S8="","",ROUND(S8+IF(T$3=1,N(Frota!$J8),N(Frota!$K8)),2))</f>
        <v>2112</v>
      </c>
      <c r="U8" s="0" t="n">
        <f aca="false">IF(T8="","",ROUND(T8+IF(U$3=1,N(Frota!$J8),N(Frota!$K8)),2))</f>
        <v>2160</v>
      </c>
      <c r="V8" s="0" t="n">
        <f aca="false">IF(U8="","",ROUND(U8+IF(V$3=1,N(Frota!$J8),N(Frota!$K8)),2))</f>
        <v>2208</v>
      </c>
      <c r="W8" s="0" t="n">
        <f aca="false">IF(V8="","",ROUND(V8+IF(W$3=1,N(Frota!$J8),N(Frota!$K8)),2))</f>
        <v>2256</v>
      </c>
      <c r="X8" s="0" t="n">
        <f aca="false">IF(W8="","",ROUND(W8+IF(X$3=1,N(Frota!$J8),N(Frota!$K8)),2))</f>
        <v>2304</v>
      </c>
      <c r="Y8" s="0" t="n">
        <f aca="false">IF(X8="","",ROUND(X8+IF(Y$3=1,N(Frota!$J8),N(Frota!$K8)),2))</f>
        <v>2352</v>
      </c>
      <c r="Z8" s="0" t="n">
        <f aca="false">IF(Y8="","",ROUND(Y8+IF(Z$3=1,N(Frota!$J8),N(Frota!$K8)),2))</f>
        <v>2400</v>
      </c>
      <c r="AA8" s="0" t="n">
        <f aca="false">IF(Z8="","",ROUND(Z8+IF(AA$3=1,N(Frota!$J8),N(Frota!$K8)),2))</f>
        <v>2448</v>
      </c>
      <c r="AB8" s="0" t="n">
        <f aca="false">IF(AA8="","",ROUND(AA8+IF(AB$3=1,N(Frota!$J8),N(Frota!$K8)),2))</f>
        <v>2496</v>
      </c>
      <c r="AC8" s="0" t="n">
        <f aca="false">IF(AB8="","",ROUND(AB8+IF(AC$3=1,N(Frota!$J8),N(Frota!$K8)),2))</f>
        <v>2544</v>
      </c>
      <c r="AD8" s="0" t="n">
        <f aca="false">IF(AC8="","",ROUND(AC8+IF(AD$3=1,N(Frota!$J8),N(Frota!$K8)),2))</f>
        <v>2592</v>
      </c>
      <c r="AE8" s="0" t="n">
        <f aca="false">IF(AD8="","",ROUND(AD8+IF(AE$3=1,N(Frota!$J8),N(Frota!$K8)),2))</f>
        <v>2640</v>
      </c>
      <c r="AF8" s="0" t="n">
        <f aca="false">IF(AE8="","",ROUND(AE8+IF(AF$3=1,N(Frota!$J8),N(Frota!$K8)),2))</f>
        <v>2688</v>
      </c>
      <c r="AG8" s="0" t="n">
        <f aca="false">IF(AF8="","",ROUND(AF8+IF(AG$3=1,N(Frota!$J8),N(Frota!$K8)),2))</f>
        <v>2736</v>
      </c>
      <c r="AH8" s="0" t="n">
        <f aca="false">IF(AG8="","",ROUND(AG8+IF(AH$3=1,N(Frota!$J8),N(Frota!$K8)),2))</f>
        <v>2784</v>
      </c>
      <c r="AI8" s="0" t="n">
        <f aca="false">IF(AH8="","",ROUND(AH8+IF(AI$3=1,N(Frota!$J8),N(Frota!$K8)),2))</f>
        <v>2832</v>
      </c>
      <c r="AJ8" s="0" t="n">
        <f aca="false">IF(AI8="","",ROUND(AI8+IF(AJ$3=1,N(Frota!$J8),N(Frota!$K8)),2))</f>
        <v>2880</v>
      </c>
      <c r="AK8" s="0" t="n">
        <f aca="false">IF(AJ8="","",ROUND(AJ8+IF(AK$3=1,N(Frota!$J8),N(Frota!$K8)),2))</f>
        <v>2888</v>
      </c>
      <c r="AL8" s="0" t="n">
        <f aca="false">IF(AK8="","",ROUND(AK8+IF(AL$3=1,N(Frota!$J8),N(Frota!$K8)),2))</f>
        <v>2896</v>
      </c>
      <c r="AM8" s="0" t="n">
        <f aca="false">IF(AL8="","",ROUND(AL8+IF(AM$3=1,N(Frota!$J8),N(Frota!$K8)),2))</f>
        <v>2904</v>
      </c>
      <c r="AN8" s="0" t="n">
        <f aca="false">IF(AM8="","",ROUND(AM8+IF(AN$3=1,N(Frota!$J8),N(Frota!$K8)),2))</f>
        <v>2912</v>
      </c>
      <c r="AO8" s="0" t="n">
        <f aca="false">IF(AN8="","",ROUND(AN8+IF(AO$3=1,N(Frota!$J8),N(Frota!$K8)),2))</f>
        <v>2920</v>
      </c>
      <c r="AP8" s="0" t="n">
        <f aca="false">IF(AO8="","",ROUND(AO8+IF(AP$3=1,N(Frota!$J8),N(Frota!$K8)),2))</f>
        <v>2928</v>
      </c>
      <c r="AQ8" s="0" t="n">
        <f aca="false">IF(AP8="","",ROUND(AP8+IF(AQ$3=1,N(Frota!$J8),N(Frota!$K8)),2))</f>
        <v>2936</v>
      </c>
      <c r="AR8" s="0" t="n">
        <f aca="false">IF(AQ8="","",ROUND(AQ8+IF(AR$3=1,N(Frota!$J8),N(Frota!$K8)),2))</f>
        <v>2944</v>
      </c>
      <c r="AS8" s="0" t="n">
        <f aca="false">IF(AR8="","",ROUND(AR8+IF(AS$3=1,N(Frota!$J8),N(Frota!$K8)),2))</f>
        <v>2952</v>
      </c>
      <c r="AT8" s="0" t="n">
        <f aca="false">IF(AS8="","",ROUND(AS8+IF(AT$3=1,N(Frota!$J8),N(Frota!$K8)),2))</f>
        <v>2960</v>
      </c>
      <c r="AU8" s="0" t="n">
        <f aca="false">IF(AT8="","",ROUND(AT8+IF(AU$3=1,N(Frota!$J8),N(Frota!$K8)),2))</f>
        <v>2968</v>
      </c>
      <c r="AV8" s="0" t="n">
        <f aca="false">IF(AU8="","",ROUND(AU8+IF(AV$3=1,N(Frota!$J8),N(Frota!$K8)),2))</f>
        <v>2976</v>
      </c>
      <c r="AW8" s="0" t="n">
        <f aca="false">IF(AV8="","",ROUND(AV8+IF(AW$3=1,N(Frota!$J8),N(Frota!$K8)),2))</f>
        <v>2984</v>
      </c>
      <c r="AX8" s="0" t="n">
        <f aca="false">IF(AW8="","",ROUND(AW8+IF(AX$3=1,N(Frota!$J8),N(Frota!$K8)),2))</f>
        <v>2992</v>
      </c>
      <c r="AY8" s="0" t="n">
        <f aca="false">IF(AX8="","",ROUND(AX8+IF(AY$3=1,N(Frota!$J8),N(Frota!$K8)),2))</f>
        <v>3000</v>
      </c>
      <c r="AZ8" s="0" t="n">
        <f aca="false">IF(AY8="","",ROUND(AY8+IF(AZ$3=1,N(Frota!$J8),N(Frota!$K8)),2))</f>
        <v>3008</v>
      </c>
      <c r="BA8" s="0" t="n">
        <f aca="false">IF(AZ8="","",ROUND(AZ8+IF(BA$3=1,N(Frota!$J8),N(Frota!$K8)),2))</f>
        <v>3016</v>
      </c>
    </row>
    <row r="9" customFormat="false" ht="15" hidden="false" customHeight="false" outlineLevel="0" collapsed="false">
      <c r="A9" s="2" t="str">
        <f aca="false">IF(Frota!$A9="","",Frota!$A9)</f>
        <v>Trator NH T7.315 — 401</v>
      </c>
      <c r="B9" s="0" t="n">
        <f aca="false">IF(OR(Frota!$A9="",Frota!$G9&lt;&gt;"Ativo",N(Frota!$L9)=0),"",ROUND(Frota!$I9+IF(B$3=1,N(Frota!$J9),N(Frota!$K9)),2))</f>
        <v>3250</v>
      </c>
      <c r="C9" s="0" t="n">
        <f aca="false">IF(B9="","",ROUND(B9+IF(C$3=1,N(Frota!$J9),N(Frota!$K9)),2))</f>
        <v>3300</v>
      </c>
      <c r="D9" s="0" t="n">
        <f aca="false">IF(C9="","",ROUND(C9+IF(D$3=1,N(Frota!$J9),N(Frota!$K9)),2))</f>
        <v>3350</v>
      </c>
      <c r="E9" s="0" t="n">
        <f aca="false">IF(D9="","",ROUND(D9+IF(E$3=1,N(Frota!$J9),N(Frota!$K9)),2))</f>
        <v>3400</v>
      </c>
      <c r="F9" s="0" t="n">
        <f aca="false">IF(E9="","",ROUND(E9+IF(F$3=1,N(Frota!$J9),N(Frota!$K9)),2))</f>
        <v>3450</v>
      </c>
      <c r="G9" s="0" t="n">
        <f aca="false">IF(F9="","",ROUND(F9+IF(G$3=1,N(Frota!$J9),N(Frota!$K9)),2))</f>
        <v>3500</v>
      </c>
      <c r="H9" s="0" t="n">
        <f aca="false">IF(G9="","",ROUND(G9+IF(H$3=1,N(Frota!$J9),N(Frota!$K9)),2))</f>
        <v>3550</v>
      </c>
      <c r="I9" s="0" t="n">
        <f aca="false">IF(H9="","",ROUND(H9+IF(I$3=1,N(Frota!$J9),N(Frota!$K9)),2))</f>
        <v>3600</v>
      </c>
      <c r="J9" s="0" t="n">
        <f aca="false">IF(I9="","",ROUND(I9+IF(J$3=1,N(Frota!$J9),N(Frota!$K9)),2))</f>
        <v>3650</v>
      </c>
      <c r="K9" s="0" t="n">
        <f aca="false">IF(J9="","",ROUND(J9+IF(K$3=1,N(Frota!$J9),N(Frota!$K9)),2))</f>
        <v>3700</v>
      </c>
      <c r="L9" s="0" t="n">
        <f aca="false">IF(K9="","",ROUND(K9+IF(L$3=1,N(Frota!$J9),N(Frota!$K9)),2))</f>
        <v>3750</v>
      </c>
      <c r="M9" s="0" t="n">
        <f aca="false">IF(L9="","",ROUND(L9+IF(M$3=1,N(Frota!$J9),N(Frota!$K9)),2))</f>
        <v>3800</v>
      </c>
      <c r="N9" s="0" t="n">
        <f aca="false">IF(M9="","",ROUND(M9+IF(N$3=1,N(Frota!$J9),N(Frota!$K9)),2))</f>
        <v>3850</v>
      </c>
      <c r="O9" s="0" t="n">
        <f aca="false">IF(N9="","",ROUND(N9+IF(O$3=1,N(Frota!$J9),N(Frota!$K9)),2))</f>
        <v>3900</v>
      </c>
      <c r="P9" s="0" t="n">
        <f aca="false">IF(O9="","",ROUND(O9+IF(P$3=1,N(Frota!$J9),N(Frota!$K9)),2))</f>
        <v>3950</v>
      </c>
      <c r="Q9" s="0" t="n">
        <f aca="false">IF(P9="","",ROUND(P9+IF(Q$3=1,N(Frota!$J9),N(Frota!$K9)),2))</f>
        <v>4000</v>
      </c>
      <c r="R9" s="0" t="n">
        <f aca="false">IF(Q9="","",ROUND(Q9+IF(R$3=1,N(Frota!$J9),N(Frota!$K9)),2))</f>
        <v>4050</v>
      </c>
      <c r="S9" s="0" t="n">
        <f aca="false">IF(R9="","",ROUND(R9+IF(S$3=1,N(Frota!$J9),N(Frota!$K9)),2))</f>
        <v>4100</v>
      </c>
      <c r="T9" s="0" t="n">
        <f aca="false">IF(S9="","",ROUND(S9+IF(T$3=1,N(Frota!$J9),N(Frota!$K9)),2))</f>
        <v>4150</v>
      </c>
      <c r="U9" s="0" t="n">
        <f aca="false">IF(T9="","",ROUND(T9+IF(U$3=1,N(Frota!$J9),N(Frota!$K9)),2))</f>
        <v>4200</v>
      </c>
      <c r="V9" s="0" t="n">
        <f aca="false">IF(U9="","",ROUND(U9+IF(V$3=1,N(Frota!$J9),N(Frota!$K9)),2))</f>
        <v>4250</v>
      </c>
      <c r="W9" s="0" t="n">
        <f aca="false">IF(V9="","",ROUND(V9+IF(W$3=1,N(Frota!$J9),N(Frota!$K9)),2))</f>
        <v>4300</v>
      </c>
      <c r="X9" s="0" t="n">
        <f aca="false">IF(W9="","",ROUND(W9+IF(X$3=1,N(Frota!$J9),N(Frota!$K9)),2))</f>
        <v>4350</v>
      </c>
      <c r="Y9" s="0" t="n">
        <f aca="false">IF(X9="","",ROUND(X9+IF(Y$3=1,N(Frota!$J9),N(Frota!$K9)),2))</f>
        <v>4400</v>
      </c>
      <c r="Z9" s="0" t="n">
        <f aca="false">IF(Y9="","",ROUND(Y9+IF(Z$3=1,N(Frota!$J9),N(Frota!$K9)),2))</f>
        <v>4450</v>
      </c>
      <c r="AA9" s="0" t="n">
        <f aca="false">IF(Z9="","",ROUND(Z9+IF(AA$3=1,N(Frota!$J9),N(Frota!$K9)),2))</f>
        <v>4500</v>
      </c>
      <c r="AB9" s="0" t="n">
        <f aca="false">IF(AA9="","",ROUND(AA9+IF(AB$3=1,N(Frota!$J9),N(Frota!$K9)),2))</f>
        <v>4550</v>
      </c>
      <c r="AC9" s="0" t="n">
        <f aca="false">IF(AB9="","",ROUND(AB9+IF(AC$3=1,N(Frota!$J9),N(Frota!$K9)),2))</f>
        <v>4600</v>
      </c>
      <c r="AD9" s="0" t="n">
        <f aca="false">IF(AC9="","",ROUND(AC9+IF(AD$3=1,N(Frota!$J9),N(Frota!$K9)),2))</f>
        <v>4650</v>
      </c>
      <c r="AE9" s="0" t="n">
        <f aca="false">IF(AD9="","",ROUND(AD9+IF(AE$3=1,N(Frota!$J9),N(Frota!$K9)),2))</f>
        <v>4700</v>
      </c>
      <c r="AF9" s="0" t="n">
        <f aca="false">IF(AE9="","",ROUND(AE9+IF(AF$3=1,N(Frota!$J9),N(Frota!$K9)),2))</f>
        <v>4750</v>
      </c>
      <c r="AG9" s="0" t="n">
        <f aca="false">IF(AF9="","",ROUND(AF9+IF(AG$3=1,N(Frota!$J9),N(Frota!$K9)),2))</f>
        <v>4800</v>
      </c>
      <c r="AH9" s="0" t="n">
        <f aca="false">IF(AG9="","",ROUND(AG9+IF(AH$3=1,N(Frota!$J9),N(Frota!$K9)),2))</f>
        <v>4850</v>
      </c>
      <c r="AI9" s="0" t="n">
        <f aca="false">IF(AH9="","",ROUND(AH9+IF(AI$3=1,N(Frota!$J9),N(Frota!$K9)),2))</f>
        <v>4900</v>
      </c>
      <c r="AJ9" s="0" t="n">
        <f aca="false">IF(AI9="","",ROUND(AI9+IF(AJ$3=1,N(Frota!$J9),N(Frota!$K9)),2))</f>
        <v>4950</v>
      </c>
      <c r="AK9" s="0" t="n">
        <f aca="false">IF(AJ9="","",ROUND(AJ9+IF(AK$3=1,N(Frota!$J9),N(Frota!$K9)),2))</f>
        <v>4962</v>
      </c>
      <c r="AL9" s="0" t="n">
        <f aca="false">IF(AK9="","",ROUND(AK9+IF(AL$3=1,N(Frota!$J9),N(Frota!$K9)),2))</f>
        <v>4974</v>
      </c>
      <c r="AM9" s="0" t="n">
        <f aca="false">IF(AL9="","",ROUND(AL9+IF(AM$3=1,N(Frota!$J9),N(Frota!$K9)),2))</f>
        <v>4986</v>
      </c>
      <c r="AN9" s="0" t="n">
        <f aca="false">IF(AM9="","",ROUND(AM9+IF(AN$3=1,N(Frota!$J9),N(Frota!$K9)),2))</f>
        <v>4998</v>
      </c>
      <c r="AO9" s="0" t="n">
        <f aca="false">IF(AN9="","",ROUND(AN9+IF(AO$3=1,N(Frota!$J9),N(Frota!$K9)),2))</f>
        <v>5010</v>
      </c>
      <c r="AP9" s="0" t="n">
        <f aca="false">IF(AO9="","",ROUND(AO9+IF(AP$3=1,N(Frota!$J9),N(Frota!$K9)),2))</f>
        <v>5022</v>
      </c>
      <c r="AQ9" s="0" t="n">
        <f aca="false">IF(AP9="","",ROUND(AP9+IF(AQ$3=1,N(Frota!$J9),N(Frota!$K9)),2))</f>
        <v>5034</v>
      </c>
      <c r="AR9" s="0" t="n">
        <f aca="false">IF(AQ9="","",ROUND(AQ9+IF(AR$3=1,N(Frota!$J9),N(Frota!$K9)),2))</f>
        <v>5046</v>
      </c>
      <c r="AS9" s="0" t="n">
        <f aca="false">IF(AR9="","",ROUND(AR9+IF(AS$3=1,N(Frota!$J9),N(Frota!$K9)),2))</f>
        <v>5058</v>
      </c>
      <c r="AT9" s="0" t="n">
        <f aca="false">IF(AS9="","",ROUND(AS9+IF(AT$3=1,N(Frota!$J9),N(Frota!$K9)),2))</f>
        <v>5070</v>
      </c>
      <c r="AU9" s="0" t="n">
        <f aca="false">IF(AT9="","",ROUND(AT9+IF(AU$3=1,N(Frota!$J9),N(Frota!$K9)),2))</f>
        <v>5082</v>
      </c>
      <c r="AV9" s="0" t="n">
        <f aca="false">IF(AU9="","",ROUND(AU9+IF(AV$3=1,N(Frota!$J9),N(Frota!$K9)),2))</f>
        <v>5094</v>
      </c>
      <c r="AW9" s="0" t="n">
        <f aca="false">IF(AV9="","",ROUND(AV9+IF(AW$3=1,N(Frota!$J9),N(Frota!$K9)),2))</f>
        <v>5106</v>
      </c>
      <c r="AX9" s="0" t="n">
        <f aca="false">IF(AW9="","",ROUND(AW9+IF(AX$3=1,N(Frota!$J9),N(Frota!$K9)),2))</f>
        <v>5118</v>
      </c>
      <c r="AY9" s="0" t="n">
        <f aca="false">IF(AX9="","",ROUND(AX9+IF(AY$3=1,N(Frota!$J9),N(Frota!$K9)),2))</f>
        <v>5130</v>
      </c>
      <c r="AZ9" s="0" t="n">
        <f aca="false">IF(AY9="","",ROUND(AY9+IF(AZ$3=1,N(Frota!$J9),N(Frota!$K9)),2))</f>
        <v>5142</v>
      </c>
      <c r="BA9" s="0" t="n">
        <f aca="false">IF(AZ9="","",ROUND(AZ9+IF(BA$3=1,N(Frota!$J9),N(Frota!$K9)),2))</f>
        <v>5154</v>
      </c>
    </row>
    <row r="10" customFormat="false" ht="15" hidden="false" customHeight="false" outlineLevel="0" collapsed="false">
      <c r="A10" s="2" t="str">
        <f aca="false">IF(Frota!$A10="","",Frota!$A10)</f>
        <v>Trator NH T7.315 — 402</v>
      </c>
      <c r="B10" s="0" t="n">
        <f aca="false">IF(OR(Frota!$A10="",Frota!$G10&lt;&gt;"Ativo",N(Frota!$L10)=0),"",ROUND(Frota!$I10+IF(B$3=1,N(Frota!$J10),N(Frota!$K10)),2))</f>
        <v>2149</v>
      </c>
      <c r="C10" s="0" t="n">
        <f aca="false">IF(B10="","",ROUND(B10+IF(C$3=1,N(Frota!$J10),N(Frota!$K10)),2))</f>
        <v>2198</v>
      </c>
      <c r="D10" s="0" t="n">
        <f aca="false">IF(C10="","",ROUND(C10+IF(D$3=1,N(Frota!$J10),N(Frota!$K10)),2))</f>
        <v>2247</v>
      </c>
      <c r="E10" s="0" t="n">
        <f aca="false">IF(D10="","",ROUND(D10+IF(E$3=1,N(Frota!$J10),N(Frota!$K10)),2))</f>
        <v>2296</v>
      </c>
      <c r="F10" s="0" t="n">
        <f aca="false">IF(E10="","",ROUND(E10+IF(F$3=1,N(Frota!$J10),N(Frota!$K10)),2))</f>
        <v>2345</v>
      </c>
      <c r="G10" s="0" t="n">
        <f aca="false">IF(F10="","",ROUND(F10+IF(G$3=1,N(Frota!$J10),N(Frota!$K10)),2))</f>
        <v>2394</v>
      </c>
      <c r="H10" s="0" t="n">
        <f aca="false">IF(G10="","",ROUND(G10+IF(H$3=1,N(Frota!$J10),N(Frota!$K10)),2))</f>
        <v>2443</v>
      </c>
      <c r="I10" s="0" t="n">
        <f aca="false">IF(H10="","",ROUND(H10+IF(I$3=1,N(Frota!$J10),N(Frota!$K10)),2))</f>
        <v>2492</v>
      </c>
      <c r="J10" s="0" t="n">
        <f aca="false">IF(I10="","",ROUND(I10+IF(J$3=1,N(Frota!$J10),N(Frota!$K10)),2))</f>
        <v>2541</v>
      </c>
      <c r="K10" s="0" t="n">
        <f aca="false">IF(J10="","",ROUND(J10+IF(K$3=1,N(Frota!$J10),N(Frota!$K10)),2))</f>
        <v>2590</v>
      </c>
      <c r="L10" s="0" t="n">
        <f aca="false">IF(K10="","",ROUND(K10+IF(L$3=1,N(Frota!$J10),N(Frota!$K10)),2))</f>
        <v>2639</v>
      </c>
      <c r="M10" s="0" t="n">
        <f aca="false">IF(L10="","",ROUND(L10+IF(M$3=1,N(Frota!$J10),N(Frota!$K10)),2))</f>
        <v>2688</v>
      </c>
      <c r="N10" s="0" t="n">
        <f aca="false">IF(M10="","",ROUND(M10+IF(N$3=1,N(Frota!$J10),N(Frota!$K10)),2))</f>
        <v>2737</v>
      </c>
      <c r="O10" s="0" t="n">
        <f aca="false">IF(N10="","",ROUND(N10+IF(O$3=1,N(Frota!$J10),N(Frota!$K10)),2))</f>
        <v>2786</v>
      </c>
      <c r="P10" s="0" t="n">
        <f aca="false">IF(O10="","",ROUND(O10+IF(P$3=1,N(Frota!$J10),N(Frota!$K10)),2))</f>
        <v>2835</v>
      </c>
      <c r="Q10" s="0" t="n">
        <f aca="false">IF(P10="","",ROUND(P10+IF(Q$3=1,N(Frota!$J10),N(Frota!$K10)),2))</f>
        <v>2884</v>
      </c>
      <c r="R10" s="0" t="n">
        <f aca="false">IF(Q10="","",ROUND(Q10+IF(R$3=1,N(Frota!$J10),N(Frota!$K10)),2))</f>
        <v>2933</v>
      </c>
      <c r="S10" s="0" t="n">
        <f aca="false">IF(R10="","",ROUND(R10+IF(S$3=1,N(Frota!$J10),N(Frota!$K10)),2))</f>
        <v>2982</v>
      </c>
      <c r="T10" s="0" t="n">
        <f aca="false">IF(S10="","",ROUND(S10+IF(T$3=1,N(Frota!$J10),N(Frota!$K10)),2))</f>
        <v>3031</v>
      </c>
      <c r="U10" s="0" t="n">
        <f aca="false">IF(T10="","",ROUND(T10+IF(U$3=1,N(Frota!$J10),N(Frota!$K10)),2))</f>
        <v>3080</v>
      </c>
      <c r="V10" s="0" t="n">
        <f aca="false">IF(U10="","",ROUND(U10+IF(V$3=1,N(Frota!$J10),N(Frota!$K10)),2))</f>
        <v>3129</v>
      </c>
      <c r="W10" s="0" t="n">
        <f aca="false">IF(V10="","",ROUND(V10+IF(W$3=1,N(Frota!$J10),N(Frota!$K10)),2))</f>
        <v>3178</v>
      </c>
      <c r="X10" s="0" t="n">
        <f aca="false">IF(W10="","",ROUND(W10+IF(X$3=1,N(Frota!$J10),N(Frota!$K10)),2))</f>
        <v>3227</v>
      </c>
      <c r="Y10" s="0" t="n">
        <f aca="false">IF(X10="","",ROUND(X10+IF(Y$3=1,N(Frota!$J10),N(Frota!$K10)),2))</f>
        <v>3276</v>
      </c>
      <c r="Z10" s="0" t="n">
        <f aca="false">IF(Y10="","",ROUND(Y10+IF(Z$3=1,N(Frota!$J10),N(Frota!$K10)),2))</f>
        <v>3325</v>
      </c>
      <c r="AA10" s="0" t="n">
        <f aca="false">IF(Z10="","",ROUND(Z10+IF(AA$3=1,N(Frota!$J10),N(Frota!$K10)),2))</f>
        <v>3374</v>
      </c>
      <c r="AB10" s="0" t="n">
        <f aca="false">IF(AA10="","",ROUND(AA10+IF(AB$3=1,N(Frota!$J10),N(Frota!$K10)),2))</f>
        <v>3423</v>
      </c>
      <c r="AC10" s="0" t="n">
        <f aca="false">IF(AB10="","",ROUND(AB10+IF(AC$3=1,N(Frota!$J10),N(Frota!$K10)),2))</f>
        <v>3472</v>
      </c>
      <c r="AD10" s="0" t="n">
        <f aca="false">IF(AC10="","",ROUND(AC10+IF(AD$3=1,N(Frota!$J10),N(Frota!$K10)),2))</f>
        <v>3521</v>
      </c>
      <c r="AE10" s="0" t="n">
        <f aca="false">IF(AD10="","",ROUND(AD10+IF(AE$3=1,N(Frota!$J10),N(Frota!$K10)),2))</f>
        <v>3570</v>
      </c>
      <c r="AF10" s="0" t="n">
        <f aca="false">IF(AE10="","",ROUND(AE10+IF(AF$3=1,N(Frota!$J10),N(Frota!$K10)),2))</f>
        <v>3619</v>
      </c>
      <c r="AG10" s="0" t="n">
        <f aca="false">IF(AF10="","",ROUND(AF10+IF(AG$3=1,N(Frota!$J10),N(Frota!$K10)),2))</f>
        <v>3668</v>
      </c>
      <c r="AH10" s="0" t="n">
        <f aca="false">IF(AG10="","",ROUND(AG10+IF(AH$3=1,N(Frota!$J10),N(Frota!$K10)),2))</f>
        <v>3717</v>
      </c>
      <c r="AI10" s="0" t="n">
        <f aca="false">IF(AH10="","",ROUND(AH10+IF(AI$3=1,N(Frota!$J10),N(Frota!$K10)),2))</f>
        <v>3766</v>
      </c>
      <c r="AJ10" s="0" t="n">
        <f aca="false">IF(AI10="","",ROUND(AI10+IF(AJ$3=1,N(Frota!$J10),N(Frota!$K10)),2))</f>
        <v>3815</v>
      </c>
      <c r="AK10" s="0" t="n">
        <f aca="false">IF(AJ10="","",ROUND(AJ10+IF(AK$3=1,N(Frota!$J10),N(Frota!$K10)),2))</f>
        <v>3827</v>
      </c>
      <c r="AL10" s="0" t="n">
        <f aca="false">IF(AK10="","",ROUND(AK10+IF(AL$3=1,N(Frota!$J10),N(Frota!$K10)),2))</f>
        <v>3839</v>
      </c>
      <c r="AM10" s="0" t="n">
        <f aca="false">IF(AL10="","",ROUND(AL10+IF(AM$3=1,N(Frota!$J10),N(Frota!$K10)),2))</f>
        <v>3851</v>
      </c>
      <c r="AN10" s="0" t="n">
        <f aca="false">IF(AM10="","",ROUND(AM10+IF(AN$3=1,N(Frota!$J10),N(Frota!$K10)),2))</f>
        <v>3863</v>
      </c>
      <c r="AO10" s="0" t="n">
        <f aca="false">IF(AN10="","",ROUND(AN10+IF(AO$3=1,N(Frota!$J10),N(Frota!$K10)),2))</f>
        <v>3875</v>
      </c>
      <c r="AP10" s="0" t="n">
        <f aca="false">IF(AO10="","",ROUND(AO10+IF(AP$3=1,N(Frota!$J10),N(Frota!$K10)),2))</f>
        <v>3887</v>
      </c>
      <c r="AQ10" s="0" t="n">
        <f aca="false">IF(AP10="","",ROUND(AP10+IF(AQ$3=1,N(Frota!$J10),N(Frota!$K10)),2))</f>
        <v>3899</v>
      </c>
      <c r="AR10" s="0" t="n">
        <f aca="false">IF(AQ10="","",ROUND(AQ10+IF(AR$3=1,N(Frota!$J10),N(Frota!$K10)),2))</f>
        <v>3911</v>
      </c>
      <c r="AS10" s="0" t="n">
        <f aca="false">IF(AR10="","",ROUND(AR10+IF(AS$3=1,N(Frota!$J10),N(Frota!$K10)),2))</f>
        <v>3923</v>
      </c>
      <c r="AT10" s="0" t="n">
        <f aca="false">IF(AS10="","",ROUND(AS10+IF(AT$3=1,N(Frota!$J10),N(Frota!$K10)),2))</f>
        <v>3935</v>
      </c>
      <c r="AU10" s="0" t="n">
        <f aca="false">IF(AT10="","",ROUND(AT10+IF(AU$3=1,N(Frota!$J10),N(Frota!$K10)),2))</f>
        <v>3947</v>
      </c>
      <c r="AV10" s="0" t="n">
        <f aca="false">IF(AU10="","",ROUND(AU10+IF(AV$3=1,N(Frota!$J10),N(Frota!$K10)),2))</f>
        <v>3959</v>
      </c>
      <c r="AW10" s="0" t="n">
        <f aca="false">IF(AV10="","",ROUND(AV10+IF(AW$3=1,N(Frota!$J10),N(Frota!$K10)),2))</f>
        <v>3971</v>
      </c>
      <c r="AX10" s="0" t="n">
        <f aca="false">IF(AW10="","",ROUND(AW10+IF(AX$3=1,N(Frota!$J10),N(Frota!$K10)),2))</f>
        <v>3983</v>
      </c>
      <c r="AY10" s="0" t="n">
        <f aca="false">IF(AX10="","",ROUND(AX10+IF(AY$3=1,N(Frota!$J10),N(Frota!$K10)),2))</f>
        <v>3995</v>
      </c>
      <c r="AZ10" s="0" t="n">
        <f aca="false">IF(AY10="","",ROUND(AY10+IF(AZ$3=1,N(Frota!$J10),N(Frota!$K10)),2))</f>
        <v>4007</v>
      </c>
      <c r="BA10" s="0" t="n">
        <f aca="false">IF(AZ10="","",ROUND(AZ10+IF(BA$3=1,N(Frota!$J10),N(Frota!$K10)),2))</f>
        <v>4019</v>
      </c>
    </row>
    <row r="11" customFormat="false" ht="15" hidden="false" customHeight="false" outlineLevel="0" collapsed="false">
      <c r="A11" s="2" t="str">
        <f aca="false">IF(Frota!$A11="","",Frota!$A11)</f>
        <v>Trator Case Puma 175 — 403</v>
      </c>
      <c r="B11" s="0" t="n">
        <f aca="false">IF(OR(Frota!$A11="",Frota!$G11&lt;&gt;"Ativo",N(Frota!$L11)=0),"",ROUND(Frota!$I11+IF(B$3=1,N(Frota!$J11),N(Frota!$K11)),2))</f>
        <v>4146</v>
      </c>
      <c r="C11" s="0" t="n">
        <f aca="false">IF(B11="","",ROUND(B11+IF(C$3=1,N(Frota!$J11),N(Frota!$K11)),2))</f>
        <v>4192</v>
      </c>
      <c r="D11" s="0" t="n">
        <f aca="false">IF(C11="","",ROUND(C11+IF(D$3=1,N(Frota!$J11),N(Frota!$K11)),2))</f>
        <v>4238</v>
      </c>
      <c r="E11" s="0" t="n">
        <f aca="false">IF(D11="","",ROUND(D11+IF(E$3=1,N(Frota!$J11),N(Frota!$K11)),2))</f>
        <v>4284</v>
      </c>
      <c r="F11" s="0" t="n">
        <f aca="false">IF(E11="","",ROUND(E11+IF(F$3=1,N(Frota!$J11),N(Frota!$K11)),2))</f>
        <v>4330</v>
      </c>
      <c r="G11" s="0" t="n">
        <f aca="false">IF(F11="","",ROUND(F11+IF(G$3=1,N(Frota!$J11),N(Frota!$K11)),2))</f>
        <v>4376</v>
      </c>
      <c r="H11" s="0" t="n">
        <f aca="false">IF(G11="","",ROUND(G11+IF(H$3=1,N(Frota!$J11),N(Frota!$K11)),2))</f>
        <v>4422</v>
      </c>
      <c r="I11" s="0" t="n">
        <f aca="false">IF(H11="","",ROUND(H11+IF(I$3=1,N(Frota!$J11),N(Frota!$K11)),2))</f>
        <v>4468</v>
      </c>
      <c r="J11" s="0" t="n">
        <f aca="false">IF(I11="","",ROUND(I11+IF(J$3=1,N(Frota!$J11),N(Frota!$K11)),2))</f>
        <v>4514</v>
      </c>
      <c r="K11" s="0" t="n">
        <f aca="false">IF(J11="","",ROUND(J11+IF(K$3=1,N(Frota!$J11),N(Frota!$K11)),2))</f>
        <v>4560</v>
      </c>
      <c r="L11" s="0" t="n">
        <f aca="false">IF(K11="","",ROUND(K11+IF(L$3=1,N(Frota!$J11),N(Frota!$K11)),2))</f>
        <v>4606</v>
      </c>
      <c r="M11" s="0" t="n">
        <f aca="false">IF(L11="","",ROUND(L11+IF(M$3=1,N(Frota!$J11),N(Frota!$K11)),2))</f>
        <v>4652</v>
      </c>
      <c r="N11" s="0" t="n">
        <f aca="false">IF(M11="","",ROUND(M11+IF(N$3=1,N(Frota!$J11),N(Frota!$K11)),2))</f>
        <v>4698</v>
      </c>
      <c r="O11" s="0" t="n">
        <f aca="false">IF(N11="","",ROUND(N11+IF(O$3=1,N(Frota!$J11),N(Frota!$K11)),2))</f>
        <v>4744</v>
      </c>
      <c r="P11" s="0" t="n">
        <f aca="false">IF(O11="","",ROUND(O11+IF(P$3=1,N(Frota!$J11),N(Frota!$K11)),2))</f>
        <v>4790</v>
      </c>
      <c r="Q11" s="0" t="n">
        <f aca="false">IF(P11="","",ROUND(P11+IF(Q$3=1,N(Frota!$J11),N(Frota!$K11)),2))</f>
        <v>4836</v>
      </c>
      <c r="R11" s="0" t="n">
        <f aca="false">IF(Q11="","",ROUND(Q11+IF(R$3=1,N(Frota!$J11),N(Frota!$K11)),2))</f>
        <v>4882</v>
      </c>
      <c r="S11" s="0" t="n">
        <f aca="false">IF(R11="","",ROUND(R11+IF(S$3=1,N(Frota!$J11),N(Frota!$K11)),2))</f>
        <v>4928</v>
      </c>
      <c r="T11" s="0" t="n">
        <f aca="false">IF(S11="","",ROUND(S11+IF(T$3=1,N(Frota!$J11),N(Frota!$K11)),2))</f>
        <v>4974</v>
      </c>
      <c r="U11" s="0" t="n">
        <f aca="false">IF(T11="","",ROUND(T11+IF(U$3=1,N(Frota!$J11),N(Frota!$K11)),2))</f>
        <v>5020</v>
      </c>
      <c r="V11" s="0" t="n">
        <f aca="false">IF(U11="","",ROUND(U11+IF(V$3=1,N(Frota!$J11),N(Frota!$K11)),2))</f>
        <v>5066</v>
      </c>
      <c r="W11" s="0" t="n">
        <f aca="false">IF(V11="","",ROUND(V11+IF(W$3=1,N(Frota!$J11),N(Frota!$K11)),2))</f>
        <v>5112</v>
      </c>
      <c r="X11" s="0" t="n">
        <f aca="false">IF(W11="","",ROUND(W11+IF(X$3=1,N(Frota!$J11),N(Frota!$K11)),2))</f>
        <v>5158</v>
      </c>
      <c r="Y11" s="0" t="n">
        <f aca="false">IF(X11="","",ROUND(X11+IF(Y$3=1,N(Frota!$J11),N(Frota!$K11)),2))</f>
        <v>5204</v>
      </c>
      <c r="Z11" s="0" t="n">
        <f aca="false">IF(Y11="","",ROUND(Y11+IF(Z$3=1,N(Frota!$J11),N(Frota!$K11)),2))</f>
        <v>5250</v>
      </c>
      <c r="AA11" s="0" t="n">
        <f aca="false">IF(Z11="","",ROUND(Z11+IF(AA$3=1,N(Frota!$J11),N(Frota!$K11)),2))</f>
        <v>5296</v>
      </c>
      <c r="AB11" s="0" t="n">
        <f aca="false">IF(AA11="","",ROUND(AA11+IF(AB$3=1,N(Frota!$J11),N(Frota!$K11)),2))</f>
        <v>5342</v>
      </c>
      <c r="AC11" s="0" t="n">
        <f aca="false">IF(AB11="","",ROUND(AB11+IF(AC$3=1,N(Frota!$J11),N(Frota!$K11)),2))</f>
        <v>5388</v>
      </c>
      <c r="AD11" s="0" t="n">
        <f aca="false">IF(AC11="","",ROUND(AC11+IF(AD$3=1,N(Frota!$J11),N(Frota!$K11)),2))</f>
        <v>5434</v>
      </c>
      <c r="AE11" s="0" t="n">
        <f aca="false">IF(AD11="","",ROUND(AD11+IF(AE$3=1,N(Frota!$J11),N(Frota!$K11)),2))</f>
        <v>5480</v>
      </c>
      <c r="AF11" s="0" t="n">
        <f aca="false">IF(AE11="","",ROUND(AE11+IF(AF$3=1,N(Frota!$J11),N(Frota!$K11)),2))</f>
        <v>5526</v>
      </c>
      <c r="AG11" s="0" t="n">
        <f aca="false">IF(AF11="","",ROUND(AF11+IF(AG$3=1,N(Frota!$J11),N(Frota!$K11)),2))</f>
        <v>5572</v>
      </c>
      <c r="AH11" s="0" t="n">
        <f aca="false">IF(AG11="","",ROUND(AG11+IF(AH$3=1,N(Frota!$J11),N(Frota!$K11)),2))</f>
        <v>5618</v>
      </c>
      <c r="AI11" s="0" t="n">
        <f aca="false">IF(AH11="","",ROUND(AH11+IF(AI$3=1,N(Frota!$J11),N(Frota!$K11)),2))</f>
        <v>5664</v>
      </c>
      <c r="AJ11" s="0" t="n">
        <f aca="false">IF(AI11="","",ROUND(AI11+IF(AJ$3=1,N(Frota!$J11),N(Frota!$K11)),2))</f>
        <v>5710</v>
      </c>
      <c r="AK11" s="0" t="n">
        <f aca="false">IF(AJ11="","",ROUND(AJ11+IF(AK$3=1,N(Frota!$J11),N(Frota!$K11)),2))</f>
        <v>5722</v>
      </c>
      <c r="AL11" s="0" t="n">
        <f aca="false">IF(AK11="","",ROUND(AK11+IF(AL$3=1,N(Frota!$J11),N(Frota!$K11)),2))</f>
        <v>5734</v>
      </c>
      <c r="AM11" s="0" t="n">
        <f aca="false">IF(AL11="","",ROUND(AL11+IF(AM$3=1,N(Frota!$J11),N(Frota!$K11)),2))</f>
        <v>5746</v>
      </c>
      <c r="AN11" s="0" t="n">
        <f aca="false">IF(AM11="","",ROUND(AM11+IF(AN$3=1,N(Frota!$J11),N(Frota!$K11)),2))</f>
        <v>5758</v>
      </c>
      <c r="AO11" s="0" t="n">
        <f aca="false">IF(AN11="","",ROUND(AN11+IF(AO$3=1,N(Frota!$J11),N(Frota!$K11)),2))</f>
        <v>5770</v>
      </c>
      <c r="AP11" s="0" t="n">
        <f aca="false">IF(AO11="","",ROUND(AO11+IF(AP$3=1,N(Frota!$J11),N(Frota!$K11)),2))</f>
        <v>5782</v>
      </c>
      <c r="AQ11" s="0" t="n">
        <f aca="false">IF(AP11="","",ROUND(AP11+IF(AQ$3=1,N(Frota!$J11),N(Frota!$K11)),2))</f>
        <v>5794</v>
      </c>
      <c r="AR11" s="0" t="n">
        <f aca="false">IF(AQ11="","",ROUND(AQ11+IF(AR$3=1,N(Frota!$J11),N(Frota!$K11)),2))</f>
        <v>5806</v>
      </c>
      <c r="AS11" s="0" t="n">
        <f aca="false">IF(AR11="","",ROUND(AR11+IF(AS$3=1,N(Frota!$J11),N(Frota!$K11)),2))</f>
        <v>5818</v>
      </c>
      <c r="AT11" s="0" t="n">
        <f aca="false">IF(AS11="","",ROUND(AS11+IF(AT$3=1,N(Frota!$J11),N(Frota!$K11)),2))</f>
        <v>5830</v>
      </c>
      <c r="AU11" s="0" t="n">
        <f aca="false">IF(AT11="","",ROUND(AT11+IF(AU$3=1,N(Frota!$J11),N(Frota!$K11)),2))</f>
        <v>5842</v>
      </c>
      <c r="AV11" s="0" t="n">
        <f aca="false">IF(AU11="","",ROUND(AU11+IF(AV$3=1,N(Frota!$J11),N(Frota!$K11)),2))</f>
        <v>5854</v>
      </c>
      <c r="AW11" s="0" t="n">
        <f aca="false">IF(AV11="","",ROUND(AV11+IF(AW$3=1,N(Frota!$J11),N(Frota!$K11)),2))</f>
        <v>5866</v>
      </c>
      <c r="AX11" s="0" t="n">
        <f aca="false">IF(AW11="","",ROUND(AW11+IF(AX$3=1,N(Frota!$J11),N(Frota!$K11)),2))</f>
        <v>5878</v>
      </c>
      <c r="AY11" s="0" t="n">
        <f aca="false">IF(AX11="","",ROUND(AX11+IF(AY$3=1,N(Frota!$J11),N(Frota!$K11)),2))</f>
        <v>5890</v>
      </c>
      <c r="AZ11" s="0" t="n">
        <f aca="false">IF(AY11="","",ROUND(AY11+IF(AZ$3=1,N(Frota!$J11),N(Frota!$K11)),2))</f>
        <v>5902</v>
      </c>
      <c r="BA11" s="0" t="n">
        <f aca="false">IF(AZ11="","",ROUND(AZ11+IF(BA$3=1,N(Frota!$J11),N(Frota!$K11)),2))</f>
        <v>5914</v>
      </c>
    </row>
    <row r="12" customFormat="false" ht="15" hidden="false" customHeight="false" outlineLevel="0" collapsed="false">
      <c r="A12" s="2" t="str">
        <f aca="false">IF(Frota!$A12="","",Frota!$A12)</f>
        <v>Caminhão Scania G480 — 2748</v>
      </c>
      <c r="B12" s="0" t="n">
        <f aca="false">IF(OR(Frota!$A12="",Frota!$G12&lt;&gt;"Ativo",N(Frota!$L12)=0),"",ROUND(Frota!$I12+IF(B$3=1,N(Frota!$J12),N(Frota!$K12)),2))</f>
        <v>305400</v>
      </c>
      <c r="C12" s="0" t="n">
        <f aca="false">IF(B12="","",ROUND(B12+IF(C$3=1,N(Frota!$J12),N(Frota!$K12)),2))</f>
        <v>306800</v>
      </c>
      <c r="D12" s="0" t="n">
        <f aca="false">IF(C12="","",ROUND(C12+IF(D$3=1,N(Frota!$J12),N(Frota!$K12)),2))</f>
        <v>308200</v>
      </c>
      <c r="E12" s="0" t="n">
        <f aca="false">IF(D12="","",ROUND(D12+IF(E$3=1,N(Frota!$J12),N(Frota!$K12)),2))</f>
        <v>309600</v>
      </c>
      <c r="F12" s="0" t="n">
        <f aca="false">IF(E12="","",ROUND(E12+IF(F$3=1,N(Frota!$J12),N(Frota!$K12)),2))</f>
        <v>311000</v>
      </c>
      <c r="G12" s="0" t="n">
        <f aca="false">IF(F12="","",ROUND(F12+IF(G$3=1,N(Frota!$J12),N(Frota!$K12)),2))</f>
        <v>312400</v>
      </c>
      <c r="H12" s="0" t="n">
        <f aca="false">IF(G12="","",ROUND(G12+IF(H$3=1,N(Frota!$J12),N(Frota!$K12)),2))</f>
        <v>313800</v>
      </c>
      <c r="I12" s="0" t="n">
        <f aca="false">IF(H12="","",ROUND(H12+IF(I$3=1,N(Frota!$J12),N(Frota!$K12)),2))</f>
        <v>315200</v>
      </c>
      <c r="J12" s="0" t="n">
        <f aca="false">IF(I12="","",ROUND(I12+IF(J$3=1,N(Frota!$J12),N(Frota!$K12)),2))</f>
        <v>316600</v>
      </c>
      <c r="K12" s="0" t="n">
        <f aca="false">IF(J12="","",ROUND(J12+IF(K$3=1,N(Frota!$J12),N(Frota!$K12)),2))</f>
        <v>318000</v>
      </c>
      <c r="L12" s="0" t="n">
        <f aca="false">IF(K12="","",ROUND(K12+IF(L$3=1,N(Frota!$J12),N(Frota!$K12)),2))</f>
        <v>319400</v>
      </c>
      <c r="M12" s="0" t="n">
        <f aca="false">IF(L12="","",ROUND(L12+IF(M$3=1,N(Frota!$J12),N(Frota!$K12)),2))</f>
        <v>320800</v>
      </c>
      <c r="N12" s="0" t="n">
        <f aca="false">IF(M12="","",ROUND(M12+IF(N$3=1,N(Frota!$J12),N(Frota!$K12)),2))</f>
        <v>322200</v>
      </c>
      <c r="O12" s="0" t="n">
        <f aca="false">IF(N12="","",ROUND(N12+IF(O$3=1,N(Frota!$J12),N(Frota!$K12)),2))</f>
        <v>323600</v>
      </c>
      <c r="P12" s="0" t="n">
        <f aca="false">IF(O12="","",ROUND(O12+IF(P$3=1,N(Frota!$J12),N(Frota!$K12)),2))</f>
        <v>325000</v>
      </c>
      <c r="Q12" s="0" t="n">
        <f aca="false">IF(P12="","",ROUND(P12+IF(Q$3=1,N(Frota!$J12),N(Frota!$K12)),2))</f>
        <v>326400</v>
      </c>
      <c r="R12" s="0" t="n">
        <f aca="false">IF(Q12="","",ROUND(Q12+IF(R$3=1,N(Frota!$J12),N(Frota!$K12)),2))</f>
        <v>327800</v>
      </c>
      <c r="S12" s="0" t="n">
        <f aca="false">IF(R12="","",ROUND(R12+IF(S$3=1,N(Frota!$J12),N(Frota!$K12)),2))</f>
        <v>329200</v>
      </c>
      <c r="T12" s="0" t="n">
        <f aca="false">IF(S12="","",ROUND(S12+IF(T$3=1,N(Frota!$J12),N(Frota!$K12)),2))</f>
        <v>330600</v>
      </c>
      <c r="U12" s="0" t="n">
        <f aca="false">IF(T12="","",ROUND(T12+IF(U$3=1,N(Frota!$J12),N(Frota!$K12)),2))</f>
        <v>332000</v>
      </c>
      <c r="V12" s="0" t="n">
        <f aca="false">IF(U12="","",ROUND(U12+IF(V$3=1,N(Frota!$J12),N(Frota!$K12)),2))</f>
        <v>333400</v>
      </c>
      <c r="W12" s="0" t="n">
        <f aca="false">IF(V12="","",ROUND(V12+IF(W$3=1,N(Frota!$J12),N(Frota!$K12)),2))</f>
        <v>334800</v>
      </c>
      <c r="X12" s="0" t="n">
        <f aca="false">IF(W12="","",ROUND(W12+IF(X$3=1,N(Frota!$J12),N(Frota!$K12)),2))</f>
        <v>336200</v>
      </c>
      <c r="Y12" s="0" t="n">
        <f aca="false">IF(X12="","",ROUND(X12+IF(Y$3=1,N(Frota!$J12),N(Frota!$K12)),2))</f>
        <v>337600</v>
      </c>
      <c r="Z12" s="0" t="n">
        <f aca="false">IF(Y12="","",ROUND(Y12+IF(Z$3=1,N(Frota!$J12),N(Frota!$K12)),2))</f>
        <v>339000</v>
      </c>
      <c r="AA12" s="0" t="n">
        <f aca="false">IF(Z12="","",ROUND(Z12+IF(AA$3=1,N(Frota!$J12),N(Frota!$K12)),2))</f>
        <v>340400</v>
      </c>
      <c r="AB12" s="0" t="n">
        <f aca="false">IF(AA12="","",ROUND(AA12+IF(AB$3=1,N(Frota!$J12),N(Frota!$K12)),2))</f>
        <v>341800</v>
      </c>
      <c r="AC12" s="0" t="n">
        <f aca="false">IF(AB12="","",ROUND(AB12+IF(AC$3=1,N(Frota!$J12),N(Frota!$K12)),2))</f>
        <v>343200</v>
      </c>
      <c r="AD12" s="0" t="n">
        <f aca="false">IF(AC12="","",ROUND(AC12+IF(AD$3=1,N(Frota!$J12),N(Frota!$K12)),2))</f>
        <v>344600</v>
      </c>
      <c r="AE12" s="0" t="n">
        <f aca="false">IF(AD12="","",ROUND(AD12+IF(AE$3=1,N(Frota!$J12),N(Frota!$K12)),2))</f>
        <v>346000</v>
      </c>
      <c r="AF12" s="0" t="n">
        <f aca="false">IF(AE12="","",ROUND(AE12+IF(AF$3=1,N(Frota!$J12),N(Frota!$K12)),2))</f>
        <v>347400</v>
      </c>
      <c r="AG12" s="0" t="n">
        <f aca="false">IF(AF12="","",ROUND(AF12+IF(AG$3=1,N(Frota!$J12),N(Frota!$K12)),2))</f>
        <v>348800</v>
      </c>
      <c r="AH12" s="0" t="n">
        <f aca="false">IF(AG12="","",ROUND(AG12+IF(AH$3=1,N(Frota!$J12),N(Frota!$K12)),2))</f>
        <v>350200</v>
      </c>
      <c r="AI12" s="0" t="n">
        <f aca="false">IF(AH12="","",ROUND(AH12+IF(AI$3=1,N(Frota!$J12),N(Frota!$K12)),2))</f>
        <v>351600</v>
      </c>
      <c r="AJ12" s="0" t="n">
        <f aca="false">IF(AI12="","",ROUND(AI12+IF(AJ$3=1,N(Frota!$J12),N(Frota!$K12)),2))</f>
        <v>353000</v>
      </c>
      <c r="AK12" s="0" t="n">
        <f aca="false">IF(AJ12="","",ROUND(AJ12+IF(AK$3=1,N(Frota!$J12),N(Frota!$K12)),2))</f>
        <v>353500</v>
      </c>
      <c r="AL12" s="0" t="n">
        <f aca="false">IF(AK12="","",ROUND(AK12+IF(AL$3=1,N(Frota!$J12),N(Frota!$K12)),2))</f>
        <v>354000</v>
      </c>
      <c r="AM12" s="0" t="n">
        <f aca="false">IF(AL12="","",ROUND(AL12+IF(AM$3=1,N(Frota!$J12),N(Frota!$K12)),2))</f>
        <v>354500</v>
      </c>
      <c r="AN12" s="0" t="n">
        <f aca="false">IF(AM12="","",ROUND(AM12+IF(AN$3=1,N(Frota!$J12),N(Frota!$K12)),2))</f>
        <v>355000</v>
      </c>
      <c r="AO12" s="0" t="n">
        <f aca="false">IF(AN12="","",ROUND(AN12+IF(AO$3=1,N(Frota!$J12),N(Frota!$K12)),2))</f>
        <v>355500</v>
      </c>
      <c r="AP12" s="0" t="n">
        <f aca="false">IF(AO12="","",ROUND(AO12+IF(AP$3=1,N(Frota!$J12),N(Frota!$K12)),2))</f>
        <v>356000</v>
      </c>
      <c r="AQ12" s="0" t="n">
        <f aca="false">IF(AP12="","",ROUND(AP12+IF(AQ$3=1,N(Frota!$J12),N(Frota!$K12)),2))</f>
        <v>356500</v>
      </c>
      <c r="AR12" s="0" t="n">
        <f aca="false">IF(AQ12="","",ROUND(AQ12+IF(AR$3=1,N(Frota!$J12),N(Frota!$K12)),2))</f>
        <v>357000</v>
      </c>
      <c r="AS12" s="0" t="n">
        <f aca="false">IF(AR12="","",ROUND(AR12+IF(AS$3=1,N(Frota!$J12),N(Frota!$K12)),2))</f>
        <v>357500</v>
      </c>
      <c r="AT12" s="0" t="n">
        <f aca="false">IF(AS12="","",ROUND(AS12+IF(AT$3=1,N(Frota!$J12),N(Frota!$K12)),2))</f>
        <v>358000</v>
      </c>
      <c r="AU12" s="0" t="n">
        <f aca="false">IF(AT12="","",ROUND(AT12+IF(AU$3=1,N(Frota!$J12),N(Frota!$K12)),2))</f>
        <v>358500</v>
      </c>
      <c r="AV12" s="0" t="n">
        <f aca="false">IF(AU12="","",ROUND(AU12+IF(AV$3=1,N(Frota!$J12),N(Frota!$K12)),2))</f>
        <v>359000</v>
      </c>
      <c r="AW12" s="0" t="n">
        <f aca="false">IF(AV12="","",ROUND(AV12+IF(AW$3=1,N(Frota!$J12),N(Frota!$K12)),2))</f>
        <v>359500</v>
      </c>
      <c r="AX12" s="0" t="n">
        <f aca="false">IF(AW12="","",ROUND(AW12+IF(AX$3=1,N(Frota!$J12),N(Frota!$K12)),2))</f>
        <v>360000</v>
      </c>
      <c r="AY12" s="0" t="n">
        <f aca="false">IF(AX12="","",ROUND(AX12+IF(AY$3=1,N(Frota!$J12),N(Frota!$K12)),2))</f>
        <v>360500</v>
      </c>
      <c r="AZ12" s="0" t="n">
        <f aca="false">IF(AY12="","",ROUND(AY12+IF(AZ$3=1,N(Frota!$J12),N(Frota!$K12)),2))</f>
        <v>361000</v>
      </c>
      <c r="BA12" s="0" t="n">
        <f aca="false">IF(AZ12="","",ROUND(AZ12+IF(BA$3=1,N(Frota!$J12),N(Frota!$K12)),2))</f>
        <v>361500</v>
      </c>
    </row>
    <row r="13" customFormat="false" ht="15" hidden="false" customHeight="false" outlineLevel="0" collapsed="false">
      <c r="A13" s="2" t="str">
        <f aca="false">IF(Frota!$A13="","",Frota!$A13)</f>
        <v>Caminhão Scania G540 — 2763</v>
      </c>
      <c r="B13" s="0" t="n">
        <f aca="false">IF(OR(Frota!$A13="",Frota!$G13&lt;&gt;"Ativo",N(Frota!$L13)=0),"",ROUND(Frota!$I13+IF(B$3=1,N(Frota!$J13),N(Frota!$K13)),2))</f>
        <v>86350</v>
      </c>
      <c r="C13" s="0" t="n">
        <f aca="false">IF(B13="","",ROUND(B13+IF(C$3=1,N(Frota!$J13),N(Frota!$K13)),2))</f>
        <v>87700</v>
      </c>
      <c r="D13" s="0" t="n">
        <f aca="false">IF(C13="","",ROUND(C13+IF(D$3=1,N(Frota!$J13),N(Frota!$K13)),2))</f>
        <v>89050</v>
      </c>
      <c r="E13" s="0" t="n">
        <f aca="false">IF(D13="","",ROUND(D13+IF(E$3=1,N(Frota!$J13),N(Frota!$K13)),2))</f>
        <v>90400</v>
      </c>
      <c r="F13" s="0" t="n">
        <f aca="false">IF(E13="","",ROUND(E13+IF(F$3=1,N(Frota!$J13),N(Frota!$K13)),2))</f>
        <v>91750</v>
      </c>
      <c r="G13" s="0" t="n">
        <f aca="false">IF(F13="","",ROUND(F13+IF(G$3=1,N(Frota!$J13),N(Frota!$K13)),2))</f>
        <v>93100</v>
      </c>
      <c r="H13" s="0" t="n">
        <f aca="false">IF(G13="","",ROUND(G13+IF(H$3=1,N(Frota!$J13),N(Frota!$K13)),2))</f>
        <v>94450</v>
      </c>
      <c r="I13" s="0" t="n">
        <f aca="false">IF(H13="","",ROUND(H13+IF(I$3=1,N(Frota!$J13),N(Frota!$K13)),2))</f>
        <v>95800</v>
      </c>
      <c r="J13" s="0" t="n">
        <f aca="false">IF(I13="","",ROUND(I13+IF(J$3=1,N(Frota!$J13),N(Frota!$K13)),2))</f>
        <v>97150</v>
      </c>
      <c r="K13" s="0" t="n">
        <f aca="false">IF(J13="","",ROUND(J13+IF(K$3=1,N(Frota!$J13),N(Frota!$K13)),2))</f>
        <v>98500</v>
      </c>
      <c r="L13" s="0" t="n">
        <f aca="false">IF(K13="","",ROUND(K13+IF(L$3=1,N(Frota!$J13),N(Frota!$K13)),2))</f>
        <v>99850</v>
      </c>
      <c r="M13" s="0" t="n">
        <f aca="false">IF(L13="","",ROUND(L13+IF(M$3=1,N(Frota!$J13),N(Frota!$K13)),2))</f>
        <v>101200</v>
      </c>
      <c r="N13" s="0" t="n">
        <f aca="false">IF(M13="","",ROUND(M13+IF(N$3=1,N(Frota!$J13),N(Frota!$K13)),2))</f>
        <v>102550</v>
      </c>
      <c r="O13" s="0" t="n">
        <f aca="false">IF(N13="","",ROUND(N13+IF(O$3=1,N(Frota!$J13),N(Frota!$K13)),2))</f>
        <v>103900</v>
      </c>
      <c r="P13" s="0" t="n">
        <f aca="false">IF(O13="","",ROUND(O13+IF(P$3=1,N(Frota!$J13),N(Frota!$K13)),2))</f>
        <v>105250</v>
      </c>
      <c r="Q13" s="0" t="n">
        <f aca="false">IF(P13="","",ROUND(P13+IF(Q$3=1,N(Frota!$J13),N(Frota!$K13)),2))</f>
        <v>106600</v>
      </c>
      <c r="R13" s="0" t="n">
        <f aca="false">IF(Q13="","",ROUND(Q13+IF(R$3=1,N(Frota!$J13),N(Frota!$K13)),2))</f>
        <v>107950</v>
      </c>
      <c r="S13" s="0" t="n">
        <f aca="false">IF(R13="","",ROUND(R13+IF(S$3=1,N(Frota!$J13),N(Frota!$K13)),2))</f>
        <v>109300</v>
      </c>
      <c r="T13" s="0" t="n">
        <f aca="false">IF(S13="","",ROUND(S13+IF(T$3=1,N(Frota!$J13),N(Frota!$K13)),2))</f>
        <v>110650</v>
      </c>
      <c r="U13" s="0" t="n">
        <f aca="false">IF(T13="","",ROUND(T13+IF(U$3=1,N(Frota!$J13),N(Frota!$K13)),2))</f>
        <v>112000</v>
      </c>
      <c r="V13" s="0" t="n">
        <f aca="false">IF(U13="","",ROUND(U13+IF(V$3=1,N(Frota!$J13),N(Frota!$K13)),2))</f>
        <v>113350</v>
      </c>
      <c r="W13" s="0" t="n">
        <f aca="false">IF(V13="","",ROUND(V13+IF(W$3=1,N(Frota!$J13),N(Frota!$K13)),2))</f>
        <v>114700</v>
      </c>
      <c r="X13" s="0" t="n">
        <f aca="false">IF(W13="","",ROUND(W13+IF(X$3=1,N(Frota!$J13),N(Frota!$K13)),2))</f>
        <v>116050</v>
      </c>
      <c r="Y13" s="0" t="n">
        <f aca="false">IF(X13="","",ROUND(X13+IF(Y$3=1,N(Frota!$J13),N(Frota!$K13)),2))</f>
        <v>117400</v>
      </c>
      <c r="Z13" s="0" t="n">
        <f aca="false">IF(Y13="","",ROUND(Y13+IF(Z$3=1,N(Frota!$J13),N(Frota!$K13)),2))</f>
        <v>118750</v>
      </c>
      <c r="AA13" s="0" t="n">
        <f aca="false">IF(Z13="","",ROUND(Z13+IF(AA$3=1,N(Frota!$J13),N(Frota!$K13)),2))</f>
        <v>120100</v>
      </c>
      <c r="AB13" s="0" t="n">
        <f aca="false">IF(AA13="","",ROUND(AA13+IF(AB$3=1,N(Frota!$J13),N(Frota!$K13)),2))</f>
        <v>121450</v>
      </c>
      <c r="AC13" s="0" t="n">
        <f aca="false">IF(AB13="","",ROUND(AB13+IF(AC$3=1,N(Frota!$J13),N(Frota!$K13)),2))</f>
        <v>122800</v>
      </c>
      <c r="AD13" s="0" t="n">
        <f aca="false">IF(AC13="","",ROUND(AC13+IF(AD$3=1,N(Frota!$J13),N(Frota!$K13)),2))</f>
        <v>124150</v>
      </c>
      <c r="AE13" s="0" t="n">
        <f aca="false">IF(AD13="","",ROUND(AD13+IF(AE$3=1,N(Frota!$J13),N(Frota!$K13)),2))</f>
        <v>125500</v>
      </c>
      <c r="AF13" s="0" t="n">
        <f aca="false">IF(AE13="","",ROUND(AE13+IF(AF$3=1,N(Frota!$J13),N(Frota!$K13)),2))</f>
        <v>126850</v>
      </c>
      <c r="AG13" s="0" t="n">
        <f aca="false">IF(AF13="","",ROUND(AF13+IF(AG$3=1,N(Frota!$J13),N(Frota!$K13)),2))</f>
        <v>128200</v>
      </c>
      <c r="AH13" s="0" t="n">
        <f aca="false">IF(AG13="","",ROUND(AG13+IF(AH$3=1,N(Frota!$J13),N(Frota!$K13)),2))</f>
        <v>129550</v>
      </c>
      <c r="AI13" s="0" t="n">
        <f aca="false">IF(AH13="","",ROUND(AH13+IF(AI$3=1,N(Frota!$J13),N(Frota!$K13)),2))</f>
        <v>130900</v>
      </c>
      <c r="AJ13" s="0" t="n">
        <f aca="false">IF(AI13="","",ROUND(AI13+IF(AJ$3=1,N(Frota!$J13),N(Frota!$K13)),2))</f>
        <v>132250</v>
      </c>
      <c r="AK13" s="0" t="n">
        <f aca="false">IF(AJ13="","",ROUND(AJ13+IF(AK$3=1,N(Frota!$J13),N(Frota!$K13)),2))</f>
        <v>132730</v>
      </c>
      <c r="AL13" s="0" t="n">
        <f aca="false">IF(AK13="","",ROUND(AK13+IF(AL$3=1,N(Frota!$J13),N(Frota!$K13)),2))</f>
        <v>133210</v>
      </c>
      <c r="AM13" s="0" t="n">
        <f aca="false">IF(AL13="","",ROUND(AL13+IF(AM$3=1,N(Frota!$J13),N(Frota!$K13)),2))</f>
        <v>133690</v>
      </c>
      <c r="AN13" s="0" t="n">
        <f aca="false">IF(AM13="","",ROUND(AM13+IF(AN$3=1,N(Frota!$J13),N(Frota!$K13)),2))</f>
        <v>134170</v>
      </c>
      <c r="AO13" s="0" t="n">
        <f aca="false">IF(AN13="","",ROUND(AN13+IF(AO$3=1,N(Frota!$J13),N(Frota!$K13)),2))</f>
        <v>134650</v>
      </c>
      <c r="AP13" s="0" t="n">
        <f aca="false">IF(AO13="","",ROUND(AO13+IF(AP$3=1,N(Frota!$J13),N(Frota!$K13)),2))</f>
        <v>135130</v>
      </c>
      <c r="AQ13" s="0" t="n">
        <f aca="false">IF(AP13="","",ROUND(AP13+IF(AQ$3=1,N(Frota!$J13),N(Frota!$K13)),2))</f>
        <v>135610</v>
      </c>
      <c r="AR13" s="0" t="n">
        <f aca="false">IF(AQ13="","",ROUND(AQ13+IF(AR$3=1,N(Frota!$J13),N(Frota!$K13)),2))</f>
        <v>136090</v>
      </c>
      <c r="AS13" s="0" t="n">
        <f aca="false">IF(AR13="","",ROUND(AR13+IF(AS$3=1,N(Frota!$J13),N(Frota!$K13)),2))</f>
        <v>136570</v>
      </c>
      <c r="AT13" s="0" t="n">
        <f aca="false">IF(AS13="","",ROUND(AS13+IF(AT$3=1,N(Frota!$J13),N(Frota!$K13)),2))</f>
        <v>137050</v>
      </c>
      <c r="AU13" s="0" t="n">
        <f aca="false">IF(AT13="","",ROUND(AT13+IF(AU$3=1,N(Frota!$J13),N(Frota!$K13)),2))</f>
        <v>137530</v>
      </c>
      <c r="AV13" s="0" t="n">
        <f aca="false">IF(AU13="","",ROUND(AU13+IF(AV$3=1,N(Frota!$J13),N(Frota!$K13)),2))</f>
        <v>138010</v>
      </c>
      <c r="AW13" s="0" t="n">
        <f aca="false">IF(AV13="","",ROUND(AV13+IF(AW$3=1,N(Frota!$J13),N(Frota!$K13)),2))</f>
        <v>138490</v>
      </c>
      <c r="AX13" s="0" t="n">
        <f aca="false">IF(AW13="","",ROUND(AW13+IF(AX$3=1,N(Frota!$J13),N(Frota!$K13)),2))</f>
        <v>138970</v>
      </c>
      <c r="AY13" s="0" t="n">
        <f aca="false">IF(AX13="","",ROUND(AX13+IF(AY$3=1,N(Frota!$J13),N(Frota!$K13)),2))</f>
        <v>139450</v>
      </c>
      <c r="AZ13" s="0" t="n">
        <f aca="false">IF(AY13="","",ROUND(AY13+IF(AZ$3=1,N(Frota!$J13),N(Frota!$K13)),2))</f>
        <v>139930</v>
      </c>
      <c r="BA13" s="0" t="n">
        <f aca="false">IF(AZ13="","",ROUND(AZ13+IF(BA$3=1,N(Frota!$J13),N(Frota!$K13)),2))</f>
        <v>140410</v>
      </c>
    </row>
    <row r="14" customFormat="false" ht="15" hidden="false" customHeight="false" outlineLevel="0" collapsed="false">
      <c r="A14" s="2" t="str">
        <f aca="false">IF(Frota!$A14="","",Frota!$A14)</f>
        <v>Transbordo Mambra 20t — 801</v>
      </c>
      <c r="B14" s="0" t="n">
        <f aca="false">IF(OR(Frota!$A14="",Frota!$G14&lt;&gt;"Ativo",N(Frota!$L14)=0),"",ROUND(Frota!$I14+IF(B$3=1,N(Frota!$J14),N(Frota!$K14)),2))</f>
        <v>4240</v>
      </c>
      <c r="C14" s="0" t="n">
        <f aca="false">IF(B14="","",ROUND(B14+IF(C$3=1,N(Frota!$J14),N(Frota!$K14)),2))</f>
        <v>4280</v>
      </c>
      <c r="D14" s="0" t="n">
        <f aca="false">IF(C14="","",ROUND(C14+IF(D$3=1,N(Frota!$J14),N(Frota!$K14)),2))</f>
        <v>4320</v>
      </c>
      <c r="E14" s="0" t="n">
        <f aca="false">IF(D14="","",ROUND(D14+IF(E$3=1,N(Frota!$J14),N(Frota!$K14)),2))</f>
        <v>4360</v>
      </c>
      <c r="F14" s="0" t="n">
        <f aca="false">IF(E14="","",ROUND(E14+IF(F$3=1,N(Frota!$J14),N(Frota!$K14)),2))</f>
        <v>4400</v>
      </c>
      <c r="G14" s="0" t="n">
        <f aca="false">IF(F14="","",ROUND(F14+IF(G$3=1,N(Frota!$J14),N(Frota!$K14)),2))</f>
        <v>4440</v>
      </c>
      <c r="H14" s="0" t="n">
        <f aca="false">IF(G14="","",ROUND(G14+IF(H$3=1,N(Frota!$J14),N(Frota!$K14)),2))</f>
        <v>4480</v>
      </c>
      <c r="I14" s="0" t="n">
        <f aca="false">IF(H14="","",ROUND(H14+IF(I$3=1,N(Frota!$J14),N(Frota!$K14)),2))</f>
        <v>4520</v>
      </c>
      <c r="J14" s="0" t="n">
        <f aca="false">IF(I14="","",ROUND(I14+IF(J$3=1,N(Frota!$J14),N(Frota!$K14)),2))</f>
        <v>4560</v>
      </c>
      <c r="K14" s="0" t="n">
        <f aca="false">IF(J14="","",ROUND(J14+IF(K$3=1,N(Frota!$J14),N(Frota!$K14)),2))</f>
        <v>4600</v>
      </c>
      <c r="L14" s="0" t="n">
        <f aca="false">IF(K14="","",ROUND(K14+IF(L$3=1,N(Frota!$J14),N(Frota!$K14)),2))</f>
        <v>4640</v>
      </c>
      <c r="M14" s="0" t="n">
        <f aca="false">IF(L14="","",ROUND(L14+IF(M$3=1,N(Frota!$J14),N(Frota!$K14)),2))</f>
        <v>4680</v>
      </c>
      <c r="N14" s="0" t="n">
        <f aca="false">IF(M14="","",ROUND(M14+IF(N$3=1,N(Frota!$J14),N(Frota!$K14)),2))</f>
        <v>4720</v>
      </c>
      <c r="O14" s="0" t="n">
        <f aca="false">IF(N14="","",ROUND(N14+IF(O$3=1,N(Frota!$J14),N(Frota!$K14)),2))</f>
        <v>4760</v>
      </c>
      <c r="P14" s="0" t="n">
        <f aca="false">IF(O14="","",ROUND(O14+IF(P$3=1,N(Frota!$J14),N(Frota!$K14)),2))</f>
        <v>4800</v>
      </c>
      <c r="Q14" s="0" t="n">
        <f aca="false">IF(P14="","",ROUND(P14+IF(Q$3=1,N(Frota!$J14),N(Frota!$K14)),2))</f>
        <v>4840</v>
      </c>
      <c r="R14" s="0" t="n">
        <f aca="false">IF(Q14="","",ROUND(Q14+IF(R$3=1,N(Frota!$J14),N(Frota!$K14)),2))</f>
        <v>4880</v>
      </c>
      <c r="S14" s="0" t="n">
        <f aca="false">IF(R14="","",ROUND(R14+IF(S$3=1,N(Frota!$J14),N(Frota!$K14)),2))</f>
        <v>4920</v>
      </c>
      <c r="T14" s="0" t="n">
        <f aca="false">IF(S14="","",ROUND(S14+IF(T$3=1,N(Frota!$J14),N(Frota!$K14)),2))</f>
        <v>4960</v>
      </c>
      <c r="U14" s="0" t="n">
        <f aca="false">IF(T14="","",ROUND(T14+IF(U$3=1,N(Frota!$J14),N(Frota!$K14)),2))</f>
        <v>5000</v>
      </c>
      <c r="V14" s="0" t="n">
        <f aca="false">IF(U14="","",ROUND(U14+IF(V$3=1,N(Frota!$J14),N(Frota!$K14)),2))</f>
        <v>5040</v>
      </c>
      <c r="W14" s="0" t="n">
        <f aca="false">IF(V14="","",ROUND(V14+IF(W$3=1,N(Frota!$J14),N(Frota!$K14)),2))</f>
        <v>5080</v>
      </c>
      <c r="X14" s="0" t="n">
        <f aca="false">IF(W14="","",ROUND(W14+IF(X$3=1,N(Frota!$J14),N(Frota!$K14)),2))</f>
        <v>5120</v>
      </c>
      <c r="Y14" s="0" t="n">
        <f aca="false">IF(X14="","",ROUND(X14+IF(Y$3=1,N(Frota!$J14),N(Frota!$K14)),2))</f>
        <v>5160</v>
      </c>
      <c r="Z14" s="0" t="n">
        <f aca="false">IF(Y14="","",ROUND(Y14+IF(Z$3=1,N(Frota!$J14),N(Frota!$K14)),2))</f>
        <v>5200</v>
      </c>
      <c r="AA14" s="0" t="n">
        <f aca="false">IF(Z14="","",ROUND(Z14+IF(AA$3=1,N(Frota!$J14),N(Frota!$K14)),2))</f>
        <v>5240</v>
      </c>
      <c r="AB14" s="0" t="n">
        <f aca="false">IF(AA14="","",ROUND(AA14+IF(AB$3=1,N(Frota!$J14),N(Frota!$K14)),2))</f>
        <v>5280</v>
      </c>
      <c r="AC14" s="0" t="n">
        <f aca="false">IF(AB14="","",ROUND(AB14+IF(AC$3=1,N(Frota!$J14),N(Frota!$K14)),2))</f>
        <v>5320</v>
      </c>
      <c r="AD14" s="0" t="n">
        <f aca="false">IF(AC14="","",ROUND(AC14+IF(AD$3=1,N(Frota!$J14),N(Frota!$K14)),2))</f>
        <v>5360</v>
      </c>
      <c r="AE14" s="0" t="n">
        <f aca="false">IF(AD14="","",ROUND(AD14+IF(AE$3=1,N(Frota!$J14),N(Frota!$K14)),2))</f>
        <v>5400</v>
      </c>
      <c r="AF14" s="0" t="n">
        <f aca="false">IF(AE14="","",ROUND(AE14+IF(AF$3=1,N(Frota!$J14),N(Frota!$K14)),2))</f>
        <v>5440</v>
      </c>
      <c r="AG14" s="0" t="n">
        <f aca="false">IF(AF14="","",ROUND(AF14+IF(AG$3=1,N(Frota!$J14),N(Frota!$K14)),2))</f>
        <v>5480</v>
      </c>
      <c r="AH14" s="0" t="n">
        <f aca="false">IF(AG14="","",ROUND(AG14+IF(AH$3=1,N(Frota!$J14),N(Frota!$K14)),2))</f>
        <v>5520</v>
      </c>
      <c r="AI14" s="0" t="n">
        <f aca="false">IF(AH14="","",ROUND(AH14+IF(AI$3=1,N(Frota!$J14),N(Frota!$K14)),2))</f>
        <v>5560</v>
      </c>
      <c r="AJ14" s="0" t="n">
        <f aca="false">IF(AI14="","",ROUND(AI14+IF(AJ$3=1,N(Frota!$J14),N(Frota!$K14)),2))</f>
        <v>5600</v>
      </c>
      <c r="AK14" s="0" t="n">
        <f aca="false">IF(AJ14="","",ROUND(AJ14+IF(AK$3=1,N(Frota!$J14),N(Frota!$K14)),2))</f>
        <v>5608</v>
      </c>
      <c r="AL14" s="0" t="n">
        <f aca="false">IF(AK14="","",ROUND(AK14+IF(AL$3=1,N(Frota!$J14),N(Frota!$K14)),2))</f>
        <v>5616</v>
      </c>
      <c r="AM14" s="0" t="n">
        <f aca="false">IF(AL14="","",ROUND(AL14+IF(AM$3=1,N(Frota!$J14),N(Frota!$K14)),2))</f>
        <v>5624</v>
      </c>
      <c r="AN14" s="0" t="n">
        <f aca="false">IF(AM14="","",ROUND(AM14+IF(AN$3=1,N(Frota!$J14),N(Frota!$K14)),2))</f>
        <v>5632</v>
      </c>
      <c r="AO14" s="0" t="n">
        <f aca="false">IF(AN14="","",ROUND(AN14+IF(AO$3=1,N(Frota!$J14),N(Frota!$K14)),2))</f>
        <v>5640</v>
      </c>
      <c r="AP14" s="0" t="n">
        <f aca="false">IF(AO14="","",ROUND(AO14+IF(AP$3=1,N(Frota!$J14),N(Frota!$K14)),2))</f>
        <v>5648</v>
      </c>
      <c r="AQ14" s="0" t="n">
        <f aca="false">IF(AP14="","",ROUND(AP14+IF(AQ$3=1,N(Frota!$J14),N(Frota!$K14)),2))</f>
        <v>5656</v>
      </c>
      <c r="AR14" s="0" t="n">
        <f aca="false">IF(AQ14="","",ROUND(AQ14+IF(AR$3=1,N(Frota!$J14),N(Frota!$K14)),2))</f>
        <v>5664</v>
      </c>
      <c r="AS14" s="0" t="n">
        <f aca="false">IF(AR14="","",ROUND(AR14+IF(AS$3=1,N(Frota!$J14),N(Frota!$K14)),2))</f>
        <v>5672</v>
      </c>
      <c r="AT14" s="0" t="n">
        <f aca="false">IF(AS14="","",ROUND(AS14+IF(AT$3=1,N(Frota!$J14),N(Frota!$K14)),2))</f>
        <v>5680</v>
      </c>
      <c r="AU14" s="0" t="n">
        <f aca="false">IF(AT14="","",ROUND(AT14+IF(AU$3=1,N(Frota!$J14),N(Frota!$K14)),2))</f>
        <v>5688</v>
      </c>
      <c r="AV14" s="0" t="n">
        <f aca="false">IF(AU14="","",ROUND(AU14+IF(AV$3=1,N(Frota!$J14),N(Frota!$K14)),2))</f>
        <v>5696</v>
      </c>
      <c r="AW14" s="0" t="n">
        <f aca="false">IF(AV14="","",ROUND(AV14+IF(AW$3=1,N(Frota!$J14),N(Frota!$K14)),2))</f>
        <v>5704</v>
      </c>
      <c r="AX14" s="0" t="n">
        <f aca="false">IF(AW14="","",ROUND(AW14+IF(AX$3=1,N(Frota!$J14),N(Frota!$K14)),2))</f>
        <v>5712</v>
      </c>
      <c r="AY14" s="0" t="n">
        <f aca="false">IF(AX14="","",ROUND(AX14+IF(AY$3=1,N(Frota!$J14),N(Frota!$K14)),2))</f>
        <v>5720</v>
      </c>
      <c r="AZ14" s="0" t="n">
        <f aca="false">IF(AY14="","",ROUND(AY14+IF(AZ$3=1,N(Frota!$J14),N(Frota!$K14)),2))</f>
        <v>5728</v>
      </c>
      <c r="BA14" s="0" t="n">
        <f aca="false">IF(AZ14="","",ROUND(AZ14+IF(BA$3=1,N(Frota!$J14),N(Frota!$K14)),2))</f>
        <v>5736</v>
      </c>
    </row>
    <row r="15" customFormat="false" ht="15" hidden="false" customHeight="false" outlineLevel="0" collapsed="false">
      <c r="A15" s="2" t="str">
        <f aca="false">IF(Frota!$A15="","",Frota!$A15)</f>
        <v>Implemento Distribuidor — 802</v>
      </c>
      <c r="B15" s="0" t="n">
        <f aca="false">IF(OR(Frota!$A15="",Frota!$G15&lt;&gt;"Ativo",N(Frota!$L15)=0),"",ROUND(Frota!$I15+IF(B$3=1,N(Frota!$J15),N(Frota!$K15)),2))</f>
        <v>2832</v>
      </c>
      <c r="C15" s="0" t="n">
        <f aca="false">IF(B15="","",ROUND(B15+IF(C$3=1,N(Frota!$J15),N(Frota!$K15)),2))</f>
        <v>2864</v>
      </c>
      <c r="D15" s="0" t="n">
        <f aca="false">IF(C15="","",ROUND(C15+IF(D$3=1,N(Frota!$J15),N(Frota!$K15)),2))</f>
        <v>2896</v>
      </c>
      <c r="E15" s="0" t="n">
        <f aca="false">IF(D15="","",ROUND(D15+IF(E$3=1,N(Frota!$J15),N(Frota!$K15)),2))</f>
        <v>2928</v>
      </c>
      <c r="F15" s="0" t="n">
        <f aca="false">IF(E15="","",ROUND(E15+IF(F$3=1,N(Frota!$J15),N(Frota!$K15)),2))</f>
        <v>2960</v>
      </c>
      <c r="G15" s="0" t="n">
        <f aca="false">IF(F15="","",ROUND(F15+IF(G$3=1,N(Frota!$J15),N(Frota!$K15)),2))</f>
        <v>2992</v>
      </c>
      <c r="H15" s="0" t="n">
        <f aca="false">IF(G15="","",ROUND(G15+IF(H$3=1,N(Frota!$J15),N(Frota!$K15)),2))</f>
        <v>3024</v>
      </c>
      <c r="I15" s="0" t="n">
        <f aca="false">IF(H15="","",ROUND(H15+IF(I$3=1,N(Frota!$J15),N(Frota!$K15)),2))</f>
        <v>3056</v>
      </c>
      <c r="J15" s="0" t="n">
        <f aca="false">IF(I15="","",ROUND(I15+IF(J$3=1,N(Frota!$J15),N(Frota!$K15)),2))</f>
        <v>3088</v>
      </c>
      <c r="K15" s="0" t="n">
        <f aca="false">IF(J15="","",ROUND(J15+IF(K$3=1,N(Frota!$J15),N(Frota!$K15)),2))</f>
        <v>3120</v>
      </c>
      <c r="L15" s="0" t="n">
        <f aca="false">IF(K15="","",ROUND(K15+IF(L$3=1,N(Frota!$J15),N(Frota!$K15)),2))</f>
        <v>3152</v>
      </c>
      <c r="M15" s="0" t="n">
        <f aca="false">IF(L15="","",ROUND(L15+IF(M$3=1,N(Frota!$J15),N(Frota!$K15)),2))</f>
        <v>3184</v>
      </c>
      <c r="N15" s="0" t="n">
        <f aca="false">IF(M15="","",ROUND(M15+IF(N$3=1,N(Frota!$J15),N(Frota!$K15)),2))</f>
        <v>3216</v>
      </c>
      <c r="O15" s="0" t="n">
        <f aca="false">IF(N15="","",ROUND(N15+IF(O$3=1,N(Frota!$J15),N(Frota!$K15)),2))</f>
        <v>3248</v>
      </c>
      <c r="P15" s="0" t="n">
        <f aca="false">IF(O15="","",ROUND(O15+IF(P$3=1,N(Frota!$J15),N(Frota!$K15)),2))</f>
        <v>3280</v>
      </c>
      <c r="Q15" s="0" t="n">
        <f aca="false">IF(P15="","",ROUND(P15+IF(Q$3=1,N(Frota!$J15),N(Frota!$K15)),2))</f>
        <v>3312</v>
      </c>
      <c r="R15" s="0" t="n">
        <f aca="false">IF(Q15="","",ROUND(Q15+IF(R$3=1,N(Frota!$J15),N(Frota!$K15)),2))</f>
        <v>3344</v>
      </c>
      <c r="S15" s="0" t="n">
        <f aca="false">IF(R15="","",ROUND(R15+IF(S$3=1,N(Frota!$J15),N(Frota!$K15)),2))</f>
        <v>3376</v>
      </c>
      <c r="T15" s="0" t="n">
        <f aca="false">IF(S15="","",ROUND(S15+IF(T$3=1,N(Frota!$J15),N(Frota!$K15)),2))</f>
        <v>3408</v>
      </c>
      <c r="U15" s="0" t="n">
        <f aca="false">IF(T15="","",ROUND(T15+IF(U$3=1,N(Frota!$J15),N(Frota!$K15)),2))</f>
        <v>3440</v>
      </c>
      <c r="V15" s="0" t="n">
        <f aca="false">IF(U15="","",ROUND(U15+IF(V$3=1,N(Frota!$J15),N(Frota!$K15)),2))</f>
        <v>3472</v>
      </c>
      <c r="W15" s="0" t="n">
        <f aca="false">IF(V15="","",ROUND(V15+IF(W$3=1,N(Frota!$J15),N(Frota!$K15)),2))</f>
        <v>3504</v>
      </c>
      <c r="X15" s="0" t="n">
        <f aca="false">IF(W15="","",ROUND(W15+IF(X$3=1,N(Frota!$J15),N(Frota!$K15)),2))</f>
        <v>3536</v>
      </c>
      <c r="Y15" s="0" t="n">
        <f aca="false">IF(X15="","",ROUND(X15+IF(Y$3=1,N(Frota!$J15),N(Frota!$K15)),2))</f>
        <v>3568</v>
      </c>
      <c r="Z15" s="0" t="n">
        <f aca="false">IF(Y15="","",ROUND(Y15+IF(Z$3=1,N(Frota!$J15),N(Frota!$K15)),2))</f>
        <v>3600</v>
      </c>
      <c r="AA15" s="0" t="n">
        <f aca="false">IF(Z15="","",ROUND(Z15+IF(AA$3=1,N(Frota!$J15),N(Frota!$K15)),2))</f>
        <v>3632</v>
      </c>
      <c r="AB15" s="0" t="n">
        <f aca="false">IF(AA15="","",ROUND(AA15+IF(AB$3=1,N(Frota!$J15),N(Frota!$K15)),2))</f>
        <v>3664</v>
      </c>
      <c r="AC15" s="0" t="n">
        <f aca="false">IF(AB15="","",ROUND(AB15+IF(AC$3=1,N(Frota!$J15),N(Frota!$K15)),2))</f>
        <v>3696</v>
      </c>
      <c r="AD15" s="0" t="n">
        <f aca="false">IF(AC15="","",ROUND(AC15+IF(AD$3=1,N(Frota!$J15),N(Frota!$K15)),2))</f>
        <v>3728</v>
      </c>
      <c r="AE15" s="0" t="n">
        <f aca="false">IF(AD15="","",ROUND(AD15+IF(AE$3=1,N(Frota!$J15),N(Frota!$K15)),2))</f>
        <v>3760</v>
      </c>
      <c r="AF15" s="0" t="n">
        <f aca="false">IF(AE15="","",ROUND(AE15+IF(AF$3=1,N(Frota!$J15),N(Frota!$K15)),2))</f>
        <v>3792</v>
      </c>
      <c r="AG15" s="0" t="n">
        <f aca="false">IF(AF15="","",ROUND(AF15+IF(AG$3=1,N(Frota!$J15),N(Frota!$K15)),2))</f>
        <v>3824</v>
      </c>
      <c r="AH15" s="0" t="n">
        <f aca="false">IF(AG15="","",ROUND(AG15+IF(AH$3=1,N(Frota!$J15),N(Frota!$K15)),2))</f>
        <v>3856</v>
      </c>
      <c r="AI15" s="0" t="n">
        <f aca="false">IF(AH15="","",ROUND(AH15+IF(AI$3=1,N(Frota!$J15),N(Frota!$K15)),2))</f>
        <v>3888</v>
      </c>
      <c r="AJ15" s="0" t="n">
        <f aca="false">IF(AI15="","",ROUND(AI15+IF(AJ$3=1,N(Frota!$J15),N(Frota!$K15)),2))</f>
        <v>3920</v>
      </c>
      <c r="AK15" s="0" t="n">
        <f aca="false">IF(AJ15="","",ROUND(AJ15+IF(AK$3=1,N(Frota!$J15),N(Frota!$K15)),2))</f>
        <v>3926</v>
      </c>
      <c r="AL15" s="0" t="n">
        <f aca="false">IF(AK15="","",ROUND(AK15+IF(AL$3=1,N(Frota!$J15),N(Frota!$K15)),2))</f>
        <v>3932</v>
      </c>
      <c r="AM15" s="0" t="n">
        <f aca="false">IF(AL15="","",ROUND(AL15+IF(AM$3=1,N(Frota!$J15),N(Frota!$K15)),2))</f>
        <v>3938</v>
      </c>
      <c r="AN15" s="0" t="n">
        <f aca="false">IF(AM15="","",ROUND(AM15+IF(AN$3=1,N(Frota!$J15),N(Frota!$K15)),2))</f>
        <v>3944</v>
      </c>
      <c r="AO15" s="0" t="n">
        <f aca="false">IF(AN15="","",ROUND(AN15+IF(AO$3=1,N(Frota!$J15),N(Frota!$K15)),2))</f>
        <v>3950</v>
      </c>
      <c r="AP15" s="0" t="n">
        <f aca="false">IF(AO15="","",ROUND(AO15+IF(AP$3=1,N(Frota!$J15),N(Frota!$K15)),2))</f>
        <v>3956</v>
      </c>
      <c r="AQ15" s="0" t="n">
        <f aca="false">IF(AP15="","",ROUND(AP15+IF(AQ$3=1,N(Frota!$J15),N(Frota!$K15)),2))</f>
        <v>3962</v>
      </c>
      <c r="AR15" s="0" t="n">
        <f aca="false">IF(AQ15="","",ROUND(AQ15+IF(AR$3=1,N(Frota!$J15),N(Frota!$K15)),2))</f>
        <v>3968</v>
      </c>
      <c r="AS15" s="0" t="n">
        <f aca="false">IF(AR15="","",ROUND(AR15+IF(AS$3=1,N(Frota!$J15),N(Frota!$K15)),2))</f>
        <v>3974</v>
      </c>
      <c r="AT15" s="0" t="n">
        <f aca="false">IF(AS15="","",ROUND(AS15+IF(AT$3=1,N(Frota!$J15),N(Frota!$K15)),2))</f>
        <v>3980</v>
      </c>
      <c r="AU15" s="0" t="n">
        <f aca="false">IF(AT15="","",ROUND(AT15+IF(AU$3=1,N(Frota!$J15),N(Frota!$K15)),2))</f>
        <v>3986</v>
      </c>
      <c r="AV15" s="0" t="n">
        <f aca="false">IF(AU15="","",ROUND(AU15+IF(AV$3=1,N(Frota!$J15),N(Frota!$K15)),2))</f>
        <v>3992</v>
      </c>
      <c r="AW15" s="0" t="n">
        <f aca="false">IF(AV15="","",ROUND(AV15+IF(AW$3=1,N(Frota!$J15),N(Frota!$K15)),2))</f>
        <v>3998</v>
      </c>
      <c r="AX15" s="0" t="n">
        <f aca="false">IF(AW15="","",ROUND(AW15+IF(AX$3=1,N(Frota!$J15),N(Frota!$K15)),2))</f>
        <v>4004</v>
      </c>
      <c r="AY15" s="0" t="n">
        <f aca="false">IF(AX15="","",ROUND(AX15+IF(AY$3=1,N(Frota!$J15),N(Frota!$K15)),2))</f>
        <v>4010</v>
      </c>
      <c r="AZ15" s="0" t="n">
        <f aca="false">IF(AY15="","",ROUND(AY15+IF(AZ$3=1,N(Frota!$J15),N(Frota!$K15)),2))</f>
        <v>4016</v>
      </c>
      <c r="BA15" s="0" t="n">
        <f aca="false">IF(AZ15="","",ROUND(AZ15+IF(BA$3=1,N(Frota!$J15),N(Frota!$K15)),2))</f>
        <v>4022</v>
      </c>
    </row>
    <row r="16" customFormat="false" ht="15" hidden="false" customHeight="false" outlineLevel="0" collapsed="false">
      <c r="A16" s="2" t="str">
        <f aca="false">IF(Frota!$A16="","",Frota!$A16)</f>
        <v>Fiat Toro — 5001</v>
      </c>
      <c r="B16" s="0" t="n">
        <f aca="false">IF(OR(Frota!$A16="",Frota!$G16&lt;&gt;"Ativo",N(Frota!$L16)=0),"",ROUND(Frota!$I16+IF(B$3=1,N(Frota!$J16),N(Frota!$K16)),2))</f>
        <v>32700</v>
      </c>
      <c r="C16" s="0" t="n">
        <f aca="false">IF(B16="","",ROUND(B16+IF(C$3=1,N(Frota!$J16),N(Frota!$K16)),2))</f>
        <v>33400</v>
      </c>
      <c r="D16" s="0" t="n">
        <f aca="false">IF(C16="","",ROUND(C16+IF(D$3=1,N(Frota!$J16),N(Frota!$K16)),2))</f>
        <v>34100</v>
      </c>
      <c r="E16" s="0" t="n">
        <f aca="false">IF(D16="","",ROUND(D16+IF(E$3=1,N(Frota!$J16),N(Frota!$K16)),2))</f>
        <v>34800</v>
      </c>
      <c r="F16" s="0" t="n">
        <f aca="false">IF(E16="","",ROUND(E16+IF(F$3=1,N(Frota!$J16),N(Frota!$K16)),2))</f>
        <v>35500</v>
      </c>
      <c r="G16" s="0" t="n">
        <f aca="false">IF(F16="","",ROUND(F16+IF(G$3=1,N(Frota!$J16),N(Frota!$K16)),2))</f>
        <v>36200</v>
      </c>
      <c r="H16" s="0" t="n">
        <f aca="false">IF(G16="","",ROUND(G16+IF(H$3=1,N(Frota!$J16),N(Frota!$K16)),2))</f>
        <v>36900</v>
      </c>
      <c r="I16" s="0" t="n">
        <f aca="false">IF(H16="","",ROUND(H16+IF(I$3=1,N(Frota!$J16),N(Frota!$K16)),2))</f>
        <v>37600</v>
      </c>
      <c r="J16" s="0" t="n">
        <f aca="false">IF(I16="","",ROUND(I16+IF(J$3=1,N(Frota!$J16),N(Frota!$K16)),2))</f>
        <v>38300</v>
      </c>
      <c r="K16" s="0" t="n">
        <f aca="false">IF(J16="","",ROUND(J16+IF(K$3=1,N(Frota!$J16),N(Frota!$K16)),2))</f>
        <v>39000</v>
      </c>
      <c r="L16" s="0" t="n">
        <f aca="false">IF(K16="","",ROUND(K16+IF(L$3=1,N(Frota!$J16),N(Frota!$K16)),2))</f>
        <v>39700</v>
      </c>
      <c r="M16" s="0" t="n">
        <f aca="false">IF(L16="","",ROUND(L16+IF(M$3=1,N(Frota!$J16),N(Frota!$K16)),2))</f>
        <v>40400</v>
      </c>
      <c r="N16" s="0" t="n">
        <f aca="false">IF(M16="","",ROUND(M16+IF(N$3=1,N(Frota!$J16),N(Frota!$K16)),2))</f>
        <v>41100</v>
      </c>
      <c r="O16" s="0" t="n">
        <f aca="false">IF(N16="","",ROUND(N16+IF(O$3=1,N(Frota!$J16),N(Frota!$K16)),2))</f>
        <v>41800</v>
      </c>
      <c r="P16" s="0" t="n">
        <f aca="false">IF(O16="","",ROUND(O16+IF(P$3=1,N(Frota!$J16),N(Frota!$K16)),2))</f>
        <v>42500</v>
      </c>
      <c r="Q16" s="0" t="n">
        <f aca="false">IF(P16="","",ROUND(P16+IF(Q$3=1,N(Frota!$J16),N(Frota!$K16)),2))</f>
        <v>43200</v>
      </c>
      <c r="R16" s="0" t="n">
        <f aca="false">IF(Q16="","",ROUND(Q16+IF(R$3=1,N(Frota!$J16),N(Frota!$K16)),2))</f>
        <v>43900</v>
      </c>
      <c r="S16" s="0" t="n">
        <f aca="false">IF(R16="","",ROUND(R16+IF(S$3=1,N(Frota!$J16),N(Frota!$K16)),2))</f>
        <v>44600</v>
      </c>
      <c r="T16" s="0" t="n">
        <f aca="false">IF(S16="","",ROUND(S16+IF(T$3=1,N(Frota!$J16),N(Frota!$K16)),2))</f>
        <v>45300</v>
      </c>
      <c r="U16" s="0" t="n">
        <f aca="false">IF(T16="","",ROUND(T16+IF(U$3=1,N(Frota!$J16),N(Frota!$K16)),2))</f>
        <v>46000</v>
      </c>
      <c r="V16" s="0" t="n">
        <f aca="false">IF(U16="","",ROUND(U16+IF(V$3=1,N(Frota!$J16),N(Frota!$K16)),2))</f>
        <v>46700</v>
      </c>
      <c r="W16" s="0" t="n">
        <f aca="false">IF(V16="","",ROUND(V16+IF(W$3=1,N(Frota!$J16),N(Frota!$K16)),2))</f>
        <v>47400</v>
      </c>
      <c r="X16" s="0" t="n">
        <f aca="false">IF(W16="","",ROUND(W16+IF(X$3=1,N(Frota!$J16),N(Frota!$K16)),2))</f>
        <v>48100</v>
      </c>
      <c r="Y16" s="0" t="n">
        <f aca="false">IF(X16="","",ROUND(X16+IF(Y$3=1,N(Frota!$J16),N(Frota!$K16)),2))</f>
        <v>48800</v>
      </c>
      <c r="Z16" s="0" t="n">
        <f aca="false">IF(Y16="","",ROUND(Y16+IF(Z$3=1,N(Frota!$J16),N(Frota!$K16)),2))</f>
        <v>49500</v>
      </c>
      <c r="AA16" s="0" t="n">
        <f aca="false">IF(Z16="","",ROUND(Z16+IF(AA$3=1,N(Frota!$J16),N(Frota!$K16)),2))</f>
        <v>50200</v>
      </c>
      <c r="AB16" s="0" t="n">
        <f aca="false">IF(AA16="","",ROUND(AA16+IF(AB$3=1,N(Frota!$J16),N(Frota!$K16)),2))</f>
        <v>50900</v>
      </c>
      <c r="AC16" s="0" t="n">
        <f aca="false">IF(AB16="","",ROUND(AB16+IF(AC$3=1,N(Frota!$J16),N(Frota!$K16)),2))</f>
        <v>51600</v>
      </c>
      <c r="AD16" s="0" t="n">
        <f aca="false">IF(AC16="","",ROUND(AC16+IF(AD$3=1,N(Frota!$J16),N(Frota!$K16)),2))</f>
        <v>52300</v>
      </c>
      <c r="AE16" s="0" t="n">
        <f aca="false">IF(AD16="","",ROUND(AD16+IF(AE$3=1,N(Frota!$J16),N(Frota!$K16)),2))</f>
        <v>53000</v>
      </c>
      <c r="AF16" s="0" t="n">
        <f aca="false">IF(AE16="","",ROUND(AE16+IF(AF$3=1,N(Frota!$J16),N(Frota!$K16)),2))</f>
        <v>53700</v>
      </c>
      <c r="AG16" s="0" t="n">
        <f aca="false">IF(AF16="","",ROUND(AF16+IF(AG$3=1,N(Frota!$J16),N(Frota!$K16)),2))</f>
        <v>54400</v>
      </c>
      <c r="AH16" s="0" t="n">
        <f aca="false">IF(AG16="","",ROUND(AG16+IF(AH$3=1,N(Frota!$J16),N(Frota!$K16)),2))</f>
        <v>55100</v>
      </c>
      <c r="AI16" s="0" t="n">
        <f aca="false">IF(AH16="","",ROUND(AH16+IF(AI$3=1,N(Frota!$J16),N(Frota!$K16)),2))</f>
        <v>55800</v>
      </c>
      <c r="AJ16" s="0" t="n">
        <f aca="false">IF(AI16="","",ROUND(AI16+IF(AJ$3=1,N(Frota!$J16),N(Frota!$K16)),2))</f>
        <v>56500</v>
      </c>
      <c r="AK16" s="0" t="n">
        <f aca="false">IF(AJ16="","",ROUND(AJ16+IF(AK$3=1,N(Frota!$J16),N(Frota!$K16)),2))</f>
        <v>56900</v>
      </c>
      <c r="AL16" s="0" t="n">
        <f aca="false">IF(AK16="","",ROUND(AK16+IF(AL$3=1,N(Frota!$J16),N(Frota!$K16)),2))</f>
        <v>57300</v>
      </c>
      <c r="AM16" s="0" t="n">
        <f aca="false">IF(AL16="","",ROUND(AL16+IF(AM$3=1,N(Frota!$J16),N(Frota!$K16)),2))</f>
        <v>57700</v>
      </c>
      <c r="AN16" s="0" t="n">
        <f aca="false">IF(AM16="","",ROUND(AM16+IF(AN$3=1,N(Frota!$J16),N(Frota!$K16)),2))</f>
        <v>58100</v>
      </c>
      <c r="AO16" s="0" t="n">
        <f aca="false">IF(AN16="","",ROUND(AN16+IF(AO$3=1,N(Frota!$J16),N(Frota!$K16)),2))</f>
        <v>58500</v>
      </c>
      <c r="AP16" s="0" t="n">
        <f aca="false">IF(AO16="","",ROUND(AO16+IF(AP$3=1,N(Frota!$J16),N(Frota!$K16)),2))</f>
        <v>58900</v>
      </c>
      <c r="AQ16" s="0" t="n">
        <f aca="false">IF(AP16="","",ROUND(AP16+IF(AQ$3=1,N(Frota!$J16),N(Frota!$K16)),2))</f>
        <v>59300</v>
      </c>
      <c r="AR16" s="0" t="n">
        <f aca="false">IF(AQ16="","",ROUND(AQ16+IF(AR$3=1,N(Frota!$J16),N(Frota!$K16)),2))</f>
        <v>59700</v>
      </c>
      <c r="AS16" s="0" t="n">
        <f aca="false">IF(AR16="","",ROUND(AR16+IF(AS$3=1,N(Frota!$J16),N(Frota!$K16)),2))</f>
        <v>60100</v>
      </c>
      <c r="AT16" s="0" t="n">
        <f aca="false">IF(AS16="","",ROUND(AS16+IF(AT$3=1,N(Frota!$J16),N(Frota!$K16)),2))</f>
        <v>60500</v>
      </c>
      <c r="AU16" s="0" t="n">
        <f aca="false">IF(AT16="","",ROUND(AT16+IF(AU$3=1,N(Frota!$J16),N(Frota!$K16)),2))</f>
        <v>60900</v>
      </c>
      <c r="AV16" s="0" t="n">
        <f aca="false">IF(AU16="","",ROUND(AU16+IF(AV$3=1,N(Frota!$J16),N(Frota!$K16)),2))</f>
        <v>61300</v>
      </c>
      <c r="AW16" s="0" t="n">
        <f aca="false">IF(AV16="","",ROUND(AV16+IF(AW$3=1,N(Frota!$J16),N(Frota!$K16)),2))</f>
        <v>61700</v>
      </c>
      <c r="AX16" s="0" t="n">
        <f aca="false">IF(AW16="","",ROUND(AW16+IF(AX$3=1,N(Frota!$J16),N(Frota!$K16)),2))</f>
        <v>62100</v>
      </c>
      <c r="AY16" s="0" t="n">
        <f aca="false">IF(AX16="","",ROUND(AX16+IF(AY$3=1,N(Frota!$J16),N(Frota!$K16)),2))</f>
        <v>62500</v>
      </c>
      <c r="AZ16" s="0" t="n">
        <f aca="false">IF(AY16="","",ROUND(AY16+IF(AZ$3=1,N(Frota!$J16),N(Frota!$K16)),2))</f>
        <v>62900</v>
      </c>
      <c r="BA16" s="0" t="n">
        <f aca="false">IF(AZ16="","",ROUND(AZ16+IF(BA$3=1,N(Frota!$J16),N(Frota!$K16)),2))</f>
        <v>63300</v>
      </c>
    </row>
    <row r="17" customFormat="false" ht="15" hidden="false" customHeight="false" outlineLevel="0" collapsed="false">
      <c r="A17" s="2" t="str">
        <f aca="false">IF(Frota!$A17="","",Frota!$A17)</f>
        <v>Toyota Hilux — 5002</v>
      </c>
      <c r="B17" s="0" t="n">
        <f aca="false">IF(OR(Frota!$A17="",Frota!$G17&lt;&gt;"Ativo",N(Frota!$L17)=0),"",ROUND(Frota!$I17+IF(B$3=1,N(Frota!$J17),N(Frota!$K17)),2))</f>
        <v>48850</v>
      </c>
      <c r="C17" s="0" t="n">
        <f aca="false">IF(B17="","",ROUND(B17+IF(C$3=1,N(Frota!$J17),N(Frota!$K17)),2))</f>
        <v>49700</v>
      </c>
      <c r="D17" s="0" t="n">
        <f aca="false">IF(C17="","",ROUND(C17+IF(D$3=1,N(Frota!$J17),N(Frota!$K17)),2))</f>
        <v>50550</v>
      </c>
      <c r="E17" s="0" t="n">
        <f aca="false">IF(D17="","",ROUND(D17+IF(E$3=1,N(Frota!$J17),N(Frota!$K17)),2))</f>
        <v>51400</v>
      </c>
      <c r="F17" s="0" t="n">
        <f aca="false">IF(E17="","",ROUND(E17+IF(F$3=1,N(Frota!$J17),N(Frota!$K17)),2))</f>
        <v>52250</v>
      </c>
      <c r="G17" s="0" t="n">
        <f aca="false">IF(F17="","",ROUND(F17+IF(G$3=1,N(Frota!$J17),N(Frota!$K17)),2))</f>
        <v>53100</v>
      </c>
      <c r="H17" s="0" t="n">
        <f aca="false">IF(G17="","",ROUND(G17+IF(H$3=1,N(Frota!$J17),N(Frota!$K17)),2))</f>
        <v>53950</v>
      </c>
      <c r="I17" s="0" t="n">
        <f aca="false">IF(H17="","",ROUND(H17+IF(I$3=1,N(Frota!$J17),N(Frota!$K17)),2))</f>
        <v>54800</v>
      </c>
      <c r="J17" s="0" t="n">
        <f aca="false">IF(I17="","",ROUND(I17+IF(J$3=1,N(Frota!$J17),N(Frota!$K17)),2))</f>
        <v>55650</v>
      </c>
      <c r="K17" s="0" t="n">
        <f aca="false">IF(J17="","",ROUND(J17+IF(K$3=1,N(Frota!$J17),N(Frota!$K17)),2))</f>
        <v>56500</v>
      </c>
      <c r="L17" s="0" t="n">
        <f aca="false">IF(K17="","",ROUND(K17+IF(L$3=1,N(Frota!$J17),N(Frota!$K17)),2))</f>
        <v>57350</v>
      </c>
      <c r="M17" s="0" t="n">
        <f aca="false">IF(L17="","",ROUND(L17+IF(M$3=1,N(Frota!$J17),N(Frota!$K17)),2))</f>
        <v>58200</v>
      </c>
      <c r="N17" s="0" t="n">
        <f aca="false">IF(M17="","",ROUND(M17+IF(N$3=1,N(Frota!$J17),N(Frota!$K17)),2))</f>
        <v>59050</v>
      </c>
      <c r="O17" s="0" t="n">
        <f aca="false">IF(N17="","",ROUND(N17+IF(O$3=1,N(Frota!$J17),N(Frota!$K17)),2))</f>
        <v>59900</v>
      </c>
      <c r="P17" s="0" t="n">
        <f aca="false">IF(O17="","",ROUND(O17+IF(P$3=1,N(Frota!$J17),N(Frota!$K17)),2))</f>
        <v>60750</v>
      </c>
      <c r="Q17" s="0" t="n">
        <f aca="false">IF(P17="","",ROUND(P17+IF(Q$3=1,N(Frota!$J17),N(Frota!$K17)),2))</f>
        <v>61600</v>
      </c>
      <c r="R17" s="0" t="n">
        <f aca="false">IF(Q17="","",ROUND(Q17+IF(R$3=1,N(Frota!$J17),N(Frota!$K17)),2))</f>
        <v>62450</v>
      </c>
      <c r="S17" s="0" t="n">
        <f aca="false">IF(R17="","",ROUND(R17+IF(S$3=1,N(Frota!$J17),N(Frota!$K17)),2))</f>
        <v>63300</v>
      </c>
      <c r="T17" s="0" t="n">
        <f aca="false">IF(S17="","",ROUND(S17+IF(T$3=1,N(Frota!$J17),N(Frota!$K17)),2))</f>
        <v>64150</v>
      </c>
      <c r="U17" s="0" t="n">
        <f aca="false">IF(T17="","",ROUND(T17+IF(U$3=1,N(Frota!$J17),N(Frota!$K17)),2))</f>
        <v>65000</v>
      </c>
      <c r="V17" s="0" t="n">
        <f aca="false">IF(U17="","",ROUND(U17+IF(V$3=1,N(Frota!$J17),N(Frota!$K17)),2))</f>
        <v>65850</v>
      </c>
      <c r="W17" s="0" t="n">
        <f aca="false">IF(V17="","",ROUND(V17+IF(W$3=1,N(Frota!$J17),N(Frota!$K17)),2))</f>
        <v>66700</v>
      </c>
      <c r="X17" s="0" t="n">
        <f aca="false">IF(W17="","",ROUND(W17+IF(X$3=1,N(Frota!$J17),N(Frota!$K17)),2))</f>
        <v>67550</v>
      </c>
      <c r="Y17" s="0" t="n">
        <f aca="false">IF(X17="","",ROUND(X17+IF(Y$3=1,N(Frota!$J17),N(Frota!$K17)),2))</f>
        <v>68400</v>
      </c>
      <c r="Z17" s="0" t="n">
        <f aca="false">IF(Y17="","",ROUND(Y17+IF(Z$3=1,N(Frota!$J17),N(Frota!$K17)),2))</f>
        <v>69250</v>
      </c>
      <c r="AA17" s="0" t="n">
        <f aca="false">IF(Z17="","",ROUND(Z17+IF(AA$3=1,N(Frota!$J17),N(Frota!$K17)),2))</f>
        <v>70100</v>
      </c>
      <c r="AB17" s="0" t="n">
        <f aca="false">IF(AA17="","",ROUND(AA17+IF(AB$3=1,N(Frota!$J17),N(Frota!$K17)),2))</f>
        <v>70950</v>
      </c>
      <c r="AC17" s="0" t="n">
        <f aca="false">IF(AB17="","",ROUND(AB17+IF(AC$3=1,N(Frota!$J17),N(Frota!$K17)),2))</f>
        <v>71800</v>
      </c>
      <c r="AD17" s="0" t="n">
        <f aca="false">IF(AC17="","",ROUND(AC17+IF(AD$3=1,N(Frota!$J17),N(Frota!$K17)),2))</f>
        <v>72650</v>
      </c>
      <c r="AE17" s="0" t="n">
        <f aca="false">IF(AD17="","",ROUND(AD17+IF(AE$3=1,N(Frota!$J17),N(Frota!$K17)),2))</f>
        <v>73500</v>
      </c>
      <c r="AF17" s="0" t="n">
        <f aca="false">IF(AE17="","",ROUND(AE17+IF(AF$3=1,N(Frota!$J17),N(Frota!$K17)),2))</f>
        <v>74350</v>
      </c>
      <c r="AG17" s="0" t="n">
        <f aca="false">IF(AF17="","",ROUND(AF17+IF(AG$3=1,N(Frota!$J17),N(Frota!$K17)),2))</f>
        <v>75200</v>
      </c>
      <c r="AH17" s="0" t="n">
        <f aca="false">IF(AG17="","",ROUND(AG17+IF(AH$3=1,N(Frota!$J17),N(Frota!$K17)),2))</f>
        <v>76050</v>
      </c>
      <c r="AI17" s="0" t="n">
        <f aca="false">IF(AH17="","",ROUND(AH17+IF(AI$3=1,N(Frota!$J17),N(Frota!$K17)),2))</f>
        <v>76900</v>
      </c>
      <c r="AJ17" s="0" t="n">
        <f aca="false">IF(AI17="","",ROUND(AI17+IF(AJ$3=1,N(Frota!$J17),N(Frota!$K17)),2))</f>
        <v>77750</v>
      </c>
      <c r="AK17" s="0" t="n">
        <f aca="false">IF(AJ17="","",ROUND(AJ17+IF(AK$3=1,N(Frota!$J17),N(Frota!$K17)),2))</f>
        <v>78200</v>
      </c>
      <c r="AL17" s="0" t="n">
        <f aca="false">IF(AK17="","",ROUND(AK17+IF(AL$3=1,N(Frota!$J17),N(Frota!$K17)),2))</f>
        <v>78650</v>
      </c>
      <c r="AM17" s="0" t="n">
        <f aca="false">IF(AL17="","",ROUND(AL17+IF(AM$3=1,N(Frota!$J17),N(Frota!$K17)),2))</f>
        <v>79100</v>
      </c>
      <c r="AN17" s="0" t="n">
        <f aca="false">IF(AM17="","",ROUND(AM17+IF(AN$3=1,N(Frota!$J17),N(Frota!$K17)),2))</f>
        <v>79550</v>
      </c>
      <c r="AO17" s="0" t="n">
        <f aca="false">IF(AN17="","",ROUND(AN17+IF(AO$3=1,N(Frota!$J17),N(Frota!$K17)),2))</f>
        <v>80000</v>
      </c>
      <c r="AP17" s="0" t="n">
        <f aca="false">IF(AO17="","",ROUND(AO17+IF(AP$3=1,N(Frota!$J17),N(Frota!$K17)),2))</f>
        <v>80450</v>
      </c>
      <c r="AQ17" s="0" t="n">
        <f aca="false">IF(AP17="","",ROUND(AP17+IF(AQ$3=1,N(Frota!$J17),N(Frota!$K17)),2))</f>
        <v>80900</v>
      </c>
      <c r="AR17" s="0" t="n">
        <f aca="false">IF(AQ17="","",ROUND(AQ17+IF(AR$3=1,N(Frota!$J17),N(Frota!$K17)),2))</f>
        <v>81350</v>
      </c>
      <c r="AS17" s="0" t="n">
        <f aca="false">IF(AR17="","",ROUND(AR17+IF(AS$3=1,N(Frota!$J17),N(Frota!$K17)),2))</f>
        <v>81800</v>
      </c>
      <c r="AT17" s="0" t="n">
        <f aca="false">IF(AS17="","",ROUND(AS17+IF(AT$3=1,N(Frota!$J17),N(Frota!$K17)),2))</f>
        <v>82250</v>
      </c>
      <c r="AU17" s="0" t="n">
        <f aca="false">IF(AT17="","",ROUND(AT17+IF(AU$3=1,N(Frota!$J17),N(Frota!$K17)),2))</f>
        <v>82700</v>
      </c>
      <c r="AV17" s="0" t="n">
        <f aca="false">IF(AU17="","",ROUND(AU17+IF(AV$3=1,N(Frota!$J17),N(Frota!$K17)),2))</f>
        <v>83150</v>
      </c>
      <c r="AW17" s="0" t="n">
        <f aca="false">IF(AV17="","",ROUND(AV17+IF(AW$3=1,N(Frota!$J17),N(Frota!$K17)),2))</f>
        <v>83600</v>
      </c>
      <c r="AX17" s="0" t="n">
        <f aca="false">IF(AW17="","",ROUND(AW17+IF(AX$3=1,N(Frota!$J17),N(Frota!$K17)),2))</f>
        <v>84050</v>
      </c>
      <c r="AY17" s="0" t="n">
        <f aca="false">IF(AX17="","",ROUND(AX17+IF(AY$3=1,N(Frota!$J17),N(Frota!$K17)),2))</f>
        <v>84500</v>
      </c>
      <c r="AZ17" s="0" t="n">
        <f aca="false">IF(AY17="","",ROUND(AY17+IF(AZ$3=1,N(Frota!$J17),N(Frota!$K17)),2))</f>
        <v>84950</v>
      </c>
      <c r="BA17" s="0" t="n">
        <f aca="false">IF(AZ17="","",ROUND(AZ17+IF(BA$3=1,N(Frota!$J17),N(Frota!$K17)),2))</f>
        <v>85400</v>
      </c>
    </row>
    <row r="18" customFormat="false" ht="15" hidden="false" customHeight="false" outlineLevel="0" collapsed="false">
      <c r="A18" s="2" t="str">
        <f aca="false">IF(Frota!$A18="","",Frota!$A18)</f>
        <v/>
      </c>
      <c r="B18" s="0" t="str">
        <f aca="false">IF(OR(Frota!$A18="",Frota!$G18&lt;&gt;"Ativo",N(Frota!$L18)=0),"",ROUND(Frota!$I18+IF(B$3=1,N(Frota!$J18),N(Frota!$K18)),2))</f>
        <v/>
      </c>
      <c r="C18" s="0" t="str">
        <f aca="false">IF(B18="","",ROUND(B18+IF(C$3=1,N(Frota!$J18),N(Frota!$K18)),2))</f>
        <v/>
      </c>
      <c r="D18" s="0" t="str">
        <f aca="false">IF(C18="","",ROUND(C18+IF(D$3=1,N(Frota!$J18),N(Frota!$K18)),2))</f>
        <v/>
      </c>
      <c r="E18" s="0" t="str">
        <f aca="false">IF(D18="","",ROUND(D18+IF(E$3=1,N(Frota!$J18),N(Frota!$K18)),2))</f>
        <v/>
      </c>
      <c r="F18" s="0" t="str">
        <f aca="false">IF(E18="","",ROUND(E18+IF(F$3=1,N(Frota!$J18),N(Frota!$K18)),2))</f>
        <v/>
      </c>
      <c r="G18" s="0" t="str">
        <f aca="false">IF(F18="","",ROUND(F18+IF(G$3=1,N(Frota!$J18),N(Frota!$K18)),2))</f>
        <v/>
      </c>
      <c r="H18" s="0" t="str">
        <f aca="false">IF(G18="","",ROUND(G18+IF(H$3=1,N(Frota!$J18),N(Frota!$K18)),2))</f>
        <v/>
      </c>
      <c r="I18" s="0" t="str">
        <f aca="false">IF(H18="","",ROUND(H18+IF(I$3=1,N(Frota!$J18),N(Frota!$K18)),2))</f>
        <v/>
      </c>
      <c r="J18" s="0" t="str">
        <f aca="false">IF(I18="","",ROUND(I18+IF(J$3=1,N(Frota!$J18),N(Frota!$K18)),2))</f>
        <v/>
      </c>
      <c r="K18" s="0" t="str">
        <f aca="false">IF(J18="","",ROUND(J18+IF(K$3=1,N(Frota!$J18),N(Frota!$K18)),2))</f>
        <v/>
      </c>
      <c r="L18" s="0" t="str">
        <f aca="false">IF(K18="","",ROUND(K18+IF(L$3=1,N(Frota!$J18),N(Frota!$K18)),2))</f>
        <v/>
      </c>
      <c r="M18" s="0" t="str">
        <f aca="false">IF(L18="","",ROUND(L18+IF(M$3=1,N(Frota!$J18),N(Frota!$K18)),2))</f>
        <v/>
      </c>
      <c r="N18" s="0" t="str">
        <f aca="false">IF(M18="","",ROUND(M18+IF(N$3=1,N(Frota!$J18),N(Frota!$K18)),2))</f>
        <v/>
      </c>
      <c r="O18" s="0" t="str">
        <f aca="false">IF(N18="","",ROUND(N18+IF(O$3=1,N(Frota!$J18),N(Frota!$K18)),2))</f>
        <v/>
      </c>
      <c r="P18" s="0" t="str">
        <f aca="false">IF(O18="","",ROUND(O18+IF(P$3=1,N(Frota!$J18),N(Frota!$K18)),2))</f>
        <v/>
      </c>
      <c r="Q18" s="0" t="str">
        <f aca="false">IF(P18="","",ROUND(P18+IF(Q$3=1,N(Frota!$J18),N(Frota!$K18)),2))</f>
        <v/>
      </c>
      <c r="R18" s="0" t="str">
        <f aca="false">IF(Q18="","",ROUND(Q18+IF(R$3=1,N(Frota!$J18),N(Frota!$K18)),2))</f>
        <v/>
      </c>
      <c r="S18" s="0" t="str">
        <f aca="false">IF(R18="","",ROUND(R18+IF(S$3=1,N(Frota!$J18),N(Frota!$K18)),2))</f>
        <v/>
      </c>
      <c r="T18" s="0" t="str">
        <f aca="false">IF(S18="","",ROUND(S18+IF(T$3=1,N(Frota!$J18),N(Frota!$K18)),2))</f>
        <v/>
      </c>
      <c r="U18" s="0" t="str">
        <f aca="false">IF(T18="","",ROUND(T18+IF(U$3=1,N(Frota!$J18),N(Frota!$K18)),2))</f>
        <v/>
      </c>
      <c r="V18" s="0" t="str">
        <f aca="false">IF(U18="","",ROUND(U18+IF(V$3=1,N(Frota!$J18),N(Frota!$K18)),2))</f>
        <v/>
      </c>
      <c r="W18" s="0" t="str">
        <f aca="false">IF(V18="","",ROUND(V18+IF(W$3=1,N(Frota!$J18),N(Frota!$K18)),2))</f>
        <v/>
      </c>
      <c r="X18" s="0" t="str">
        <f aca="false">IF(W18="","",ROUND(W18+IF(X$3=1,N(Frota!$J18),N(Frota!$K18)),2))</f>
        <v/>
      </c>
      <c r="Y18" s="0" t="str">
        <f aca="false">IF(X18="","",ROUND(X18+IF(Y$3=1,N(Frota!$J18),N(Frota!$K18)),2))</f>
        <v/>
      </c>
      <c r="Z18" s="0" t="str">
        <f aca="false">IF(Y18="","",ROUND(Y18+IF(Z$3=1,N(Frota!$J18),N(Frota!$K18)),2))</f>
        <v/>
      </c>
      <c r="AA18" s="0" t="str">
        <f aca="false">IF(Z18="","",ROUND(Z18+IF(AA$3=1,N(Frota!$J18),N(Frota!$K18)),2))</f>
        <v/>
      </c>
      <c r="AB18" s="0" t="str">
        <f aca="false">IF(AA18="","",ROUND(AA18+IF(AB$3=1,N(Frota!$J18),N(Frota!$K18)),2))</f>
        <v/>
      </c>
      <c r="AC18" s="0" t="str">
        <f aca="false">IF(AB18="","",ROUND(AB18+IF(AC$3=1,N(Frota!$J18),N(Frota!$K18)),2))</f>
        <v/>
      </c>
      <c r="AD18" s="0" t="str">
        <f aca="false">IF(AC18="","",ROUND(AC18+IF(AD$3=1,N(Frota!$J18),N(Frota!$K18)),2))</f>
        <v/>
      </c>
      <c r="AE18" s="0" t="str">
        <f aca="false">IF(AD18="","",ROUND(AD18+IF(AE$3=1,N(Frota!$J18),N(Frota!$K18)),2))</f>
        <v/>
      </c>
      <c r="AF18" s="0" t="str">
        <f aca="false">IF(AE18="","",ROUND(AE18+IF(AF$3=1,N(Frota!$J18),N(Frota!$K18)),2))</f>
        <v/>
      </c>
      <c r="AG18" s="0" t="str">
        <f aca="false">IF(AF18="","",ROUND(AF18+IF(AG$3=1,N(Frota!$J18),N(Frota!$K18)),2))</f>
        <v/>
      </c>
      <c r="AH18" s="0" t="str">
        <f aca="false">IF(AG18="","",ROUND(AG18+IF(AH$3=1,N(Frota!$J18),N(Frota!$K18)),2))</f>
        <v/>
      </c>
      <c r="AI18" s="0" t="str">
        <f aca="false">IF(AH18="","",ROUND(AH18+IF(AI$3=1,N(Frota!$J18),N(Frota!$K18)),2))</f>
        <v/>
      </c>
      <c r="AJ18" s="0" t="str">
        <f aca="false">IF(AI18="","",ROUND(AI18+IF(AJ$3=1,N(Frota!$J18),N(Frota!$K18)),2))</f>
        <v/>
      </c>
      <c r="AK18" s="0" t="str">
        <f aca="false">IF(AJ18="","",ROUND(AJ18+IF(AK$3=1,N(Frota!$J18),N(Frota!$K18)),2))</f>
        <v/>
      </c>
      <c r="AL18" s="0" t="str">
        <f aca="false">IF(AK18="","",ROUND(AK18+IF(AL$3=1,N(Frota!$J18),N(Frota!$K18)),2))</f>
        <v/>
      </c>
      <c r="AM18" s="0" t="str">
        <f aca="false">IF(AL18="","",ROUND(AL18+IF(AM$3=1,N(Frota!$J18),N(Frota!$K18)),2))</f>
        <v/>
      </c>
      <c r="AN18" s="0" t="str">
        <f aca="false">IF(AM18="","",ROUND(AM18+IF(AN$3=1,N(Frota!$J18),N(Frota!$K18)),2))</f>
        <v/>
      </c>
      <c r="AO18" s="0" t="str">
        <f aca="false">IF(AN18="","",ROUND(AN18+IF(AO$3=1,N(Frota!$J18),N(Frota!$K18)),2))</f>
        <v/>
      </c>
      <c r="AP18" s="0" t="str">
        <f aca="false">IF(AO18="","",ROUND(AO18+IF(AP$3=1,N(Frota!$J18),N(Frota!$K18)),2))</f>
        <v/>
      </c>
      <c r="AQ18" s="0" t="str">
        <f aca="false">IF(AP18="","",ROUND(AP18+IF(AQ$3=1,N(Frota!$J18),N(Frota!$K18)),2))</f>
        <v/>
      </c>
      <c r="AR18" s="0" t="str">
        <f aca="false">IF(AQ18="","",ROUND(AQ18+IF(AR$3=1,N(Frota!$J18),N(Frota!$K18)),2))</f>
        <v/>
      </c>
      <c r="AS18" s="0" t="str">
        <f aca="false">IF(AR18="","",ROUND(AR18+IF(AS$3=1,N(Frota!$J18),N(Frota!$K18)),2))</f>
        <v/>
      </c>
      <c r="AT18" s="0" t="str">
        <f aca="false">IF(AS18="","",ROUND(AS18+IF(AT$3=1,N(Frota!$J18),N(Frota!$K18)),2))</f>
        <v/>
      </c>
      <c r="AU18" s="0" t="str">
        <f aca="false">IF(AT18="","",ROUND(AT18+IF(AU$3=1,N(Frota!$J18),N(Frota!$K18)),2))</f>
        <v/>
      </c>
      <c r="AV18" s="0" t="str">
        <f aca="false">IF(AU18="","",ROUND(AU18+IF(AV$3=1,N(Frota!$J18),N(Frota!$K18)),2))</f>
        <v/>
      </c>
      <c r="AW18" s="0" t="str">
        <f aca="false">IF(AV18="","",ROUND(AV18+IF(AW$3=1,N(Frota!$J18),N(Frota!$K18)),2))</f>
        <v/>
      </c>
      <c r="AX18" s="0" t="str">
        <f aca="false">IF(AW18="","",ROUND(AW18+IF(AX$3=1,N(Frota!$J18),N(Frota!$K18)),2))</f>
        <v/>
      </c>
      <c r="AY18" s="0" t="str">
        <f aca="false">IF(AX18="","",ROUND(AX18+IF(AY$3=1,N(Frota!$J18),N(Frota!$K18)),2))</f>
        <v/>
      </c>
      <c r="AZ18" s="0" t="str">
        <f aca="false">IF(AY18="","",ROUND(AY18+IF(AZ$3=1,N(Frota!$J18),N(Frota!$K18)),2))</f>
        <v/>
      </c>
      <c r="BA18" s="0" t="str">
        <f aca="false">IF(AZ18="","",ROUND(AZ18+IF(BA$3=1,N(Frota!$J18),N(Frota!$K18)),2))</f>
        <v/>
      </c>
    </row>
    <row r="19" customFormat="false" ht="15" hidden="false" customHeight="false" outlineLevel="0" collapsed="false">
      <c r="A19" s="2" t="str">
        <f aca="false">IF(Frota!$A19="","",Frota!$A19)</f>
        <v/>
      </c>
      <c r="B19" s="0" t="str">
        <f aca="false">IF(OR(Frota!$A19="",Frota!$G19&lt;&gt;"Ativo",N(Frota!$L19)=0),"",ROUND(Frota!$I19+IF(B$3=1,N(Frota!$J19),N(Frota!$K19)),2))</f>
        <v/>
      </c>
      <c r="C19" s="0" t="str">
        <f aca="false">IF(B19="","",ROUND(B19+IF(C$3=1,N(Frota!$J19),N(Frota!$K19)),2))</f>
        <v/>
      </c>
      <c r="D19" s="0" t="str">
        <f aca="false">IF(C19="","",ROUND(C19+IF(D$3=1,N(Frota!$J19),N(Frota!$K19)),2))</f>
        <v/>
      </c>
      <c r="E19" s="0" t="str">
        <f aca="false">IF(D19="","",ROUND(D19+IF(E$3=1,N(Frota!$J19),N(Frota!$K19)),2))</f>
        <v/>
      </c>
      <c r="F19" s="0" t="str">
        <f aca="false">IF(E19="","",ROUND(E19+IF(F$3=1,N(Frota!$J19),N(Frota!$K19)),2))</f>
        <v/>
      </c>
      <c r="G19" s="0" t="str">
        <f aca="false">IF(F19="","",ROUND(F19+IF(G$3=1,N(Frota!$J19),N(Frota!$K19)),2))</f>
        <v/>
      </c>
      <c r="H19" s="0" t="str">
        <f aca="false">IF(G19="","",ROUND(G19+IF(H$3=1,N(Frota!$J19),N(Frota!$K19)),2))</f>
        <v/>
      </c>
      <c r="I19" s="0" t="str">
        <f aca="false">IF(H19="","",ROUND(H19+IF(I$3=1,N(Frota!$J19),N(Frota!$K19)),2))</f>
        <v/>
      </c>
      <c r="J19" s="0" t="str">
        <f aca="false">IF(I19="","",ROUND(I19+IF(J$3=1,N(Frota!$J19),N(Frota!$K19)),2))</f>
        <v/>
      </c>
      <c r="K19" s="0" t="str">
        <f aca="false">IF(J19="","",ROUND(J19+IF(K$3=1,N(Frota!$J19),N(Frota!$K19)),2))</f>
        <v/>
      </c>
      <c r="L19" s="0" t="str">
        <f aca="false">IF(K19="","",ROUND(K19+IF(L$3=1,N(Frota!$J19),N(Frota!$K19)),2))</f>
        <v/>
      </c>
      <c r="M19" s="0" t="str">
        <f aca="false">IF(L19="","",ROUND(L19+IF(M$3=1,N(Frota!$J19),N(Frota!$K19)),2))</f>
        <v/>
      </c>
      <c r="N19" s="0" t="str">
        <f aca="false">IF(M19="","",ROUND(M19+IF(N$3=1,N(Frota!$J19),N(Frota!$K19)),2))</f>
        <v/>
      </c>
      <c r="O19" s="0" t="str">
        <f aca="false">IF(N19="","",ROUND(N19+IF(O$3=1,N(Frota!$J19),N(Frota!$K19)),2))</f>
        <v/>
      </c>
      <c r="P19" s="0" t="str">
        <f aca="false">IF(O19="","",ROUND(O19+IF(P$3=1,N(Frota!$J19),N(Frota!$K19)),2))</f>
        <v/>
      </c>
      <c r="Q19" s="0" t="str">
        <f aca="false">IF(P19="","",ROUND(P19+IF(Q$3=1,N(Frota!$J19),N(Frota!$K19)),2))</f>
        <v/>
      </c>
      <c r="R19" s="0" t="str">
        <f aca="false">IF(Q19="","",ROUND(Q19+IF(R$3=1,N(Frota!$J19),N(Frota!$K19)),2))</f>
        <v/>
      </c>
      <c r="S19" s="0" t="str">
        <f aca="false">IF(R19="","",ROUND(R19+IF(S$3=1,N(Frota!$J19),N(Frota!$K19)),2))</f>
        <v/>
      </c>
      <c r="T19" s="0" t="str">
        <f aca="false">IF(S19="","",ROUND(S19+IF(T$3=1,N(Frota!$J19),N(Frota!$K19)),2))</f>
        <v/>
      </c>
      <c r="U19" s="0" t="str">
        <f aca="false">IF(T19="","",ROUND(T19+IF(U$3=1,N(Frota!$J19),N(Frota!$K19)),2))</f>
        <v/>
      </c>
      <c r="V19" s="0" t="str">
        <f aca="false">IF(U19="","",ROUND(U19+IF(V$3=1,N(Frota!$J19),N(Frota!$K19)),2))</f>
        <v/>
      </c>
      <c r="W19" s="0" t="str">
        <f aca="false">IF(V19="","",ROUND(V19+IF(W$3=1,N(Frota!$J19),N(Frota!$K19)),2))</f>
        <v/>
      </c>
      <c r="X19" s="0" t="str">
        <f aca="false">IF(W19="","",ROUND(W19+IF(X$3=1,N(Frota!$J19),N(Frota!$K19)),2))</f>
        <v/>
      </c>
      <c r="Y19" s="0" t="str">
        <f aca="false">IF(X19="","",ROUND(X19+IF(Y$3=1,N(Frota!$J19),N(Frota!$K19)),2))</f>
        <v/>
      </c>
      <c r="Z19" s="0" t="str">
        <f aca="false">IF(Y19="","",ROUND(Y19+IF(Z$3=1,N(Frota!$J19),N(Frota!$K19)),2))</f>
        <v/>
      </c>
      <c r="AA19" s="0" t="str">
        <f aca="false">IF(Z19="","",ROUND(Z19+IF(AA$3=1,N(Frota!$J19),N(Frota!$K19)),2))</f>
        <v/>
      </c>
      <c r="AB19" s="0" t="str">
        <f aca="false">IF(AA19="","",ROUND(AA19+IF(AB$3=1,N(Frota!$J19),N(Frota!$K19)),2))</f>
        <v/>
      </c>
      <c r="AC19" s="0" t="str">
        <f aca="false">IF(AB19="","",ROUND(AB19+IF(AC$3=1,N(Frota!$J19),N(Frota!$K19)),2))</f>
        <v/>
      </c>
      <c r="AD19" s="0" t="str">
        <f aca="false">IF(AC19="","",ROUND(AC19+IF(AD$3=1,N(Frota!$J19),N(Frota!$K19)),2))</f>
        <v/>
      </c>
      <c r="AE19" s="0" t="str">
        <f aca="false">IF(AD19="","",ROUND(AD19+IF(AE$3=1,N(Frota!$J19),N(Frota!$K19)),2))</f>
        <v/>
      </c>
      <c r="AF19" s="0" t="str">
        <f aca="false">IF(AE19="","",ROUND(AE19+IF(AF$3=1,N(Frota!$J19),N(Frota!$K19)),2))</f>
        <v/>
      </c>
      <c r="AG19" s="0" t="str">
        <f aca="false">IF(AF19="","",ROUND(AF19+IF(AG$3=1,N(Frota!$J19),N(Frota!$K19)),2))</f>
        <v/>
      </c>
      <c r="AH19" s="0" t="str">
        <f aca="false">IF(AG19="","",ROUND(AG19+IF(AH$3=1,N(Frota!$J19),N(Frota!$K19)),2))</f>
        <v/>
      </c>
      <c r="AI19" s="0" t="str">
        <f aca="false">IF(AH19="","",ROUND(AH19+IF(AI$3=1,N(Frota!$J19),N(Frota!$K19)),2))</f>
        <v/>
      </c>
      <c r="AJ19" s="0" t="str">
        <f aca="false">IF(AI19="","",ROUND(AI19+IF(AJ$3=1,N(Frota!$J19),N(Frota!$K19)),2))</f>
        <v/>
      </c>
      <c r="AK19" s="0" t="str">
        <f aca="false">IF(AJ19="","",ROUND(AJ19+IF(AK$3=1,N(Frota!$J19),N(Frota!$K19)),2))</f>
        <v/>
      </c>
      <c r="AL19" s="0" t="str">
        <f aca="false">IF(AK19="","",ROUND(AK19+IF(AL$3=1,N(Frota!$J19),N(Frota!$K19)),2))</f>
        <v/>
      </c>
      <c r="AM19" s="0" t="str">
        <f aca="false">IF(AL19="","",ROUND(AL19+IF(AM$3=1,N(Frota!$J19),N(Frota!$K19)),2))</f>
        <v/>
      </c>
      <c r="AN19" s="0" t="str">
        <f aca="false">IF(AM19="","",ROUND(AM19+IF(AN$3=1,N(Frota!$J19),N(Frota!$K19)),2))</f>
        <v/>
      </c>
      <c r="AO19" s="0" t="str">
        <f aca="false">IF(AN19="","",ROUND(AN19+IF(AO$3=1,N(Frota!$J19),N(Frota!$K19)),2))</f>
        <v/>
      </c>
      <c r="AP19" s="0" t="str">
        <f aca="false">IF(AO19="","",ROUND(AO19+IF(AP$3=1,N(Frota!$J19),N(Frota!$K19)),2))</f>
        <v/>
      </c>
      <c r="AQ19" s="0" t="str">
        <f aca="false">IF(AP19="","",ROUND(AP19+IF(AQ$3=1,N(Frota!$J19),N(Frota!$K19)),2))</f>
        <v/>
      </c>
      <c r="AR19" s="0" t="str">
        <f aca="false">IF(AQ19="","",ROUND(AQ19+IF(AR$3=1,N(Frota!$J19),N(Frota!$K19)),2))</f>
        <v/>
      </c>
      <c r="AS19" s="0" t="str">
        <f aca="false">IF(AR19="","",ROUND(AR19+IF(AS$3=1,N(Frota!$J19),N(Frota!$K19)),2))</f>
        <v/>
      </c>
      <c r="AT19" s="0" t="str">
        <f aca="false">IF(AS19="","",ROUND(AS19+IF(AT$3=1,N(Frota!$J19),N(Frota!$K19)),2))</f>
        <v/>
      </c>
      <c r="AU19" s="0" t="str">
        <f aca="false">IF(AT19="","",ROUND(AT19+IF(AU$3=1,N(Frota!$J19),N(Frota!$K19)),2))</f>
        <v/>
      </c>
      <c r="AV19" s="0" t="str">
        <f aca="false">IF(AU19="","",ROUND(AU19+IF(AV$3=1,N(Frota!$J19),N(Frota!$K19)),2))</f>
        <v/>
      </c>
      <c r="AW19" s="0" t="str">
        <f aca="false">IF(AV19="","",ROUND(AV19+IF(AW$3=1,N(Frota!$J19),N(Frota!$K19)),2))</f>
        <v/>
      </c>
      <c r="AX19" s="0" t="str">
        <f aca="false">IF(AW19="","",ROUND(AW19+IF(AX$3=1,N(Frota!$J19),N(Frota!$K19)),2))</f>
        <v/>
      </c>
      <c r="AY19" s="0" t="str">
        <f aca="false">IF(AX19="","",ROUND(AX19+IF(AY$3=1,N(Frota!$J19),N(Frota!$K19)),2))</f>
        <v/>
      </c>
      <c r="AZ19" s="0" t="str">
        <f aca="false">IF(AY19="","",ROUND(AY19+IF(AZ$3=1,N(Frota!$J19),N(Frota!$K19)),2))</f>
        <v/>
      </c>
      <c r="BA19" s="0" t="str">
        <f aca="false">IF(AZ19="","",ROUND(AZ19+IF(BA$3=1,N(Frota!$J19),N(Frota!$K19)),2))</f>
        <v/>
      </c>
    </row>
    <row r="20" customFormat="false" ht="15" hidden="false" customHeight="false" outlineLevel="0" collapsed="false">
      <c r="A20" s="2" t="str">
        <f aca="false">IF(Frota!$A20="","",Frota!$A20)</f>
        <v/>
      </c>
      <c r="B20" s="0" t="str">
        <f aca="false">IF(OR(Frota!$A20="",Frota!$G20&lt;&gt;"Ativo",N(Frota!$L20)=0),"",ROUND(Frota!$I20+IF(B$3=1,N(Frota!$J20),N(Frota!$K20)),2))</f>
        <v/>
      </c>
      <c r="C20" s="0" t="str">
        <f aca="false">IF(B20="","",ROUND(B20+IF(C$3=1,N(Frota!$J20),N(Frota!$K20)),2))</f>
        <v/>
      </c>
      <c r="D20" s="0" t="str">
        <f aca="false">IF(C20="","",ROUND(C20+IF(D$3=1,N(Frota!$J20),N(Frota!$K20)),2))</f>
        <v/>
      </c>
      <c r="E20" s="0" t="str">
        <f aca="false">IF(D20="","",ROUND(D20+IF(E$3=1,N(Frota!$J20),N(Frota!$K20)),2))</f>
        <v/>
      </c>
      <c r="F20" s="0" t="str">
        <f aca="false">IF(E20="","",ROUND(E20+IF(F$3=1,N(Frota!$J20),N(Frota!$K20)),2))</f>
        <v/>
      </c>
      <c r="G20" s="0" t="str">
        <f aca="false">IF(F20="","",ROUND(F20+IF(G$3=1,N(Frota!$J20),N(Frota!$K20)),2))</f>
        <v/>
      </c>
      <c r="H20" s="0" t="str">
        <f aca="false">IF(G20="","",ROUND(G20+IF(H$3=1,N(Frota!$J20),N(Frota!$K20)),2))</f>
        <v/>
      </c>
      <c r="I20" s="0" t="str">
        <f aca="false">IF(H20="","",ROUND(H20+IF(I$3=1,N(Frota!$J20),N(Frota!$K20)),2))</f>
        <v/>
      </c>
      <c r="J20" s="0" t="str">
        <f aca="false">IF(I20="","",ROUND(I20+IF(J$3=1,N(Frota!$J20),N(Frota!$K20)),2))</f>
        <v/>
      </c>
      <c r="K20" s="0" t="str">
        <f aca="false">IF(J20="","",ROUND(J20+IF(K$3=1,N(Frota!$J20),N(Frota!$K20)),2))</f>
        <v/>
      </c>
      <c r="L20" s="0" t="str">
        <f aca="false">IF(K20="","",ROUND(K20+IF(L$3=1,N(Frota!$J20),N(Frota!$K20)),2))</f>
        <v/>
      </c>
      <c r="M20" s="0" t="str">
        <f aca="false">IF(L20="","",ROUND(L20+IF(M$3=1,N(Frota!$J20),N(Frota!$K20)),2))</f>
        <v/>
      </c>
      <c r="N20" s="0" t="str">
        <f aca="false">IF(M20="","",ROUND(M20+IF(N$3=1,N(Frota!$J20),N(Frota!$K20)),2))</f>
        <v/>
      </c>
      <c r="O20" s="0" t="str">
        <f aca="false">IF(N20="","",ROUND(N20+IF(O$3=1,N(Frota!$J20),N(Frota!$K20)),2))</f>
        <v/>
      </c>
      <c r="P20" s="0" t="str">
        <f aca="false">IF(O20="","",ROUND(O20+IF(P$3=1,N(Frota!$J20),N(Frota!$K20)),2))</f>
        <v/>
      </c>
      <c r="Q20" s="0" t="str">
        <f aca="false">IF(P20="","",ROUND(P20+IF(Q$3=1,N(Frota!$J20),N(Frota!$K20)),2))</f>
        <v/>
      </c>
      <c r="R20" s="0" t="str">
        <f aca="false">IF(Q20="","",ROUND(Q20+IF(R$3=1,N(Frota!$J20),N(Frota!$K20)),2))</f>
        <v/>
      </c>
      <c r="S20" s="0" t="str">
        <f aca="false">IF(R20="","",ROUND(R20+IF(S$3=1,N(Frota!$J20),N(Frota!$K20)),2))</f>
        <v/>
      </c>
      <c r="T20" s="0" t="str">
        <f aca="false">IF(S20="","",ROUND(S20+IF(T$3=1,N(Frota!$J20),N(Frota!$K20)),2))</f>
        <v/>
      </c>
      <c r="U20" s="0" t="str">
        <f aca="false">IF(T20="","",ROUND(T20+IF(U$3=1,N(Frota!$J20),N(Frota!$K20)),2))</f>
        <v/>
      </c>
      <c r="V20" s="0" t="str">
        <f aca="false">IF(U20="","",ROUND(U20+IF(V$3=1,N(Frota!$J20),N(Frota!$K20)),2))</f>
        <v/>
      </c>
      <c r="W20" s="0" t="str">
        <f aca="false">IF(V20="","",ROUND(V20+IF(W$3=1,N(Frota!$J20),N(Frota!$K20)),2))</f>
        <v/>
      </c>
      <c r="X20" s="0" t="str">
        <f aca="false">IF(W20="","",ROUND(W20+IF(X$3=1,N(Frota!$J20),N(Frota!$K20)),2))</f>
        <v/>
      </c>
      <c r="Y20" s="0" t="str">
        <f aca="false">IF(X20="","",ROUND(X20+IF(Y$3=1,N(Frota!$J20),N(Frota!$K20)),2))</f>
        <v/>
      </c>
      <c r="Z20" s="0" t="str">
        <f aca="false">IF(Y20="","",ROUND(Y20+IF(Z$3=1,N(Frota!$J20),N(Frota!$K20)),2))</f>
        <v/>
      </c>
      <c r="AA20" s="0" t="str">
        <f aca="false">IF(Z20="","",ROUND(Z20+IF(AA$3=1,N(Frota!$J20),N(Frota!$K20)),2))</f>
        <v/>
      </c>
      <c r="AB20" s="0" t="str">
        <f aca="false">IF(AA20="","",ROUND(AA20+IF(AB$3=1,N(Frota!$J20),N(Frota!$K20)),2))</f>
        <v/>
      </c>
      <c r="AC20" s="0" t="str">
        <f aca="false">IF(AB20="","",ROUND(AB20+IF(AC$3=1,N(Frota!$J20),N(Frota!$K20)),2))</f>
        <v/>
      </c>
      <c r="AD20" s="0" t="str">
        <f aca="false">IF(AC20="","",ROUND(AC20+IF(AD$3=1,N(Frota!$J20),N(Frota!$K20)),2))</f>
        <v/>
      </c>
      <c r="AE20" s="0" t="str">
        <f aca="false">IF(AD20="","",ROUND(AD20+IF(AE$3=1,N(Frota!$J20),N(Frota!$K20)),2))</f>
        <v/>
      </c>
      <c r="AF20" s="0" t="str">
        <f aca="false">IF(AE20="","",ROUND(AE20+IF(AF$3=1,N(Frota!$J20),N(Frota!$K20)),2))</f>
        <v/>
      </c>
      <c r="AG20" s="0" t="str">
        <f aca="false">IF(AF20="","",ROUND(AF20+IF(AG$3=1,N(Frota!$J20),N(Frota!$K20)),2))</f>
        <v/>
      </c>
      <c r="AH20" s="0" t="str">
        <f aca="false">IF(AG20="","",ROUND(AG20+IF(AH$3=1,N(Frota!$J20),N(Frota!$K20)),2))</f>
        <v/>
      </c>
      <c r="AI20" s="0" t="str">
        <f aca="false">IF(AH20="","",ROUND(AH20+IF(AI$3=1,N(Frota!$J20),N(Frota!$K20)),2))</f>
        <v/>
      </c>
      <c r="AJ20" s="0" t="str">
        <f aca="false">IF(AI20="","",ROUND(AI20+IF(AJ$3=1,N(Frota!$J20),N(Frota!$K20)),2))</f>
        <v/>
      </c>
      <c r="AK20" s="0" t="str">
        <f aca="false">IF(AJ20="","",ROUND(AJ20+IF(AK$3=1,N(Frota!$J20),N(Frota!$K20)),2))</f>
        <v/>
      </c>
      <c r="AL20" s="0" t="str">
        <f aca="false">IF(AK20="","",ROUND(AK20+IF(AL$3=1,N(Frota!$J20),N(Frota!$K20)),2))</f>
        <v/>
      </c>
      <c r="AM20" s="0" t="str">
        <f aca="false">IF(AL20="","",ROUND(AL20+IF(AM$3=1,N(Frota!$J20),N(Frota!$K20)),2))</f>
        <v/>
      </c>
      <c r="AN20" s="0" t="str">
        <f aca="false">IF(AM20="","",ROUND(AM20+IF(AN$3=1,N(Frota!$J20),N(Frota!$K20)),2))</f>
        <v/>
      </c>
      <c r="AO20" s="0" t="str">
        <f aca="false">IF(AN20="","",ROUND(AN20+IF(AO$3=1,N(Frota!$J20),N(Frota!$K20)),2))</f>
        <v/>
      </c>
      <c r="AP20" s="0" t="str">
        <f aca="false">IF(AO20="","",ROUND(AO20+IF(AP$3=1,N(Frota!$J20),N(Frota!$K20)),2))</f>
        <v/>
      </c>
      <c r="AQ20" s="0" t="str">
        <f aca="false">IF(AP20="","",ROUND(AP20+IF(AQ$3=1,N(Frota!$J20),N(Frota!$K20)),2))</f>
        <v/>
      </c>
      <c r="AR20" s="0" t="str">
        <f aca="false">IF(AQ20="","",ROUND(AQ20+IF(AR$3=1,N(Frota!$J20),N(Frota!$K20)),2))</f>
        <v/>
      </c>
      <c r="AS20" s="0" t="str">
        <f aca="false">IF(AR20="","",ROUND(AR20+IF(AS$3=1,N(Frota!$J20),N(Frota!$K20)),2))</f>
        <v/>
      </c>
      <c r="AT20" s="0" t="str">
        <f aca="false">IF(AS20="","",ROUND(AS20+IF(AT$3=1,N(Frota!$J20),N(Frota!$K20)),2))</f>
        <v/>
      </c>
      <c r="AU20" s="0" t="str">
        <f aca="false">IF(AT20="","",ROUND(AT20+IF(AU$3=1,N(Frota!$J20),N(Frota!$K20)),2))</f>
        <v/>
      </c>
      <c r="AV20" s="0" t="str">
        <f aca="false">IF(AU20="","",ROUND(AU20+IF(AV$3=1,N(Frota!$J20),N(Frota!$K20)),2))</f>
        <v/>
      </c>
      <c r="AW20" s="0" t="str">
        <f aca="false">IF(AV20="","",ROUND(AV20+IF(AW$3=1,N(Frota!$J20),N(Frota!$K20)),2))</f>
        <v/>
      </c>
      <c r="AX20" s="0" t="str">
        <f aca="false">IF(AW20="","",ROUND(AW20+IF(AX$3=1,N(Frota!$J20),N(Frota!$K20)),2))</f>
        <v/>
      </c>
      <c r="AY20" s="0" t="str">
        <f aca="false">IF(AX20="","",ROUND(AX20+IF(AY$3=1,N(Frota!$J20),N(Frota!$K20)),2))</f>
        <v/>
      </c>
      <c r="AZ20" s="0" t="str">
        <f aca="false">IF(AY20="","",ROUND(AY20+IF(AZ$3=1,N(Frota!$J20),N(Frota!$K20)),2))</f>
        <v/>
      </c>
      <c r="BA20" s="0" t="str">
        <f aca="false">IF(AZ20="","",ROUND(AZ20+IF(BA$3=1,N(Frota!$J20),N(Frota!$K20)),2))</f>
        <v/>
      </c>
    </row>
    <row r="21" customFormat="false" ht="15" hidden="false" customHeight="false" outlineLevel="0" collapsed="false">
      <c r="A21" s="2" t="str">
        <f aca="false">IF(Frota!$A21="","",Frota!$A21)</f>
        <v/>
      </c>
      <c r="B21" s="0" t="str">
        <f aca="false">IF(OR(Frota!$A21="",Frota!$G21&lt;&gt;"Ativo",N(Frota!$L21)=0),"",ROUND(Frota!$I21+IF(B$3=1,N(Frota!$J21),N(Frota!$K21)),2))</f>
        <v/>
      </c>
      <c r="C21" s="0" t="str">
        <f aca="false">IF(B21="","",ROUND(B21+IF(C$3=1,N(Frota!$J21),N(Frota!$K21)),2))</f>
        <v/>
      </c>
      <c r="D21" s="0" t="str">
        <f aca="false">IF(C21="","",ROUND(C21+IF(D$3=1,N(Frota!$J21),N(Frota!$K21)),2))</f>
        <v/>
      </c>
      <c r="E21" s="0" t="str">
        <f aca="false">IF(D21="","",ROUND(D21+IF(E$3=1,N(Frota!$J21),N(Frota!$K21)),2))</f>
        <v/>
      </c>
      <c r="F21" s="0" t="str">
        <f aca="false">IF(E21="","",ROUND(E21+IF(F$3=1,N(Frota!$J21),N(Frota!$K21)),2))</f>
        <v/>
      </c>
      <c r="G21" s="0" t="str">
        <f aca="false">IF(F21="","",ROUND(F21+IF(G$3=1,N(Frota!$J21),N(Frota!$K21)),2))</f>
        <v/>
      </c>
      <c r="H21" s="0" t="str">
        <f aca="false">IF(G21="","",ROUND(G21+IF(H$3=1,N(Frota!$J21),N(Frota!$K21)),2))</f>
        <v/>
      </c>
      <c r="I21" s="0" t="str">
        <f aca="false">IF(H21="","",ROUND(H21+IF(I$3=1,N(Frota!$J21),N(Frota!$K21)),2))</f>
        <v/>
      </c>
      <c r="J21" s="0" t="str">
        <f aca="false">IF(I21="","",ROUND(I21+IF(J$3=1,N(Frota!$J21),N(Frota!$K21)),2))</f>
        <v/>
      </c>
      <c r="K21" s="0" t="str">
        <f aca="false">IF(J21="","",ROUND(J21+IF(K$3=1,N(Frota!$J21),N(Frota!$K21)),2))</f>
        <v/>
      </c>
      <c r="L21" s="0" t="str">
        <f aca="false">IF(K21="","",ROUND(K21+IF(L$3=1,N(Frota!$J21),N(Frota!$K21)),2))</f>
        <v/>
      </c>
      <c r="M21" s="0" t="str">
        <f aca="false">IF(L21="","",ROUND(L21+IF(M$3=1,N(Frota!$J21),N(Frota!$K21)),2))</f>
        <v/>
      </c>
      <c r="N21" s="0" t="str">
        <f aca="false">IF(M21="","",ROUND(M21+IF(N$3=1,N(Frota!$J21),N(Frota!$K21)),2))</f>
        <v/>
      </c>
      <c r="O21" s="0" t="str">
        <f aca="false">IF(N21="","",ROUND(N21+IF(O$3=1,N(Frota!$J21),N(Frota!$K21)),2))</f>
        <v/>
      </c>
      <c r="P21" s="0" t="str">
        <f aca="false">IF(O21="","",ROUND(O21+IF(P$3=1,N(Frota!$J21),N(Frota!$K21)),2))</f>
        <v/>
      </c>
      <c r="Q21" s="0" t="str">
        <f aca="false">IF(P21="","",ROUND(P21+IF(Q$3=1,N(Frota!$J21),N(Frota!$K21)),2))</f>
        <v/>
      </c>
      <c r="R21" s="0" t="str">
        <f aca="false">IF(Q21="","",ROUND(Q21+IF(R$3=1,N(Frota!$J21),N(Frota!$K21)),2))</f>
        <v/>
      </c>
      <c r="S21" s="0" t="str">
        <f aca="false">IF(R21="","",ROUND(R21+IF(S$3=1,N(Frota!$J21),N(Frota!$K21)),2))</f>
        <v/>
      </c>
      <c r="T21" s="0" t="str">
        <f aca="false">IF(S21="","",ROUND(S21+IF(T$3=1,N(Frota!$J21),N(Frota!$K21)),2))</f>
        <v/>
      </c>
      <c r="U21" s="0" t="str">
        <f aca="false">IF(T21="","",ROUND(T21+IF(U$3=1,N(Frota!$J21),N(Frota!$K21)),2))</f>
        <v/>
      </c>
      <c r="V21" s="0" t="str">
        <f aca="false">IF(U21="","",ROUND(U21+IF(V$3=1,N(Frota!$J21),N(Frota!$K21)),2))</f>
        <v/>
      </c>
      <c r="W21" s="0" t="str">
        <f aca="false">IF(V21="","",ROUND(V21+IF(W$3=1,N(Frota!$J21),N(Frota!$K21)),2))</f>
        <v/>
      </c>
      <c r="X21" s="0" t="str">
        <f aca="false">IF(W21="","",ROUND(W21+IF(X$3=1,N(Frota!$J21),N(Frota!$K21)),2))</f>
        <v/>
      </c>
      <c r="Y21" s="0" t="str">
        <f aca="false">IF(X21="","",ROUND(X21+IF(Y$3=1,N(Frota!$J21),N(Frota!$K21)),2))</f>
        <v/>
      </c>
      <c r="Z21" s="0" t="str">
        <f aca="false">IF(Y21="","",ROUND(Y21+IF(Z$3=1,N(Frota!$J21),N(Frota!$K21)),2))</f>
        <v/>
      </c>
      <c r="AA21" s="0" t="str">
        <f aca="false">IF(Z21="","",ROUND(Z21+IF(AA$3=1,N(Frota!$J21),N(Frota!$K21)),2))</f>
        <v/>
      </c>
      <c r="AB21" s="0" t="str">
        <f aca="false">IF(AA21="","",ROUND(AA21+IF(AB$3=1,N(Frota!$J21),N(Frota!$K21)),2))</f>
        <v/>
      </c>
      <c r="AC21" s="0" t="str">
        <f aca="false">IF(AB21="","",ROUND(AB21+IF(AC$3=1,N(Frota!$J21),N(Frota!$K21)),2))</f>
        <v/>
      </c>
      <c r="AD21" s="0" t="str">
        <f aca="false">IF(AC21="","",ROUND(AC21+IF(AD$3=1,N(Frota!$J21),N(Frota!$K21)),2))</f>
        <v/>
      </c>
      <c r="AE21" s="0" t="str">
        <f aca="false">IF(AD21="","",ROUND(AD21+IF(AE$3=1,N(Frota!$J21),N(Frota!$K21)),2))</f>
        <v/>
      </c>
      <c r="AF21" s="0" t="str">
        <f aca="false">IF(AE21="","",ROUND(AE21+IF(AF$3=1,N(Frota!$J21),N(Frota!$K21)),2))</f>
        <v/>
      </c>
      <c r="AG21" s="0" t="str">
        <f aca="false">IF(AF21="","",ROUND(AF21+IF(AG$3=1,N(Frota!$J21),N(Frota!$K21)),2))</f>
        <v/>
      </c>
      <c r="AH21" s="0" t="str">
        <f aca="false">IF(AG21="","",ROUND(AG21+IF(AH$3=1,N(Frota!$J21),N(Frota!$K21)),2))</f>
        <v/>
      </c>
      <c r="AI21" s="0" t="str">
        <f aca="false">IF(AH21="","",ROUND(AH21+IF(AI$3=1,N(Frota!$J21),N(Frota!$K21)),2))</f>
        <v/>
      </c>
      <c r="AJ21" s="0" t="str">
        <f aca="false">IF(AI21="","",ROUND(AI21+IF(AJ$3=1,N(Frota!$J21),N(Frota!$K21)),2))</f>
        <v/>
      </c>
      <c r="AK21" s="0" t="str">
        <f aca="false">IF(AJ21="","",ROUND(AJ21+IF(AK$3=1,N(Frota!$J21),N(Frota!$K21)),2))</f>
        <v/>
      </c>
      <c r="AL21" s="0" t="str">
        <f aca="false">IF(AK21="","",ROUND(AK21+IF(AL$3=1,N(Frota!$J21),N(Frota!$K21)),2))</f>
        <v/>
      </c>
      <c r="AM21" s="0" t="str">
        <f aca="false">IF(AL21="","",ROUND(AL21+IF(AM$3=1,N(Frota!$J21),N(Frota!$K21)),2))</f>
        <v/>
      </c>
      <c r="AN21" s="0" t="str">
        <f aca="false">IF(AM21="","",ROUND(AM21+IF(AN$3=1,N(Frota!$J21),N(Frota!$K21)),2))</f>
        <v/>
      </c>
      <c r="AO21" s="0" t="str">
        <f aca="false">IF(AN21="","",ROUND(AN21+IF(AO$3=1,N(Frota!$J21),N(Frota!$K21)),2))</f>
        <v/>
      </c>
      <c r="AP21" s="0" t="str">
        <f aca="false">IF(AO21="","",ROUND(AO21+IF(AP$3=1,N(Frota!$J21),N(Frota!$K21)),2))</f>
        <v/>
      </c>
      <c r="AQ21" s="0" t="str">
        <f aca="false">IF(AP21="","",ROUND(AP21+IF(AQ$3=1,N(Frota!$J21),N(Frota!$K21)),2))</f>
        <v/>
      </c>
      <c r="AR21" s="0" t="str">
        <f aca="false">IF(AQ21="","",ROUND(AQ21+IF(AR$3=1,N(Frota!$J21),N(Frota!$K21)),2))</f>
        <v/>
      </c>
      <c r="AS21" s="0" t="str">
        <f aca="false">IF(AR21="","",ROUND(AR21+IF(AS$3=1,N(Frota!$J21),N(Frota!$K21)),2))</f>
        <v/>
      </c>
      <c r="AT21" s="0" t="str">
        <f aca="false">IF(AS21="","",ROUND(AS21+IF(AT$3=1,N(Frota!$J21),N(Frota!$K21)),2))</f>
        <v/>
      </c>
      <c r="AU21" s="0" t="str">
        <f aca="false">IF(AT21="","",ROUND(AT21+IF(AU$3=1,N(Frota!$J21),N(Frota!$K21)),2))</f>
        <v/>
      </c>
      <c r="AV21" s="0" t="str">
        <f aca="false">IF(AU21="","",ROUND(AU21+IF(AV$3=1,N(Frota!$J21),N(Frota!$K21)),2))</f>
        <v/>
      </c>
      <c r="AW21" s="0" t="str">
        <f aca="false">IF(AV21="","",ROUND(AV21+IF(AW$3=1,N(Frota!$J21),N(Frota!$K21)),2))</f>
        <v/>
      </c>
      <c r="AX21" s="0" t="str">
        <f aca="false">IF(AW21="","",ROUND(AW21+IF(AX$3=1,N(Frota!$J21),N(Frota!$K21)),2))</f>
        <v/>
      </c>
      <c r="AY21" s="0" t="str">
        <f aca="false">IF(AX21="","",ROUND(AX21+IF(AY$3=1,N(Frota!$J21),N(Frota!$K21)),2))</f>
        <v/>
      </c>
      <c r="AZ21" s="0" t="str">
        <f aca="false">IF(AY21="","",ROUND(AY21+IF(AZ$3=1,N(Frota!$J21),N(Frota!$K21)),2))</f>
        <v/>
      </c>
      <c r="BA21" s="0" t="str">
        <f aca="false">IF(AZ21="","",ROUND(AZ21+IF(BA$3=1,N(Frota!$J21),N(Frota!$K21)),2))</f>
        <v/>
      </c>
    </row>
    <row r="22" customFormat="false" ht="15" hidden="false" customHeight="false" outlineLevel="0" collapsed="false">
      <c r="A22" s="2" t="str">
        <f aca="false">IF(Frota!$A22="","",Frota!$A22)</f>
        <v/>
      </c>
      <c r="B22" s="0" t="str">
        <f aca="false">IF(OR(Frota!$A22="",Frota!$G22&lt;&gt;"Ativo",N(Frota!$L22)=0),"",ROUND(Frota!$I22+IF(B$3=1,N(Frota!$J22),N(Frota!$K22)),2))</f>
        <v/>
      </c>
      <c r="C22" s="0" t="str">
        <f aca="false">IF(B22="","",ROUND(B22+IF(C$3=1,N(Frota!$J22),N(Frota!$K22)),2))</f>
        <v/>
      </c>
      <c r="D22" s="0" t="str">
        <f aca="false">IF(C22="","",ROUND(C22+IF(D$3=1,N(Frota!$J22),N(Frota!$K22)),2))</f>
        <v/>
      </c>
      <c r="E22" s="0" t="str">
        <f aca="false">IF(D22="","",ROUND(D22+IF(E$3=1,N(Frota!$J22),N(Frota!$K22)),2))</f>
        <v/>
      </c>
      <c r="F22" s="0" t="str">
        <f aca="false">IF(E22="","",ROUND(E22+IF(F$3=1,N(Frota!$J22),N(Frota!$K22)),2))</f>
        <v/>
      </c>
      <c r="G22" s="0" t="str">
        <f aca="false">IF(F22="","",ROUND(F22+IF(G$3=1,N(Frota!$J22),N(Frota!$K22)),2))</f>
        <v/>
      </c>
      <c r="H22" s="0" t="str">
        <f aca="false">IF(G22="","",ROUND(G22+IF(H$3=1,N(Frota!$J22),N(Frota!$K22)),2))</f>
        <v/>
      </c>
      <c r="I22" s="0" t="str">
        <f aca="false">IF(H22="","",ROUND(H22+IF(I$3=1,N(Frota!$J22),N(Frota!$K22)),2))</f>
        <v/>
      </c>
      <c r="J22" s="0" t="str">
        <f aca="false">IF(I22="","",ROUND(I22+IF(J$3=1,N(Frota!$J22),N(Frota!$K22)),2))</f>
        <v/>
      </c>
      <c r="K22" s="0" t="str">
        <f aca="false">IF(J22="","",ROUND(J22+IF(K$3=1,N(Frota!$J22),N(Frota!$K22)),2))</f>
        <v/>
      </c>
      <c r="L22" s="0" t="str">
        <f aca="false">IF(K22="","",ROUND(K22+IF(L$3=1,N(Frota!$J22),N(Frota!$K22)),2))</f>
        <v/>
      </c>
      <c r="M22" s="0" t="str">
        <f aca="false">IF(L22="","",ROUND(L22+IF(M$3=1,N(Frota!$J22),N(Frota!$K22)),2))</f>
        <v/>
      </c>
      <c r="N22" s="0" t="str">
        <f aca="false">IF(M22="","",ROUND(M22+IF(N$3=1,N(Frota!$J22),N(Frota!$K22)),2))</f>
        <v/>
      </c>
      <c r="O22" s="0" t="str">
        <f aca="false">IF(N22="","",ROUND(N22+IF(O$3=1,N(Frota!$J22),N(Frota!$K22)),2))</f>
        <v/>
      </c>
      <c r="P22" s="0" t="str">
        <f aca="false">IF(O22="","",ROUND(O22+IF(P$3=1,N(Frota!$J22),N(Frota!$K22)),2))</f>
        <v/>
      </c>
      <c r="Q22" s="0" t="str">
        <f aca="false">IF(P22="","",ROUND(P22+IF(Q$3=1,N(Frota!$J22),N(Frota!$K22)),2))</f>
        <v/>
      </c>
      <c r="R22" s="0" t="str">
        <f aca="false">IF(Q22="","",ROUND(Q22+IF(R$3=1,N(Frota!$J22),N(Frota!$K22)),2))</f>
        <v/>
      </c>
      <c r="S22" s="0" t="str">
        <f aca="false">IF(R22="","",ROUND(R22+IF(S$3=1,N(Frota!$J22),N(Frota!$K22)),2))</f>
        <v/>
      </c>
      <c r="T22" s="0" t="str">
        <f aca="false">IF(S22="","",ROUND(S22+IF(T$3=1,N(Frota!$J22),N(Frota!$K22)),2))</f>
        <v/>
      </c>
      <c r="U22" s="0" t="str">
        <f aca="false">IF(T22="","",ROUND(T22+IF(U$3=1,N(Frota!$J22),N(Frota!$K22)),2))</f>
        <v/>
      </c>
      <c r="V22" s="0" t="str">
        <f aca="false">IF(U22="","",ROUND(U22+IF(V$3=1,N(Frota!$J22),N(Frota!$K22)),2))</f>
        <v/>
      </c>
      <c r="W22" s="0" t="str">
        <f aca="false">IF(V22="","",ROUND(V22+IF(W$3=1,N(Frota!$J22),N(Frota!$K22)),2))</f>
        <v/>
      </c>
      <c r="X22" s="0" t="str">
        <f aca="false">IF(W22="","",ROUND(W22+IF(X$3=1,N(Frota!$J22),N(Frota!$K22)),2))</f>
        <v/>
      </c>
      <c r="Y22" s="0" t="str">
        <f aca="false">IF(X22="","",ROUND(X22+IF(Y$3=1,N(Frota!$J22),N(Frota!$K22)),2))</f>
        <v/>
      </c>
      <c r="Z22" s="0" t="str">
        <f aca="false">IF(Y22="","",ROUND(Y22+IF(Z$3=1,N(Frota!$J22),N(Frota!$K22)),2))</f>
        <v/>
      </c>
      <c r="AA22" s="0" t="str">
        <f aca="false">IF(Z22="","",ROUND(Z22+IF(AA$3=1,N(Frota!$J22),N(Frota!$K22)),2))</f>
        <v/>
      </c>
      <c r="AB22" s="0" t="str">
        <f aca="false">IF(AA22="","",ROUND(AA22+IF(AB$3=1,N(Frota!$J22),N(Frota!$K22)),2))</f>
        <v/>
      </c>
      <c r="AC22" s="0" t="str">
        <f aca="false">IF(AB22="","",ROUND(AB22+IF(AC$3=1,N(Frota!$J22),N(Frota!$K22)),2))</f>
        <v/>
      </c>
      <c r="AD22" s="0" t="str">
        <f aca="false">IF(AC22="","",ROUND(AC22+IF(AD$3=1,N(Frota!$J22),N(Frota!$K22)),2))</f>
        <v/>
      </c>
      <c r="AE22" s="0" t="str">
        <f aca="false">IF(AD22="","",ROUND(AD22+IF(AE$3=1,N(Frota!$J22),N(Frota!$K22)),2))</f>
        <v/>
      </c>
      <c r="AF22" s="0" t="str">
        <f aca="false">IF(AE22="","",ROUND(AE22+IF(AF$3=1,N(Frota!$J22),N(Frota!$K22)),2))</f>
        <v/>
      </c>
      <c r="AG22" s="0" t="str">
        <f aca="false">IF(AF22="","",ROUND(AF22+IF(AG$3=1,N(Frota!$J22),N(Frota!$K22)),2))</f>
        <v/>
      </c>
      <c r="AH22" s="0" t="str">
        <f aca="false">IF(AG22="","",ROUND(AG22+IF(AH$3=1,N(Frota!$J22),N(Frota!$K22)),2))</f>
        <v/>
      </c>
      <c r="AI22" s="0" t="str">
        <f aca="false">IF(AH22="","",ROUND(AH22+IF(AI$3=1,N(Frota!$J22),N(Frota!$K22)),2))</f>
        <v/>
      </c>
      <c r="AJ22" s="0" t="str">
        <f aca="false">IF(AI22="","",ROUND(AI22+IF(AJ$3=1,N(Frota!$J22),N(Frota!$K22)),2))</f>
        <v/>
      </c>
      <c r="AK22" s="0" t="str">
        <f aca="false">IF(AJ22="","",ROUND(AJ22+IF(AK$3=1,N(Frota!$J22),N(Frota!$K22)),2))</f>
        <v/>
      </c>
      <c r="AL22" s="0" t="str">
        <f aca="false">IF(AK22="","",ROUND(AK22+IF(AL$3=1,N(Frota!$J22),N(Frota!$K22)),2))</f>
        <v/>
      </c>
      <c r="AM22" s="0" t="str">
        <f aca="false">IF(AL22="","",ROUND(AL22+IF(AM$3=1,N(Frota!$J22),N(Frota!$K22)),2))</f>
        <v/>
      </c>
      <c r="AN22" s="0" t="str">
        <f aca="false">IF(AM22="","",ROUND(AM22+IF(AN$3=1,N(Frota!$J22),N(Frota!$K22)),2))</f>
        <v/>
      </c>
      <c r="AO22" s="0" t="str">
        <f aca="false">IF(AN22="","",ROUND(AN22+IF(AO$3=1,N(Frota!$J22),N(Frota!$K22)),2))</f>
        <v/>
      </c>
      <c r="AP22" s="0" t="str">
        <f aca="false">IF(AO22="","",ROUND(AO22+IF(AP$3=1,N(Frota!$J22),N(Frota!$K22)),2))</f>
        <v/>
      </c>
      <c r="AQ22" s="0" t="str">
        <f aca="false">IF(AP22="","",ROUND(AP22+IF(AQ$3=1,N(Frota!$J22),N(Frota!$K22)),2))</f>
        <v/>
      </c>
      <c r="AR22" s="0" t="str">
        <f aca="false">IF(AQ22="","",ROUND(AQ22+IF(AR$3=1,N(Frota!$J22),N(Frota!$K22)),2))</f>
        <v/>
      </c>
      <c r="AS22" s="0" t="str">
        <f aca="false">IF(AR22="","",ROUND(AR22+IF(AS$3=1,N(Frota!$J22),N(Frota!$K22)),2))</f>
        <v/>
      </c>
      <c r="AT22" s="0" t="str">
        <f aca="false">IF(AS22="","",ROUND(AS22+IF(AT$3=1,N(Frota!$J22),N(Frota!$K22)),2))</f>
        <v/>
      </c>
      <c r="AU22" s="0" t="str">
        <f aca="false">IF(AT22="","",ROUND(AT22+IF(AU$3=1,N(Frota!$J22),N(Frota!$K22)),2))</f>
        <v/>
      </c>
      <c r="AV22" s="0" t="str">
        <f aca="false">IF(AU22="","",ROUND(AU22+IF(AV$3=1,N(Frota!$J22),N(Frota!$K22)),2))</f>
        <v/>
      </c>
      <c r="AW22" s="0" t="str">
        <f aca="false">IF(AV22="","",ROUND(AV22+IF(AW$3=1,N(Frota!$J22),N(Frota!$K22)),2))</f>
        <v/>
      </c>
      <c r="AX22" s="0" t="str">
        <f aca="false">IF(AW22="","",ROUND(AW22+IF(AX$3=1,N(Frota!$J22),N(Frota!$K22)),2))</f>
        <v/>
      </c>
      <c r="AY22" s="0" t="str">
        <f aca="false">IF(AX22="","",ROUND(AX22+IF(AY$3=1,N(Frota!$J22),N(Frota!$K22)),2))</f>
        <v/>
      </c>
      <c r="AZ22" s="0" t="str">
        <f aca="false">IF(AY22="","",ROUND(AY22+IF(AZ$3=1,N(Frota!$J22),N(Frota!$K22)),2))</f>
        <v/>
      </c>
      <c r="BA22" s="0" t="str">
        <f aca="false">IF(AZ22="","",ROUND(AZ22+IF(BA$3=1,N(Frota!$J22),N(Frota!$K22)),2))</f>
        <v/>
      </c>
    </row>
    <row r="23" customFormat="false" ht="15" hidden="false" customHeight="false" outlineLevel="0" collapsed="false">
      <c r="A23" s="2" t="str">
        <f aca="false">IF(Frota!$A23="","",Frota!$A23)</f>
        <v/>
      </c>
      <c r="B23" s="0" t="str">
        <f aca="false">IF(OR(Frota!$A23="",Frota!$G23&lt;&gt;"Ativo",N(Frota!$L23)=0),"",ROUND(Frota!$I23+IF(B$3=1,N(Frota!$J23),N(Frota!$K23)),2))</f>
        <v/>
      </c>
      <c r="C23" s="0" t="str">
        <f aca="false">IF(B23="","",ROUND(B23+IF(C$3=1,N(Frota!$J23),N(Frota!$K23)),2))</f>
        <v/>
      </c>
      <c r="D23" s="0" t="str">
        <f aca="false">IF(C23="","",ROUND(C23+IF(D$3=1,N(Frota!$J23),N(Frota!$K23)),2))</f>
        <v/>
      </c>
      <c r="E23" s="0" t="str">
        <f aca="false">IF(D23="","",ROUND(D23+IF(E$3=1,N(Frota!$J23),N(Frota!$K23)),2))</f>
        <v/>
      </c>
      <c r="F23" s="0" t="str">
        <f aca="false">IF(E23="","",ROUND(E23+IF(F$3=1,N(Frota!$J23),N(Frota!$K23)),2))</f>
        <v/>
      </c>
      <c r="G23" s="0" t="str">
        <f aca="false">IF(F23="","",ROUND(F23+IF(G$3=1,N(Frota!$J23),N(Frota!$K23)),2))</f>
        <v/>
      </c>
      <c r="H23" s="0" t="str">
        <f aca="false">IF(G23="","",ROUND(G23+IF(H$3=1,N(Frota!$J23),N(Frota!$K23)),2))</f>
        <v/>
      </c>
      <c r="I23" s="0" t="str">
        <f aca="false">IF(H23="","",ROUND(H23+IF(I$3=1,N(Frota!$J23),N(Frota!$K23)),2))</f>
        <v/>
      </c>
      <c r="J23" s="0" t="str">
        <f aca="false">IF(I23="","",ROUND(I23+IF(J$3=1,N(Frota!$J23),N(Frota!$K23)),2))</f>
        <v/>
      </c>
      <c r="K23" s="0" t="str">
        <f aca="false">IF(J23="","",ROUND(J23+IF(K$3=1,N(Frota!$J23),N(Frota!$K23)),2))</f>
        <v/>
      </c>
      <c r="L23" s="0" t="str">
        <f aca="false">IF(K23="","",ROUND(K23+IF(L$3=1,N(Frota!$J23),N(Frota!$K23)),2))</f>
        <v/>
      </c>
      <c r="M23" s="0" t="str">
        <f aca="false">IF(L23="","",ROUND(L23+IF(M$3=1,N(Frota!$J23),N(Frota!$K23)),2))</f>
        <v/>
      </c>
      <c r="N23" s="0" t="str">
        <f aca="false">IF(M23="","",ROUND(M23+IF(N$3=1,N(Frota!$J23),N(Frota!$K23)),2))</f>
        <v/>
      </c>
      <c r="O23" s="0" t="str">
        <f aca="false">IF(N23="","",ROUND(N23+IF(O$3=1,N(Frota!$J23),N(Frota!$K23)),2))</f>
        <v/>
      </c>
      <c r="P23" s="0" t="str">
        <f aca="false">IF(O23="","",ROUND(O23+IF(P$3=1,N(Frota!$J23),N(Frota!$K23)),2))</f>
        <v/>
      </c>
      <c r="Q23" s="0" t="str">
        <f aca="false">IF(P23="","",ROUND(P23+IF(Q$3=1,N(Frota!$J23),N(Frota!$K23)),2))</f>
        <v/>
      </c>
      <c r="R23" s="0" t="str">
        <f aca="false">IF(Q23="","",ROUND(Q23+IF(R$3=1,N(Frota!$J23),N(Frota!$K23)),2))</f>
        <v/>
      </c>
      <c r="S23" s="0" t="str">
        <f aca="false">IF(R23="","",ROUND(R23+IF(S$3=1,N(Frota!$J23),N(Frota!$K23)),2))</f>
        <v/>
      </c>
      <c r="T23" s="0" t="str">
        <f aca="false">IF(S23="","",ROUND(S23+IF(T$3=1,N(Frota!$J23),N(Frota!$K23)),2))</f>
        <v/>
      </c>
      <c r="U23" s="0" t="str">
        <f aca="false">IF(T23="","",ROUND(T23+IF(U$3=1,N(Frota!$J23),N(Frota!$K23)),2))</f>
        <v/>
      </c>
      <c r="V23" s="0" t="str">
        <f aca="false">IF(U23="","",ROUND(U23+IF(V$3=1,N(Frota!$J23),N(Frota!$K23)),2))</f>
        <v/>
      </c>
      <c r="W23" s="0" t="str">
        <f aca="false">IF(V23="","",ROUND(V23+IF(W$3=1,N(Frota!$J23),N(Frota!$K23)),2))</f>
        <v/>
      </c>
      <c r="X23" s="0" t="str">
        <f aca="false">IF(W23="","",ROUND(W23+IF(X$3=1,N(Frota!$J23),N(Frota!$K23)),2))</f>
        <v/>
      </c>
      <c r="Y23" s="0" t="str">
        <f aca="false">IF(X23="","",ROUND(X23+IF(Y$3=1,N(Frota!$J23),N(Frota!$K23)),2))</f>
        <v/>
      </c>
      <c r="Z23" s="0" t="str">
        <f aca="false">IF(Y23="","",ROUND(Y23+IF(Z$3=1,N(Frota!$J23),N(Frota!$K23)),2))</f>
        <v/>
      </c>
      <c r="AA23" s="0" t="str">
        <f aca="false">IF(Z23="","",ROUND(Z23+IF(AA$3=1,N(Frota!$J23),N(Frota!$K23)),2))</f>
        <v/>
      </c>
      <c r="AB23" s="0" t="str">
        <f aca="false">IF(AA23="","",ROUND(AA23+IF(AB$3=1,N(Frota!$J23),N(Frota!$K23)),2))</f>
        <v/>
      </c>
      <c r="AC23" s="0" t="str">
        <f aca="false">IF(AB23="","",ROUND(AB23+IF(AC$3=1,N(Frota!$J23),N(Frota!$K23)),2))</f>
        <v/>
      </c>
      <c r="AD23" s="0" t="str">
        <f aca="false">IF(AC23="","",ROUND(AC23+IF(AD$3=1,N(Frota!$J23),N(Frota!$K23)),2))</f>
        <v/>
      </c>
      <c r="AE23" s="0" t="str">
        <f aca="false">IF(AD23="","",ROUND(AD23+IF(AE$3=1,N(Frota!$J23),N(Frota!$K23)),2))</f>
        <v/>
      </c>
      <c r="AF23" s="0" t="str">
        <f aca="false">IF(AE23="","",ROUND(AE23+IF(AF$3=1,N(Frota!$J23),N(Frota!$K23)),2))</f>
        <v/>
      </c>
      <c r="AG23" s="0" t="str">
        <f aca="false">IF(AF23="","",ROUND(AF23+IF(AG$3=1,N(Frota!$J23),N(Frota!$K23)),2))</f>
        <v/>
      </c>
      <c r="AH23" s="0" t="str">
        <f aca="false">IF(AG23="","",ROUND(AG23+IF(AH$3=1,N(Frota!$J23),N(Frota!$K23)),2))</f>
        <v/>
      </c>
      <c r="AI23" s="0" t="str">
        <f aca="false">IF(AH23="","",ROUND(AH23+IF(AI$3=1,N(Frota!$J23),N(Frota!$K23)),2))</f>
        <v/>
      </c>
      <c r="AJ23" s="0" t="str">
        <f aca="false">IF(AI23="","",ROUND(AI23+IF(AJ$3=1,N(Frota!$J23),N(Frota!$K23)),2))</f>
        <v/>
      </c>
      <c r="AK23" s="0" t="str">
        <f aca="false">IF(AJ23="","",ROUND(AJ23+IF(AK$3=1,N(Frota!$J23),N(Frota!$K23)),2))</f>
        <v/>
      </c>
      <c r="AL23" s="0" t="str">
        <f aca="false">IF(AK23="","",ROUND(AK23+IF(AL$3=1,N(Frota!$J23),N(Frota!$K23)),2))</f>
        <v/>
      </c>
      <c r="AM23" s="0" t="str">
        <f aca="false">IF(AL23="","",ROUND(AL23+IF(AM$3=1,N(Frota!$J23),N(Frota!$K23)),2))</f>
        <v/>
      </c>
      <c r="AN23" s="0" t="str">
        <f aca="false">IF(AM23="","",ROUND(AM23+IF(AN$3=1,N(Frota!$J23),N(Frota!$K23)),2))</f>
        <v/>
      </c>
      <c r="AO23" s="0" t="str">
        <f aca="false">IF(AN23="","",ROUND(AN23+IF(AO$3=1,N(Frota!$J23),N(Frota!$K23)),2))</f>
        <v/>
      </c>
      <c r="AP23" s="0" t="str">
        <f aca="false">IF(AO23="","",ROUND(AO23+IF(AP$3=1,N(Frota!$J23),N(Frota!$K23)),2))</f>
        <v/>
      </c>
      <c r="AQ23" s="0" t="str">
        <f aca="false">IF(AP23="","",ROUND(AP23+IF(AQ$3=1,N(Frota!$J23),N(Frota!$K23)),2))</f>
        <v/>
      </c>
      <c r="AR23" s="0" t="str">
        <f aca="false">IF(AQ23="","",ROUND(AQ23+IF(AR$3=1,N(Frota!$J23),N(Frota!$K23)),2))</f>
        <v/>
      </c>
      <c r="AS23" s="0" t="str">
        <f aca="false">IF(AR23="","",ROUND(AR23+IF(AS$3=1,N(Frota!$J23),N(Frota!$K23)),2))</f>
        <v/>
      </c>
      <c r="AT23" s="0" t="str">
        <f aca="false">IF(AS23="","",ROUND(AS23+IF(AT$3=1,N(Frota!$J23),N(Frota!$K23)),2))</f>
        <v/>
      </c>
      <c r="AU23" s="0" t="str">
        <f aca="false">IF(AT23="","",ROUND(AT23+IF(AU$3=1,N(Frota!$J23),N(Frota!$K23)),2))</f>
        <v/>
      </c>
      <c r="AV23" s="0" t="str">
        <f aca="false">IF(AU23="","",ROUND(AU23+IF(AV$3=1,N(Frota!$J23),N(Frota!$K23)),2))</f>
        <v/>
      </c>
      <c r="AW23" s="0" t="str">
        <f aca="false">IF(AV23="","",ROUND(AV23+IF(AW$3=1,N(Frota!$J23),N(Frota!$K23)),2))</f>
        <v/>
      </c>
      <c r="AX23" s="0" t="str">
        <f aca="false">IF(AW23="","",ROUND(AW23+IF(AX$3=1,N(Frota!$J23),N(Frota!$K23)),2))</f>
        <v/>
      </c>
      <c r="AY23" s="0" t="str">
        <f aca="false">IF(AX23="","",ROUND(AX23+IF(AY$3=1,N(Frota!$J23),N(Frota!$K23)),2))</f>
        <v/>
      </c>
      <c r="AZ23" s="0" t="str">
        <f aca="false">IF(AY23="","",ROUND(AY23+IF(AZ$3=1,N(Frota!$J23),N(Frota!$K23)),2))</f>
        <v/>
      </c>
      <c r="BA23" s="0" t="str">
        <f aca="false">IF(AZ23="","",ROUND(AZ23+IF(BA$3=1,N(Frota!$J23),N(Frota!$K23)),2))</f>
        <v/>
      </c>
    </row>
    <row r="24" customFormat="false" ht="15" hidden="false" customHeight="false" outlineLevel="0" collapsed="false">
      <c r="A24" s="2" t="str">
        <f aca="false">IF(Frota!$A24="","",Frota!$A24)</f>
        <v/>
      </c>
      <c r="B24" s="0" t="str">
        <f aca="false">IF(OR(Frota!$A24="",Frota!$G24&lt;&gt;"Ativo",N(Frota!$L24)=0),"",ROUND(Frota!$I24+IF(B$3=1,N(Frota!$J24),N(Frota!$K24)),2))</f>
        <v/>
      </c>
      <c r="C24" s="0" t="str">
        <f aca="false">IF(B24="","",ROUND(B24+IF(C$3=1,N(Frota!$J24),N(Frota!$K24)),2))</f>
        <v/>
      </c>
      <c r="D24" s="0" t="str">
        <f aca="false">IF(C24="","",ROUND(C24+IF(D$3=1,N(Frota!$J24),N(Frota!$K24)),2))</f>
        <v/>
      </c>
      <c r="E24" s="0" t="str">
        <f aca="false">IF(D24="","",ROUND(D24+IF(E$3=1,N(Frota!$J24),N(Frota!$K24)),2))</f>
        <v/>
      </c>
      <c r="F24" s="0" t="str">
        <f aca="false">IF(E24="","",ROUND(E24+IF(F$3=1,N(Frota!$J24),N(Frota!$K24)),2))</f>
        <v/>
      </c>
      <c r="G24" s="0" t="str">
        <f aca="false">IF(F24="","",ROUND(F24+IF(G$3=1,N(Frota!$J24),N(Frota!$K24)),2))</f>
        <v/>
      </c>
      <c r="H24" s="0" t="str">
        <f aca="false">IF(G24="","",ROUND(G24+IF(H$3=1,N(Frota!$J24),N(Frota!$K24)),2))</f>
        <v/>
      </c>
      <c r="I24" s="0" t="str">
        <f aca="false">IF(H24="","",ROUND(H24+IF(I$3=1,N(Frota!$J24),N(Frota!$K24)),2))</f>
        <v/>
      </c>
      <c r="J24" s="0" t="str">
        <f aca="false">IF(I24="","",ROUND(I24+IF(J$3=1,N(Frota!$J24),N(Frota!$K24)),2))</f>
        <v/>
      </c>
      <c r="K24" s="0" t="str">
        <f aca="false">IF(J24="","",ROUND(J24+IF(K$3=1,N(Frota!$J24),N(Frota!$K24)),2))</f>
        <v/>
      </c>
      <c r="L24" s="0" t="str">
        <f aca="false">IF(K24="","",ROUND(K24+IF(L$3=1,N(Frota!$J24),N(Frota!$K24)),2))</f>
        <v/>
      </c>
      <c r="M24" s="0" t="str">
        <f aca="false">IF(L24="","",ROUND(L24+IF(M$3=1,N(Frota!$J24),N(Frota!$K24)),2))</f>
        <v/>
      </c>
      <c r="N24" s="0" t="str">
        <f aca="false">IF(M24="","",ROUND(M24+IF(N$3=1,N(Frota!$J24),N(Frota!$K24)),2))</f>
        <v/>
      </c>
      <c r="O24" s="0" t="str">
        <f aca="false">IF(N24="","",ROUND(N24+IF(O$3=1,N(Frota!$J24),N(Frota!$K24)),2))</f>
        <v/>
      </c>
      <c r="P24" s="0" t="str">
        <f aca="false">IF(O24="","",ROUND(O24+IF(P$3=1,N(Frota!$J24),N(Frota!$K24)),2))</f>
        <v/>
      </c>
      <c r="Q24" s="0" t="str">
        <f aca="false">IF(P24="","",ROUND(P24+IF(Q$3=1,N(Frota!$J24),N(Frota!$K24)),2))</f>
        <v/>
      </c>
      <c r="R24" s="0" t="str">
        <f aca="false">IF(Q24="","",ROUND(Q24+IF(R$3=1,N(Frota!$J24),N(Frota!$K24)),2))</f>
        <v/>
      </c>
      <c r="S24" s="0" t="str">
        <f aca="false">IF(R24="","",ROUND(R24+IF(S$3=1,N(Frota!$J24),N(Frota!$K24)),2))</f>
        <v/>
      </c>
      <c r="T24" s="0" t="str">
        <f aca="false">IF(S24="","",ROUND(S24+IF(T$3=1,N(Frota!$J24),N(Frota!$K24)),2))</f>
        <v/>
      </c>
      <c r="U24" s="0" t="str">
        <f aca="false">IF(T24="","",ROUND(T24+IF(U$3=1,N(Frota!$J24),N(Frota!$K24)),2))</f>
        <v/>
      </c>
      <c r="V24" s="0" t="str">
        <f aca="false">IF(U24="","",ROUND(U24+IF(V$3=1,N(Frota!$J24),N(Frota!$K24)),2))</f>
        <v/>
      </c>
      <c r="W24" s="0" t="str">
        <f aca="false">IF(V24="","",ROUND(V24+IF(W$3=1,N(Frota!$J24),N(Frota!$K24)),2))</f>
        <v/>
      </c>
      <c r="X24" s="0" t="str">
        <f aca="false">IF(W24="","",ROUND(W24+IF(X$3=1,N(Frota!$J24),N(Frota!$K24)),2))</f>
        <v/>
      </c>
      <c r="Y24" s="0" t="str">
        <f aca="false">IF(X24="","",ROUND(X24+IF(Y$3=1,N(Frota!$J24),N(Frota!$K24)),2))</f>
        <v/>
      </c>
      <c r="Z24" s="0" t="str">
        <f aca="false">IF(Y24="","",ROUND(Y24+IF(Z$3=1,N(Frota!$J24),N(Frota!$K24)),2))</f>
        <v/>
      </c>
      <c r="AA24" s="0" t="str">
        <f aca="false">IF(Z24="","",ROUND(Z24+IF(AA$3=1,N(Frota!$J24),N(Frota!$K24)),2))</f>
        <v/>
      </c>
      <c r="AB24" s="0" t="str">
        <f aca="false">IF(AA24="","",ROUND(AA24+IF(AB$3=1,N(Frota!$J24),N(Frota!$K24)),2))</f>
        <v/>
      </c>
      <c r="AC24" s="0" t="str">
        <f aca="false">IF(AB24="","",ROUND(AB24+IF(AC$3=1,N(Frota!$J24),N(Frota!$K24)),2))</f>
        <v/>
      </c>
      <c r="AD24" s="0" t="str">
        <f aca="false">IF(AC24="","",ROUND(AC24+IF(AD$3=1,N(Frota!$J24),N(Frota!$K24)),2))</f>
        <v/>
      </c>
      <c r="AE24" s="0" t="str">
        <f aca="false">IF(AD24="","",ROUND(AD24+IF(AE$3=1,N(Frota!$J24),N(Frota!$K24)),2))</f>
        <v/>
      </c>
      <c r="AF24" s="0" t="str">
        <f aca="false">IF(AE24="","",ROUND(AE24+IF(AF$3=1,N(Frota!$J24),N(Frota!$K24)),2))</f>
        <v/>
      </c>
      <c r="AG24" s="0" t="str">
        <f aca="false">IF(AF24="","",ROUND(AF24+IF(AG$3=1,N(Frota!$J24),N(Frota!$K24)),2))</f>
        <v/>
      </c>
      <c r="AH24" s="0" t="str">
        <f aca="false">IF(AG24="","",ROUND(AG24+IF(AH$3=1,N(Frota!$J24),N(Frota!$K24)),2))</f>
        <v/>
      </c>
      <c r="AI24" s="0" t="str">
        <f aca="false">IF(AH24="","",ROUND(AH24+IF(AI$3=1,N(Frota!$J24),N(Frota!$K24)),2))</f>
        <v/>
      </c>
      <c r="AJ24" s="0" t="str">
        <f aca="false">IF(AI24="","",ROUND(AI24+IF(AJ$3=1,N(Frota!$J24),N(Frota!$K24)),2))</f>
        <v/>
      </c>
      <c r="AK24" s="0" t="str">
        <f aca="false">IF(AJ24="","",ROUND(AJ24+IF(AK$3=1,N(Frota!$J24),N(Frota!$K24)),2))</f>
        <v/>
      </c>
      <c r="AL24" s="0" t="str">
        <f aca="false">IF(AK24="","",ROUND(AK24+IF(AL$3=1,N(Frota!$J24),N(Frota!$K24)),2))</f>
        <v/>
      </c>
      <c r="AM24" s="0" t="str">
        <f aca="false">IF(AL24="","",ROUND(AL24+IF(AM$3=1,N(Frota!$J24),N(Frota!$K24)),2))</f>
        <v/>
      </c>
      <c r="AN24" s="0" t="str">
        <f aca="false">IF(AM24="","",ROUND(AM24+IF(AN$3=1,N(Frota!$J24),N(Frota!$K24)),2))</f>
        <v/>
      </c>
      <c r="AO24" s="0" t="str">
        <f aca="false">IF(AN24="","",ROUND(AN24+IF(AO$3=1,N(Frota!$J24),N(Frota!$K24)),2))</f>
        <v/>
      </c>
      <c r="AP24" s="0" t="str">
        <f aca="false">IF(AO24="","",ROUND(AO24+IF(AP$3=1,N(Frota!$J24),N(Frota!$K24)),2))</f>
        <v/>
      </c>
      <c r="AQ24" s="0" t="str">
        <f aca="false">IF(AP24="","",ROUND(AP24+IF(AQ$3=1,N(Frota!$J24),N(Frota!$K24)),2))</f>
        <v/>
      </c>
      <c r="AR24" s="0" t="str">
        <f aca="false">IF(AQ24="","",ROUND(AQ24+IF(AR$3=1,N(Frota!$J24),N(Frota!$K24)),2))</f>
        <v/>
      </c>
      <c r="AS24" s="0" t="str">
        <f aca="false">IF(AR24="","",ROUND(AR24+IF(AS$3=1,N(Frota!$J24),N(Frota!$K24)),2))</f>
        <v/>
      </c>
      <c r="AT24" s="0" t="str">
        <f aca="false">IF(AS24="","",ROUND(AS24+IF(AT$3=1,N(Frota!$J24),N(Frota!$K24)),2))</f>
        <v/>
      </c>
      <c r="AU24" s="0" t="str">
        <f aca="false">IF(AT24="","",ROUND(AT24+IF(AU$3=1,N(Frota!$J24),N(Frota!$K24)),2))</f>
        <v/>
      </c>
      <c r="AV24" s="0" t="str">
        <f aca="false">IF(AU24="","",ROUND(AU24+IF(AV$3=1,N(Frota!$J24),N(Frota!$K24)),2))</f>
        <v/>
      </c>
      <c r="AW24" s="0" t="str">
        <f aca="false">IF(AV24="","",ROUND(AV24+IF(AW$3=1,N(Frota!$J24),N(Frota!$K24)),2))</f>
        <v/>
      </c>
      <c r="AX24" s="0" t="str">
        <f aca="false">IF(AW24="","",ROUND(AW24+IF(AX$3=1,N(Frota!$J24),N(Frota!$K24)),2))</f>
        <v/>
      </c>
      <c r="AY24" s="0" t="str">
        <f aca="false">IF(AX24="","",ROUND(AX24+IF(AY$3=1,N(Frota!$J24),N(Frota!$K24)),2))</f>
        <v/>
      </c>
      <c r="AZ24" s="0" t="str">
        <f aca="false">IF(AY24="","",ROUND(AY24+IF(AZ$3=1,N(Frota!$J24),N(Frota!$K24)),2))</f>
        <v/>
      </c>
      <c r="BA24" s="0" t="str">
        <f aca="false">IF(AZ24="","",ROUND(AZ24+IF(BA$3=1,N(Frota!$J24),N(Frota!$K24)),2))</f>
        <v/>
      </c>
    </row>
    <row r="25" customFormat="false" ht="15" hidden="false" customHeight="false" outlineLevel="0" collapsed="false">
      <c r="A25" s="2" t="str">
        <f aca="false">IF(Frota!$A25="","",Frota!$A25)</f>
        <v/>
      </c>
      <c r="B25" s="0" t="str">
        <f aca="false">IF(OR(Frota!$A25="",Frota!$G25&lt;&gt;"Ativo",N(Frota!$L25)=0),"",ROUND(Frota!$I25+IF(B$3=1,N(Frota!$J25),N(Frota!$K25)),2))</f>
        <v/>
      </c>
      <c r="C25" s="0" t="str">
        <f aca="false">IF(B25="","",ROUND(B25+IF(C$3=1,N(Frota!$J25),N(Frota!$K25)),2))</f>
        <v/>
      </c>
      <c r="D25" s="0" t="str">
        <f aca="false">IF(C25="","",ROUND(C25+IF(D$3=1,N(Frota!$J25),N(Frota!$K25)),2))</f>
        <v/>
      </c>
      <c r="E25" s="0" t="str">
        <f aca="false">IF(D25="","",ROUND(D25+IF(E$3=1,N(Frota!$J25),N(Frota!$K25)),2))</f>
        <v/>
      </c>
      <c r="F25" s="0" t="str">
        <f aca="false">IF(E25="","",ROUND(E25+IF(F$3=1,N(Frota!$J25),N(Frota!$K25)),2))</f>
        <v/>
      </c>
      <c r="G25" s="0" t="str">
        <f aca="false">IF(F25="","",ROUND(F25+IF(G$3=1,N(Frota!$J25),N(Frota!$K25)),2))</f>
        <v/>
      </c>
      <c r="H25" s="0" t="str">
        <f aca="false">IF(G25="","",ROUND(G25+IF(H$3=1,N(Frota!$J25),N(Frota!$K25)),2))</f>
        <v/>
      </c>
      <c r="I25" s="0" t="str">
        <f aca="false">IF(H25="","",ROUND(H25+IF(I$3=1,N(Frota!$J25),N(Frota!$K25)),2))</f>
        <v/>
      </c>
      <c r="J25" s="0" t="str">
        <f aca="false">IF(I25="","",ROUND(I25+IF(J$3=1,N(Frota!$J25),N(Frota!$K25)),2))</f>
        <v/>
      </c>
      <c r="K25" s="0" t="str">
        <f aca="false">IF(J25="","",ROUND(J25+IF(K$3=1,N(Frota!$J25),N(Frota!$K25)),2))</f>
        <v/>
      </c>
      <c r="L25" s="0" t="str">
        <f aca="false">IF(K25="","",ROUND(K25+IF(L$3=1,N(Frota!$J25),N(Frota!$K25)),2))</f>
        <v/>
      </c>
      <c r="M25" s="0" t="str">
        <f aca="false">IF(L25="","",ROUND(L25+IF(M$3=1,N(Frota!$J25),N(Frota!$K25)),2))</f>
        <v/>
      </c>
      <c r="N25" s="0" t="str">
        <f aca="false">IF(M25="","",ROUND(M25+IF(N$3=1,N(Frota!$J25),N(Frota!$K25)),2))</f>
        <v/>
      </c>
      <c r="O25" s="0" t="str">
        <f aca="false">IF(N25="","",ROUND(N25+IF(O$3=1,N(Frota!$J25),N(Frota!$K25)),2))</f>
        <v/>
      </c>
      <c r="P25" s="0" t="str">
        <f aca="false">IF(O25="","",ROUND(O25+IF(P$3=1,N(Frota!$J25),N(Frota!$K25)),2))</f>
        <v/>
      </c>
      <c r="Q25" s="0" t="str">
        <f aca="false">IF(P25="","",ROUND(P25+IF(Q$3=1,N(Frota!$J25),N(Frota!$K25)),2))</f>
        <v/>
      </c>
      <c r="R25" s="0" t="str">
        <f aca="false">IF(Q25="","",ROUND(Q25+IF(R$3=1,N(Frota!$J25),N(Frota!$K25)),2))</f>
        <v/>
      </c>
      <c r="S25" s="0" t="str">
        <f aca="false">IF(R25="","",ROUND(R25+IF(S$3=1,N(Frota!$J25),N(Frota!$K25)),2))</f>
        <v/>
      </c>
      <c r="T25" s="0" t="str">
        <f aca="false">IF(S25="","",ROUND(S25+IF(T$3=1,N(Frota!$J25),N(Frota!$K25)),2))</f>
        <v/>
      </c>
      <c r="U25" s="0" t="str">
        <f aca="false">IF(T25="","",ROUND(T25+IF(U$3=1,N(Frota!$J25),N(Frota!$K25)),2))</f>
        <v/>
      </c>
      <c r="V25" s="0" t="str">
        <f aca="false">IF(U25="","",ROUND(U25+IF(V$3=1,N(Frota!$J25),N(Frota!$K25)),2))</f>
        <v/>
      </c>
      <c r="W25" s="0" t="str">
        <f aca="false">IF(V25="","",ROUND(V25+IF(W$3=1,N(Frota!$J25),N(Frota!$K25)),2))</f>
        <v/>
      </c>
      <c r="X25" s="0" t="str">
        <f aca="false">IF(W25="","",ROUND(W25+IF(X$3=1,N(Frota!$J25),N(Frota!$K25)),2))</f>
        <v/>
      </c>
      <c r="Y25" s="0" t="str">
        <f aca="false">IF(X25="","",ROUND(X25+IF(Y$3=1,N(Frota!$J25),N(Frota!$K25)),2))</f>
        <v/>
      </c>
      <c r="Z25" s="0" t="str">
        <f aca="false">IF(Y25="","",ROUND(Y25+IF(Z$3=1,N(Frota!$J25),N(Frota!$K25)),2))</f>
        <v/>
      </c>
      <c r="AA25" s="0" t="str">
        <f aca="false">IF(Z25="","",ROUND(Z25+IF(AA$3=1,N(Frota!$J25),N(Frota!$K25)),2))</f>
        <v/>
      </c>
      <c r="AB25" s="0" t="str">
        <f aca="false">IF(AA25="","",ROUND(AA25+IF(AB$3=1,N(Frota!$J25),N(Frota!$K25)),2))</f>
        <v/>
      </c>
      <c r="AC25" s="0" t="str">
        <f aca="false">IF(AB25="","",ROUND(AB25+IF(AC$3=1,N(Frota!$J25),N(Frota!$K25)),2))</f>
        <v/>
      </c>
      <c r="AD25" s="0" t="str">
        <f aca="false">IF(AC25="","",ROUND(AC25+IF(AD$3=1,N(Frota!$J25),N(Frota!$K25)),2))</f>
        <v/>
      </c>
      <c r="AE25" s="0" t="str">
        <f aca="false">IF(AD25="","",ROUND(AD25+IF(AE$3=1,N(Frota!$J25),N(Frota!$K25)),2))</f>
        <v/>
      </c>
      <c r="AF25" s="0" t="str">
        <f aca="false">IF(AE25="","",ROUND(AE25+IF(AF$3=1,N(Frota!$J25),N(Frota!$K25)),2))</f>
        <v/>
      </c>
      <c r="AG25" s="0" t="str">
        <f aca="false">IF(AF25="","",ROUND(AF25+IF(AG$3=1,N(Frota!$J25),N(Frota!$K25)),2))</f>
        <v/>
      </c>
      <c r="AH25" s="0" t="str">
        <f aca="false">IF(AG25="","",ROUND(AG25+IF(AH$3=1,N(Frota!$J25),N(Frota!$K25)),2))</f>
        <v/>
      </c>
      <c r="AI25" s="0" t="str">
        <f aca="false">IF(AH25="","",ROUND(AH25+IF(AI$3=1,N(Frota!$J25),N(Frota!$K25)),2))</f>
        <v/>
      </c>
      <c r="AJ25" s="0" t="str">
        <f aca="false">IF(AI25="","",ROUND(AI25+IF(AJ$3=1,N(Frota!$J25),N(Frota!$K25)),2))</f>
        <v/>
      </c>
      <c r="AK25" s="0" t="str">
        <f aca="false">IF(AJ25="","",ROUND(AJ25+IF(AK$3=1,N(Frota!$J25),N(Frota!$K25)),2))</f>
        <v/>
      </c>
      <c r="AL25" s="0" t="str">
        <f aca="false">IF(AK25="","",ROUND(AK25+IF(AL$3=1,N(Frota!$J25),N(Frota!$K25)),2))</f>
        <v/>
      </c>
      <c r="AM25" s="0" t="str">
        <f aca="false">IF(AL25="","",ROUND(AL25+IF(AM$3=1,N(Frota!$J25),N(Frota!$K25)),2))</f>
        <v/>
      </c>
      <c r="AN25" s="0" t="str">
        <f aca="false">IF(AM25="","",ROUND(AM25+IF(AN$3=1,N(Frota!$J25),N(Frota!$K25)),2))</f>
        <v/>
      </c>
      <c r="AO25" s="0" t="str">
        <f aca="false">IF(AN25="","",ROUND(AN25+IF(AO$3=1,N(Frota!$J25),N(Frota!$K25)),2))</f>
        <v/>
      </c>
      <c r="AP25" s="0" t="str">
        <f aca="false">IF(AO25="","",ROUND(AO25+IF(AP$3=1,N(Frota!$J25),N(Frota!$K25)),2))</f>
        <v/>
      </c>
      <c r="AQ25" s="0" t="str">
        <f aca="false">IF(AP25="","",ROUND(AP25+IF(AQ$3=1,N(Frota!$J25),N(Frota!$K25)),2))</f>
        <v/>
      </c>
      <c r="AR25" s="0" t="str">
        <f aca="false">IF(AQ25="","",ROUND(AQ25+IF(AR$3=1,N(Frota!$J25),N(Frota!$K25)),2))</f>
        <v/>
      </c>
      <c r="AS25" s="0" t="str">
        <f aca="false">IF(AR25="","",ROUND(AR25+IF(AS$3=1,N(Frota!$J25),N(Frota!$K25)),2))</f>
        <v/>
      </c>
      <c r="AT25" s="0" t="str">
        <f aca="false">IF(AS25="","",ROUND(AS25+IF(AT$3=1,N(Frota!$J25),N(Frota!$K25)),2))</f>
        <v/>
      </c>
      <c r="AU25" s="0" t="str">
        <f aca="false">IF(AT25="","",ROUND(AT25+IF(AU$3=1,N(Frota!$J25),N(Frota!$K25)),2))</f>
        <v/>
      </c>
      <c r="AV25" s="0" t="str">
        <f aca="false">IF(AU25="","",ROUND(AU25+IF(AV$3=1,N(Frota!$J25),N(Frota!$K25)),2))</f>
        <v/>
      </c>
      <c r="AW25" s="0" t="str">
        <f aca="false">IF(AV25="","",ROUND(AV25+IF(AW$3=1,N(Frota!$J25),N(Frota!$K25)),2))</f>
        <v/>
      </c>
      <c r="AX25" s="0" t="str">
        <f aca="false">IF(AW25="","",ROUND(AW25+IF(AX$3=1,N(Frota!$J25),N(Frota!$K25)),2))</f>
        <v/>
      </c>
      <c r="AY25" s="0" t="str">
        <f aca="false">IF(AX25="","",ROUND(AX25+IF(AY$3=1,N(Frota!$J25),N(Frota!$K25)),2))</f>
        <v/>
      </c>
      <c r="AZ25" s="0" t="str">
        <f aca="false">IF(AY25="","",ROUND(AY25+IF(AZ$3=1,N(Frota!$J25),N(Frota!$K25)),2))</f>
        <v/>
      </c>
      <c r="BA25" s="0" t="str">
        <f aca="false">IF(AZ25="","",ROUND(AZ25+IF(BA$3=1,N(Frota!$J25),N(Frota!$K25)),2))</f>
        <v/>
      </c>
    </row>
    <row r="26" customFormat="false" ht="15" hidden="false" customHeight="false" outlineLevel="0" collapsed="false">
      <c r="A26" s="2" t="str">
        <f aca="false">IF(Frota!$A26="","",Frota!$A26)</f>
        <v/>
      </c>
      <c r="B26" s="0" t="str">
        <f aca="false">IF(OR(Frota!$A26="",Frota!$G26&lt;&gt;"Ativo",N(Frota!$L26)=0),"",ROUND(Frota!$I26+IF(B$3=1,N(Frota!$J26),N(Frota!$K26)),2))</f>
        <v/>
      </c>
      <c r="C26" s="0" t="str">
        <f aca="false">IF(B26="","",ROUND(B26+IF(C$3=1,N(Frota!$J26),N(Frota!$K26)),2))</f>
        <v/>
      </c>
      <c r="D26" s="0" t="str">
        <f aca="false">IF(C26="","",ROUND(C26+IF(D$3=1,N(Frota!$J26),N(Frota!$K26)),2))</f>
        <v/>
      </c>
      <c r="E26" s="0" t="str">
        <f aca="false">IF(D26="","",ROUND(D26+IF(E$3=1,N(Frota!$J26),N(Frota!$K26)),2))</f>
        <v/>
      </c>
      <c r="F26" s="0" t="str">
        <f aca="false">IF(E26="","",ROUND(E26+IF(F$3=1,N(Frota!$J26),N(Frota!$K26)),2))</f>
        <v/>
      </c>
      <c r="G26" s="0" t="str">
        <f aca="false">IF(F26="","",ROUND(F26+IF(G$3=1,N(Frota!$J26),N(Frota!$K26)),2))</f>
        <v/>
      </c>
      <c r="H26" s="0" t="str">
        <f aca="false">IF(G26="","",ROUND(G26+IF(H$3=1,N(Frota!$J26),N(Frota!$K26)),2))</f>
        <v/>
      </c>
      <c r="I26" s="0" t="str">
        <f aca="false">IF(H26="","",ROUND(H26+IF(I$3=1,N(Frota!$J26),N(Frota!$K26)),2))</f>
        <v/>
      </c>
      <c r="J26" s="0" t="str">
        <f aca="false">IF(I26="","",ROUND(I26+IF(J$3=1,N(Frota!$J26),N(Frota!$K26)),2))</f>
        <v/>
      </c>
      <c r="K26" s="0" t="str">
        <f aca="false">IF(J26="","",ROUND(J26+IF(K$3=1,N(Frota!$J26),N(Frota!$K26)),2))</f>
        <v/>
      </c>
      <c r="L26" s="0" t="str">
        <f aca="false">IF(K26="","",ROUND(K26+IF(L$3=1,N(Frota!$J26),N(Frota!$K26)),2))</f>
        <v/>
      </c>
      <c r="M26" s="0" t="str">
        <f aca="false">IF(L26="","",ROUND(L26+IF(M$3=1,N(Frota!$J26),N(Frota!$K26)),2))</f>
        <v/>
      </c>
      <c r="N26" s="0" t="str">
        <f aca="false">IF(M26="","",ROUND(M26+IF(N$3=1,N(Frota!$J26),N(Frota!$K26)),2))</f>
        <v/>
      </c>
      <c r="O26" s="0" t="str">
        <f aca="false">IF(N26="","",ROUND(N26+IF(O$3=1,N(Frota!$J26),N(Frota!$K26)),2))</f>
        <v/>
      </c>
      <c r="P26" s="0" t="str">
        <f aca="false">IF(O26="","",ROUND(O26+IF(P$3=1,N(Frota!$J26),N(Frota!$K26)),2))</f>
        <v/>
      </c>
      <c r="Q26" s="0" t="str">
        <f aca="false">IF(P26="","",ROUND(P26+IF(Q$3=1,N(Frota!$J26),N(Frota!$K26)),2))</f>
        <v/>
      </c>
      <c r="R26" s="0" t="str">
        <f aca="false">IF(Q26="","",ROUND(Q26+IF(R$3=1,N(Frota!$J26),N(Frota!$K26)),2))</f>
        <v/>
      </c>
      <c r="S26" s="0" t="str">
        <f aca="false">IF(R26="","",ROUND(R26+IF(S$3=1,N(Frota!$J26),N(Frota!$K26)),2))</f>
        <v/>
      </c>
      <c r="T26" s="0" t="str">
        <f aca="false">IF(S26="","",ROUND(S26+IF(T$3=1,N(Frota!$J26),N(Frota!$K26)),2))</f>
        <v/>
      </c>
      <c r="U26" s="0" t="str">
        <f aca="false">IF(T26="","",ROUND(T26+IF(U$3=1,N(Frota!$J26),N(Frota!$K26)),2))</f>
        <v/>
      </c>
      <c r="V26" s="0" t="str">
        <f aca="false">IF(U26="","",ROUND(U26+IF(V$3=1,N(Frota!$J26),N(Frota!$K26)),2))</f>
        <v/>
      </c>
      <c r="W26" s="0" t="str">
        <f aca="false">IF(V26="","",ROUND(V26+IF(W$3=1,N(Frota!$J26),N(Frota!$K26)),2))</f>
        <v/>
      </c>
      <c r="X26" s="0" t="str">
        <f aca="false">IF(W26="","",ROUND(W26+IF(X$3=1,N(Frota!$J26),N(Frota!$K26)),2))</f>
        <v/>
      </c>
      <c r="Y26" s="0" t="str">
        <f aca="false">IF(X26="","",ROUND(X26+IF(Y$3=1,N(Frota!$J26),N(Frota!$K26)),2))</f>
        <v/>
      </c>
      <c r="Z26" s="0" t="str">
        <f aca="false">IF(Y26="","",ROUND(Y26+IF(Z$3=1,N(Frota!$J26),N(Frota!$K26)),2))</f>
        <v/>
      </c>
      <c r="AA26" s="0" t="str">
        <f aca="false">IF(Z26="","",ROUND(Z26+IF(AA$3=1,N(Frota!$J26),N(Frota!$K26)),2))</f>
        <v/>
      </c>
      <c r="AB26" s="0" t="str">
        <f aca="false">IF(AA26="","",ROUND(AA26+IF(AB$3=1,N(Frota!$J26),N(Frota!$K26)),2))</f>
        <v/>
      </c>
      <c r="AC26" s="0" t="str">
        <f aca="false">IF(AB26="","",ROUND(AB26+IF(AC$3=1,N(Frota!$J26),N(Frota!$K26)),2))</f>
        <v/>
      </c>
      <c r="AD26" s="0" t="str">
        <f aca="false">IF(AC26="","",ROUND(AC26+IF(AD$3=1,N(Frota!$J26),N(Frota!$K26)),2))</f>
        <v/>
      </c>
      <c r="AE26" s="0" t="str">
        <f aca="false">IF(AD26="","",ROUND(AD26+IF(AE$3=1,N(Frota!$J26),N(Frota!$K26)),2))</f>
        <v/>
      </c>
      <c r="AF26" s="0" t="str">
        <f aca="false">IF(AE26="","",ROUND(AE26+IF(AF$3=1,N(Frota!$J26),N(Frota!$K26)),2))</f>
        <v/>
      </c>
      <c r="AG26" s="0" t="str">
        <f aca="false">IF(AF26="","",ROUND(AF26+IF(AG$3=1,N(Frota!$J26),N(Frota!$K26)),2))</f>
        <v/>
      </c>
      <c r="AH26" s="0" t="str">
        <f aca="false">IF(AG26="","",ROUND(AG26+IF(AH$3=1,N(Frota!$J26),N(Frota!$K26)),2))</f>
        <v/>
      </c>
      <c r="AI26" s="0" t="str">
        <f aca="false">IF(AH26="","",ROUND(AH26+IF(AI$3=1,N(Frota!$J26),N(Frota!$K26)),2))</f>
        <v/>
      </c>
      <c r="AJ26" s="0" t="str">
        <f aca="false">IF(AI26="","",ROUND(AI26+IF(AJ$3=1,N(Frota!$J26),N(Frota!$K26)),2))</f>
        <v/>
      </c>
      <c r="AK26" s="0" t="str">
        <f aca="false">IF(AJ26="","",ROUND(AJ26+IF(AK$3=1,N(Frota!$J26),N(Frota!$K26)),2))</f>
        <v/>
      </c>
      <c r="AL26" s="0" t="str">
        <f aca="false">IF(AK26="","",ROUND(AK26+IF(AL$3=1,N(Frota!$J26),N(Frota!$K26)),2))</f>
        <v/>
      </c>
      <c r="AM26" s="0" t="str">
        <f aca="false">IF(AL26="","",ROUND(AL26+IF(AM$3=1,N(Frota!$J26),N(Frota!$K26)),2))</f>
        <v/>
      </c>
      <c r="AN26" s="0" t="str">
        <f aca="false">IF(AM26="","",ROUND(AM26+IF(AN$3=1,N(Frota!$J26),N(Frota!$K26)),2))</f>
        <v/>
      </c>
      <c r="AO26" s="0" t="str">
        <f aca="false">IF(AN26="","",ROUND(AN26+IF(AO$3=1,N(Frota!$J26),N(Frota!$K26)),2))</f>
        <v/>
      </c>
      <c r="AP26" s="0" t="str">
        <f aca="false">IF(AO26="","",ROUND(AO26+IF(AP$3=1,N(Frota!$J26),N(Frota!$K26)),2))</f>
        <v/>
      </c>
      <c r="AQ26" s="0" t="str">
        <f aca="false">IF(AP26="","",ROUND(AP26+IF(AQ$3=1,N(Frota!$J26),N(Frota!$K26)),2))</f>
        <v/>
      </c>
      <c r="AR26" s="0" t="str">
        <f aca="false">IF(AQ26="","",ROUND(AQ26+IF(AR$3=1,N(Frota!$J26),N(Frota!$K26)),2))</f>
        <v/>
      </c>
      <c r="AS26" s="0" t="str">
        <f aca="false">IF(AR26="","",ROUND(AR26+IF(AS$3=1,N(Frota!$J26),N(Frota!$K26)),2))</f>
        <v/>
      </c>
      <c r="AT26" s="0" t="str">
        <f aca="false">IF(AS26="","",ROUND(AS26+IF(AT$3=1,N(Frota!$J26),N(Frota!$K26)),2))</f>
        <v/>
      </c>
      <c r="AU26" s="0" t="str">
        <f aca="false">IF(AT26="","",ROUND(AT26+IF(AU$3=1,N(Frota!$J26),N(Frota!$K26)),2))</f>
        <v/>
      </c>
      <c r="AV26" s="0" t="str">
        <f aca="false">IF(AU26="","",ROUND(AU26+IF(AV$3=1,N(Frota!$J26),N(Frota!$K26)),2))</f>
        <v/>
      </c>
      <c r="AW26" s="0" t="str">
        <f aca="false">IF(AV26="","",ROUND(AV26+IF(AW$3=1,N(Frota!$J26),N(Frota!$K26)),2))</f>
        <v/>
      </c>
      <c r="AX26" s="0" t="str">
        <f aca="false">IF(AW26="","",ROUND(AW26+IF(AX$3=1,N(Frota!$J26),N(Frota!$K26)),2))</f>
        <v/>
      </c>
      <c r="AY26" s="0" t="str">
        <f aca="false">IF(AX26="","",ROUND(AX26+IF(AY$3=1,N(Frota!$J26),N(Frota!$K26)),2))</f>
        <v/>
      </c>
      <c r="AZ26" s="0" t="str">
        <f aca="false">IF(AY26="","",ROUND(AY26+IF(AZ$3=1,N(Frota!$J26),N(Frota!$K26)),2))</f>
        <v/>
      </c>
      <c r="BA26" s="0" t="str">
        <f aca="false">IF(AZ26="","",ROUND(AZ26+IF(BA$3=1,N(Frota!$J26),N(Frota!$K26)),2))</f>
        <v/>
      </c>
    </row>
    <row r="27" customFormat="false" ht="15" hidden="false" customHeight="false" outlineLevel="0" collapsed="false">
      <c r="A27" s="2" t="str">
        <f aca="false">IF(Frota!$A27="","",Frota!$A27)</f>
        <v/>
      </c>
      <c r="B27" s="0" t="str">
        <f aca="false">IF(OR(Frota!$A27="",Frota!$G27&lt;&gt;"Ativo",N(Frota!$L27)=0),"",ROUND(Frota!$I27+IF(B$3=1,N(Frota!$J27),N(Frota!$K27)),2))</f>
        <v/>
      </c>
      <c r="C27" s="0" t="str">
        <f aca="false">IF(B27="","",ROUND(B27+IF(C$3=1,N(Frota!$J27),N(Frota!$K27)),2))</f>
        <v/>
      </c>
      <c r="D27" s="0" t="str">
        <f aca="false">IF(C27="","",ROUND(C27+IF(D$3=1,N(Frota!$J27),N(Frota!$K27)),2))</f>
        <v/>
      </c>
      <c r="E27" s="0" t="str">
        <f aca="false">IF(D27="","",ROUND(D27+IF(E$3=1,N(Frota!$J27),N(Frota!$K27)),2))</f>
        <v/>
      </c>
      <c r="F27" s="0" t="str">
        <f aca="false">IF(E27="","",ROUND(E27+IF(F$3=1,N(Frota!$J27),N(Frota!$K27)),2))</f>
        <v/>
      </c>
      <c r="G27" s="0" t="str">
        <f aca="false">IF(F27="","",ROUND(F27+IF(G$3=1,N(Frota!$J27),N(Frota!$K27)),2))</f>
        <v/>
      </c>
      <c r="H27" s="0" t="str">
        <f aca="false">IF(G27="","",ROUND(G27+IF(H$3=1,N(Frota!$J27),N(Frota!$K27)),2))</f>
        <v/>
      </c>
      <c r="I27" s="0" t="str">
        <f aca="false">IF(H27="","",ROUND(H27+IF(I$3=1,N(Frota!$J27),N(Frota!$K27)),2))</f>
        <v/>
      </c>
      <c r="J27" s="0" t="str">
        <f aca="false">IF(I27="","",ROUND(I27+IF(J$3=1,N(Frota!$J27),N(Frota!$K27)),2))</f>
        <v/>
      </c>
      <c r="K27" s="0" t="str">
        <f aca="false">IF(J27="","",ROUND(J27+IF(K$3=1,N(Frota!$J27),N(Frota!$K27)),2))</f>
        <v/>
      </c>
      <c r="L27" s="0" t="str">
        <f aca="false">IF(K27="","",ROUND(K27+IF(L$3=1,N(Frota!$J27),N(Frota!$K27)),2))</f>
        <v/>
      </c>
      <c r="M27" s="0" t="str">
        <f aca="false">IF(L27="","",ROUND(L27+IF(M$3=1,N(Frota!$J27),N(Frota!$K27)),2))</f>
        <v/>
      </c>
      <c r="N27" s="0" t="str">
        <f aca="false">IF(M27="","",ROUND(M27+IF(N$3=1,N(Frota!$J27),N(Frota!$K27)),2))</f>
        <v/>
      </c>
      <c r="O27" s="0" t="str">
        <f aca="false">IF(N27="","",ROUND(N27+IF(O$3=1,N(Frota!$J27),N(Frota!$K27)),2))</f>
        <v/>
      </c>
      <c r="P27" s="0" t="str">
        <f aca="false">IF(O27="","",ROUND(O27+IF(P$3=1,N(Frota!$J27),N(Frota!$K27)),2))</f>
        <v/>
      </c>
      <c r="Q27" s="0" t="str">
        <f aca="false">IF(P27="","",ROUND(P27+IF(Q$3=1,N(Frota!$J27),N(Frota!$K27)),2))</f>
        <v/>
      </c>
      <c r="R27" s="0" t="str">
        <f aca="false">IF(Q27="","",ROUND(Q27+IF(R$3=1,N(Frota!$J27),N(Frota!$K27)),2))</f>
        <v/>
      </c>
      <c r="S27" s="0" t="str">
        <f aca="false">IF(R27="","",ROUND(R27+IF(S$3=1,N(Frota!$J27),N(Frota!$K27)),2))</f>
        <v/>
      </c>
      <c r="T27" s="0" t="str">
        <f aca="false">IF(S27="","",ROUND(S27+IF(T$3=1,N(Frota!$J27),N(Frota!$K27)),2))</f>
        <v/>
      </c>
      <c r="U27" s="0" t="str">
        <f aca="false">IF(T27="","",ROUND(T27+IF(U$3=1,N(Frota!$J27),N(Frota!$K27)),2))</f>
        <v/>
      </c>
      <c r="V27" s="0" t="str">
        <f aca="false">IF(U27="","",ROUND(U27+IF(V$3=1,N(Frota!$J27),N(Frota!$K27)),2))</f>
        <v/>
      </c>
      <c r="W27" s="0" t="str">
        <f aca="false">IF(V27="","",ROUND(V27+IF(W$3=1,N(Frota!$J27),N(Frota!$K27)),2))</f>
        <v/>
      </c>
      <c r="X27" s="0" t="str">
        <f aca="false">IF(W27="","",ROUND(W27+IF(X$3=1,N(Frota!$J27),N(Frota!$K27)),2))</f>
        <v/>
      </c>
      <c r="Y27" s="0" t="str">
        <f aca="false">IF(X27="","",ROUND(X27+IF(Y$3=1,N(Frota!$J27),N(Frota!$K27)),2))</f>
        <v/>
      </c>
      <c r="Z27" s="0" t="str">
        <f aca="false">IF(Y27="","",ROUND(Y27+IF(Z$3=1,N(Frota!$J27),N(Frota!$K27)),2))</f>
        <v/>
      </c>
      <c r="AA27" s="0" t="str">
        <f aca="false">IF(Z27="","",ROUND(Z27+IF(AA$3=1,N(Frota!$J27),N(Frota!$K27)),2))</f>
        <v/>
      </c>
      <c r="AB27" s="0" t="str">
        <f aca="false">IF(AA27="","",ROUND(AA27+IF(AB$3=1,N(Frota!$J27),N(Frota!$K27)),2))</f>
        <v/>
      </c>
      <c r="AC27" s="0" t="str">
        <f aca="false">IF(AB27="","",ROUND(AB27+IF(AC$3=1,N(Frota!$J27),N(Frota!$K27)),2))</f>
        <v/>
      </c>
      <c r="AD27" s="0" t="str">
        <f aca="false">IF(AC27="","",ROUND(AC27+IF(AD$3=1,N(Frota!$J27),N(Frota!$K27)),2))</f>
        <v/>
      </c>
      <c r="AE27" s="0" t="str">
        <f aca="false">IF(AD27="","",ROUND(AD27+IF(AE$3=1,N(Frota!$J27),N(Frota!$K27)),2))</f>
        <v/>
      </c>
      <c r="AF27" s="0" t="str">
        <f aca="false">IF(AE27="","",ROUND(AE27+IF(AF$3=1,N(Frota!$J27),N(Frota!$K27)),2))</f>
        <v/>
      </c>
      <c r="AG27" s="0" t="str">
        <f aca="false">IF(AF27="","",ROUND(AF27+IF(AG$3=1,N(Frota!$J27),N(Frota!$K27)),2))</f>
        <v/>
      </c>
      <c r="AH27" s="0" t="str">
        <f aca="false">IF(AG27="","",ROUND(AG27+IF(AH$3=1,N(Frota!$J27),N(Frota!$K27)),2))</f>
        <v/>
      </c>
      <c r="AI27" s="0" t="str">
        <f aca="false">IF(AH27="","",ROUND(AH27+IF(AI$3=1,N(Frota!$J27),N(Frota!$K27)),2))</f>
        <v/>
      </c>
      <c r="AJ27" s="0" t="str">
        <f aca="false">IF(AI27="","",ROUND(AI27+IF(AJ$3=1,N(Frota!$J27),N(Frota!$K27)),2))</f>
        <v/>
      </c>
      <c r="AK27" s="0" t="str">
        <f aca="false">IF(AJ27="","",ROUND(AJ27+IF(AK$3=1,N(Frota!$J27),N(Frota!$K27)),2))</f>
        <v/>
      </c>
      <c r="AL27" s="0" t="str">
        <f aca="false">IF(AK27="","",ROUND(AK27+IF(AL$3=1,N(Frota!$J27),N(Frota!$K27)),2))</f>
        <v/>
      </c>
      <c r="AM27" s="0" t="str">
        <f aca="false">IF(AL27="","",ROUND(AL27+IF(AM$3=1,N(Frota!$J27),N(Frota!$K27)),2))</f>
        <v/>
      </c>
      <c r="AN27" s="0" t="str">
        <f aca="false">IF(AM27="","",ROUND(AM27+IF(AN$3=1,N(Frota!$J27),N(Frota!$K27)),2))</f>
        <v/>
      </c>
      <c r="AO27" s="0" t="str">
        <f aca="false">IF(AN27="","",ROUND(AN27+IF(AO$3=1,N(Frota!$J27),N(Frota!$K27)),2))</f>
        <v/>
      </c>
      <c r="AP27" s="0" t="str">
        <f aca="false">IF(AO27="","",ROUND(AO27+IF(AP$3=1,N(Frota!$J27),N(Frota!$K27)),2))</f>
        <v/>
      </c>
      <c r="AQ27" s="0" t="str">
        <f aca="false">IF(AP27="","",ROUND(AP27+IF(AQ$3=1,N(Frota!$J27),N(Frota!$K27)),2))</f>
        <v/>
      </c>
      <c r="AR27" s="0" t="str">
        <f aca="false">IF(AQ27="","",ROUND(AQ27+IF(AR$3=1,N(Frota!$J27),N(Frota!$K27)),2))</f>
        <v/>
      </c>
      <c r="AS27" s="0" t="str">
        <f aca="false">IF(AR27="","",ROUND(AR27+IF(AS$3=1,N(Frota!$J27),N(Frota!$K27)),2))</f>
        <v/>
      </c>
      <c r="AT27" s="0" t="str">
        <f aca="false">IF(AS27="","",ROUND(AS27+IF(AT$3=1,N(Frota!$J27),N(Frota!$K27)),2))</f>
        <v/>
      </c>
      <c r="AU27" s="0" t="str">
        <f aca="false">IF(AT27="","",ROUND(AT27+IF(AU$3=1,N(Frota!$J27),N(Frota!$K27)),2))</f>
        <v/>
      </c>
      <c r="AV27" s="0" t="str">
        <f aca="false">IF(AU27="","",ROUND(AU27+IF(AV$3=1,N(Frota!$J27),N(Frota!$K27)),2))</f>
        <v/>
      </c>
      <c r="AW27" s="0" t="str">
        <f aca="false">IF(AV27="","",ROUND(AV27+IF(AW$3=1,N(Frota!$J27),N(Frota!$K27)),2))</f>
        <v/>
      </c>
      <c r="AX27" s="0" t="str">
        <f aca="false">IF(AW27="","",ROUND(AW27+IF(AX$3=1,N(Frota!$J27),N(Frota!$K27)),2))</f>
        <v/>
      </c>
      <c r="AY27" s="0" t="str">
        <f aca="false">IF(AX27="","",ROUND(AX27+IF(AY$3=1,N(Frota!$J27),N(Frota!$K27)),2))</f>
        <v/>
      </c>
      <c r="AZ27" s="0" t="str">
        <f aca="false">IF(AY27="","",ROUND(AY27+IF(AZ$3=1,N(Frota!$J27),N(Frota!$K27)),2))</f>
        <v/>
      </c>
      <c r="BA27" s="0" t="str">
        <f aca="false">IF(AZ27="","",ROUND(AZ27+IF(BA$3=1,N(Frota!$J27),N(Frota!$K27)),2))</f>
        <v/>
      </c>
    </row>
    <row r="28" customFormat="false" ht="15" hidden="false" customHeight="false" outlineLevel="0" collapsed="false">
      <c r="A28" s="2" t="str">
        <f aca="false">IF(Frota!$A28="","",Frota!$A28)</f>
        <v/>
      </c>
      <c r="B28" s="0" t="str">
        <f aca="false">IF(OR(Frota!$A28="",Frota!$G28&lt;&gt;"Ativo",N(Frota!$L28)=0),"",ROUND(Frota!$I28+IF(B$3=1,N(Frota!$J28),N(Frota!$K28)),2))</f>
        <v/>
      </c>
      <c r="C28" s="0" t="str">
        <f aca="false">IF(B28="","",ROUND(B28+IF(C$3=1,N(Frota!$J28),N(Frota!$K28)),2))</f>
        <v/>
      </c>
      <c r="D28" s="0" t="str">
        <f aca="false">IF(C28="","",ROUND(C28+IF(D$3=1,N(Frota!$J28),N(Frota!$K28)),2))</f>
        <v/>
      </c>
      <c r="E28" s="0" t="str">
        <f aca="false">IF(D28="","",ROUND(D28+IF(E$3=1,N(Frota!$J28),N(Frota!$K28)),2))</f>
        <v/>
      </c>
      <c r="F28" s="0" t="str">
        <f aca="false">IF(E28="","",ROUND(E28+IF(F$3=1,N(Frota!$J28),N(Frota!$K28)),2))</f>
        <v/>
      </c>
      <c r="G28" s="0" t="str">
        <f aca="false">IF(F28="","",ROUND(F28+IF(G$3=1,N(Frota!$J28),N(Frota!$K28)),2))</f>
        <v/>
      </c>
      <c r="H28" s="0" t="str">
        <f aca="false">IF(G28="","",ROUND(G28+IF(H$3=1,N(Frota!$J28),N(Frota!$K28)),2))</f>
        <v/>
      </c>
      <c r="I28" s="0" t="str">
        <f aca="false">IF(H28="","",ROUND(H28+IF(I$3=1,N(Frota!$J28),N(Frota!$K28)),2))</f>
        <v/>
      </c>
      <c r="J28" s="0" t="str">
        <f aca="false">IF(I28="","",ROUND(I28+IF(J$3=1,N(Frota!$J28),N(Frota!$K28)),2))</f>
        <v/>
      </c>
      <c r="K28" s="0" t="str">
        <f aca="false">IF(J28="","",ROUND(J28+IF(K$3=1,N(Frota!$J28),N(Frota!$K28)),2))</f>
        <v/>
      </c>
      <c r="L28" s="0" t="str">
        <f aca="false">IF(K28="","",ROUND(K28+IF(L$3=1,N(Frota!$J28),N(Frota!$K28)),2))</f>
        <v/>
      </c>
      <c r="M28" s="0" t="str">
        <f aca="false">IF(L28="","",ROUND(L28+IF(M$3=1,N(Frota!$J28),N(Frota!$K28)),2))</f>
        <v/>
      </c>
      <c r="N28" s="0" t="str">
        <f aca="false">IF(M28="","",ROUND(M28+IF(N$3=1,N(Frota!$J28),N(Frota!$K28)),2))</f>
        <v/>
      </c>
      <c r="O28" s="0" t="str">
        <f aca="false">IF(N28="","",ROUND(N28+IF(O$3=1,N(Frota!$J28),N(Frota!$K28)),2))</f>
        <v/>
      </c>
      <c r="P28" s="0" t="str">
        <f aca="false">IF(O28="","",ROUND(O28+IF(P$3=1,N(Frota!$J28),N(Frota!$K28)),2))</f>
        <v/>
      </c>
      <c r="Q28" s="0" t="str">
        <f aca="false">IF(P28="","",ROUND(P28+IF(Q$3=1,N(Frota!$J28),N(Frota!$K28)),2))</f>
        <v/>
      </c>
      <c r="R28" s="0" t="str">
        <f aca="false">IF(Q28="","",ROUND(Q28+IF(R$3=1,N(Frota!$J28),N(Frota!$K28)),2))</f>
        <v/>
      </c>
      <c r="S28" s="0" t="str">
        <f aca="false">IF(R28="","",ROUND(R28+IF(S$3=1,N(Frota!$J28),N(Frota!$K28)),2))</f>
        <v/>
      </c>
      <c r="T28" s="0" t="str">
        <f aca="false">IF(S28="","",ROUND(S28+IF(T$3=1,N(Frota!$J28),N(Frota!$K28)),2))</f>
        <v/>
      </c>
      <c r="U28" s="0" t="str">
        <f aca="false">IF(T28="","",ROUND(T28+IF(U$3=1,N(Frota!$J28),N(Frota!$K28)),2))</f>
        <v/>
      </c>
      <c r="V28" s="0" t="str">
        <f aca="false">IF(U28="","",ROUND(U28+IF(V$3=1,N(Frota!$J28),N(Frota!$K28)),2))</f>
        <v/>
      </c>
      <c r="W28" s="0" t="str">
        <f aca="false">IF(V28="","",ROUND(V28+IF(W$3=1,N(Frota!$J28),N(Frota!$K28)),2))</f>
        <v/>
      </c>
      <c r="X28" s="0" t="str">
        <f aca="false">IF(W28="","",ROUND(W28+IF(X$3=1,N(Frota!$J28),N(Frota!$K28)),2))</f>
        <v/>
      </c>
      <c r="Y28" s="0" t="str">
        <f aca="false">IF(X28="","",ROUND(X28+IF(Y$3=1,N(Frota!$J28),N(Frota!$K28)),2))</f>
        <v/>
      </c>
      <c r="Z28" s="0" t="str">
        <f aca="false">IF(Y28="","",ROUND(Y28+IF(Z$3=1,N(Frota!$J28),N(Frota!$K28)),2))</f>
        <v/>
      </c>
      <c r="AA28" s="0" t="str">
        <f aca="false">IF(Z28="","",ROUND(Z28+IF(AA$3=1,N(Frota!$J28),N(Frota!$K28)),2))</f>
        <v/>
      </c>
      <c r="AB28" s="0" t="str">
        <f aca="false">IF(AA28="","",ROUND(AA28+IF(AB$3=1,N(Frota!$J28),N(Frota!$K28)),2))</f>
        <v/>
      </c>
      <c r="AC28" s="0" t="str">
        <f aca="false">IF(AB28="","",ROUND(AB28+IF(AC$3=1,N(Frota!$J28),N(Frota!$K28)),2))</f>
        <v/>
      </c>
      <c r="AD28" s="0" t="str">
        <f aca="false">IF(AC28="","",ROUND(AC28+IF(AD$3=1,N(Frota!$J28),N(Frota!$K28)),2))</f>
        <v/>
      </c>
      <c r="AE28" s="0" t="str">
        <f aca="false">IF(AD28="","",ROUND(AD28+IF(AE$3=1,N(Frota!$J28),N(Frota!$K28)),2))</f>
        <v/>
      </c>
      <c r="AF28" s="0" t="str">
        <f aca="false">IF(AE28="","",ROUND(AE28+IF(AF$3=1,N(Frota!$J28),N(Frota!$K28)),2))</f>
        <v/>
      </c>
      <c r="AG28" s="0" t="str">
        <f aca="false">IF(AF28="","",ROUND(AF28+IF(AG$3=1,N(Frota!$J28),N(Frota!$K28)),2))</f>
        <v/>
      </c>
      <c r="AH28" s="0" t="str">
        <f aca="false">IF(AG28="","",ROUND(AG28+IF(AH$3=1,N(Frota!$J28),N(Frota!$K28)),2))</f>
        <v/>
      </c>
      <c r="AI28" s="0" t="str">
        <f aca="false">IF(AH28="","",ROUND(AH28+IF(AI$3=1,N(Frota!$J28),N(Frota!$K28)),2))</f>
        <v/>
      </c>
      <c r="AJ28" s="0" t="str">
        <f aca="false">IF(AI28="","",ROUND(AI28+IF(AJ$3=1,N(Frota!$J28),N(Frota!$K28)),2))</f>
        <v/>
      </c>
      <c r="AK28" s="0" t="str">
        <f aca="false">IF(AJ28="","",ROUND(AJ28+IF(AK$3=1,N(Frota!$J28),N(Frota!$K28)),2))</f>
        <v/>
      </c>
      <c r="AL28" s="0" t="str">
        <f aca="false">IF(AK28="","",ROUND(AK28+IF(AL$3=1,N(Frota!$J28),N(Frota!$K28)),2))</f>
        <v/>
      </c>
      <c r="AM28" s="0" t="str">
        <f aca="false">IF(AL28="","",ROUND(AL28+IF(AM$3=1,N(Frota!$J28),N(Frota!$K28)),2))</f>
        <v/>
      </c>
      <c r="AN28" s="0" t="str">
        <f aca="false">IF(AM28="","",ROUND(AM28+IF(AN$3=1,N(Frota!$J28),N(Frota!$K28)),2))</f>
        <v/>
      </c>
      <c r="AO28" s="0" t="str">
        <f aca="false">IF(AN28="","",ROUND(AN28+IF(AO$3=1,N(Frota!$J28),N(Frota!$K28)),2))</f>
        <v/>
      </c>
      <c r="AP28" s="0" t="str">
        <f aca="false">IF(AO28="","",ROUND(AO28+IF(AP$3=1,N(Frota!$J28),N(Frota!$K28)),2))</f>
        <v/>
      </c>
      <c r="AQ28" s="0" t="str">
        <f aca="false">IF(AP28="","",ROUND(AP28+IF(AQ$3=1,N(Frota!$J28),N(Frota!$K28)),2))</f>
        <v/>
      </c>
      <c r="AR28" s="0" t="str">
        <f aca="false">IF(AQ28="","",ROUND(AQ28+IF(AR$3=1,N(Frota!$J28),N(Frota!$K28)),2))</f>
        <v/>
      </c>
      <c r="AS28" s="0" t="str">
        <f aca="false">IF(AR28="","",ROUND(AR28+IF(AS$3=1,N(Frota!$J28),N(Frota!$K28)),2))</f>
        <v/>
      </c>
      <c r="AT28" s="0" t="str">
        <f aca="false">IF(AS28="","",ROUND(AS28+IF(AT$3=1,N(Frota!$J28),N(Frota!$K28)),2))</f>
        <v/>
      </c>
      <c r="AU28" s="0" t="str">
        <f aca="false">IF(AT28="","",ROUND(AT28+IF(AU$3=1,N(Frota!$J28),N(Frota!$K28)),2))</f>
        <v/>
      </c>
      <c r="AV28" s="0" t="str">
        <f aca="false">IF(AU28="","",ROUND(AU28+IF(AV$3=1,N(Frota!$J28),N(Frota!$K28)),2))</f>
        <v/>
      </c>
      <c r="AW28" s="0" t="str">
        <f aca="false">IF(AV28="","",ROUND(AV28+IF(AW$3=1,N(Frota!$J28),N(Frota!$K28)),2))</f>
        <v/>
      </c>
      <c r="AX28" s="0" t="str">
        <f aca="false">IF(AW28="","",ROUND(AW28+IF(AX$3=1,N(Frota!$J28),N(Frota!$K28)),2))</f>
        <v/>
      </c>
      <c r="AY28" s="0" t="str">
        <f aca="false">IF(AX28="","",ROUND(AX28+IF(AY$3=1,N(Frota!$J28),N(Frota!$K28)),2))</f>
        <v/>
      </c>
      <c r="AZ28" s="0" t="str">
        <f aca="false">IF(AY28="","",ROUND(AY28+IF(AZ$3=1,N(Frota!$J28),N(Frota!$K28)),2))</f>
        <v/>
      </c>
      <c r="BA28" s="0" t="str">
        <f aca="false">IF(AZ28="","",ROUND(AZ28+IF(BA$3=1,N(Frota!$J28),N(Frota!$K28)),2))</f>
        <v/>
      </c>
    </row>
    <row r="29" customFormat="false" ht="15" hidden="false" customHeight="false" outlineLevel="0" collapsed="false">
      <c r="A29" s="2" t="str">
        <f aca="false">IF(Frota!$A29="","",Frota!$A29)</f>
        <v/>
      </c>
      <c r="B29" s="0" t="str">
        <f aca="false">IF(OR(Frota!$A29="",Frota!$G29&lt;&gt;"Ativo",N(Frota!$L29)=0),"",ROUND(Frota!$I29+IF(B$3=1,N(Frota!$J29),N(Frota!$K29)),2))</f>
        <v/>
      </c>
      <c r="C29" s="0" t="str">
        <f aca="false">IF(B29="","",ROUND(B29+IF(C$3=1,N(Frota!$J29),N(Frota!$K29)),2))</f>
        <v/>
      </c>
      <c r="D29" s="0" t="str">
        <f aca="false">IF(C29="","",ROUND(C29+IF(D$3=1,N(Frota!$J29),N(Frota!$K29)),2))</f>
        <v/>
      </c>
      <c r="E29" s="0" t="str">
        <f aca="false">IF(D29="","",ROUND(D29+IF(E$3=1,N(Frota!$J29),N(Frota!$K29)),2))</f>
        <v/>
      </c>
      <c r="F29" s="0" t="str">
        <f aca="false">IF(E29="","",ROUND(E29+IF(F$3=1,N(Frota!$J29),N(Frota!$K29)),2))</f>
        <v/>
      </c>
      <c r="G29" s="0" t="str">
        <f aca="false">IF(F29="","",ROUND(F29+IF(G$3=1,N(Frota!$J29),N(Frota!$K29)),2))</f>
        <v/>
      </c>
      <c r="H29" s="0" t="str">
        <f aca="false">IF(G29="","",ROUND(G29+IF(H$3=1,N(Frota!$J29),N(Frota!$K29)),2))</f>
        <v/>
      </c>
      <c r="I29" s="0" t="str">
        <f aca="false">IF(H29="","",ROUND(H29+IF(I$3=1,N(Frota!$J29),N(Frota!$K29)),2))</f>
        <v/>
      </c>
      <c r="J29" s="0" t="str">
        <f aca="false">IF(I29="","",ROUND(I29+IF(J$3=1,N(Frota!$J29),N(Frota!$K29)),2))</f>
        <v/>
      </c>
      <c r="K29" s="0" t="str">
        <f aca="false">IF(J29="","",ROUND(J29+IF(K$3=1,N(Frota!$J29),N(Frota!$K29)),2))</f>
        <v/>
      </c>
      <c r="L29" s="0" t="str">
        <f aca="false">IF(K29="","",ROUND(K29+IF(L$3=1,N(Frota!$J29),N(Frota!$K29)),2))</f>
        <v/>
      </c>
      <c r="M29" s="0" t="str">
        <f aca="false">IF(L29="","",ROUND(L29+IF(M$3=1,N(Frota!$J29),N(Frota!$K29)),2))</f>
        <v/>
      </c>
      <c r="N29" s="0" t="str">
        <f aca="false">IF(M29="","",ROUND(M29+IF(N$3=1,N(Frota!$J29),N(Frota!$K29)),2))</f>
        <v/>
      </c>
      <c r="O29" s="0" t="str">
        <f aca="false">IF(N29="","",ROUND(N29+IF(O$3=1,N(Frota!$J29),N(Frota!$K29)),2))</f>
        <v/>
      </c>
      <c r="P29" s="0" t="str">
        <f aca="false">IF(O29="","",ROUND(O29+IF(P$3=1,N(Frota!$J29),N(Frota!$K29)),2))</f>
        <v/>
      </c>
      <c r="Q29" s="0" t="str">
        <f aca="false">IF(P29="","",ROUND(P29+IF(Q$3=1,N(Frota!$J29),N(Frota!$K29)),2))</f>
        <v/>
      </c>
      <c r="R29" s="0" t="str">
        <f aca="false">IF(Q29="","",ROUND(Q29+IF(R$3=1,N(Frota!$J29),N(Frota!$K29)),2))</f>
        <v/>
      </c>
      <c r="S29" s="0" t="str">
        <f aca="false">IF(R29="","",ROUND(R29+IF(S$3=1,N(Frota!$J29),N(Frota!$K29)),2))</f>
        <v/>
      </c>
      <c r="T29" s="0" t="str">
        <f aca="false">IF(S29="","",ROUND(S29+IF(T$3=1,N(Frota!$J29),N(Frota!$K29)),2))</f>
        <v/>
      </c>
      <c r="U29" s="0" t="str">
        <f aca="false">IF(T29="","",ROUND(T29+IF(U$3=1,N(Frota!$J29),N(Frota!$K29)),2))</f>
        <v/>
      </c>
      <c r="V29" s="0" t="str">
        <f aca="false">IF(U29="","",ROUND(U29+IF(V$3=1,N(Frota!$J29),N(Frota!$K29)),2))</f>
        <v/>
      </c>
      <c r="W29" s="0" t="str">
        <f aca="false">IF(V29="","",ROUND(V29+IF(W$3=1,N(Frota!$J29),N(Frota!$K29)),2))</f>
        <v/>
      </c>
      <c r="X29" s="0" t="str">
        <f aca="false">IF(W29="","",ROUND(W29+IF(X$3=1,N(Frota!$J29),N(Frota!$K29)),2))</f>
        <v/>
      </c>
      <c r="Y29" s="0" t="str">
        <f aca="false">IF(X29="","",ROUND(X29+IF(Y$3=1,N(Frota!$J29),N(Frota!$K29)),2))</f>
        <v/>
      </c>
      <c r="Z29" s="0" t="str">
        <f aca="false">IF(Y29="","",ROUND(Y29+IF(Z$3=1,N(Frota!$J29),N(Frota!$K29)),2))</f>
        <v/>
      </c>
      <c r="AA29" s="0" t="str">
        <f aca="false">IF(Z29="","",ROUND(Z29+IF(AA$3=1,N(Frota!$J29),N(Frota!$K29)),2))</f>
        <v/>
      </c>
      <c r="AB29" s="0" t="str">
        <f aca="false">IF(AA29="","",ROUND(AA29+IF(AB$3=1,N(Frota!$J29),N(Frota!$K29)),2))</f>
        <v/>
      </c>
      <c r="AC29" s="0" t="str">
        <f aca="false">IF(AB29="","",ROUND(AB29+IF(AC$3=1,N(Frota!$J29),N(Frota!$K29)),2))</f>
        <v/>
      </c>
      <c r="AD29" s="0" t="str">
        <f aca="false">IF(AC29="","",ROUND(AC29+IF(AD$3=1,N(Frota!$J29),N(Frota!$K29)),2))</f>
        <v/>
      </c>
      <c r="AE29" s="0" t="str">
        <f aca="false">IF(AD29="","",ROUND(AD29+IF(AE$3=1,N(Frota!$J29),N(Frota!$K29)),2))</f>
        <v/>
      </c>
      <c r="AF29" s="0" t="str">
        <f aca="false">IF(AE29="","",ROUND(AE29+IF(AF$3=1,N(Frota!$J29),N(Frota!$K29)),2))</f>
        <v/>
      </c>
      <c r="AG29" s="0" t="str">
        <f aca="false">IF(AF29="","",ROUND(AF29+IF(AG$3=1,N(Frota!$J29),N(Frota!$K29)),2))</f>
        <v/>
      </c>
      <c r="AH29" s="0" t="str">
        <f aca="false">IF(AG29="","",ROUND(AG29+IF(AH$3=1,N(Frota!$J29),N(Frota!$K29)),2))</f>
        <v/>
      </c>
      <c r="AI29" s="0" t="str">
        <f aca="false">IF(AH29="","",ROUND(AH29+IF(AI$3=1,N(Frota!$J29),N(Frota!$K29)),2))</f>
        <v/>
      </c>
      <c r="AJ29" s="0" t="str">
        <f aca="false">IF(AI29="","",ROUND(AI29+IF(AJ$3=1,N(Frota!$J29),N(Frota!$K29)),2))</f>
        <v/>
      </c>
      <c r="AK29" s="0" t="str">
        <f aca="false">IF(AJ29="","",ROUND(AJ29+IF(AK$3=1,N(Frota!$J29),N(Frota!$K29)),2))</f>
        <v/>
      </c>
      <c r="AL29" s="0" t="str">
        <f aca="false">IF(AK29="","",ROUND(AK29+IF(AL$3=1,N(Frota!$J29),N(Frota!$K29)),2))</f>
        <v/>
      </c>
      <c r="AM29" s="0" t="str">
        <f aca="false">IF(AL29="","",ROUND(AL29+IF(AM$3=1,N(Frota!$J29),N(Frota!$K29)),2))</f>
        <v/>
      </c>
      <c r="AN29" s="0" t="str">
        <f aca="false">IF(AM29="","",ROUND(AM29+IF(AN$3=1,N(Frota!$J29),N(Frota!$K29)),2))</f>
        <v/>
      </c>
      <c r="AO29" s="0" t="str">
        <f aca="false">IF(AN29="","",ROUND(AN29+IF(AO$3=1,N(Frota!$J29),N(Frota!$K29)),2))</f>
        <v/>
      </c>
      <c r="AP29" s="0" t="str">
        <f aca="false">IF(AO29="","",ROUND(AO29+IF(AP$3=1,N(Frota!$J29),N(Frota!$K29)),2))</f>
        <v/>
      </c>
      <c r="AQ29" s="0" t="str">
        <f aca="false">IF(AP29="","",ROUND(AP29+IF(AQ$3=1,N(Frota!$J29),N(Frota!$K29)),2))</f>
        <v/>
      </c>
      <c r="AR29" s="0" t="str">
        <f aca="false">IF(AQ29="","",ROUND(AQ29+IF(AR$3=1,N(Frota!$J29),N(Frota!$K29)),2))</f>
        <v/>
      </c>
      <c r="AS29" s="0" t="str">
        <f aca="false">IF(AR29="","",ROUND(AR29+IF(AS$3=1,N(Frota!$J29),N(Frota!$K29)),2))</f>
        <v/>
      </c>
      <c r="AT29" s="0" t="str">
        <f aca="false">IF(AS29="","",ROUND(AS29+IF(AT$3=1,N(Frota!$J29),N(Frota!$K29)),2))</f>
        <v/>
      </c>
      <c r="AU29" s="0" t="str">
        <f aca="false">IF(AT29="","",ROUND(AT29+IF(AU$3=1,N(Frota!$J29),N(Frota!$K29)),2))</f>
        <v/>
      </c>
      <c r="AV29" s="0" t="str">
        <f aca="false">IF(AU29="","",ROUND(AU29+IF(AV$3=1,N(Frota!$J29),N(Frota!$K29)),2))</f>
        <v/>
      </c>
      <c r="AW29" s="0" t="str">
        <f aca="false">IF(AV29="","",ROUND(AV29+IF(AW$3=1,N(Frota!$J29),N(Frota!$K29)),2))</f>
        <v/>
      </c>
      <c r="AX29" s="0" t="str">
        <f aca="false">IF(AW29="","",ROUND(AW29+IF(AX$3=1,N(Frota!$J29),N(Frota!$K29)),2))</f>
        <v/>
      </c>
      <c r="AY29" s="0" t="str">
        <f aca="false">IF(AX29="","",ROUND(AX29+IF(AY$3=1,N(Frota!$J29),N(Frota!$K29)),2))</f>
        <v/>
      </c>
      <c r="AZ29" s="0" t="str">
        <f aca="false">IF(AY29="","",ROUND(AY29+IF(AZ$3=1,N(Frota!$J29),N(Frota!$K29)),2))</f>
        <v/>
      </c>
      <c r="BA29" s="0" t="str">
        <f aca="false">IF(AZ29="","",ROUND(AZ29+IF(BA$3=1,N(Frota!$J29),N(Frota!$K29)),2))</f>
        <v/>
      </c>
    </row>
    <row r="30" customFormat="false" ht="15" hidden="false" customHeight="false" outlineLevel="0" collapsed="false">
      <c r="A30" s="2" t="str">
        <f aca="false">IF(Frota!$A30="","",Frota!$A30)</f>
        <v/>
      </c>
      <c r="B30" s="0" t="str">
        <f aca="false">IF(OR(Frota!$A30="",Frota!$G30&lt;&gt;"Ativo",N(Frota!$L30)=0),"",ROUND(Frota!$I30+IF(B$3=1,N(Frota!$J30),N(Frota!$K30)),2))</f>
        <v/>
      </c>
      <c r="C30" s="0" t="str">
        <f aca="false">IF(B30="","",ROUND(B30+IF(C$3=1,N(Frota!$J30),N(Frota!$K30)),2))</f>
        <v/>
      </c>
      <c r="D30" s="0" t="str">
        <f aca="false">IF(C30="","",ROUND(C30+IF(D$3=1,N(Frota!$J30),N(Frota!$K30)),2))</f>
        <v/>
      </c>
      <c r="E30" s="0" t="str">
        <f aca="false">IF(D30="","",ROUND(D30+IF(E$3=1,N(Frota!$J30),N(Frota!$K30)),2))</f>
        <v/>
      </c>
      <c r="F30" s="0" t="str">
        <f aca="false">IF(E30="","",ROUND(E30+IF(F$3=1,N(Frota!$J30),N(Frota!$K30)),2))</f>
        <v/>
      </c>
      <c r="G30" s="0" t="str">
        <f aca="false">IF(F30="","",ROUND(F30+IF(G$3=1,N(Frota!$J30),N(Frota!$K30)),2))</f>
        <v/>
      </c>
      <c r="H30" s="0" t="str">
        <f aca="false">IF(G30="","",ROUND(G30+IF(H$3=1,N(Frota!$J30),N(Frota!$K30)),2))</f>
        <v/>
      </c>
      <c r="I30" s="0" t="str">
        <f aca="false">IF(H30="","",ROUND(H30+IF(I$3=1,N(Frota!$J30),N(Frota!$K30)),2))</f>
        <v/>
      </c>
      <c r="J30" s="0" t="str">
        <f aca="false">IF(I30="","",ROUND(I30+IF(J$3=1,N(Frota!$J30),N(Frota!$K30)),2))</f>
        <v/>
      </c>
      <c r="K30" s="0" t="str">
        <f aca="false">IF(J30="","",ROUND(J30+IF(K$3=1,N(Frota!$J30),N(Frota!$K30)),2))</f>
        <v/>
      </c>
      <c r="L30" s="0" t="str">
        <f aca="false">IF(K30="","",ROUND(K30+IF(L$3=1,N(Frota!$J30),N(Frota!$K30)),2))</f>
        <v/>
      </c>
      <c r="M30" s="0" t="str">
        <f aca="false">IF(L30="","",ROUND(L30+IF(M$3=1,N(Frota!$J30),N(Frota!$K30)),2))</f>
        <v/>
      </c>
      <c r="N30" s="0" t="str">
        <f aca="false">IF(M30="","",ROUND(M30+IF(N$3=1,N(Frota!$J30),N(Frota!$K30)),2))</f>
        <v/>
      </c>
      <c r="O30" s="0" t="str">
        <f aca="false">IF(N30="","",ROUND(N30+IF(O$3=1,N(Frota!$J30),N(Frota!$K30)),2))</f>
        <v/>
      </c>
      <c r="P30" s="0" t="str">
        <f aca="false">IF(O30="","",ROUND(O30+IF(P$3=1,N(Frota!$J30),N(Frota!$K30)),2))</f>
        <v/>
      </c>
      <c r="Q30" s="0" t="str">
        <f aca="false">IF(P30="","",ROUND(P30+IF(Q$3=1,N(Frota!$J30),N(Frota!$K30)),2))</f>
        <v/>
      </c>
      <c r="R30" s="0" t="str">
        <f aca="false">IF(Q30="","",ROUND(Q30+IF(R$3=1,N(Frota!$J30),N(Frota!$K30)),2))</f>
        <v/>
      </c>
      <c r="S30" s="0" t="str">
        <f aca="false">IF(R30="","",ROUND(R30+IF(S$3=1,N(Frota!$J30),N(Frota!$K30)),2))</f>
        <v/>
      </c>
      <c r="T30" s="0" t="str">
        <f aca="false">IF(S30="","",ROUND(S30+IF(T$3=1,N(Frota!$J30),N(Frota!$K30)),2))</f>
        <v/>
      </c>
      <c r="U30" s="0" t="str">
        <f aca="false">IF(T30="","",ROUND(T30+IF(U$3=1,N(Frota!$J30),N(Frota!$K30)),2))</f>
        <v/>
      </c>
      <c r="V30" s="0" t="str">
        <f aca="false">IF(U30="","",ROUND(U30+IF(V$3=1,N(Frota!$J30),N(Frota!$K30)),2))</f>
        <v/>
      </c>
      <c r="W30" s="0" t="str">
        <f aca="false">IF(V30="","",ROUND(V30+IF(W$3=1,N(Frota!$J30),N(Frota!$K30)),2))</f>
        <v/>
      </c>
      <c r="X30" s="0" t="str">
        <f aca="false">IF(W30="","",ROUND(W30+IF(X$3=1,N(Frota!$J30),N(Frota!$K30)),2))</f>
        <v/>
      </c>
      <c r="Y30" s="0" t="str">
        <f aca="false">IF(X30="","",ROUND(X30+IF(Y$3=1,N(Frota!$J30),N(Frota!$K30)),2))</f>
        <v/>
      </c>
      <c r="Z30" s="0" t="str">
        <f aca="false">IF(Y30="","",ROUND(Y30+IF(Z$3=1,N(Frota!$J30),N(Frota!$K30)),2))</f>
        <v/>
      </c>
      <c r="AA30" s="0" t="str">
        <f aca="false">IF(Z30="","",ROUND(Z30+IF(AA$3=1,N(Frota!$J30),N(Frota!$K30)),2))</f>
        <v/>
      </c>
      <c r="AB30" s="0" t="str">
        <f aca="false">IF(AA30="","",ROUND(AA30+IF(AB$3=1,N(Frota!$J30),N(Frota!$K30)),2))</f>
        <v/>
      </c>
      <c r="AC30" s="0" t="str">
        <f aca="false">IF(AB30="","",ROUND(AB30+IF(AC$3=1,N(Frota!$J30),N(Frota!$K30)),2))</f>
        <v/>
      </c>
      <c r="AD30" s="0" t="str">
        <f aca="false">IF(AC30="","",ROUND(AC30+IF(AD$3=1,N(Frota!$J30),N(Frota!$K30)),2))</f>
        <v/>
      </c>
      <c r="AE30" s="0" t="str">
        <f aca="false">IF(AD30="","",ROUND(AD30+IF(AE$3=1,N(Frota!$J30),N(Frota!$K30)),2))</f>
        <v/>
      </c>
      <c r="AF30" s="0" t="str">
        <f aca="false">IF(AE30="","",ROUND(AE30+IF(AF$3=1,N(Frota!$J30),N(Frota!$K30)),2))</f>
        <v/>
      </c>
      <c r="AG30" s="0" t="str">
        <f aca="false">IF(AF30="","",ROUND(AF30+IF(AG$3=1,N(Frota!$J30),N(Frota!$K30)),2))</f>
        <v/>
      </c>
      <c r="AH30" s="0" t="str">
        <f aca="false">IF(AG30="","",ROUND(AG30+IF(AH$3=1,N(Frota!$J30),N(Frota!$K30)),2))</f>
        <v/>
      </c>
      <c r="AI30" s="0" t="str">
        <f aca="false">IF(AH30="","",ROUND(AH30+IF(AI$3=1,N(Frota!$J30),N(Frota!$K30)),2))</f>
        <v/>
      </c>
      <c r="AJ30" s="0" t="str">
        <f aca="false">IF(AI30="","",ROUND(AI30+IF(AJ$3=1,N(Frota!$J30),N(Frota!$K30)),2))</f>
        <v/>
      </c>
      <c r="AK30" s="0" t="str">
        <f aca="false">IF(AJ30="","",ROUND(AJ30+IF(AK$3=1,N(Frota!$J30),N(Frota!$K30)),2))</f>
        <v/>
      </c>
      <c r="AL30" s="0" t="str">
        <f aca="false">IF(AK30="","",ROUND(AK30+IF(AL$3=1,N(Frota!$J30),N(Frota!$K30)),2))</f>
        <v/>
      </c>
      <c r="AM30" s="0" t="str">
        <f aca="false">IF(AL30="","",ROUND(AL30+IF(AM$3=1,N(Frota!$J30),N(Frota!$K30)),2))</f>
        <v/>
      </c>
      <c r="AN30" s="0" t="str">
        <f aca="false">IF(AM30="","",ROUND(AM30+IF(AN$3=1,N(Frota!$J30),N(Frota!$K30)),2))</f>
        <v/>
      </c>
      <c r="AO30" s="0" t="str">
        <f aca="false">IF(AN30="","",ROUND(AN30+IF(AO$3=1,N(Frota!$J30),N(Frota!$K30)),2))</f>
        <v/>
      </c>
      <c r="AP30" s="0" t="str">
        <f aca="false">IF(AO30="","",ROUND(AO30+IF(AP$3=1,N(Frota!$J30),N(Frota!$K30)),2))</f>
        <v/>
      </c>
      <c r="AQ30" s="0" t="str">
        <f aca="false">IF(AP30="","",ROUND(AP30+IF(AQ$3=1,N(Frota!$J30),N(Frota!$K30)),2))</f>
        <v/>
      </c>
      <c r="AR30" s="0" t="str">
        <f aca="false">IF(AQ30="","",ROUND(AQ30+IF(AR$3=1,N(Frota!$J30),N(Frota!$K30)),2))</f>
        <v/>
      </c>
      <c r="AS30" s="0" t="str">
        <f aca="false">IF(AR30="","",ROUND(AR30+IF(AS$3=1,N(Frota!$J30),N(Frota!$K30)),2))</f>
        <v/>
      </c>
      <c r="AT30" s="0" t="str">
        <f aca="false">IF(AS30="","",ROUND(AS30+IF(AT$3=1,N(Frota!$J30),N(Frota!$K30)),2))</f>
        <v/>
      </c>
      <c r="AU30" s="0" t="str">
        <f aca="false">IF(AT30="","",ROUND(AT30+IF(AU$3=1,N(Frota!$J30),N(Frota!$K30)),2))</f>
        <v/>
      </c>
      <c r="AV30" s="0" t="str">
        <f aca="false">IF(AU30="","",ROUND(AU30+IF(AV$3=1,N(Frota!$J30),N(Frota!$K30)),2))</f>
        <v/>
      </c>
      <c r="AW30" s="0" t="str">
        <f aca="false">IF(AV30="","",ROUND(AV30+IF(AW$3=1,N(Frota!$J30),N(Frota!$K30)),2))</f>
        <v/>
      </c>
      <c r="AX30" s="0" t="str">
        <f aca="false">IF(AW30="","",ROUND(AW30+IF(AX$3=1,N(Frota!$J30),N(Frota!$K30)),2))</f>
        <v/>
      </c>
      <c r="AY30" s="0" t="str">
        <f aca="false">IF(AX30="","",ROUND(AX30+IF(AY$3=1,N(Frota!$J30),N(Frota!$K30)),2))</f>
        <v/>
      </c>
      <c r="AZ30" s="0" t="str">
        <f aca="false">IF(AY30="","",ROUND(AY30+IF(AZ$3=1,N(Frota!$J30),N(Frota!$K30)),2))</f>
        <v/>
      </c>
      <c r="BA30" s="0" t="str">
        <f aca="false">IF(AZ30="","",ROUND(AZ30+IF(BA$3=1,N(Frota!$J30),N(Frota!$K30)),2))</f>
        <v/>
      </c>
    </row>
    <row r="31" customFormat="false" ht="15" hidden="false" customHeight="false" outlineLevel="0" collapsed="false">
      <c r="A31" s="2" t="str">
        <f aca="false">IF(Frota!$A31="","",Frota!$A31)</f>
        <v/>
      </c>
      <c r="B31" s="0" t="str">
        <f aca="false">IF(OR(Frota!$A31="",Frota!$G31&lt;&gt;"Ativo",N(Frota!$L31)=0),"",ROUND(Frota!$I31+IF(B$3=1,N(Frota!$J31),N(Frota!$K31)),2))</f>
        <v/>
      </c>
      <c r="C31" s="0" t="str">
        <f aca="false">IF(B31="","",ROUND(B31+IF(C$3=1,N(Frota!$J31),N(Frota!$K31)),2))</f>
        <v/>
      </c>
      <c r="D31" s="0" t="str">
        <f aca="false">IF(C31="","",ROUND(C31+IF(D$3=1,N(Frota!$J31),N(Frota!$K31)),2))</f>
        <v/>
      </c>
      <c r="E31" s="0" t="str">
        <f aca="false">IF(D31="","",ROUND(D31+IF(E$3=1,N(Frota!$J31),N(Frota!$K31)),2))</f>
        <v/>
      </c>
      <c r="F31" s="0" t="str">
        <f aca="false">IF(E31="","",ROUND(E31+IF(F$3=1,N(Frota!$J31),N(Frota!$K31)),2))</f>
        <v/>
      </c>
      <c r="G31" s="0" t="str">
        <f aca="false">IF(F31="","",ROUND(F31+IF(G$3=1,N(Frota!$J31),N(Frota!$K31)),2))</f>
        <v/>
      </c>
      <c r="H31" s="0" t="str">
        <f aca="false">IF(G31="","",ROUND(G31+IF(H$3=1,N(Frota!$J31),N(Frota!$K31)),2))</f>
        <v/>
      </c>
      <c r="I31" s="0" t="str">
        <f aca="false">IF(H31="","",ROUND(H31+IF(I$3=1,N(Frota!$J31),N(Frota!$K31)),2))</f>
        <v/>
      </c>
      <c r="J31" s="0" t="str">
        <f aca="false">IF(I31="","",ROUND(I31+IF(J$3=1,N(Frota!$J31),N(Frota!$K31)),2))</f>
        <v/>
      </c>
      <c r="K31" s="0" t="str">
        <f aca="false">IF(J31="","",ROUND(J31+IF(K$3=1,N(Frota!$J31),N(Frota!$K31)),2))</f>
        <v/>
      </c>
      <c r="L31" s="0" t="str">
        <f aca="false">IF(K31="","",ROUND(K31+IF(L$3=1,N(Frota!$J31),N(Frota!$K31)),2))</f>
        <v/>
      </c>
      <c r="M31" s="0" t="str">
        <f aca="false">IF(L31="","",ROUND(L31+IF(M$3=1,N(Frota!$J31),N(Frota!$K31)),2))</f>
        <v/>
      </c>
      <c r="N31" s="0" t="str">
        <f aca="false">IF(M31="","",ROUND(M31+IF(N$3=1,N(Frota!$J31),N(Frota!$K31)),2))</f>
        <v/>
      </c>
      <c r="O31" s="0" t="str">
        <f aca="false">IF(N31="","",ROUND(N31+IF(O$3=1,N(Frota!$J31),N(Frota!$K31)),2))</f>
        <v/>
      </c>
      <c r="P31" s="0" t="str">
        <f aca="false">IF(O31="","",ROUND(O31+IF(P$3=1,N(Frota!$J31),N(Frota!$K31)),2))</f>
        <v/>
      </c>
      <c r="Q31" s="0" t="str">
        <f aca="false">IF(P31="","",ROUND(P31+IF(Q$3=1,N(Frota!$J31),N(Frota!$K31)),2))</f>
        <v/>
      </c>
      <c r="R31" s="0" t="str">
        <f aca="false">IF(Q31="","",ROUND(Q31+IF(R$3=1,N(Frota!$J31),N(Frota!$K31)),2))</f>
        <v/>
      </c>
      <c r="S31" s="0" t="str">
        <f aca="false">IF(R31="","",ROUND(R31+IF(S$3=1,N(Frota!$J31),N(Frota!$K31)),2))</f>
        <v/>
      </c>
      <c r="T31" s="0" t="str">
        <f aca="false">IF(S31="","",ROUND(S31+IF(T$3=1,N(Frota!$J31),N(Frota!$K31)),2))</f>
        <v/>
      </c>
      <c r="U31" s="0" t="str">
        <f aca="false">IF(T31="","",ROUND(T31+IF(U$3=1,N(Frota!$J31),N(Frota!$K31)),2))</f>
        <v/>
      </c>
      <c r="V31" s="0" t="str">
        <f aca="false">IF(U31="","",ROUND(U31+IF(V$3=1,N(Frota!$J31),N(Frota!$K31)),2))</f>
        <v/>
      </c>
      <c r="W31" s="0" t="str">
        <f aca="false">IF(V31="","",ROUND(V31+IF(W$3=1,N(Frota!$J31),N(Frota!$K31)),2))</f>
        <v/>
      </c>
      <c r="X31" s="0" t="str">
        <f aca="false">IF(W31="","",ROUND(W31+IF(X$3=1,N(Frota!$J31),N(Frota!$K31)),2))</f>
        <v/>
      </c>
      <c r="Y31" s="0" t="str">
        <f aca="false">IF(X31="","",ROUND(X31+IF(Y$3=1,N(Frota!$J31),N(Frota!$K31)),2))</f>
        <v/>
      </c>
      <c r="Z31" s="0" t="str">
        <f aca="false">IF(Y31="","",ROUND(Y31+IF(Z$3=1,N(Frota!$J31),N(Frota!$K31)),2))</f>
        <v/>
      </c>
      <c r="AA31" s="0" t="str">
        <f aca="false">IF(Z31="","",ROUND(Z31+IF(AA$3=1,N(Frota!$J31),N(Frota!$K31)),2))</f>
        <v/>
      </c>
      <c r="AB31" s="0" t="str">
        <f aca="false">IF(AA31="","",ROUND(AA31+IF(AB$3=1,N(Frota!$J31),N(Frota!$K31)),2))</f>
        <v/>
      </c>
      <c r="AC31" s="0" t="str">
        <f aca="false">IF(AB31="","",ROUND(AB31+IF(AC$3=1,N(Frota!$J31),N(Frota!$K31)),2))</f>
        <v/>
      </c>
      <c r="AD31" s="0" t="str">
        <f aca="false">IF(AC31="","",ROUND(AC31+IF(AD$3=1,N(Frota!$J31),N(Frota!$K31)),2))</f>
        <v/>
      </c>
      <c r="AE31" s="0" t="str">
        <f aca="false">IF(AD31="","",ROUND(AD31+IF(AE$3=1,N(Frota!$J31),N(Frota!$K31)),2))</f>
        <v/>
      </c>
      <c r="AF31" s="0" t="str">
        <f aca="false">IF(AE31="","",ROUND(AE31+IF(AF$3=1,N(Frota!$J31),N(Frota!$K31)),2))</f>
        <v/>
      </c>
      <c r="AG31" s="0" t="str">
        <f aca="false">IF(AF31="","",ROUND(AF31+IF(AG$3=1,N(Frota!$J31),N(Frota!$K31)),2))</f>
        <v/>
      </c>
      <c r="AH31" s="0" t="str">
        <f aca="false">IF(AG31="","",ROUND(AG31+IF(AH$3=1,N(Frota!$J31),N(Frota!$K31)),2))</f>
        <v/>
      </c>
      <c r="AI31" s="0" t="str">
        <f aca="false">IF(AH31="","",ROUND(AH31+IF(AI$3=1,N(Frota!$J31),N(Frota!$K31)),2))</f>
        <v/>
      </c>
      <c r="AJ31" s="0" t="str">
        <f aca="false">IF(AI31="","",ROUND(AI31+IF(AJ$3=1,N(Frota!$J31),N(Frota!$K31)),2))</f>
        <v/>
      </c>
      <c r="AK31" s="0" t="str">
        <f aca="false">IF(AJ31="","",ROUND(AJ31+IF(AK$3=1,N(Frota!$J31),N(Frota!$K31)),2))</f>
        <v/>
      </c>
      <c r="AL31" s="0" t="str">
        <f aca="false">IF(AK31="","",ROUND(AK31+IF(AL$3=1,N(Frota!$J31),N(Frota!$K31)),2))</f>
        <v/>
      </c>
      <c r="AM31" s="0" t="str">
        <f aca="false">IF(AL31="","",ROUND(AL31+IF(AM$3=1,N(Frota!$J31),N(Frota!$K31)),2))</f>
        <v/>
      </c>
      <c r="AN31" s="0" t="str">
        <f aca="false">IF(AM31="","",ROUND(AM31+IF(AN$3=1,N(Frota!$J31),N(Frota!$K31)),2))</f>
        <v/>
      </c>
      <c r="AO31" s="0" t="str">
        <f aca="false">IF(AN31="","",ROUND(AN31+IF(AO$3=1,N(Frota!$J31),N(Frota!$K31)),2))</f>
        <v/>
      </c>
      <c r="AP31" s="0" t="str">
        <f aca="false">IF(AO31="","",ROUND(AO31+IF(AP$3=1,N(Frota!$J31),N(Frota!$K31)),2))</f>
        <v/>
      </c>
      <c r="AQ31" s="0" t="str">
        <f aca="false">IF(AP31="","",ROUND(AP31+IF(AQ$3=1,N(Frota!$J31),N(Frota!$K31)),2))</f>
        <v/>
      </c>
      <c r="AR31" s="0" t="str">
        <f aca="false">IF(AQ31="","",ROUND(AQ31+IF(AR$3=1,N(Frota!$J31),N(Frota!$K31)),2))</f>
        <v/>
      </c>
      <c r="AS31" s="0" t="str">
        <f aca="false">IF(AR31="","",ROUND(AR31+IF(AS$3=1,N(Frota!$J31),N(Frota!$K31)),2))</f>
        <v/>
      </c>
      <c r="AT31" s="0" t="str">
        <f aca="false">IF(AS31="","",ROUND(AS31+IF(AT$3=1,N(Frota!$J31),N(Frota!$K31)),2))</f>
        <v/>
      </c>
      <c r="AU31" s="0" t="str">
        <f aca="false">IF(AT31="","",ROUND(AT31+IF(AU$3=1,N(Frota!$J31),N(Frota!$K31)),2))</f>
        <v/>
      </c>
      <c r="AV31" s="0" t="str">
        <f aca="false">IF(AU31="","",ROUND(AU31+IF(AV$3=1,N(Frota!$J31),N(Frota!$K31)),2))</f>
        <v/>
      </c>
      <c r="AW31" s="0" t="str">
        <f aca="false">IF(AV31="","",ROUND(AV31+IF(AW$3=1,N(Frota!$J31),N(Frota!$K31)),2))</f>
        <v/>
      </c>
      <c r="AX31" s="0" t="str">
        <f aca="false">IF(AW31="","",ROUND(AW31+IF(AX$3=1,N(Frota!$J31),N(Frota!$K31)),2))</f>
        <v/>
      </c>
      <c r="AY31" s="0" t="str">
        <f aca="false">IF(AX31="","",ROUND(AX31+IF(AY$3=1,N(Frota!$J31),N(Frota!$K31)),2))</f>
        <v/>
      </c>
      <c r="AZ31" s="0" t="str">
        <f aca="false">IF(AY31="","",ROUND(AY31+IF(AZ$3=1,N(Frota!$J31),N(Frota!$K31)),2))</f>
        <v/>
      </c>
      <c r="BA31" s="0" t="str">
        <f aca="false">IF(AZ31="","",ROUND(AZ31+IF(BA$3=1,N(Frota!$J31),N(Frota!$K31)),2))</f>
        <v/>
      </c>
    </row>
    <row r="32" customFormat="false" ht="15" hidden="false" customHeight="false" outlineLevel="0" collapsed="false">
      <c r="A32" s="2" t="str">
        <f aca="false">IF(Frota!$A32="","",Frota!$A32)</f>
        <v/>
      </c>
      <c r="B32" s="0" t="str">
        <f aca="false">IF(OR(Frota!$A32="",Frota!$G32&lt;&gt;"Ativo",N(Frota!$L32)=0),"",ROUND(Frota!$I32+IF(B$3=1,N(Frota!$J32),N(Frota!$K32)),2))</f>
        <v/>
      </c>
      <c r="C32" s="0" t="str">
        <f aca="false">IF(B32="","",ROUND(B32+IF(C$3=1,N(Frota!$J32),N(Frota!$K32)),2))</f>
        <v/>
      </c>
      <c r="D32" s="0" t="str">
        <f aca="false">IF(C32="","",ROUND(C32+IF(D$3=1,N(Frota!$J32),N(Frota!$K32)),2))</f>
        <v/>
      </c>
      <c r="E32" s="0" t="str">
        <f aca="false">IF(D32="","",ROUND(D32+IF(E$3=1,N(Frota!$J32),N(Frota!$K32)),2))</f>
        <v/>
      </c>
      <c r="F32" s="0" t="str">
        <f aca="false">IF(E32="","",ROUND(E32+IF(F$3=1,N(Frota!$J32),N(Frota!$K32)),2))</f>
        <v/>
      </c>
      <c r="G32" s="0" t="str">
        <f aca="false">IF(F32="","",ROUND(F32+IF(G$3=1,N(Frota!$J32),N(Frota!$K32)),2))</f>
        <v/>
      </c>
      <c r="H32" s="0" t="str">
        <f aca="false">IF(G32="","",ROUND(G32+IF(H$3=1,N(Frota!$J32),N(Frota!$K32)),2))</f>
        <v/>
      </c>
      <c r="I32" s="0" t="str">
        <f aca="false">IF(H32="","",ROUND(H32+IF(I$3=1,N(Frota!$J32),N(Frota!$K32)),2))</f>
        <v/>
      </c>
      <c r="J32" s="0" t="str">
        <f aca="false">IF(I32="","",ROUND(I32+IF(J$3=1,N(Frota!$J32),N(Frota!$K32)),2))</f>
        <v/>
      </c>
      <c r="K32" s="0" t="str">
        <f aca="false">IF(J32="","",ROUND(J32+IF(K$3=1,N(Frota!$J32),N(Frota!$K32)),2))</f>
        <v/>
      </c>
      <c r="L32" s="0" t="str">
        <f aca="false">IF(K32="","",ROUND(K32+IF(L$3=1,N(Frota!$J32),N(Frota!$K32)),2))</f>
        <v/>
      </c>
      <c r="M32" s="0" t="str">
        <f aca="false">IF(L32="","",ROUND(L32+IF(M$3=1,N(Frota!$J32),N(Frota!$K32)),2))</f>
        <v/>
      </c>
      <c r="N32" s="0" t="str">
        <f aca="false">IF(M32="","",ROUND(M32+IF(N$3=1,N(Frota!$J32),N(Frota!$K32)),2))</f>
        <v/>
      </c>
      <c r="O32" s="0" t="str">
        <f aca="false">IF(N32="","",ROUND(N32+IF(O$3=1,N(Frota!$J32),N(Frota!$K32)),2))</f>
        <v/>
      </c>
      <c r="P32" s="0" t="str">
        <f aca="false">IF(O32="","",ROUND(O32+IF(P$3=1,N(Frota!$J32),N(Frota!$K32)),2))</f>
        <v/>
      </c>
      <c r="Q32" s="0" t="str">
        <f aca="false">IF(P32="","",ROUND(P32+IF(Q$3=1,N(Frota!$J32),N(Frota!$K32)),2))</f>
        <v/>
      </c>
      <c r="R32" s="0" t="str">
        <f aca="false">IF(Q32="","",ROUND(Q32+IF(R$3=1,N(Frota!$J32),N(Frota!$K32)),2))</f>
        <v/>
      </c>
      <c r="S32" s="0" t="str">
        <f aca="false">IF(R32="","",ROUND(R32+IF(S$3=1,N(Frota!$J32),N(Frota!$K32)),2))</f>
        <v/>
      </c>
      <c r="T32" s="0" t="str">
        <f aca="false">IF(S32="","",ROUND(S32+IF(T$3=1,N(Frota!$J32),N(Frota!$K32)),2))</f>
        <v/>
      </c>
      <c r="U32" s="0" t="str">
        <f aca="false">IF(T32="","",ROUND(T32+IF(U$3=1,N(Frota!$J32),N(Frota!$K32)),2))</f>
        <v/>
      </c>
      <c r="V32" s="0" t="str">
        <f aca="false">IF(U32="","",ROUND(U32+IF(V$3=1,N(Frota!$J32),N(Frota!$K32)),2))</f>
        <v/>
      </c>
      <c r="W32" s="0" t="str">
        <f aca="false">IF(V32="","",ROUND(V32+IF(W$3=1,N(Frota!$J32),N(Frota!$K32)),2))</f>
        <v/>
      </c>
      <c r="X32" s="0" t="str">
        <f aca="false">IF(W32="","",ROUND(W32+IF(X$3=1,N(Frota!$J32),N(Frota!$K32)),2))</f>
        <v/>
      </c>
      <c r="Y32" s="0" t="str">
        <f aca="false">IF(X32="","",ROUND(X32+IF(Y$3=1,N(Frota!$J32),N(Frota!$K32)),2))</f>
        <v/>
      </c>
      <c r="Z32" s="0" t="str">
        <f aca="false">IF(Y32="","",ROUND(Y32+IF(Z$3=1,N(Frota!$J32),N(Frota!$K32)),2))</f>
        <v/>
      </c>
      <c r="AA32" s="0" t="str">
        <f aca="false">IF(Z32="","",ROUND(Z32+IF(AA$3=1,N(Frota!$J32),N(Frota!$K32)),2))</f>
        <v/>
      </c>
      <c r="AB32" s="0" t="str">
        <f aca="false">IF(AA32="","",ROUND(AA32+IF(AB$3=1,N(Frota!$J32),N(Frota!$K32)),2))</f>
        <v/>
      </c>
      <c r="AC32" s="0" t="str">
        <f aca="false">IF(AB32="","",ROUND(AB32+IF(AC$3=1,N(Frota!$J32),N(Frota!$K32)),2))</f>
        <v/>
      </c>
      <c r="AD32" s="0" t="str">
        <f aca="false">IF(AC32="","",ROUND(AC32+IF(AD$3=1,N(Frota!$J32),N(Frota!$K32)),2))</f>
        <v/>
      </c>
      <c r="AE32" s="0" t="str">
        <f aca="false">IF(AD32="","",ROUND(AD32+IF(AE$3=1,N(Frota!$J32),N(Frota!$K32)),2))</f>
        <v/>
      </c>
      <c r="AF32" s="0" t="str">
        <f aca="false">IF(AE32="","",ROUND(AE32+IF(AF$3=1,N(Frota!$J32),N(Frota!$K32)),2))</f>
        <v/>
      </c>
      <c r="AG32" s="0" t="str">
        <f aca="false">IF(AF32="","",ROUND(AF32+IF(AG$3=1,N(Frota!$J32),N(Frota!$K32)),2))</f>
        <v/>
      </c>
      <c r="AH32" s="0" t="str">
        <f aca="false">IF(AG32="","",ROUND(AG32+IF(AH$3=1,N(Frota!$J32),N(Frota!$K32)),2))</f>
        <v/>
      </c>
      <c r="AI32" s="0" t="str">
        <f aca="false">IF(AH32="","",ROUND(AH32+IF(AI$3=1,N(Frota!$J32),N(Frota!$K32)),2))</f>
        <v/>
      </c>
      <c r="AJ32" s="0" t="str">
        <f aca="false">IF(AI32="","",ROUND(AI32+IF(AJ$3=1,N(Frota!$J32),N(Frota!$K32)),2))</f>
        <v/>
      </c>
      <c r="AK32" s="0" t="str">
        <f aca="false">IF(AJ32="","",ROUND(AJ32+IF(AK$3=1,N(Frota!$J32),N(Frota!$K32)),2))</f>
        <v/>
      </c>
      <c r="AL32" s="0" t="str">
        <f aca="false">IF(AK32="","",ROUND(AK32+IF(AL$3=1,N(Frota!$J32),N(Frota!$K32)),2))</f>
        <v/>
      </c>
      <c r="AM32" s="0" t="str">
        <f aca="false">IF(AL32="","",ROUND(AL32+IF(AM$3=1,N(Frota!$J32),N(Frota!$K32)),2))</f>
        <v/>
      </c>
      <c r="AN32" s="0" t="str">
        <f aca="false">IF(AM32="","",ROUND(AM32+IF(AN$3=1,N(Frota!$J32),N(Frota!$K32)),2))</f>
        <v/>
      </c>
      <c r="AO32" s="0" t="str">
        <f aca="false">IF(AN32="","",ROUND(AN32+IF(AO$3=1,N(Frota!$J32),N(Frota!$K32)),2))</f>
        <v/>
      </c>
      <c r="AP32" s="0" t="str">
        <f aca="false">IF(AO32="","",ROUND(AO32+IF(AP$3=1,N(Frota!$J32),N(Frota!$K32)),2))</f>
        <v/>
      </c>
      <c r="AQ32" s="0" t="str">
        <f aca="false">IF(AP32="","",ROUND(AP32+IF(AQ$3=1,N(Frota!$J32),N(Frota!$K32)),2))</f>
        <v/>
      </c>
      <c r="AR32" s="0" t="str">
        <f aca="false">IF(AQ32="","",ROUND(AQ32+IF(AR$3=1,N(Frota!$J32),N(Frota!$K32)),2))</f>
        <v/>
      </c>
      <c r="AS32" s="0" t="str">
        <f aca="false">IF(AR32="","",ROUND(AR32+IF(AS$3=1,N(Frota!$J32),N(Frota!$K32)),2))</f>
        <v/>
      </c>
      <c r="AT32" s="0" t="str">
        <f aca="false">IF(AS32="","",ROUND(AS32+IF(AT$3=1,N(Frota!$J32),N(Frota!$K32)),2))</f>
        <v/>
      </c>
      <c r="AU32" s="0" t="str">
        <f aca="false">IF(AT32="","",ROUND(AT32+IF(AU$3=1,N(Frota!$J32),N(Frota!$K32)),2))</f>
        <v/>
      </c>
      <c r="AV32" s="0" t="str">
        <f aca="false">IF(AU32="","",ROUND(AU32+IF(AV$3=1,N(Frota!$J32),N(Frota!$K32)),2))</f>
        <v/>
      </c>
      <c r="AW32" s="0" t="str">
        <f aca="false">IF(AV32="","",ROUND(AV32+IF(AW$3=1,N(Frota!$J32),N(Frota!$K32)),2))</f>
        <v/>
      </c>
      <c r="AX32" s="0" t="str">
        <f aca="false">IF(AW32="","",ROUND(AW32+IF(AX$3=1,N(Frota!$J32),N(Frota!$K32)),2))</f>
        <v/>
      </c>
      <c r="AY32" s="0" t="str">
        <f aca="false">IF(AX32="","",ROUND(AX32+IF(AY$3=1,N(Frota!$J32),N(Frota!$K32)),2))</f>
        <v/>
      </c>
      <c r="AZ32" s="0" t="str">
        <f aca="false">IF(AY32="","",ROUND(AY32+IF(AZ$3=1,N(Frota!$J32),N(Frota!$K32)),2))</f>
        <v/>
      </c>
      <c r="BA32" s="0" t="str">
        <f aca="false">IF(AZ32="","",ROUND(AZ32+IF(BA$3=1,N(Frota!$J32),N(Frota!$K32)),2))</f>
        <v/>
      </c>
    </row>
    <row r="33" customFormat="false" ht="15" hidden="false" customHeight="false" outlineLevel="0" collapsed="false">
      <c r="A33" s="2" t="str">
        <f aca="false">IF(Frota!$A33="","",Frota!$A33)</f>
        <v/>
      </c>
      <c r="B33" s="0" t="str">
        <f aca="false">IF(OR(Frota!$A33="",Frota!$G33&lt;&gt;"Ativo",N(Frota!$L33)=0),"",ROUND(Frota!$I33+IF(B$3=1,N(Frota!$J33),N(Frota!$K33)),2))</f>
        <v/>
      </c>
      <c r="C33" s="0" t="str">
        <f aca="false">IF(B33="","",ROUND(B33+IF(C$3=1,N(Frota!$J33),N(Frota!$K33)),2))</f>
        <v/>
      </c>
      <c r="D33" s="0" t="str">
        <f aca="false">IF(C33="","",ROUND(C33+IF(D$3=1,N(Frota!$J33),N(Frota!$K33)),2))</f>
        <v/>
      </c>
      <c r="E33" s="0" t="str">
        <f aca="false">IF(D33="","",ROUND(D33+IF(E$3=1,N(Frota!$J33),N(Frota!$K33)),2))</f>
        <v/>
      </c>
      <c r="F33" s="0" t="str">
        <f aca="false">IF(E33="","",ROUND(E33+IF(F$3=1,N(Frota!$J33),N(Frota!$K33)),2))</f>
        <v/>
      </c>
      <c r="G33" s="0" t="str">
        <f aca="false">IF(F33="","",ROUND(F33+IF(G$3=1,N(Frota!$J33),N(Frota!$K33)),2))</f>
        <v/>
      </c>
      <c r="H33" s="0" t="str">
        <f aca="false">IF(G33="","",ROUND(G33+IF(H$3=1,N(Frota!$J33),N(Frota!$K33)),2))</f>
        <v/>
      </c>
      <c r="I33" s="0" t="str">
        <f aca="false">IF(H33="","",ROUND(H33+IF(I$3=1,N(Frota!$J33),N(Frota!$K33)),2))</f>
        <v/>
      </c>
      <c r="J33" s="0" t="str">
        <f aca="false">IF(I33="","",ROUND(I33+IF(J$3=1,N(Frota!$J33),N(Frota!$K33)),2))</f>
        <v/>
      </c>
      <c r="K33" s="0" t="str">
        <f aca="false">IF(J33="","",ROUND(J33+IF(K$3=1,N(Frota!$J33),N(Frota!$K33)),2))</f>
        <v/>
      </c>
      <c r="L33" s="0" t="str">
        <f aca="false">IF(K33="","",ROUND(K33+IF(L$3=1,N(Frota!$J33),N(Frota!$K33)),2))</f>
        <v/>
      </c>
      <c r="M33" s="0" t="str">
        <f aca="false">IF(L33="","",ROUND(L33+IF(M$3=1,N(Frota!$J33),N(Frota!$K33)),2))</f>
        <v/>
      </c>
      <c r="N33" s="0" t="str">
        <f aca="false">IF(M33="","",ROUND(M33+IF(N$3=1,N(Frota!$J33),N(Frota!$K33)),2))</f>
        <v/>
      </c>
      <c r="O33" s="0" t="str">
        <f aca="false">IF(N33="","",ROUND(N33+IF(O$3=1,N(Frota!$J33),N(Frota!$K33)),2))</f>
        <v/>
      </c>
      <c r="P33" s="0" t="str">
        <f aca="false">IF(O33="","",ROUND(O33+IF(P$3=1,N(Frota!$J33),N(Frota!$K33)),2))</f>
        <v/>
      </c>
      <c r="Q33" s="0" t="str">
        <f aca="false">IF(P33="","",ROUND(P33+IF(Q$3=1,N(Frota!$J33),N(Frota!$K33)),2))</f>
        <v/>
      </c>
      <c r="R33" s="0" t="str">
        <f aca="false">IF(Q33="","",ROUND(Q33+IF(R$3=1,N(Frota!$J33),N(Frota!$K33)),2))</f>
        <v/>
      </c>
      <c r="S33" s="0" t="str">
        <f aca="false">IF(R33="","",ROUND(R33+IF(S$3=1,N(Frota!$J33),N(Frota!$K33)),2))</f>
        <v/>
      </c>
      <c r="T33" s="0" t="str">
        <f aca="false">IF(S33="","",ROUND(S33+IF(T$3=1,N(Frota!$J33),N(Frota!$K33)),2))</f>
        <v/>
      </c>
      <c r="U33" s="0" t="str">
        <f aca="false">IF(T33="","",ROUND(T33+IF(U$3=1,N(Frota!$J33),N(Frota!$K33)),2))</f>
        <v/>
      </c>
      <c r="V33" s="0" t="str">
        <f aca="false">IF(U33="","",ROUND(U33+IF(V$3=1,N(Frota!$J33),N(Frota!$K33)),2))</f>
        <v/>
      </c>
      <c r="W33" s="0" t="str">
        <f aca="false">IF(V33="","",ROUND(V33+IF(W$3=1,N(Frota!$J33),N(Frota!$K33)),2))</f>
        <v/>
      </c>
      <c r="X33" s="0" t="str">
        <f aca="false">IF(W33="","",ROUND(W33+IF(X$3=1,N(Frota!$J33),N(Frota!$K33)),2))</f>
        <v/>
      </c>
      <c r="Y33" s="0" t="str">
        <f aca="false">IF(X33="","",ROUND(X33+IF(Y$3=1,N(Frota!$J33),N(Frota!$K33)),2))</f>
        <v/>
      </c>
      <c r="Z33" s="0" t="str">
        <f aca="false">IF(Y33="","",ROUND(Y33+IF(Z$3=1,N(Frota!$J33),N(Frota!$K33)),2))</f>
        <v/>
      </c>
      <c r="AA33" s="0" t="str">
        <f aca="false">IF(Z33="","",ROUND(Z33+IF(AA$3=1,N(Frota!$J33),N(Frota!$K33)),2))</f>
        <v/>
      </c>
      <c r="AB33" s="0" t="str">
        <f aca="false">IF(AA33="","",ROUND(AA33+IF(AB$3=1,N(Frota!$J33),N(Frota!$K33)),2))</f>
        <v/>
      </c>
      <c r="AC33" s="0" t="str">
        <f aca="false">IF(AB33="","",ROUND(AB33+IF(AC$3=1,N(Frota!$J33),N(Frota!$K33)),2))</f>
        <v/>
      </c>
      <c r="AD33" s="0" t="str">
        <f aca="false">IF(AC33="","",ROUND(AC33+IF(AD$3=1,N(Frota!$J33),N(Frota!$K33)),2))</f>
        <v/>
      </c>
      <c r="AE33" s="0" t="str">
        <f aca="false">IF(AD33="","",ROUND(AD33+IF(AE$3=1,N(Frota!$J33),N(Frota!$K33)),2))</f>
        <v/>
      </c>
      <c r="AF33" s="0" t="str">
        <f aca="false">IF(AE33="","",ROUND(AE33+IF(AF$3=1,N(Frota!$J33),N(Frota!$K33)),2))</f>
        <v/>
      </c>
      <c r="AG33" s="0" t="str">
        <f aca="false">IF(AF33="","",ROUND(AF33+IF(AG$3=1,N(Frota!$J33),N(Frota!$K33)),2))</f>
        <v/>
      </c>
      <c r="AH33" s="0" t="str">
        <f aca="false">IF(AG33="","",ROUND(AG33+IF(AH$3=1,N(Frota!$J33),N(Frota!$K33)),2))</f>
        <v/>
      </c>
      <c r="AI33" s="0" t="str">
        <f aca="false">IF(AH33="","",ROUND(AH33+IF(AI$3=1,N(Frota!$J33),N(Frota!$K33)),2))</f>
        <v/>
      </c>
      <c r="AJ33" s="0" t="str">
        <f aca="false">IF(AI33="","",ROUND(AI33+IF(AJ$3=1,N(Frota!$J33),N(Frota!$K33)),2))</f>
        <v/>
      </c>
      <c r="AK33" s="0" t="str">
        <f aca="false">IF(AJ33="","",ROUND(AJ33+IF(AK$3=1,N(Frota!$J33),N(Frota!$K33)),2))</f>
        <v/>
      </c>
      <c r="AL33" s="0" t="str">
        <f aca="false">IF(AK33="","",ROUND(AK33+IF(AL$3=1,N(Frota!$J33),N(Frota!$K33)),2))</f>
        <v/>
      </c>
      <c r="AM33" s="0" t="str">
        <f aca="false">IF(AL33="","",ROUND(AL33+IF(AM$3=1,N(Frota!$J33),N(Frota!$K33)),2))</f>
        <v/>
      </c>
      <c r="AN33" s="0" t="str">
        <f aca="false">IF(AM33="","",ROUND(AM33+IF(AN$3=1,N(Frota!$J33),N(Frota!$K33)),2))</f>
        <v/>
      </c>
      <c r="AO33" s="0" t="str">
        <f aca="false">IF(AN33="","",ROUND(AN33+IF(AO$3=1,N(Frota!$J33),N(Frota!$K33)),2))</f>
        <v/>
      </c>
      <c r="AP33" s="0" t="str">
        <f aca="false">IF(AO33="","",ROUND(AO33+IF(AP$3=1,N(Frota!$J33),N(Frota!$K33)),2))</f>
        <v/>
      </c>
      <c r="AQ33" s="0" t="str">
        <f aca="false">IF(AP33="","",ROUND(AP33+IF(AQ$3=1,N(Frota!$J33),N(Frota!$K33)),2))</f>
        <v/>
      </c>
      <c r="AR33" s="0" t="str">
        <f aca="false">IF(AQ33="","",ROUND(AQ33+IF(AR$3=1,N(Frota!$J33),N(Frota!$K33)),2))</f>
        <v/>
      </c>
      <c r="AS33" s="0" t="str">
        <f aca="false">IF(AR33="","",ROUND(AR33+IF(AS$3=1,N(Frota!$J33),N(Frota!$K33)),2))</f>
        <v/>
      </c>
      <c r="AT33" s="0" t="str">
        <f aca="false">IF(AS33="","",ROUND(AS33+IF(AT$3=1,N(Frota!$J33),N(Frota!$K33)),2))</f>
        <v/>
      </c>
      <c r="AU33" s="0" t="str">
        <f aca="false">IF(AT33="","",ROUND(AT33+IF(AU$3=1,N(Frota!$J33),N(Frota!$K33)),2))</f>
        <v/>
      </c>
      <c r="AV33" s="0" t="str">
        <f aca="false">IF(AU33="","",ROUND(AU33+IF(AV$3=1,N(Frota!$J33),N(Frota!$K33)),2))</f>
        <v/>
      </c>
      <c r="AW33" s="0" t="str">
        <f aca="false">IF(AV33="","",ROUND(AV33+IF(AW$3=1,N(Frota!$J33),N(Frota!$K33)),2))</f>
        <v/>
      </c>
      <c r="AX33" s="0" t="str">
        <f aca="false">IF(AW33="","",ROUND(AW33+IF(AX$3=1,N(Frota!$J33),N(Frota!$K33)),2))</f>
        <v/>
      </c>
      <c r="AY33" s="0" t="str">
        <f aca="false">IF(AX33="","",ROUND(AX33+IF(AY$3=1,N(Frota!$J33),N(Frota!$K33)),2))</f>
        <v/>
      </c>
      <c r="AZ33" s="0" t="str">
        <f aca="false">IF(AY33="","",ROUND(AY33+IF(AZ$3=1,N(Frota!$J33),N(Frota!$K33)),2))</f>
        <v/>
      </c>
      <c r="BA33" s="0" t="str">
        <f aca="false">IF(AZ33="","",ROUND(AZ33+IF(BA$3=1,N(Frota!$J33),N(Frota!$K33)),2))</f>
        <v/>
      </c>
    </row>
    <row r="34" customFormat="false" ht="15" hidden="false" customHeight="false" outlineLevel="0" collapsed="false">
      <c r="A34" s="2" t="str">
        <f aca="false">IF(Frota!$A34="","",Frota!$A34)</f>
        <v/>
      </c>
      <c r="B34" s="0" t="str">
        <f aca="false">IF(OR(Frota!$A34="",Frota!$G34&lt;&gt;"Ativo",N(Frota!$L34)=0),"",ROUND(Frota!$I34+IF(B$3=1,N(Frota!$J34),N(Frota!$K34)),2))</f>
        <v/>
      </c>
      <c r="C34" s="0" t="str">
        <f aca="false">IF(B34="","",ROUND(B34+IF(C$3=1,N(Frota!$J34),N(Frota!$K34)),2))</f>
        <v/>
      </c>
      <c r="D34" s="0" t="str">
        <f aca="false">IF(C34="","",ROUND(C34+IF(D$3=1,N(Frota!$J34),N(Frota!$K34)),2))</f>
        <v/>
      </c>
      <c r="E34" s="0" t="str">
        <f aca="false">IF(D34="","",ROUND(D34+IF(E$3=1,N(Frota!$J34),N(Frota!$K34)),2))</f>
        <v/>
      </c>
      <c r="F34" s="0" t="str">
        <f aca="false">IF(E34="","",ROUND(E34+IF(F$3=1,N(Frota!$J34),N(Frota!$K34)),2))</f>
        <v/>
      </c>
      <c r="G34" s="0" t="str">
        <f aca="false">IF(F34="","",ROUND(F34+IF(G$3=1,N(Frota!$J34),N(Frota!$K34)),2))</f>
        <v/>
      </c>
      <c r="H34" s="0" t="str">
        <f aca="false">IF(G34="","",ROUND(G34+IF(H$3=1,N(Frota!$J34),N(Frota!$K34)),2))</f>
        <v/>
      </c>
      <c r="I34" s="0" t="str">
        <f aca="false">IF(H34="","",ROUND(H34+IF(I$3=1,N(Frota!$J34),N(Frota!$K34)),2))</f>
        <v/>
      </c>
      <c r="J34" s="0" t="str">
        <f aca="false">IF(I34="","",ROUND(I34+IF(J$3=1,N(Frota!$J34),N(Frota!$K34)),2))</f>
        <v/>
      </c>
      <c r="K34" s="0" t="str">
        <f aca="false">IF(J34="","",ROUND(J34+IF(K$3=1,N(Frota!$J34),N(Frota!$K34)),2))</f>
        <v/>
      </c>
      <c r="L34" s="0" t="str">
        <f aca="false">IF(K34="","",ROUND(K34+IF(L$3=1,N(Frota!$J34),N(Frota!$K34)),2))</f>
        <v/>
      </c>
      <c r="M34" s="0" t="str">
        <f aca="false">IF(L34="","",ROUND(L34+IF(M$3=1,N(Frota!$J34),N(Frota!$K34)),2))</f>
        <v/>
      </c>
      <c r="N34" s="0" t="str">
        <f aca="false">IF(M34="","",ROUND(M34+IF(N$3=1,N(Frota!$J34),N(Frota!$K34)),2))</f>
        <v/>
      </c>
      <c r="O34" s="0" t="str">
        <f aca="false">IF(N34="","",ROUND(N34+IF(O$3=1,N(Frota!$J34),N(Frota!$K34)),2))</f>
        <v/>
      </c>
      <c r="P34" s="0" t="str">
        <f aca="false">IF(O34="","",ROUND(O34+IF(P$3=1,N(Frota!$J34),N(Frota!$K34)),2))</f>
        <v/>
      </c>
      <c r="Q34" s="0" t="str">
        <f aca="false">IF(P34="","",ROUND(P34+IF(Q$3=1,N(Frota!$J34),N(Frota!$K34)),2))</f>
        <v/>
      </c>
      <c r="R34" s="0" t="str">
        <f aca="false">IF(Q34="","",ROUND(Q34+IF(R$3=1,N(Frota!$J34),N(Frota!$K34)),2))</f>
        <v/>
      </c>
      <c r="S34" s="0" t="str">
        <f aca="false">IF(R34="","",ROUND(R34+IF(S$3=1,N(Frota!$J34),N(Frota!$K34)),2))</f>
        <v/>
      </c>
      <c r="T34" s="0" t="str">
        <f aca="false">IF(S34="","",ROUND(S34+IF(T$3=1,N(Frota!$J34),N(Frota!$K34)),2))</f>
        <v/>
      </c>
      <c r="U34" s="0" t="str">
        <f aca="false">IF(T34="","",ROUND(T34+IF(U$3=1,N(Frota!$J34),N(Frota!$K34)),2))</f>
        <v/>
      </c>
      <c r="V34" s="0" t="str">
        <f aca="false">IF(U34="","",ROUND(U34+IF(V$3=1,N(Frota!$J34),N(Frota!$K34)),2))</f>
        <v/>
      </c>
      <c r="W34" s="0" t="str">
        <f aca="false">IF(V34="","",ROUND(V34+IF(W$3=1,N(Frota!$J34),N(Frota!$K34)),2))</f>
        <v/>
      </c>
      <c r="X34" s="0" t="str">
        <f aca="false">IF(W34="","",ROUND(W34+IF(X$3=1,N(Frota!$J34),N(Frota!$K34)),2))</f>
        <v/>
      </c>
      <c r="Y34" s="0" t="str">
        <f aca="false">IF(X34="","",ROUND(X34+IF(Y$3=1,N(Frota!$J34),N(Frota!$K34)),2))</f>
        <v/>
      </c>
      <c r="Z34" s="0" t="str">
        <f aca="false">IF(Y34="","",ROUND(Y34+IF(Z$3=1,N(Frota!$J34),N(Frota!$K34)),2))</f>
        <v/>
      </c>
      <c r="AA34" s="0" t="str">
        <f aca="false">IF(Z34="","",ROUND(Z34+IF(AA$3=1,N(Frota!$J34),N(Frota!$K34)),2))</f>
        <v/>
      </c>
      <c r="AB34" s="0" t="str">
        <f aca="false">IF(AA34="","",ROUND(AA34+IF(AB$3=1,N(Frota!$J34),N(Frota!$K34)),2))</f>
        <v/>
      </c>
      <c r="AC34" s="0" t="str">
        <f aca="false">IF(AB34="","",ROUND(AB34+IF(AC$3=1,N(Frota!$J34),N(Frota!$K34)),2))</f>
        <v/>
      </c>
      <c r="AD34" s="0" t="str">
        <f aca="false">IF(AC34="","",ROUND(AC34+IF(AD$3=1,N(Frota!$J34),N(Frota!$K34)),2))</f>
        <v/>
      </c>
      <c r="AE34" s="0" t="str">
        <f aca="false">IF(AD34="","",ROUND(AD34+IF(AE$3=1,N(Frota!$J34),N(Frota!$K34)),2))</f>
        <v/>
      </c>
      <c r="AF34" s="0" t="str">
        <f aca="false">IF(AE34="","",ROUND(AE34+IF(AF$3=1,N(Frota!$J34),N(Frota!$K34)),2))</f>
        <v/>
      </c>
      <c r="AG34" s="0" t="str">
        <f aca="false">IF(AF34="","",ROUND(AF34+IF(AG$3=1,N(Frota!$J34),N(Frota!$K34)),2))</f>
        <v/>
      </c>
      <c r="AH34" s="0" t="str">
        <f aca="false">IF(AG34="","",ROUND(AG34+IF(AH$3=1,N(Frota!$J34),N(Frota!$K34)),2))</f>
        <v/>
      </c>
      <c r="AI34" s="0" t="str">
        <f aca="false">IF(AH34="","",ROUND(AH34+IF(AI$3=1,N(Frota!$J34),N(Frota!$K34)),2))</f>
        <v/>
      </c>
      <c r="AJ34" s="0" t="str">
        <f aca="false">IF(AI34="","",ROUND(AI34+IF(AJ$3=1,N(Frota!$J34),N(Frota!$K34)),2))</f>
        <v/>
      </c>
      <c r="AK34" s="0" t="str">
        <f aca="false">IF(AJ34="","",ROUND(AJ34+IF(AK$3=1,N(Frota!$J34),N(Frota!$K34)),2))</f>
        <v/>
      </c>
      <c r="AL34" s="0" t="str">
        <f aca="false">IF(AK34="","",ROUND(AK34+IF(AL$3=1,N(Frota!$J34),N(Frota!$K34)),2))</f>
        <v/>
      </c>
      <c r="AM34" s="0" t="str">
        <f aca="false">IF(AL34="","",ROUND(AL34+IF(AM$3=1,N(Frota!$J34),N(Frota!$K34)),2))</f>
        <v/>
      </c>
      <c r="AN34" s="0" t="str">
        <f aca="false">IF(AM34="","",ROUND(AM34+IF(AN$3=1,N(Frota!$J34),N(Frota!$K34)),2))</f>
        <v/>
      </c>
      <c r="AO34" s="0" t="str">
        <f aca="false">IF(AN34="","",ROUND(AN34+IF(AO$3=1,N(Frota!$J34),N(Frota!$K34)),2))</f>
        <v/>
      </c>
      <c r="AP34" s="0" t="str">
        <f aca="false">IF(AO34="","",ROUND(AO34+IF(AP$3=1,N(Frota!$J34),N(Frota!$K34)),2))</f>
        <v/>
      </c>
      <c r="AQ34" s="0" t="str">
        <f aca="false">IF(AP34="","",ROUND(AP34+IF(AQ$3=1,N(Frota!$J34),N(Frota!$K34)),2))</f>
        <v/>
      </c>
      <c r="AR34" s="0" t="str">
        <f aca="false">IF(AQ34="","",ROUND(AQ34+IF(AR$3=1,N(Frota!$J34),N(Frota!$K34)),2))</f>
        <v/>
      </c>
      <c r="AS34" s="0" t="str">
        <f aca="false">IF(AR34="","",ROUND(AR34+IF(AS$3=1,N(Frota!$J34),N(Frota!$K34)),2))</f>
        <v/>
      </c>
      <c r="AT34" s="0" t="str">
        <f aca="false">IF(AS34="","",ROUND(AS34+IF(AT$3=1,N(Frota!$J34),N(Frota!$K34)),2))</f>
        <v/>
      </c>
      <c r="AU34" s="0" t="str">
        <f aca="false">IF(AT34="","",ROUND(AT34+IF(AU$3=1,N(Frota!$J34),N(Frota!$K34)),2))</f>
        <v/>
      </c>
      <c r="AV34" s="0" t="str">
        <f aca="false">IF(AU34="","",ROUND(AU34+IF(AV$3=1,N(Frota!$J34),N(Frota!$K34)),2))</f>
        <v/>
      </c>
      <c r="AW34" s="0" t="str">
        <f aca="false">IF(AV34="","",ROUND(AV34+IF(AW$3=1,N(Frota!$J34),N(Frota!$K34)),2))</f>
        <v/>
      </c>
      <c r="AX34" s="0" t="str">
        <f aca="false">IF(AW34="","",ROUND(AW34+IF(AX$3=1,N(Frota!$J34),N(Frota!$K34)),2))</f>
        <v/>
      </c>
      <c r="AY34" s="0" t="str">
        <f aca="false">IF(AX34="","",ROUND(AX34+IF(AY$3=1,N(Frota!$J34),N(Frota!$K34)),2))</f>
        <v/>
      </c>
      <c r="AZ34" s="0" t="str">
        <f aca="false">IF(AY34="","",ROUND(AY34+IF(AZ$3=1,N(Frota!$J34),N(Frota!$K34)),2))</f>
        <v/>
      </c>
      <c r="BA34" s="0" t="str">
        <f aca="false">IF(AZ34="","",ROUND(AZ34+IF(BA$3=1,N(Frota!$J34),N(Frota!$K34)),2))</f>
        <v/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3" min="2" style="0" width="5"/>
  </cols>
  <sheetData>
    <row r="1" customFormat="false" ht="16.15" hidden="false" customHeight="false" outlineLevel="0" collapsed="false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Format="false" ht="15" hidden="false" customHeight="true" outlineLevel="0" collapsed="false">
      <c r="A2" s="11" t="s">
        <v>298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4" customFormat="false" ht="15" hidden="false" customHeight="false" outlineLevel="0" collapsed="false">
      <c r="A4" s="10" t="s">
        <v>105</v>
      </c>
      <c r="B4" s="15" t="s">
        <v>245</v>
      </c>
      <c r="C4" s="15" t="s">
        <v>246</v>
      </c>
      <c r="D4" s="15" t="s">
        <v>247</v>
      </c>
      <c r="E4" s="15" t="s">
        <v>248</v>
      </c>
      <c r="F4" s="15" t="s">
        <v>249</v>
      </c>
      <c r="G4" s="15" t="s">
        <v>250</v>
      </c>
      <c r="H4" s="15" t="s">
        <v>251</v>
      </c>
      <c r="I4" s="15" t="s">
        <v>252</v>
      </c>
      <c r="J4" s="15" t="s">
        <v>253</v>
      </c>
      <c r="K4" s="15" t="s">
        <v>254</v>
      </c>
      <c r="L4" s="15" t="s">
        <v>255</v>
      </c>
      <c r="M4" s="15" t="s">
        <v>256</v>
      </c>
      <c r="N4" s="15" t="s">
        <v>257</v>
      </c>
      <c r="O4" s="15" t="s">
        <v>258</v>
      </c>
      <c r="P4" s="15" t="s">
        <v>259</v>
      </c>
      <c r="Q4" s="15" t="s">
        <v>260</v>
      </c>
      <c r="R4" s="15" t="s">
        <v>261</v>
      </c>
      <c r="S4" s="15" t="s">
        <v>262</v>
      </c>
      <c r="T4" s="15" t="s">
        <v>263</v>
      </c>
      <c r="U4" s="15" t="s">
        <v>264</v>
      </c>
      <c r="V4" s="15" t="s">
        <v>265</v>
      </c>
      <c r="W4" s="15" t="s">
        <v>266</v>
      </c>
      <c r="X4" s="15" t="s">
        <v>267</v>
      </c>
      <c r="Y4" s="15" t="s">
        <v>268</v>
      </c>
      <c r="Z4" s="15" t="s">
        <v>269</v>
      </c>
      <c r="AA4" s="15" t="s">
        <v>270</v>
      </c>
      <c r="AB4" s="15" t="s">
        <v>271</v>
      </c>
      <c r="AC4" s="15" t="s">
        <v>272</v>
      </c>
      <c r="AD4" s="15" t="s">
        <v>273</v>
      </c>
      <c r="AE4" s="15" t="s">
        <v>274</v>
      </c>
      <c r="AF4" s="15" t="s">
        <v>275</v>
      </c>
      <c r="AG4" s="15" t="s">
        <v>276</v>
      </c>
      <c r="AH4" s="15" t="s">
        <v>277</v>
      </c>
      <c r="AI4" s="15" t="s">
        <v>278</v>
      </c>
      <c r="AJ4" s="15" t="s">
        <v>279</v>
      </c>
      <c r="AK4" s="15" t="s">
        <v>280</v>
      </c>
      <c r="AL4" s="15" t="s">
        <v>281</v>
      </c>
      <c r="AM4" s="15" t="s">
        <v>282</v>
      </c>
      <c r="AN4" s="15" t="s">
        <v>283</v>
      </c>
      <c r="AO4" s="15" t="s">
        <v>284</v>
      </c>
      <c r="AP4" s="15" t="s">
        <v>285</v>
      </c>
      <c r="AQ4" s="15" t="s">
        <v>286</v>
      </c>
      <c r="AR4" s="15" t="s">
        <v>287</v>
      </c>
      <c r="AS4" s="15" t="s">
        <v>288</v>
      </c>
      <c r="AT4" s="15" t="s">
        <v>289</v>
      </c>
      <c r="AU4" s="15" t="s">
        <v>290</v>
      </c>
      <c r="AV4" s="15" t="s">
        <v>291</v>
      </c>
      <c r="AW4" s="15" t="s">
        <v>292</v>
      </c>
      <c r="AX4" s="15" t="s">
        <v>293</v>
      </c>
      <c r="AY4" s="15" t="s">
        <v>294</v>
      </c>
      <c r="AZ4" s="15" t="s">
        <v>295</v>
      </c>
      <c r="BA4" s="15" t="s">
        <v>296</v>
      </c>
    </row>
    <row r="5" customFormat="false" ht="15" hidden="false" customHeight="false" outlineLevel="0" collapsed="false">
      <c r="A5" s="6" t="str">
        <f aca="false">IF(Frota!$A5="","",Frota!$A5)</f>
        <v>Colhedora CASE A8810 — 1035</v>
      </c>
      <c r="B5" s="16" t="str">
        <f aca="false">IF(Cron_Uso!B5="","",IF(INT(Cron_Uso!B5/Frota!$L5)&gt;INT(Frota!$I5/Frota!$L5),IF(N(VLOOKUP(Frota!$B5,Premissas!$A$39:$E$43,5,0))&gt;0,IF(MOD(INT(Cron_Uso!B5/Frota!$L5)*Frota!$L5,N(VLOOKUP(Frota!$B5,Premissas!$A$39:$E$43,5,0)))=0,"B",IF(N(VLOOKUP(Frota!$B5,Premissas!$A$39:$E$43,4,0))&gt;0,IF(MOD(INT(Cron_Uso!B5/Frota!$L5)*Frota!$L5,N(VLOOKUP(Frota!$B5,Premissas!$A$39:$E$43,4,0)))=0,"A","S"),"S")),IF(N(VLOOKUP(Frota!$B5,Premissas!$A$39:$E$43,4,0))&gt;0,IF(MOD(INT(Cron_Uso!B5/Frota!$L5)*Frota!$L5,N(VLOOKUP(Frota!$B5,Premissas!$A$39:$E$43,4,0)))=0,"A","S"),"S")),""))</f>
        <v/>
      </c>
      <c r="C5" s="16" t="str">
        <f aca="false">IF(Cron_Uso!C5="","",IF(INT(Cron_Uso!C5/Frota!$L5)&gt;INT(Cron_Uso!B5/Frota!$L5),IF(N(VLOOKUP(Frota!$B5,Premissas!$A$39:$E$43,5,0))&gt;0,IF(MOD(INT(Cron_Uso!C5/Frota!$L5)*Frota!$L5,N(VLOOKUP(Frota!$B5,Premissas!$A$39:$E$43,5,0)))=0,"B",IF(N(VLOOKUP(Frota!$B5,Premissas!$A$39:$E$43,4,0))&gt;0,IF(MOD(INT(Cron_Uso!C5/Frota!$L5)*Frota!$L5,N(VLOOKUP(Frota!$B5,Premissas!$A$39:$E$43,4,0)))=0,"A","S"),"S")),IF(N(VLOOKUP(Frota!$B5,Premissas!$A$39:$E$43,4,0))&gt;0,IF(MOD(INT(Cron_Uso!C5/Frota!$L5)*Frota!$L5,N(VLOOKUP(Frota!$B5,Premissas!$A$39:$E$43,4,0)))=0,"A","S"),"S")),""))</f>
        <v/>
      </c>
      <c r="D5" s="16" t="str">
        <f aca="false">IF(Cron_Uso!D5="","",IF(INT(Cron_Uso!D5/Frota!$L5)&gt;INT(Cron_Uso!C5/Frota!$L5),IF(N(VLOOKUP(Frota!$B5,Premissas!$A$39:$E$43,5,0))&gt;0,IF(MOD(INT(Cron_Uso!D5/Frota!$L5)*Frota!$L5,N(VLOOKUP(Frota!$B5,Premissas!$A$39:$E$43,5,0)))=0,"B",IF(N(VLOOKUP(Frota!$B5,Premissas!$A$39:$E$43,4,0))&gt;0,IF(MOD(INT(Cron_Uso!D5/Frota!$L5)*Frota!$L5,N(VLOOKUP(Frota!$B5,Premissas!$A$39:$E$43,4,0)))=0,"A","S"),"S")),IF(N(VLOOKUP(Frota!$B5,Premissas!$A$39:$E$43,4,0))&gt;0,IF(MOD(INT(Cron_Uso!D5/Frota!$L5)*Frota!$L5,N(VLOOKUP(Frota!$B5,Premissas!$A$39:$E$43,4,0)))=0,"A","S"),"S")),""))</f>
        <v/>
      </c>
      <c r="E5" s="16" t="str">
        <f aca="false">IF(Cron_Uso!E5="","",IF(INT(Cron_Uso!E5/Frota!$L5)&gt;INT(Cron_Uso!D5/Frota!$L5),IF(N(VLOOKUP(Frota!$B5,Premissas!$A$39:$E$43,5,0))&gt;0,IF(MOD(INT(Cron_Uso!E5/Frota!$L5)*Frota!$L5,N(VLOOKUP(Frota!$B5,Premissas!$A$39:$E$43,5,0)))=0,"B",IF(N(VLOOKUP(Frota!$B5,Premissas!$A$39:$E$43,4,0))&gt;0,IF(MOD(INT(Cron_Uso!E5/Frota!$L5)*Frota!$L5,N(VLOOKUP(Frota!$B5,Premissas!$A$39:$E$43,4,0)))=0,"A","S"),"S")),IF(N(VLOOKUP(Frota!$B5,Premissas!$A$39:$E$43,4,0))&gt;0,IF(MOD(INT(Cron_Uso!E5/Frota!$L5)*Frota!$L5,N(VLOOKUP(Frota!$B5,Premissas!$A$39:$E$43,4,0)))=0,"A","S"),"S")),""))</f>
        <v/>
      </c>
      <c r="F5" s="16" t="str">
        <f aca="false">IF(Cron_Uso!F5="","",IF(INT(Cron_Uso!F5/Frota!$L5)&gt;INT(Cron_Uso!E5/Frota!$L5),IF(N(VLOOKUP(Frota!$B5,Premissas!$A$39:$E$43,5,0))&gt;0,IF(MOD(INT(Cron_Uso!F5/Frota!$L5)*Frota!$L5,N(VLOOKUP(Frota!$B5,Premissas!$A$39:$E$43,5,0)))=0,"B",IF(N(VLOOKUP(Frota!$B5,Premissas!$A$39:$E$43,4,0))&gt;0,IF(MOD(INT(Cron_Uso!F5/Frota!$L5)*Frota!$L5,N(VLOOKUP(Frota!$B5,Premissas!$A$39:$E$43,4,0)))=0,"A","S"),"S")),IF(N(VLOOKUP(Frota!$B5,Premissas!$A$39:$E$43,4,0))&gt;0,IF(MOD(INT(Cron_Uso!F5/Frota!$L5)*Frota!$L5,N(VLOOKUP(Frota!$B5,Premissas!$A$39:$E$43,4,0)))=0,"A","S"),"S")),""))</f>
        <v>B</v>
      </c>
      <c r="G5" s="16" t="str">
        <f aca="false">IF(Cron_Uso!G5="","",IF(INT(Cron_Uso!G5/Frota!$L5)&gt;INT(Cron_Uso!F5/Frota!$L5),IF(N(VLOOKUP(Frota!$B5,Premissas!$A$39:$E$43,5,0))&gt;0,IF(MOD(INT(Cron_Uso!G5/Frota!$L5)*Frota!$L5,N(VLOOKUP(Frota!$B5,Premissas!$A$39:$E$43,5,0)))=0,"B",IF(N(VLOOKUP(Frota!$B5,Premissas!$A$39:$E$43,4,0))&gt;0,IF(MOD(INT(Cron_Uso!G5/Frota!$L5)*Frota!$L5,N(VLOOKUP(Frota!$B5,Premissas!$A$39:$E$43,4,0)))=0,"A","S"),"S")),IF(N(VLOOKUP(Frota!$B5,Premissas!$A$39:$E$43,4,0))&gt;0,IF(MOD(INT(Cron_Uso!G5/Frota!$L5)*Frota!$L5,N(VLOOKUP(Frota!$B5,Premissas!$A$39:$E$43,4,0)))=0,"A","S"),"S")),""))</f>
        <v/>
      </c>
      <c r="H5" s="16" t="str">
        <f aca="false">IF(Cron_Uso!H5="","",IF(INT(Cron_Uso!H5/Frota!$L5)&gt;INT(Cron_Uso!G5/Frota!$L5),IF(N(VLOOKUP(Frota!$B5,Premissas!$A$39:$E$43,5,0))&gt;0,IF(MOD(INT(Cron_Uso!H5/Frota!$L5)*Frota!$L5,N(VLOOKUP(Frota!$B5,Premissas!$A$39:$E$43,5,0)))=0,"B",IF(N(VLOOKUP(Frota!$B5,Premissas!$A$39:$E$43,4,0))&gt;0,IF(MOD(INT(Cron_Uso!H5/Frota!$L5)*Frota!$L5,N(VLOOKUP(Frota!$B5,Premissas!$A$39:$E$43,4,0)))=0,"A","S"),"S")),IF(N(VLOOKUP(Frota!$B5,Premissas!$A$39:$E$43,4,0))&gt;0,IF(MOD(INT(Cron_Uso!H5/Frota!$L5)*Frota!$L5,N(VLOOKUP(Frota!$B5,Premissas!$A$39:$E$43,4,0)))=0,"A","S"),"S")),""))</f>
        <v/>
      </c>
      <c r="I5" s="16" t="str">
        <f aca="false">IF(Cron_Uso!I5="","",IF(INT(Cron_Uso!I5/Frota!$L5)&gt;INT(Cron_Uso!H5/Frota!$L5),IF(N(VLOOKUP(Frota!$B5,Premissas!$A$39:$E$43,5,0))&gt;0,IF(MOD(INT(Cron_Uso!I5/Frota!$L5)*Frota!$L5,N(VLOOKUP(Frota!$B5,Premissas!$A$39:$E$43,5,0)))=0,"B",IF(N(VLOOKUP(Frota!$B5,Premissas!$A$39:$E$43,4,0))&gt;0,IF(MOD(INT(Cron_Uso!I5/Frota!$L5)*Frota!$L5,N(VLOOKUP(Frota!$B5,Premissas!$A$39:$E$43,4,0)))=0,"A","S"),"S")),IF(N(VLOOKUP(Frota!$B5,Premissas!$A$39:$E$43,4,0))&gt;0,IF(MOD(INT(Cron_Uso!I5/Frota!$L5)*Frota!$L5,N(VLOOKUP(Frota!$B5,Premissas!$A$39:$E$43,4,0)))=0,"A","S"),"S")),""))</f>
        <v/>
      </c>
      <c r="J5" s="16" t="str">
        <f aca="false">IF(Cron_Uso!J5="","",IF(INT(Cron_Uso!J5/Frota!$L5)&gt;INT(Cron_Uso!I5/Frota!$L5),IF(N(VLOOKUP(Frota!$B5,Premissas!$A$39:$E$43,5,0))&gt;0,IF(MOD(INT(Cron_Uso!J5/Frota!$L5)*Frota!$L5,N(VLOOKUP(Frota!$B5,Premissas!$A$39:$E$43,5,0)))=0,"B",IF(N(VLOOKUP(Frota!$B5,Premissas!$A$39:$E$43,4,0))&gt;0,IF(MOD(INT(Cron_Uso!J5/Frota!$L5)*Frota!$L5,N(VLOOKUP(Frota!$B5,Premissas!$A$39:$E$43,4,0)))=0,"A","S"),"S")),IF(N(VLOOKUP(Frota!$B5,Premissas!$A$39:$E$43,4,0))&gt;0,IF(MOD(INT(Cron_Uso!J5/Frota!$L5)*Frota!$L5,N(VLOOKUP(Frota!$B5,Premissas!$A$39:$E$43,4,0)))=0,"A","S"),"S")),""))</f>
        <v/>
      </c>
      <c r="K5" s="16" t="str">
        <f aca="false">IF(Cron_Uso!K5="","",IF(INT(Cron_Uso!K5/Frota!$L5)&gt;INT(Cron_Uso!J5/Frota!$L5),IF(N(VLOOKUP(Frota!$B5,Premissas!$A$39:$E$43,5,0))&gt;0,IF(MOD(INT(Cron_Uso!K5/Frota!$L5)*Frota!$L5,N(VLOOKUP(Frota!$B5,Premissas!$A$39:$E$43,5,0)))=0,"B",IF(N(VLOOKUP(Frota!$B5,Premissas!$A$39:$E$43,4,0))&gt;0,IF(MOD(INT(Cron_Uso!K5/Frota!$L5)*Frota!$L5,N(VLOOKUP(Frota!$B5,Premissas!$A$39:$E$43,4,0)))=0,"A","S"),"S")),IF(N(VLOOKUP(Frota!$B5,Premissas!$A$39:$E$43,4,0))&gt;0,IF(MOD(INT(Cron_Uso!K5/Frota!$L5)*Frota!$L5,N(VLOOKUP(Frota!$B5,Premissas!$A$39:$E$43,4,0)))=0,"A","S"),"S")),""))</f>
        <v/>
      </c>
      <c r="L5" s="16" t="str">
        <f aca="false">IF(Cron_Uso!L5="","",IF(INT(Cron_Uso!L5/Frota!$L5)&gt;INT(Cron_Uso!K5/Frota!$L5),IF(N(VLOOKUP(Frota!$B5,Premissas!$A$39:$E$43,5,0))&gt;0,IF(MOD(INT(Cron_Uso!L5/Frota!$L5)*Frota!$L5,N(VLOOKUP(Frota!$B5,Premissas!$A$39:$E$43,5,0)))=0,"B",IF(N(VLOOKUP(Frota!$B5,Premissas!$A$39:$E$43,4,0))&gt;0,IF(MOD(INT(Cron_Uso!L5/Frota!$L5)*Frota!$L5,N(VLOOKUP(Frota!$B5,Premissas!$A$39:$E$43,4,0)))=0,"A","S"),"S")),IF(N(VLOOKUP(Frota!$B5,Premissas!$A$39:$E$43,4,0))&gt;0,IF(MOD(INT(Cron_Uso!L5/Frota!$L5)*Frota!$L5,N(VLOOKUP(Frota!$B5,Premissas!$A$39:$E$43,4,0)))=0,"A","S"),"S")),""))</f>
        <v>S</v>
      </c>
      <c r="M5" s="16" t="str">
        <f aca="false">IF(Cron_Uso!M5="","",IF(INT(Cron_Uso!M5/Frota!$L5)&gt;INT(Cron_Uso!L5/Frota!$L5),IF(N(VLOOKUP(Frota!$B5,Premissas!$A$39:$E$43,5,0))&gt;0,IF(MOD(INT(Cron_Uso!M5/Frota!$L5)*Frota!$L5,N(VLOOKUP(Frota!$B5,Premissas!$A$39:$E$43,5,0)))=0,"B",IF(N(VLOOKUP(Frota!$B5,Premissas!$A$39:$E$43,4,0))&gt;0,IF(MOD(INT(Cron_Uso!M5/Frota!$L5)*Frota!$L5,N(VLOOKUP(Frota!$B5,Premissas!$A$39:$E$43,4,0)))=0,"A","S"),"S")),IF(N(VLOOKUP(Frota!$B5,Premissas!$A$39:$E$43,4,0))&gt;0,IF(MOD(INT(Cron_Uso!M5/Frota!$L5)*Frota!$L5,N(VLOOKUP(Frota!$B5,Premissas!$A$39:$E$43,4,0)))=0,"A","S"),"S")),""))</f>
        <v/>
      </c>
      <c r="N5" s="16" t="str">
        <f aca="false">IF(Cron_Uso!N5="","",IF(INT(Cron_Uso!N5/Frota!$L5)&gt;INT(Cron_Uso!M5/Frota!$L5),IF(N(VLOOKUP(Frota!$B5,Premissas!$A$39:$E$43,5,0))&gt;0,IF(MOD(INT(Cron_Uso!N5/Frota!$L5)*Frota!$L5,N(VLOOKUP(Frota!$B5,Premissas!$A$39:$E$43,5,0)))=0,"B",IF(N(VLOOKUP(Frota!$B5,Premissas!$A$39:$E$43,4,0))&gt;0,IF(MOD(INT(Cron_Uso!N5/Frota!$L5)*Frota!$L5,N(VLOOKUP(Frota!$B5,Premissas!$A$39:$E$43,4,0)))=0,"A","S"),"S")),IF(N(VLOOKUP(Frota!$B5,Premissas!$A$39:$E$43,4,0))&gt;0,IF(MOD(INT(Cron_Uso!N5/Frota!$L5)*Frota!$L5,N(VLOOKUP(Frota!$B5,Premissas!$A$39:$E$43,4,0)))=0,"A","S"),"S")),""))</f>
        <v/>
      </c>
      <c r="O5" s="16" t="str">
        <f aca="false">IF(Cron_Uso!O5="","",IF(INT(Cron_Uso!O5/Frota!$L5)&gt;INT(Cron_Uso!N5/Frota!$L5),IF(N(VLOOKUP(Frota!$B5,Premissas!$A$39:$E$43,5,0))&gt;0,IF(MOD(INT(Cron_Uso!O5/Frota!$L5)*Frota!$L5,N(VLOOKUP(Frota!$B5,Premissas!$A$39:$E$43,5,0)))=0,"B",IF(N(VLOOKUP(Frota!$B5,Premissas!$A$39:$E$43,4,0))&gt;0,IF(MOD(INT(Cron_Uso!O5/Frota!$L5)*Frota!$L5,N(VLOOKUP(Frota!$B5,Premissas!$A$39:$E$43,4,0)))=0,"A","S"),"S")),IF(N(VLOOKUP(Frota!$B5,Premissas!$A$39:$E$43,4,0))&gt;0,IF(MOD(INT(Cron_Uso!O5/Frota!$L5)*Frota!$L5,N(VLOOKUP(Frota!$B5,Premissas!$A$39:$E$43,4,0)))=0,"A","S"),"S")),""))</f>
        <v/>
      </c>
      <c r="P5" s="16" t="str">
        <f aca="false">IF(Cron_Uso!P5="","",IF(INT(Cron_Uso!P5/Frota!$L5)&gt;INT(Cron_Uso!O5/Frota!$L5),IF(N(VLOOKUP(Frota!$B5,Premissas!$A$39:$E$43,5,0))&gt;0,IF(MOD(INT(Cron_Uso!P5/Frota!$L5)*Frota!$L5,N(VLOOKUP(Frota!$B5,Premissas!$A$39:$E$43,5,0)))=0,"B",IF(N(VLOOKUP(Frota!$B5,Premissas!$A$39:$E$43,4,0))&gt;0,IF(MOD(INT(Cron_Uso!P5/Frota!$L5)*Frota!$L5,N(VLOOKUP(Frota!$B5,Premissas!$A$39:$E$43,4,0)))=0,"A","S"),"S")),IF(N(VLOOKUP(Frota!$B5,Premissas!$A$39:$E$43,4,0))&gt;0,IF(MOD(INT(Cron_Uso!P5/Frota!$L5)*Frota!$L5,N(VLOOKUP(Frota!$B5,Premissas!$A$39:$E$43,4,0)))=0,"A","S"),"S")),""))</f>
        <v/>
      </c>
      <c r="Q5" s="16" t="str">
        <f aca="false">IF(Cron_Uso!Q5="","",IF(INT(Cron_Uso!Q5/Frota!$L5)&gt;INT(Cron_Uso!P5/Frota!$L5),IF(N(VLOOKUP(Frota!$B5,Premissas!$A$39:$E$43,5,0))&gt;0,IF(MOD(INT(Cron_Uso!Q5/Frota!$L5)*Frota!$L5,N(VLOOKUP(Frota!$B5,Premissas!$A$39:$E$43,5,0)))=0,"B",IF(N(VLOOKUP(Frota!$B5,Premissas!$A$39:$E$43,4,0))&gt;0,IF(MOD(INT(Cron_Uso!Q5/Frota!$L5)*Frota!$L5,N(VLOOKUP(Frota!$B5,Premissas!$A$39:$E$43,4,0)))=0,"A","S"),"S")),IF(N(VLOOKUP(Frota!$B5,Premissas!$A$39:$E$43,4,0))&gt;0,IF(MOD(INT(Cron_Uso!Q5/Frota!$L5)*Frota!$L5,N(VLOOKUP(Frota!$B5,Premissas!$A$39:$E$43,4,0)))=0,"A","S"),"S")),""))</f>
        <v>A</v>
      </c>
      <c r="R5" s="16" t="str">
        <f aca="false">IF(Cron_Uso!R5="","",IF(INT(Cron_Uso!R5/Frota!$L5)&gt;INT(Cron_Uso!Q5/Frota!$L5),IF(N(VLOOKUP(Frota!$B5,Premissas!$A$39:$E$43,5,0))&gt;0,IF(MOD(INT(Cron_Uso!R5/Frota!$L5)*Frota!$L5,N(VLOOKUP(Frota!$B5,Premissas!$A$39:$E$43,5,0)))=0,"B",IF(N(VLOOKUP(Frota!$B5,Premissas!$A$39:$E$43,4,0))&gt;0,IF(MOD(INT(Cron_Uso!R5/Frota!$L5)*Frota!$L5,N(VLOOKUP(Frota!$B5,Premissas!$A$39:$E$43,4,0)))=0,"A","S"),"S")),IF(N(VLOOKUP(Frota!$B5,Premissas!$A$39:$E$43,4,0))&gt;0,IF(MOD(INT(Cron_Uso!R5/Frota!$L5)*Frota!$L5,N(VLOOKUP(Frota!$B5,Premissas!$A$39:$E$43,4,0)))=0,"A","S"),"S")),""))</f>
        <v/>
      </c>
      <c r="S5" s="16" t="str">
        <f aca="false">IF(Cron_Uso!S5="","",IF(INT(Cron_Uso!S5/Frota!$L5)&gt;INT(Cron_Uso!R5/Frota!$L5),IF(N(VLOOKUP(Frota!$B5,Premissas!$A$39:$E$43,5,0))&gt;0,IF(MOD(INT(Cron_Uso!S5/Frota!$L5)*Frota!$L5,N(VLOOKUP(Frota!$B5,Premissas!$A$39:$E$43,5,0)))=0,"B",IF(N(VLOOKUP(Frota!$B5,Premissas!$A$39:$E$43,4,0))&gt;0,IF(MOD(INT(Cron_Uso!S5/Frota!$L5)*Frota!$L5,N(VLOOKUP(Frota!$B5,Premissas!$A$39:$E$43,4,0)))=0,"A","S"),"S")),IF(N(VLOOKUP(Frota!$B5,Premissas!$A$39:$E$43,4,0))&gt;0,IF(MOD(INT(Cron_Uso!S5/Frota!$L5)*Frota!$L5,N(VLOOKUP(Frota!$B5,Premissas!$A$39:$E$43,4,0)))=0,"A","S"),"S")),""))</f>
        <v/>
      </c>
      <c r="T5" s="16" t="str">
        <f aca="false">IF(Cron_Uso!T5="","",IF(INT(Cron_Uso!T5/Frota!$L5)&gt;INT(Cron_Uso!S5/Frota!$L5),IF(N(VLOOKUP(Frota!$B5,Premissas!$A$39:$E$43,5,0))&gt;0,IF(MOD(INT(Cron_Uso!T5/Frota!$L5)*Frota!$L5,N(VLOOKUP(Frota!$B5,Premissas!$A$39:$E$43,5,0)))=0,"B",IF(N(VLOOKUP(Frota!$B5,Premissas!$A$39:$E$43,4,0))&gt;0,IF(MOD(INT(Cron_Uso!T5/Frota!$L5)*Frota!$L5,N(VLOOKUP(Frota!$B5,Premissas!$A$39:$E$43,4,0)))=0,"A","S"),"S")),IF(N(VLOOKUP(Frota!$B5,Premissas!$A$39:$E$43,4,0))&gt;0,IF(MOD(INT(Cron_Uso!T5/Frota!$L5)*Frota!$L5,N(VLOOKUP(Frota!$B5,Premissas!$A$39:$E$43,4,0)))=0,"A","S"),"S")),""))</f>
        <v/>
      </c>
      <c r="U5" s="16" t="str">
        <f aca="false">IF(Cron_Uso!U5="","",IF(INT(Cron_Uso!U5/Frota!$L5)&gt;INT(Cron_Uso!T5/Frota!$L5),IF(N(VLOOKUP(Frota!$B5,Premissas!$A$39:$E$43,5,0))&gt;0,IF(MOD(INT(Cron_Uso!U5/Frota!$L5)*Frota!$L5,N(VLOOKUP(Frota!$B5,Premissas!$A$39:$E$43,5,0)))=0,"B",IF(N(VLOOKUP(Frota!$B5,Premissas!$A$39:$E$43,4,0))&gt;0,IF(MOD(INT(Cron_Uso!U5/Frota!$L5)*Frota!$L5,N(VLOOKUP(Frota!$B5,Premissas!$A$39:$E$43,4,0)))=0,"A","S"),"S")),IF(N(VLOOKUP(Frota!$B5,Premissas!$A$39:$E$43,4,0))&gt;0,IF(MOD(INT(Cron_Uso!U5/Frota!$L5)*Frota!$L5,N(VLOOKUP(Frota!$B5,Premissas!$A$39:$E$43,4,0)))=0,"A","S"),"S")),""))</f>
        <v/>
      </c>
      <c r="V5" s="16" t="str">
        <f aca="false">IF(Cron_Uso!V5="","",IF(INT(Cron_Uso!V5/Frota!$L5)&gt;INT(Cron_Uso!U5/Frota!$L5),IF(N(VLOOKUP(Frota!$B5,Premissas!$A$39:$E$43,5,0))&gt;0,IF(MOD(INT(Cron_Uso!V5/Frota!$L5)*Frota!$L5,N(VLOOKUP(Frota!$B5,Premissas!$A$39:$E$43,5,0)))=0,"B",IF(N(VLOOKUP(Frota!$B5,Premissas!$A$39:$E$43,4,0))&gt;0,IF(MOD(INT(Cron_Uso!V5/Frota!$L5)*Frota!$L5,N(VLOOKUP(Frota!$B5,Premissas!$A$39:$E$43,4,0)))=0,"A","S"),"S")),IF(N(VLOOKUP(Frota!$B5,Premissas!$A$39:$E$43,4,0))&gt;0,IF(MOD(INT(Cron_Uso!V5/Frota!$L5)*Frota!$L5,N(VLOOKUP(Frota!$B5,Premissas!$A$39:$E$43,4,0)))=0,"A","S"),"S")),""))</f>
        <v/>
      </c>
      <c r="W5" s="16" t="str">
        <f aca="false">IF(Cron_Uso!W5="","",IF(INT(Cron_Uso!W5/Frota!$L5)&gt;INT(Cron_Uso!V5/Frota!$L5),IF(N(VLOOKUP(Frota!$B5,Premissas!$A$39:$E$43,5,0))&gt;0,IF(MOD(INT(Cron_Uso!W5/Frota!$L5)*Frota!$L5,N(VLOOKUP(Frota!$B5,Premissas!$A$39:$E$43,5,0)))=0,"B",IF(N(VLOOKUP(Frota!$B5,Premissas!$A$39:$E$43,4,0))&gt;0,IF(MOD(INT(Cron_Uso!W5/Frota!$L5)*Frota!$L5,N(VLOOKUP(Frota!$B5,Premissas!$A$39:$E$43,4,0)))=0,"A","S"),"S")),IF(N(VLOOKUP(Frota!$B5,Premissas!$A$39:$E$43,4,0))&gt;0,IF(MOD(INT(Cron_Uso!W5/Frota!$L5)*Frota!$L5,N(VLOOKUP(Frota!$B5,Premissas!$A$39:$E$43,4,0)))=0,"A","S"),"S")),""))</f>
        <v>S</v>
      </c>
      <c r="X5" s="16" t="str">
        <f aca="false">IF(Cron_Uso!X5="","",IF(INT(Cron_Uso!X5/Frota!$L5)&gt;INT(Cron_Uso!W5/Frota!$L5),IF(N(VLOOKUP(Frota!$B5,Premissas!$A$39:$E$43,5,0))&gt;0,IF(MOD(INT(Cron_Uso!X5/Frota!$L5)*Frota!$L5,N(VLOOKUP(Frota!$B5,Premissas!$A$39:$E$43,5,0)))=0,"B",IF(N(VLOOKUP(Frota!$B5,Premissas!$A$39:$E$43,4,0))&gt;0,IF(MOD(INT(Cron_Uso!X5/Frota!$L5)*Frota!$L5,N(VLOOKUP(Frota!$B5,Premissas!$A$39:$E$43,4,0)))=0,"A","S"),"S")),IF(N(VLOOKUP(Frota!$B5,Premissas!$A$39:$E$43,4,0))&gt;0,IF(MOD(INT(Cron_Uso!X5/Frota!$L5)*Frota!$L5,N(VLOOKUP(Frota!$B5,Premissas!$A$39:$E$43,4,0)))=0,"A","S"),"S")),""))</f>
        <v/>
      </c>
      <c r="Y5" s="16" t="str">
        <f aca="false">IF(Cron_Uso!Y5="","",IF(INT(Cron_Uso!Y5/Frota!$L5)&gt;INT(Cron_Uso!X5/Frota!$L5),IF(N(VLOOKUP(Frota!$B5,Premissas!$A$39:$E$43,5,0))&gt;0,IF(MOD(INT(Cron_Uso!Y5/Frota!$L5)*Frota!$L5,N(VLOOKUP(Frota!$B5,Premissas!$A$39:$E$43,5,0)))=0,"B",IF(N(VLOOKUP(Frota!$B5,Premissas!$A$39:$E$43,4,0))&gt;0,IF(MOD(INT(Cron_Uso!Y5/Frota!$L5)*Frota!$L5,N(VLOOKUP(Frota!$B5,Premissas!$A$39:$E$43,4,0)))=0,"A","S"),"S")),IF(N(VLOOKUP(Frota!$B5,Premissas!$A$39:$E$43,4,0))&gt;0,IF(MOD(INT(Cron_Uso!Y5/Frota!$L5)*Frota!$L5,N(VLOOKUP(Frota!$B5,Premissas!$A$39:$E$43,4,0)))=0,"A","S"),"S")),""))</f>
        <v/>
      </c>
      <c r="Z5" s="16" t="str">
        <f aca="false">IF(Cron_Uso!Z5="","",IF(INT(Cron_Uso!Z5/Frota!$L5)&gt;INT(Cron_Uso!Y5/Frota!$L5),IF(N(VLOOKUP(Frota!$B5,Premissas!$A$39:$E$43,5,0))&gt;0,IF(MOD(INT(Cron_Uso!Z5/Frota!$L5)*Frota!$L5,N(VLOOKUP(Frota!$B5,Premissas!$A$39:$E$43,5,0)))=0,"B",IF(N(VLOOKUP(Frota!$B5,Premissas!$A$39:$E$43,4,0))&gt;0,IF(MOD(INT(Cron_Uso!Z5/Frota!$L5)*Frota!$L5,N(VLOOKUP(Frota!$B5,Premissas!$A$39:$E$43,4,0)))=0,"A","S"),"S")),IF(N(VLOOKUP(Frota!$B5,Premissas!$A$39:$E$43,4,0))&gt;0,IF(MOD(INT(Cron_Uso!Z5/Frota!$L5)*Frota!$L5,N(VLOOKUP(Frota!$B5,Premissas!$A$39:$E$43,4,0)))=0,"A","S"),"S")),""))</f>
        <v/>
      </c>
      <c r="AA5" s="16" t="str">
        <f aca="false">IF(Cron_Uso!AA5="","",IF(INT(Cron_Uso!AA5/Frota!$L5)&gt;INT(Cron_Uso!Z5/Frota!$L5),IF(N(VLOOKUP(Frota!$B5,Premissas!$A$39:$E$43,5,0))&gt;0,IF(MOD(INT(Cron_Uso!AA5/Frota!$L5)*Frota!$L5,N(VLOOKUP(Frota!$B5,Premissas!$A$39:$E$43,5,0)))=0,"B",IF(N(VLOOKUP(Frota!$B5,Premissas!$A$39:$E$43,4,0))&gt;0,IF(MOD(INT(Cron_Uso!AA5/Frota!$L5)*Frota!$L5,N(VLOOKUP(Frota!$B5,Premissas!$A$39:$E$43,4,0)))=0,"A","S"),"S")),IF(N(VLOOKUP(Frota!$B5,Premissas!$A$39:$E$43,4,0))&gt;0,IF(MOD(INT(Cron_Uso!AA5/Frota!$L5)*Frota!$L5,N(VLOOKUP(Frota!$B5,Premissas!$A$39:$E$43,4,0)))=0,"A","S"),"S")),""))</f>
        <v/>
      </c>
      <c r="AB5" s="16" t="str">
        <f aca="false">IF(Cron_Uso!AB5="","",IF(INT(Cron_Uso!AB5/Frota!$L5)&gt;INT(Cron_Uso!AA5/Frota!$L5),IF(N(VLOOKUP(Frota!$B5,Premissas!$A$39:$E$43,5,0))&gt;0,IF(MOD(INT(Cron_Uso!AB5/Frota!$L5)*Frota!$L5,N(VLOOKUP(Frota!$B5,Premissas!$A$39:$E$43,5,0)))=0,"B",IF(N(VLOOKUP(Frota!$B5,Premissas!$A$39:$E$43,4,0))&gt;0,IF(MOD(INT(Cron_Uso!AB5/Frota!$L5)*Frota!$L5,N(VLOOKUP(Frota!$B5,Premissas!$A$39:$E$43,4,0)))=0,"A","S"),"S")),IF(N(VLOOKUP(Frota!$B5,Premissas!$A$39:$E$43,4,0))&gt;0,IF(MOD(INT(Cron_Uso!AB5/Frota!$L5)*Frota!$L5,N(VLOOKUP(Frota!$B5,Premissas!$A$39:$E$43,4,0)))=0,"A","S"),"S")),""))</f>
        <v/>
      </c>
      <c r="AC5" s="16" t="str">
        <f aca="false">IF(Cron_Uso!AC5="","",IF(INT(Cron_Uso!AC5/Frota!$L5)&gt;INT(Cron_Uso!AB5/Frota!$L5),IF(N(VLOOKUP(Frota!$B5,Premissas!$A$39:$E$43,5,0))&gt;0,IF(MOD(INT(Cron_Uso!AC5/Frota!$L5)*Frota!$L5,N(VLOOKUP(Frota!$B5,Premissas!$A$39:$E$43,5,0)))=0,"B",IF(N(VLOOKUP(Frota!$B5,Premissas!$A$39:$E$43,4,0))&gt;0,IF(MOD(INT(Cron_Uso!AC5/Frota!$L5)*Frota!$L5,N(VLOOKUP(Frota!$B5,Premissas!$A$39:$E$43,4,0)))=0,"A","S"),"S")),IF(N(VLOOKUP(Frota!$B5,Premissas!$A$39:$E$43,4,0))&gt;0,IF(MOD(INT(Cron_Uso!AC5/Frota!$L5)*Frota!$L5,N(VLOOKUP(Frota!$B5,Premissas!$A$39:$E$43,4,0)))=0,"A","S"),"S")),""))</f>
        <v>B</v>
      </c>
      <c r="AD5" s="16" t="str">
        <f aca="false">IF(Cron_Uso!AD5="","",IF(INT(Cron_Uso!AD5/Frota!$L5)&gt;INT(Cron_Uso!AC5/Frota!$L5),IF(N(VLOOKUP(Frota!$B5,Premissas!$A$39:$E$43,5,0))&gt;0,IF(MOD(INT(Cron_Uso!AD5/Frota!$L5)*Frota!$L5,N(VLOOKUP(Frota!$B5,Premissas!$A$39:$E$43,5,0)))=0,"B",IF(N(VLOOKUP(Frota!$B5,Premissas!$A$39:$E$43,4,0))&gt;0,IF(MOD(INT(Cron_Uso!AD5/Frota!$L5)*Frota!$L5,N(VLOOKUP(Frota!$B5,Premissas!$A$39:$E$43,4,0)))=0,"A","S"),"S")),IF(N(VLOOKUP(Frota!$B5,Premissas!$A$39:$E$43,4,0))&gt;0,IF(MOD(INT(Cron_Uso!AD5/Frota!$L5)*Frota!$L5,N(VLOOKUP(Frota!$B5,Premissas!$A$39:$E$43,4,0)))=0,"A","S"),"S")),""))</f>
        <v/>
      </c>
      <c r="AE5" s="16" t="str">
        <f aca="false">IF(Cron_Uso!AE5="","",IF(INT(Cron_Uso!AE5/Frota!$L5)&gt;INT(Cron_Uso!AD5/Frota!$L5),IF(N(VLOOKUP(Frota!$B5,Premissas!$A$39:$E$43,5,0))&gt;0,IF(MOD(INT(Cron_Uso!AE5/Frota!$L5)*Frota!$L5,N(VLOOKUP(Frota!$B5,Premissas!$A$39:$E$43,5,0)))=0,"B",IF(N(VLOOKUP(Frota!$B5,Premissas!$A$39:$E$43,4,0))&gt;0,IF(MOD(INT(Cron_Uso!AE5/Frota!$L5)*Frota!$L5,N(VLOOKUP(Frota!$B5,Premissas!$A$39:$E$43,4,0)))=0,"A","S"),"S")),IF(N(VLOOKUP(Frota!$B5,Premissas!$A$39:$E$43,4,0))&gt;0,IF(MOD(INT(Cron_Uso!AE5/Frota!$L5)*Frota!$L5,N(VLOOKUP(Frota!$B5,Premissas!$A$39:$E$43,4,0)))=0,"A","S"),"S")),""))</f>
        <v/>
      </c>
      <c r="AF5" s="16" t="str">
        <f aca="false">IF(Cron_Uso!AF5="","",IF(INT(Cron_Uso!AF5/Frota!$L5)&gt;INT(Cron_Uso!AE5/Frota!$L5),IF(N(VLOOKUP(Frota!$B5,Premissas!$A$39:$E$43,5,0))&gt;0,IF(MOD(INT(Cron_Uso!AF5/Frota!$L5)*Frota!$L5,N(VLOOKUP(Frota!$B5,Premissas!$A$39:$E$43,5,0)))=0,"B",IF(N(VLOOKUP(Frota!$B5,Premissas!$A$39:$E$43,4,0))&gt;0,IF(MOD(INT(Cron_Uso!AF5/Frota!$L5)*Frota!$L5,N(VLOOKUP(Frota!$B5,Premissas!$A$39:$E$43,4,0)))=0,"A","S"),"S")),IF(N(VLOOKUP(Frota!$B5,Premissas!$A$39:$E$43,4,0))&gt;0,IF(MOD(INT(Cron_Uso!AF5/Frota!$L5)*Frota!$L5,N(VLOOKUP(Frota!$B5,Premissas!$A$39:$E$43,4,0)))=0,"A","S"),"S")),""))</f>
        <v/>
      </c>
      <c r="AG5" s="16" t="str">
        <f aca="false">IF(Cron_Uso!AG5="","",IF(INT(Cron_Uso!AG5/Frota!$L5)&gt;INT(Cron_Uso!AF5/Frota!$L5),IF(N(VLOOKUP(Frota!$B5,Premissas!$A$39:$E$43,5,0))&gt;0,IF(MOD(INT(Cron_Uso!AG5/Frota!$L5)*Frota!$L5,N(VLOOKUP(Frota!$B5,Premissas!$A$39:$E$43,5,0)))=0,"B",IF(N(VLOOKUP(Frota!$B5,Premissas!$A$39:$E$43,4,0))&gt;0,IF(MOD(INT(Cron_Uso!AG5/Frota!$L5)*Frota!$L5,N(VLOOKUP(Frota!$B5,Premissas!$A$39:$E$43,4,0)))=0,"A","S"),"S")),IF(N(VLOOKUP(Frota!$B5,Premissas!$A$39:$E$43,4,0))&gt;0,IF(MOD(INT(Cron_Uso!AG5/Frota!$L5)*Frota!$L5,N(VLOOKUP(Frota!$B5,Premissas!$A$39:$E$43,4,0)))=0,"A","S"),"S")),""))</f>
        <v/>
      </c>
      <c r="AH5" s="16" t="str">
        <f aca="false">IF(Cron_Uso!AH5="","",IF(INT(Cron_Uso!AH5/Frota!$L5)&gt;INT(Cron_Uso!AG5/Frota!$L5),IF(N(VLOOKUP(Frota!$B5,Premissas!$A$39:$E$43,5,0))&gt;0,IF(MOD(INT(Cron_Uso!AH5/Frota!$L5)*Frota!$L5,N(VLOOKUP(Frota!$B5,Premissas!$A$39:$E$43,5,0)))=0,"B",IF(N(VLOOKUP(Frota!$B5,Premissas!$A$39:$E$43,4,0))&gt;0,IF(MOD(INT(Cron_Uso!AH5/Frota!$L5)*Frota!$L5,N(VLOOKUP(Frota!$B5,Premissas!$A$39:$E$43,4,0)))=0,"A","S"),"S")),IF(N(VLOOKUP(Frota!$B5,Premissas!$A$39:$E$43,4,0))&gt;0,IF(MOD(INT(Cron_Uso!AH5/Frota!$L5)*Frota!$L5,N(VLOOKUP(Frota!$B5,Premissas!$A$39:$E$43,4,0)))=0,"A","S"),"S")),""))</f>
        <v>S</v>
      </c>
      <c r="AI5" s="16" t="str">
        <f aca="false">IF(Cron_Uso!AI5="","",IF(INT(Cron_Uso!AI5/Frota!$L5)&gt;INT(Cron_Uso!AH5/Frota!$L5),IF(N(VLOOKUP(Frota!$B5,Premissas!$A$39:$E$43,5,0))&gt;0,IF(MOD(INT(Cron_Uso!AI5/Frota!$L5)*Frota!$L5,N(VLOOKUP(Frota!$B5,Premissas!$A$39:$E$43,5,0)))=0,"B",IF(N(VLOOKUP(Frota!$B5,Premissas!$A$39:$E$43,4,0))&gt;0,IF(MOD(INT(Cron_Uso!AI5/Frota!$L5)*Frota!$L5,N(VLOOKUP(Frota!$B5,Premissas!$A$39:$E$43,4,0)))=0,"A","S"),"S")),IF(N(VLOOKUP(Frota!$B5,Premissas!$A$39:$E$43,4,0))&gt;0,IF(MOD(INT(Cron_Uso!AI5/Frota!$L5)*Frota!$L5,N(VLOOKUP(Frota!$B5,Premissas!$A$39:$E$43,4,0)))=0,"A","S"),"S")),""))</f>
        <v/>
      </c>
      <c r="AJ5" s="16" t="str">
        <f aca="false">IF(Cron_Uso!AJ5="","",IF(INT(Cron_Uso!AJ5/Frota!$L5)&gt;INT(Cron_Uso!AI5/Frota!$L5),IF(N(VLOOKUP(Frota!$B5,Premissas!$A$39:$E$43,5,0))&gt;0,IF(MOD(INT(Cron_Uso!AJ5/Frota!$L5)*Frota!$L5,N(VLOOKUP(Frota!$B5,Premissas!$A$39:$E$43,5,0)))=0,"B",IF(N(VLOOKUP(Frota!$B5,Premissas!$A$39:$E$43,4,0))&gt;0,IF(MOD(INT(Cron_Uso!AJ5/Frota!$L5)*Frota!$L5,N(VLOOKUP(Frota!$B5,Premissas!$A$39:$E$43,4,0)))=0,"A","S"),"S")),IF(N(VLOOKUP(Frota!$B5,Premissas!$A$39:$E$43,4,0))&gt;0,IF(MOD(INT(Cron_Uso!AJ5/Frota!$L5)*Frota!$L5,N(VLOOKUP(Frota!$B5,Premissas!$A$39:$E$43,4,0)))=0,"A","S"),"S")),""))</f>
        <v/>
      </c>
      <c r="AK5" s="16" t="str">
        <f aca="false">IF(Cron_Uso!AK5="","",IF(INT(Cron_Uso!AK5/Frota!$L5)&gt;INT(Cron_Uso!AJ5/Frota!$L5),IF(N(VLOOKUP(Frota!$B5,Premissas!$A$39:$E$43,5,0))&gt;0,IF(MOD(INT(Cron_Uso!AK5/Frota!$L5)*Frota!$L5,N(VLOOKUP(Frota!$B5,Premissas!$A$39:$E$43,5,0)))=0,"B",IF(N(VLOOKUP(Frota!$B5,Premissas!$A$39:$E$43,4,0))&gt;0,IF(MOD(INT(Cron_Uso!AK5/Frota!$L5)*Frota!$L5,N(VLOOKUP(Frota!$B5,Premissas!$A$39:$E$43,4,0)))=0,"A","S"),"S")),IF(N(VLOOKUP(Frota!$B5,Premissas!$A$39:$E$43,4,0))&gt;0,IF(MOD(INT(Cron_Uso!AK5/Frota!$L5)*Frota!$L5,N(VLOOKUP(Frota!$B5,Premissas!$A$39:$E$43,4,0)))=0,"A","S"),"S")),""))</f>
        <v/>
      </c>
      <c r="AL5" s="16" t="str">
        <f aca="false">IF(Cron_Uso!AL5="","",IF(INT(Cron_Uso!AL5/Frota!$L5)&gt;INT(Cron_Uso!AK5/Frota!$L5),IF(N(VLOOKUP(Frota!$B5,Premissas!$A$39:$E$43,5,0))&gt;0,IF(MOD(INT(Cron_Uso!AL5/Frota!$L5)*Frota!$L5,N(VLOOKUP(Frota!$B5,Premissas!$A$39:$E$43,5,0)))=0,"B",IF(N(VLOOKUP(Frota!$B5,Premissas!$A$39:$E$43,4,0))&gt;0,IF(MOD(INT(Cron_Uso!AL5/Frota!$L5)*Frota!$L5,N(VLOOKUP(Frota!$B5,Premissas!$A$39:$E$43,4,0)))=0,"A","S"),"S")),IF(N(VLOOKUP(Frota!$B5,Premissas!$A$39:$E$43,4,0))&gt;0,IF(MOD(INT(Cron_Uso!AL5/Frota!$L5)*Frota!$L5,N(VLOOKUP(Frota!$B5,Premissas!$A$39:$E$43,4,0)))=0,"A","S"),"S")),""))</f>
        <v/>
      </c>
      <c r="AM5" s="16" t="str">
        <f aca="false">IF(Cron_Uso!AM5="","",IF(INT(Cron_Uso!AM5/Frota!$L5)&gt;INT(Cron_Uso!AL5/Frota!$L5),IF(N(VLOOKUP(Frota!$B5,Premissas!$A$39:$E$43,5,0))&gt;0,IF(MOD(INT(Cron_Uso!AM5/Frota!$L5)*Frota!$L5,N(VLOOKUP(Frota!$B5,Premissas!$A$39:$E$43,5,0)))=0,"B",IF(N(VLOOKUP(Frota!$B5,Premissas!$A$39:$E$43,4,0))&gt;0,IF(MOD(INT(Cron_Uso!AM5/Frota!$L5)*Frota!$L5,N(VLOOKUP(Frota!$B5,Premissas!$A$39:$E$43,4,0)))=0,"A","S"),"S")),IF(N(VLOOKUP(Frota!$B5,Premissas!$A$39:$E$43,4,0))&gt;0,IF(MOD(INT(Cron_Uso!AM5/Frota!$L5)*Frota!$L5,N(VLOOKUP(Frota!$B5,Premissas!$A$39:$E$43,4,0)))=0,"A","S"),"S")),""))</f>
        <v/>
      </c>
      <c r="AN5" s="16" t="str">
        <f aca="false">IF(Cron_Uso!AN5="","",IF(INT(Cron_Uso!AN5/Frota!$L5)&gt;INT(Cron_Uso!AM5/Frota!$L5),IF(N(VLOOKUP(Frota!$B5,Premissas!$A$39:$E$43,5,0))&gt;0,IF(MOD(INT(Cron_Uso!AN5/Frota!$L5)*Frota!$L5,N(VLOOKUP(Frota!$B5,Premissas!$A$39:$E$43,5,0)))=0,"B",IF(N(VLOOKUP(Frota!$B5,Premissas!$A$39:$E$43,4,0))&gt;0,IF(MOD(INT(Cron_Uso!AN5/Frota!$L5)*Frota!$L5,N(VLOOKUP(Frota!$B5,Premissas!$A$39:$E$43,4,0)))=0,"A","S"),"S")),IF(N(VLOOKUP(Frota!$B5,Premissas!$A$39:$E$43,4,0))&gt;0,IF(MOD(INT(Cron_Uso!AN5/Frota!$L5)*Frota!$L5,N(VLOOKUP(Frota!$B5,Premissas!$A$39:$E$43,4,0)))=0,"A","S"),"S")),""))</f>
        <v/>
      </c>
      <c r="AO5" s="16" t="str">
        <f aca="false">IF(Cron_Uso!AO5="","",IF(INT(Cron_Uso!AO5/Frota!$L5)&gt;INT(Cron_Uso!AN5/Frota!$L5),IF(N(VLOOKUP(Frota!$B5,Premissas!$A$39:$E$43,5,0))&gt;0,IF(MOD(INT(Cron_Uso!AO5/Frota!$L5)*Frota!$L5,N(VLOOKUP(Frota!$B5,Premissas!$A$39:$E$43,5,0)))=0,"B",IF(N(VLOOKUP(Frota!$B5,Premissas!$A$39:$E$43,4,0))&gt;0,IF(MOD(INT(Cron_Uso!AO5/Frota!$L5)*Frota!$L5,N(VLOOKUP(Frota!$B5,Premissas!$A$39:$E$43,4,0)))=0,"A","S"),"S")),IF(N(VLOOKUP(Frota!$B5,Premissas!$A$39:$E$43,4,0))&gt;0,IF(MOD(INT(Cron_Uso!AO5/Frota!$L5)*Frota!$L5,N(VLOOKUP(Frota!$B5,Premissas!$A$39:$E$43,4,0)))=0,"A","S"),"S")),""))</f>
        <v/>
      </c>
      <c r="AP5" s="16" t="str">
        <f aca="false">IF(Cron_Uso!AP5="","",IF(INT(Cron_Uso!AP5/Frota!$L5)&gt;INT(Cron_Uso!AO5/Frota!$L5),IF(N(VLOOKUP(Frota!$B5,Premissas!$A$39:$E$43,5,0))&gt;0,IF(MOD(INT(Cron_Uso!AP5/Frota!$L5)*Frota!$L5,N(VLOOKUP(Frota!$B5,Premissas!$A$39:$E$43,5,0)))=0,"B",IF(N(VLOOKUP(Frota!$B5,Premissas!$A$39:$E$43,4,0))&gt;0,IF(MOD(INT(Cron_Uso!AP5/Frota!$L5)*Frota!$L5,N(VLOOKUP(Frota!$B5,Premissas!$A$39:$E$43,4,0)))=0,"A","S"),"S")),IF(N(VLOOKUP(Frota!$B5,Premissas!$A$39:$E$43,4,0))&gt;0,IF(MOD(INT(Cron_Uso!AP5/Frota!$L5)*Frota!$L5,N(VLOOKUP(Frota!$B5,Premissas!$A$39:$E$43,4,0)))=0,"A","S"),"S")),""))</f>
        <v/>
      </c>
      <c r="AQ5" s="16" t="str">
        <f aca="false">IF(Cron_Uso!AQ5="","",IF(INT(Cron_Uso!AQ5/Frota!$L5)&gt;INT(Cron_Uso!AP5/Frota!$L5),IF(N(VLOOKUP(Frota!$B5,Premissas!$A$39:$E$43,5,0))&gt;0,IF(MOD(INT(Cron_Uso!AQ5/Frota!$L5)*Frota!$L5,N(VLOOKUP(Frota!$B5,Premissas!$A$39:$E$43,5,0)))=0,"B",IF(N(VLOOKUP(Frota!$B5,Premissas!$A$39:$E$43,4,0))&gt;0,IF(MOD(INT(Cron_Uso!AQ5/Frota!$L5)*Frota!$L5,N(VLOOKUP(Frota!$B5,Premissas!$A$39:$E$43,4,0)))=0,"A","S"),"S")),IF(N(VLOOKUP(Frota!$B5,Premissas!$A$39:$E$43,4,0))&gt;0,IF(MOD(INT(Cron_Uso!AQ5/Frota!$L5)*Frota!$L5,N(VLOOKUP(Frota!$B5,Premissas!$A$39:$E$43,4,0)))=0,"A","S"),"S")),""))</f>
        <v/>
      </c>
      <c r="AR5" s="16" t="str">
        <f aca="false">IF(Cron_Uso!AR5="","",IF(INT(Cron_Uso!AR5/Frota!$L5)&gt;INT(Cron_Uso!AQ5/Frota!$L5),IF(N(VLOOKUP(Frota!$B5,Premissas!$A$39:$E$43,5,0))&gt;0,IF(MOD(INT(Cron_Uso!AR5/Frota!$L5)*Frota!$L5,N(VLOOKUP(Frota!$B5,Premissas!$A$39:$E$43,5,0)))=0,"B",IF(N(VLOOKUP(Frota!$B5,Premissas!$A$39:$E$43,4,0))&gt;0,IF(MOD(INT(Cron_Uso!AR5/Frota!$L5)*Frota!$L5,N(VLOOKUP(Frota!$B5,Premissas!$A$39:$E$43,4,0)))=0,"A","S"),"S")),IF(N(VLOOKUP(Frota!$B5,Premissas!$A$39:$E$43,4,0))&gt;0,IF(MOD(INT(Cron_Uso!AR5/Frota!$L5)*Frota!$L5,N(VLOOKUP(Frota!$B5,Premissas!$A$39:$E$43,4,0)))=0,"A","S"),"S")),""))</f>
        <v/>
      </c>
      <c r="AS5" s="16" t="str">
        <f aca="false">IF(Cron_Uso!AS5="","",IF(INT(Cron_Uso!AS5/Frota!$L5)&gt;INT(Cron_Uso!AR5/Frota!$L5),IF(N(VLOOKUP(Frota!$B5,Premissas!$A$39:$E$43,5,0))&gt;0,IF(MOD(INT(Cron_Uso!AS5/Frota!$L5)*Frota!$L5,N(VLOOKUP(Frota!$B5,Premissas!$A$39:$E$43,5,0)))=0,"B",IF(N(VLOOKUP(Frota!$B5,Premissas!$A$39:$E$43,4,0))&gt;0,IF(MOD(INT(Cron_Uso!AS5/Frota!$L5)*Frota!$L5,N(VLOOKUP(Frota!$B5,Premissas!$A$39:$E$43,4,0)))=0,"A","S"),"S")),IF(N(VLOOKUP(Frota!$B5,Premissas!$A$39:$E$43,4,0))&gt;0,IF(MOD(INT(Cron_Uso!AS5/Frota!$L5)*Frota!$L5,N(VLOOKUP(Frota!$B5,Premissas!$A$39:$E$43,4,0)))=0,"A","S"),"S")),""))</f>
        <v/>
      </c>
      <c r="AT5" s="16" t="str">
        <f aca="false">IF(Cron_Uso!AT5="","",IF(INT(Cron_Uso!AT5/Frota!$L5)&gt;INT(Cron_Uso!AS5/Frota!$L5),IF(N(VLOOKUP(Frota!$B5,Premissas!$A$39:$E$43,5,0))&gt;0,IF(MOD(INT(Cron_Uso!AT5/Frota!$L5)*Frota!$L5,N(VLOOKUP(Frota!$B5,Premissas!$A$39:$E$43,5,0)))=0,"B",IF(N(VLOOKUP(Frota!$B5,Premissas!$A$39:$E$43,4,0))&gt;0,IF(MOD(INT(Cron_Uso!AT5/Frota!$L5)*Frota!$L5,N(VLOOKUP(Frota!$B5,Premissas!$A$39:$E$43,4,0)))=0,"A","S"),"S")),IF(N(VLOOKUP(Frota!$B5,Premissas!$A$39:$E$43,4,0))&gt;0,IF(MOD(INT(Cron_Uso!AT5/Frota!$L5)*Frota!$L5,N(VLOOKUP(Frota!$B5,Premissas!$A$39:$E$43,4,0)))=0,"A","S"),"S")),""))</f>
        <v/>
      </c>
      <c r="AU5" s="16" t="str">
        <f aca="false">IF(Cron_Uso!AU5="","",IF(INT(Cron_Uso!AU5/Frota!$L5)&gt;INT(Cron_Uso!AT5/Frota!$L5),IF(N(VLOOKUP(Frota!$B5,Premissas!$A$39:$E$43,5,0))&gt;0,IF(MOD(INT(Cron_Uso!AU5/Frota!$L5)*Frota!$L5,N(VLOOKUP(Frota!$B5,Premissas!$A$39:$E$43,5,0)))=0,"B",IF(N(VLOOKUP(Frota!$B5,Premissas!$A$39:$E$43,4,0))&gt;0,IF(MOD(INT(Cron_Uso!AU5/Frota!$L5)*Frota!$L5,N(VLOOKUP(Frota!$B5,Premissas!$A$39:$E$43,4,0)))=0,"A","S"),"S")),IF(N(VLOOKUP(Frota!$B5,Premissas!$A$39:$E$43,4,0))&gt;0,IF(MOD(INT(Cron_Uso!AU5/Frota!$L5)*Frota!$L5,N(VLOOKUP(Frota!$B5,Premissas!$A$39:$E$43,4,0)))=0,"A","S"),"S")),""))</f>
        <v/>
      </c>
      <c r="AV5" s="16" t="str">
        <f aca="false">IF(Cron_Uso!AV5="","",IF(INT(Cron_Uso!AV5/Frota!$L5)&gt;INT(Cron_Uso!AU5/Frota!$L5),IF(N(VLOOKUP(Frota!$B5,Premissas!$A$39:$E$43,5,0))&gt;0,IF(MOD(INT(Cron_Uso!AV5/Frota!$L5)*Frota!$L5,N(VLOOKUP(Frota!$B5,Premissas!$A$39:$E$43,5,0)))=0,"B",IF(N(VLOOKUP(Frota!$B5,Premissas!$A$39:$E$43,4,0))&gt;0,IF(MOD(INT(Cron_Uso!AV5/Frota!$L5)*Frota!$L5,N(VLOOKUP(Frota!$B5,Premissas!$A$39:$E$43,4,0)))=0,"A","S"),"S")),IF(N(VLOOKUP(Frota!$B5,Premissas!$A$39:$E$43,4,0))&gt;0,IF(MOD(INT(Cron_Uso!AV5/Frota!$L5)*Frota!$L5,N(VLOOKUP(Frota!$B5,Premissas!$A$39:$E$43,4,0)))=0,"A","S"),"S")),""))</f>
        <v/>
      </c>
      <c r="AW5" s="16" t="str">
        <f aca="false">IF(Cron_Uso!AW5="","",IF(INT(Cron_Uso!AW5/Frota!$L5)&gt;INT(Cron_Uso!AV5/Frota!$L5),IF(N(VLOOKUP(Frota!$B5,Premissas!$A$39:$E$43,5,0))&gt;0,IF(MOD(INT(Cron_Uso!AW5/Frota!$L5)*Frota!$L5,N(VLOOKUP(Frota!$B5,Premissas!$A$39:$E$43,5,0)))=0,"B",IF(N(VLOOKUP(Frota!$B5,Premissas!$A$39:$E$43,4,0))&gt;0,IF(MOD(INT(Cron_Uso!AW5/Frota!$L5)*Frota!$L5,N(VLOOKUP(Frota!$B5,Premissas!$A$39:$E$43,4,0)))=0,"A","S"),"S")),IF(N(VLOOKUP(Frota!$B5,Premissas!$A$39:$E$43,4,0))&gt;0,IF(MOD(INT(Cron_Uso!AW5/Frota!$L5)*Frota!$L5,N(VLOOKUP(Frota!$B5,Premissas!$A$39:$E$43,4,0)))=0,"A","S"),"S")),""))</f>
        <v/>
      </c>
      <c r="AX5" s="16" t="str">
        <f aca="false">IF(Cron_Uso!AX5="","",IF(INT(Cron_Uso!AX5/Frota!$L5)&gt;INT(Cron_Uso!AW5/Frota!$L5),IF(N(VLOOKUP(Frota!$B5,Premissas!$A$39:$E$43,5,0))&gt;0,IF(MOD(INT(Cron_Uso!AX5/Frota!$L5)*Frota!$L5,N(VLOOKUP(Frota!$B5,Premissas!$A$39:$E$43,5,0)))=0,"B",IF(N(VLOOKUP(Frota!$B5,Premissas!$A$39:$E$43,4,0))&gt;0,IF(MOD(INT(Cron_Uso!AX5/Frota!$L5)*Frota!$L5,N(VLOOKUP(Frota!$B5,Premissas!$A$39:$E$43,4,0)))=0,"A","S"),"S")),IF(N(VLOOKUP(Frota!$B5,Premissas!$A$39:$E$43,4,0))&gt;0,IF(MOD(INT(Cron_Uso!AX5/Frota!$L5)*Frota!$L5,N(VLOOKUP(Frota!$B5,Premissas!$A$39:$E$43,4,0)))=0,"A","S"),"S")),""))</f>
        <v/>
      </c>
      <c r="AY5" s="16" t="str">
        <f aca="false">IF(Cron_Uso!AY5="","",IF(INT(Cron_Uso!AY5/Frota!$L5)&gt;INT(Cron_Uso!AX5/Frota!$L5),IF(N(VLOOKUP(Frota!$B5,Premissas!$A$39:$E$43,5,0))&gt;0,IF(MOD(INT(Cron_Uso!AY5/Frota!$L5)*Frota!$L5,N(VLOOKUP(Frota!$B5,Premissas!$A$39:$E$43,5,0)))=0,"B",IF(N(VLOOKUP(Frota!$B5,Premissas!$A$39:$E$43,4,0))&gt;0,IF(MOD(INT(Cron_Uso!AY5/Frota!$L5)*Frota!$L5,N(VLOOKUP(Frota!$B5,Premissas!$A$39:$E$43,4,0)))=0,"A","S"),"S")),IF(N(VLOOKUP(Frota!$B5,Premissas!$A$39:$E$43,4,0))&gt;0,IF(MOD(INT(Cron_Uso!AY5/Frota!$L5)*Frota!$L5,N(VLOOKUP(Frota!$B5,Premissas!$A$39:$E$43,4,0)))=0,"A","S"),"S")),""))</f>
        <v/>
      </c>
      <c r="AZ5" s="16" t="str">
        <f aca="false">IF(Cron_Uso!AZ5="","",IF(INT(Cron_Uso!AZ5/Frota!$L5)&gt;INT(Cron_Uso!AY5/Frota!$L5),IF(N(VLOOKUP(Frota!$B5,Premissas!$A$39:$E$43,5,0))&gt;0,IF(MOD(INT(Cron_Uso!AZ5/Frota!$L5)*Frota!$L5,N(VLOOKUP(Frota!$B5,Premissas!$A$39:$E$43,5,0)))=0,"B",IF(N(VLOOKUP(Frota!$B5,Premissas!$A$39:$E$43,4,0))&gt;0,IF(MOD(INT(Cron_Uso!AZ5/Frota!$L5)*Frota!$L5,N(VLOOKUP(Frota!$B5,Premissas!$A$39:$E$43,4,0)))=0,"A","S"),"S")),IF(N(VLOOKUP(Frota!$B5,Premissas!$A$39:$E$43,4,0))&gt;0,IF(MOD(INT(Cron_Uso!AZ5/Frota!$L5)*Frota!$L5,N(VLOOKUP(Frota!$B5,Premissas!$A$39:$E$43,4,0)))=0,"A","S"),"S")),""))</f>
        <v/>
      </c>
      <c r="BA5" s="16" t="str">
        <f aca="false">IF(Cron_Uso!BA5="","",IF(INT(Cron_Uso!BA5/Frota!$L5)&gt;INT(Cron_Uso!AZ5/Frota!$L5),IF(N(VLOOKUP(Frota!$B5,Premissas!$A$39:$E$43,5,0))&gt;0,IF(MOD(INT(Cron_Uso!BA5/Frota!$L5)*Frota!$L5,N(VLOOKUP(Frota!$B5,Premissas!$A$39:$E$43,5,0)))=0,"B",IF(N(VLOOKUP(Frota!$B5,Premissas!$A$39:$E$43,4,0))&gt;0,IF(MOD(INT(Cron_Uso!BA5/Frota!$L5)*Frota!$L5,N(VLOOKUP(Frota!$B5,Premissas!$A$39:$E$43,4,0)))=0,"A","S"),"S")),IF(N(VLOOKUP(Frota!$B5,Premissas!$A$39:$E$43,4,0))&gt;0,IF(MOD(INT(Cron_Uso!BA5/Frota!$L5)*Frota!$L5,N(VLOOKUP(Frota!$B5,Premissas!$A$39:$E$43,4,0)))=0,"A","S"),"S")),""))</f>
        <v/>
      </c>
    </row>
    <row r="6" customFormat="false" ht="15" hidden="false" customHeight="false" outlineLevel="0" collapsed="false">
      <c r="A6" s="6" t="str">
        <f aca="false">IF(Frota!$A6="","",Frota!$A6)</f>
        <v>Colhedora CASE A8810 — 1036</v>
      </c>
      <c r="B6" s="16" t="str">
        <f aca="false">IF(Cron_Uso!B6="","",IF(INT(Cron_Uso!B6/Frota!$L6)&gt;INT(Frota!$I6/Frota!$L6),IF(N(VLOOKUP(Frota!$B6,Premissas!$A$39:$E$43,5,0))&gt;0,IF(MOD(INT(Cron_Uso!B6/Frota!$L6)*Frota!$L6,N(VLOOKUP(Frota!$B6,Premissas!$A$39:$E$43,5,0)))=0,"B",IF(N(VLOOKUP(Frota!$B6,Premissas!$A$39:$E$43,4,0))&gt;0,IF(MOD(INT(Cron_Uso!B6/Frota!$L6)*Frota!$L6,N(VLOOKUP(Frota!$B6,Premissas!$A$39:$E$43,4,0)))=0,"A","S"),"S")),IF(N(VLOOKUP(Frota!$B6,Premissas!$A$39:$E$43,4,0))&gt;0,IF(MOD(INT(Cron_Uso!B6/Frota!$L6)*Frota!$L6,N(VLOOKUP(Frota!$B6,Premissas!$A$39:$E$43,4,0)))=0,"A","S"),"S")),""))</f>
        <v>A</v>
      </c>
      <c r="C6" s="16" t="str">
        <f aca="false">IF(Cron_Uso!C6="","",IF(INT(Cron_Uso!C6/Frota!$L6)&gt;INT(Cron_Uso!B6/Frota!$L6),IF(N(VLOOKUP(Frota!$B6,Premissas!$A$39:$E$43,5,0))&gt;0,IF(MOD(INT(Cron_Uso!C6/Frota!$L6)*Frota!$L6,N(VLOOKUP(Frota!$B6,Premissas!$A$39:$E$43,5,0)))=0,"B",IF(N(VLOOKUP(Frota!$B6,Premissas!$A$39:$E$43,4,0))&gt;0,IF(MOD(INT(Cron_Uso!C6/Frota!$L6)*Frota!$L6,N(VLOOKUP(Frota!$B6,Premissas!$A$39:$E$43,4,0)))=0,"A","S"),"S")),IF(N(VLOOKUP(Frota!$B6,Premissas!$A$39:$E$43,4,0))&gt;0,IF(MOD(INT(Cron_Uso!C6/Frota!$L6)*Frota!$L6,N(VLOOKUP(Frota!$B6,Premissas!$A$39:$E$43,4,0)))=0,"A","S"),"S")),""))</f>
        <v/>
      </c>
      <c r="D6" s="16" t="str">
        <f aca="false">IF(Cron_Uso!D6="","",IF(INT(Cron_Uso!D6/Frota!$L6)&gt;INT(Cron_Uso!C6/Frota!$L6),IF(N(VLOOKUP(Frota!$B6,Premissas!$A$39:$E$43,5,0))&gt;0,IF(MOD(INT(Cron_Uso!D6/Frota!$L6)*Frota!$L6,N(VLOOKUP(Frota!$B6,Premissas!$A$39:$E$43,5,0)))=0,"B",IF(N(VLOOKUP(Frota!$B6,Premissas!$A$39:$E$43,4,0))&gt;0,IF(MOD(INT(Cron_Uso!D6/Frota!$L6)*Frota!$L6,N(VLOOKUP(Frota!$B6,Premissas!$A$39:$E$43,4,0)))=0,"A","S"),"S")),IF(N(VLOOKUP(Frota!$B6,Premissas!$A$39:$E$43,4,0))&gt;0,IF(MOD(INT(Cron_Uso!D6/Frota!$L6)*Frota!$L6,N(VLOOKUP(Frota!$B6,Premissas!$A$39:$E$43,4,0)))=0,"A","S"),"S")),""))</f>
        <v/>
      </c>
      <c r="E6" s="16" t="str">
        <f aca="false">IF(Cron_Uso!E6="","",IF(INT(Cron_Uso!E6/Frota!$L6)&gt;INT(Cron_Uso!D6/Frota!$L6),IF(N(VLOOKUP(Frota!$B6,Premissas!$A$39:$E$43,5,0))&gt;0,IF(MOD(INT(Cron_Uso!E6/Frota!$L6)*Frota!$L6,N(VLOOKUP(Frota!$B6,Premissas!$A$39:$E$43,5,0)))=0,"B",IF(N(VLOOKUP(Frota!$B6,Premissas!$A$39:$E$43,4,0))&gt;0,IF(MOD(INT(Cron_Uso!E6/Frota!$L6)*Frota!$L6,N(VLOOKUP(Frota!$B6,Premissas!$A$39:$E$43,4,0)))=0,"A","S"),"S")),IF(N(VLOOKUP(Frota!$B6,Premissas!$A$39:$E$43,4,0))&gt;0,IF(MOD(INT(Cron_Uso!E6/Frota!$L6)*Frota!$L6,N(VLOOKUP(Frota!$B6,Premissas!$A$39:$E$43,4,0)))=0,"A","S"),"S")),""))</f>
        <v/>
      </c>
      <c r="F6" s="16" t="str">
        <f aca="false">IF(Cron_Uso!F6="","",IF(INT(Cron_Uso!F6/Frota!$L6)&gt;INT(Cron_Uso!E6/Frota!$L6),IF(N(VLOOKUP(Frota!$B6,Premissas!$A$39:$E$43,5,0))&gt;0,IF(MOD(INT(Cron_Uso!F6/Frota!$L6)*Frota!$L6,N(VLOOKUP(Frota!$B6,Premissas!$A$39:$E$43,5,0)))=0,"B",IF(N(VLOOKUP(Frota!$B6,Premissas!$A$39:$E$43,4,0))&gt;0,IF(MOD(INT(Cron_Uso!F6/Frota!$L6)*Frota!$L6,N(VLOOKUP(Frota!$B6,Premissas!$A$39:$E$43,4,0)))=0,"A","S"),"S")),IF(N(VLOOKUP(Frota!$B6,Premissas!$A$39:$E$43,4,0))&gt;0,IF(MOD(INT(Cron_Uso!F6/Frota!$L6)*Frota!$L6,N(VLOOKUP(Frota!$B6,Premissas!$A$39:$E$43,4,0)))=0,"A","S"),"S")),""))</f>
        <v/>
      </c>
      <c r="G6" s="16" t="str">
        <f aca="false">IF(Cron_Uso!G6="","",IF(INT(Cron_Uso!G6/Frota!$L6)&gt;INT(Cron_Uso!F6/Frota!$L6),IF(N(VLOOKUP(Frota!$B6,Premissas!$A$39:$E$43,5,0))&gt;0,IF(MOD(INT(Cron_Uso!G6/Frota!$L6)*Frota!$L6,N(VLOOKUP(Frota!$B6,Premissas!$A$39:$E$43,5,0)))=0,"B",IF(N(VLOOKUP(Frota!$B6,Premissas!$A$39:$E$43,4,0))&gt;0,IF(MOD(INT(Cron_Uso!G6/Frota!$L6)*Frota!$L6,N(VLOOKUP(Frota!$B6,Premissas!$A$39:$E$43,4,0)))=0,"A","S"),"S")),IF(N(VLOOKUP(Frota!$B6,Premissas!$A$39:$E$43,4,0))&gt;0,IF(MOD(INT(Cron_Uso!G6/Frota!$L6)*Frota!$L6,N(VLOOKUP(Frota!$B6,Premissas!$A$39:$E$43,4,0)))=0,"A","S"),"S")),""))</f>
        <v>S</v>
      </c>
      <c r="H6" s="16" t="str">
        <f aca="false">IF(Cron_Uso!H6="","",IF(INT(Cron_Uso!H6/Frota!$L6)&gt;INT(Cron_Uso!G6/Frota!$L6),IF(N(VLOOKUP(Frota!$B6,Premissas!$A$39:$E$43,5,0))&gt;0,IF(MOD(INT(Cron_Uso!H6/Frota!$L6)*Frota!$L6,N(VLOOKUP(Frota!$B6,Premissas!$A$39:$E$43,5,0)))=0,"B",IF(N(VLOOKUP(Frota!$B6,Premissas!$A$39:$E$43,4,0))&gt;0,IF(MOD(INT(Cron_Uso!H6/Frota!$L6)*Frota!$L6,N(VLOOKUP(Frota!$B6,Premissas!$A$39:$E$43,4,0)))=0,"A","S"),"S")),IF(N(VLOOKUP(Frota!$B6,Premissas!$A$39:$E$43,4,0))&gt;0,IF(MOD(INT(Cron_Uso!H6/Frota!$L6)*Frota!$L6,N(VLOOKUP(Frota!$B6,Premissas!$A$39:$E$43,4,0)))=0,"A","S"),"S")),""))</f>
        <v/>
      </c>
      <c r="I6" s="16" t="str">
        <f aca="false">IF(Cron_Uso!I6="","",IF(INT(Cron_Uso!I6/Frota!$L6)&gt;INT(Cron_Uso!H6/Frota!$L6),IF(N(VLOOKUP(Frota!$B6,Premissas!$A$39:$E$43,5,0))&gt;0,IF(MOD(INT(Cron_Uso!I6/Frota!$L6)*Frota!$L6,N(VLOOKUP(Frota!$B6,Premissas!$A$39:$E$43,5,0)))=0,"B",IF(N(VLOOKUP(Frota!$B6,Premissas!$A$39:$E$43,4,0))&gt;0,IF(MOD(INT(Cron_Uso!I6/Frota!$L6)*Frota!$L6,N(VLOOKUP(Frota!$B6,Premissas!$A$39:$E$43,4,0)))=0,"A","S"),"S")),IF(N(VLOOKUP(Frota!$B6,Premissas!$A$39:$E$43,4,0))&gt;0,IF(MOD(INT(Cron_Uso!I6/Frota!$L6)*Frota!$L6,N(VLOOKUP(Frota!$B6,Premissas!$A$39:$E$43,4,0)))=0,"A","S"),"S")),""))</f>
        <v/>
      </c>
      <c r="J6" s="16" t="str">
        <f aca="false">IF(Cron_Uso!J6="","",IF(INT(Cron_Uso!J6/Frota!$L6)&gt;INT(Cron_Uso!I6/Frota!$L6),IF(N(VLOOKUP(Frota!$B6,Premissas!$A$39:$E$43,5,0))&gt;0,IF(MOD(INT(Cron_Uso!J6/Frota!$L6)*Frota!$L6,N(VLOOKUP(Frota!$B6,Premissas!$A$39:$E$43,5,0)))=0,"B",IF(N(VLOOKUP(Frota!$B6,Premissas!$A$39:$E$43,4,0))&gt;0,IF(MOD(INT(Cron_Uso!J6/Frota!$L6)*Frota!$L6,N(VLOOKUP(Frota!$B6,Premissas!$A$39:$E$43,4,0)))=0,"A","S"),"S")),IF(N(VLOOKUP(Frota!$B6,Premissas!$A$39:$E$43,4,0))&gt;0,IF(MOD(INT(Cron_Uso!J6/Frota!$L6)*Frota!$L6,N(VLOOKUP(Frota!$B6,Premissas!$A$39:$E$43,4,0)))=0,"A","S"),"S")),""))</f>
        <v/>
      </c>
      <c r="K6" s="16" t="str">
        <f aca="false">IF(Cron_Uso!K6="","",IF(INT(Cron_Uso!K6/Frota!$L6)&gt;INT(Cron_Uso!J6/Frota!$L6),IF(N(VLOOKUP(Frota!$B6,Premissas!$A$39:$E$43,5,0))&gt;0,IF(MOD(INT(Cron_Uso!K6/Frota!$L6)*Frota!$L6,N(VLOOKUP(Frota!$B6,Premissas!$A$39:$E$43,5,0)))=0,"B",IF(N(VLOOKUP(Frota!$B6,Premissas!$A$39:$E$43,4,0))&gt;0,IF(MOD(INT(Cron_Uso!K6/Frota!$L6)*Frota!$L6,N(VLOOKUP(Frota!$B6,Premissas!$A$39:$E$43,4,0)))=0,"A","S"),"S")),IF(N(VLOOKUP(Frota!$B6,Premissas!$A$39:$E$43,4,0))&gt;0,IF(MOD(INT(Cron_Uso!K6/Frota!$L6)*Frota!$L6,N(VLOOKUP(Frota!$B6,Premissas!$A$39:$E$43,4,0)))=0,"A","S"),"S")),""))</f>
        <v/>
      </c>
      <c r="L6" s="16" t="str">
        <f aca="false">IF(Cron_Uso!L6="","",IF(INT(Cron_Uso!L6/Frota!$L6)&gt;INT(Cron_Uso!K6/Frota!$L6),IF(N(VLOOKUP(Frota!$B6,Premissas!$A$39:$E$43,5,0))&gt;0,IF(MOD(INT(Cron_Uso!L6/Frota!$L6)*Frota!$L6,N(VLOOKUP(Frota!$B6,Premissas!$A$39:$E$43,5,0)))=0,"B",IF(N(VLOOKUP(Frota!$B6,Premissas!$A$39:$E$43,4,0))&gt;0,IF(MOD(INT(Cron_Uso!L6/Frota!$L6)*Frota!$L6,N(VLOOKUP(Frota!$B6,Premissas!$A$39:$E$43,4,0)))=0,"A","S"),"S")),IF(N(VLOOKUP(Frota!$B6,Premissas!$A$39:$E$43,4,0))&gt;0,IF(MOD(INT(Cron_Uso!L6/Frota!$L6)*Frota!$L6,N(VLOOKUP(Frota!$B6,Premissas!$A$39:$E$43,4,0)))=0,"A","S"),"S")),""))</f>
        <v/>
      </c>
      <c r="M6" s="16" t="str">
        <f aca="false">IF(Cron_Uso!M6="","",IF(INT(Cron_Uso!M6/Frota!$L6)&gt;INT(Cron_Uso!L6/Frota!$L6),IF(N(VLOOKUP(Frota!$B6,Premissas!$A$39:$E$43,5,0))&gt;0,IF(MOD(INT(Cron_Uso!M6/Frota!$L6)*Frota!$L6,N(VLOOKUP(Frota!$B6,Premissas!$A$39:$E$43,5,0)))=0,"B",IF(N(VLOOKUP(Frota!$B6,Premissas!$A$39:$E$43,4,0))&gt;0,IF(MOD(INT(Cron_Uso!M6/Frota!$L6)*Frota!$L6,N(VLOOKUP(Frota!$B6,Premissas!$A$39:$E$43,4,0)))=0,"A","S"),"S")),IF(N(VLOOKUP(Frota!$B6,Premissas!$A$39:$E$43,4,0))&gt;0,IF(MOD(INT(Cron_Uso!M6/Frota!$L6)*Frota!$L6,N(VLOOKUP(Frota!$B6,Premissas!$A$39:$E$43,4,0)))=0,"A","S"),"S")),""))</f>
        <v>B</v>
      </c>
      <c r="N6" s="16" t="str">
        <f aca="false">IF(Cron_Uso!N6="","",IF(INT(Cron_Uso!N6/Frota!$L6)&gt;INT(Cron_Uso!M6/Frota!$L6),IF(N(VLOOKUP(Frota!$B6,Premissas!$A$39:$E$43,5,0))&gt;0,IF(MOD(INT(Cron_Uso!N6/Frota!$L6)*Frota!$L6,N(VLOOKUP(Frota!$B6,Premissas!$A$39:$E$43,5,0)))=0,"B",IF(N(VLOOKUP(Frota!$B6,Premissas!$A$39:$E$43,4,0))&gt;0,IF(MOD(INT(Cron_Uso!N6/Frota!$L6)*Frota!$L6,N(VLOOKUP(Frota!$B6,Premissas!$A$39:$E$43,4,0)))=0,"A","S"),"S")),IF(N(VLOOKUP(Frota!$B6,Premissas!$A$39:$E$43,4,0))&gt;0,IF(MOD(INT(Cron_Uso!N6/Frota!$L6)*Frota!$L6,N(VLOOKUP(Frota!$B6,Premissas!$A$39:$E$43,4,0)))=0,"A","S"),"S")),""))</f>
        <v/>
      </c>
      <c r="O6" s="16" t="str">
        <f aca="false">IF(Cron_Uso!O6="","",IF(INT(Cron_Uso!O6/Frota!$L6)&gt;INT(Cron_Uso!N6/Frota!$L6),IF(N(VLOOKUP(Frota!$B6,Premissas!$A$39:$E$43,5,0))&gt;0,IF(MOD(INT(Cron_Uso!O6/Frota!$L6)*Frota!$L6,N(VLOOKUP(Frota!$B6,Premissas!$A$39:$E$43,5,0)))=0,"B",IF(N(VLOOKUP(Frota!$B6,Premissas!$A$39:$E$43,4,0))&gt;0,IF(MOD(INT(Cron_Uso!O6/Frota!$L6)*Frota!$L6,N(VLOOKUP(Frota!$B6,Premissas!$A$39:$E$43,4,0)))=0,"A","S"),"S")),IF(N(VLOOKUP(Frota!$B6,Premissas!$A$39:$E$43,4,0))&gt;0,IF(MOD(INT(Cron_Uso!O6/Frota!$L6)*Frota!$L6,N(VLOOKUP(Frota!$B6,Premissas!$A$39:$E$43,4,0)))=0,"A","S"),"S")),""))</f>
        <v/>
      </c>
      <c r="P6" s="16" t="str">
        <f aca="false">IF(Cron_Uso!P6="","",IF(INT(Cron_Uso!P6/Frota!$L6)&gt;INT(Cron_Uso!O6/Frota!$L6),IF(N(VLOOKUP(Frota!$B6,Premissas!$A$39:$E$43,5,0))&gt;0,IF(MOD(INT(Cron_Uso!P6/Frota!$L6)*Frota!$L6,N(VLOOKUP(Frota!$B6,Premissas!$A$39:$E$43,5,0)))=0,"B",IF(N(VLOOKUP(Frota!$B6,Premissas!$A$39:$E$43,4,0))&gt;0,IF(MOD(INT(Cron_Uso!P6/Frota!$L6)*Frota!$L6,N(VLOOKUP(Frota!$B6,Premissas!$A$39:$E$43,4,0)))=0,"A","S"),"S")),IF(N(VLOOKUP(Frota!$B6,Premissas!$A$39:$E$43,4,0))&gt;0,IF(MOD(INT(Cron_Uso!P6/Frota!$L6)*Frota!$L6,N(VLOOKUP(Frota!$B6,Premissas!$A$39:$E$43,4,0)))=0,"A","S"),"S")),""))</f>
        <v/>
      </c>
      <c r="Q6" s="16" t="str">
        <f aca="false">IF(Cron_Uso!Q6="","",IF(INT(Cron_Uso!Q6/Frota!$L6)&gt;INT(Cron_Uso!P6/Frota!$L6),IF(N(VLOOKUP(Frota!$B6,Premissas!$A$39:$E$43,5,0))&gt;0,IF(MOD(INT(Cron_Uso!Q6/Frota!$L6)*Frota!$L6,N(VLOOKUP(Frota!$B6,Premissas!$A$39:$E$43,5,0)))=0,"B",IF(N(VLOOKUP(Frota!$B6,Premissas!$A$39:$E$43,4,0))&gt;0,IF(MOD(INT(Cron_Uso!Q6/Frota!$L6)*Frota!$L6,N(VLOOKUP(Frota!$B6,Premissas!$A$39:$E$43,4,0)))=0,"A","S"),"S")),IF(N(VLOOKUP(Frota!$B6,Premissas!$A$39:$E$43,4,0))&gt;0,IF(MOD(INT(Cron_Uso!Q6/Frota!$L6)*Frota!$L6,N(VLOOKUP(Frota!$B6,Premissas!$A$39:$E$43,4,0)))=0,"A","S"),"S")),""))</f>
        <v/>
      </c>
      <c r="R6" s="16" t="str">
        <f aca="false">IF(Cron_Uso!R6="","",IF(INT(Cron_Uso!R6/Frota!$L6)&gt;INT(Cron_Uso!Q6/Frota!$L6),IF(N(VLOOKUP(Frota!$B6,Premissas!$A$39:$E$43,5,0))&gt;0,IF(MOD(INT(Cron_Uso!R6/Frota!$L6)*Frota!$L6,N(VLOOKUP(Frota!$B6,Premissas!$A$39:$E$43,5,0)))=0,"B",IF(N(VLOOKUP(Frota!$B6,Premissas!$A$39:$E$43,4,0))&gt;0,IF(MOD(INT(Cron_Uso!R6/Frota!$L6)*Frota!$L6,N(VLOOKUP(Frota!$B6,Premissas!$A$39:$E$43,4,0)))=0,"A","S"),"S")),IF(N(VLOOKUP(Frota!$B6,Premissas!$A$39:$E$43,4,0))&gt;0,IF(MOD(INT(Cron_Uso!R6/Frota!$L6)*Frota!$L6,N(VLOOKUP(Frota!$B6,Premissas!$A$39:$E$43,4,0)))=0,"A","S"),"S")),""))</f>
        <v/>
      </c>
      <c r="S6" s="16" t="str">
        <f aca="false">IF(Cron_Uso!S6="","",IF(INT(Cron_Uso!S6/Frota!$L6)&gt;INT(Cron_Uso!R6/Frota!$L6),IF(N(VLOOKUP(Frota!$B6,Premissas!$A$39:$E$43,5,0))&gt;0,IF(MOD(INT(Cron_Uso!S6/Frota!$L6)*Frota!$L6,N(VLOOKUP(Frota!$B6,Premissas!$A$39:$E$43,5,0)))=0,"B",IF(N(VLOOKUP(Frota!$B6,Premissas!$A$39:$E$43,4,0))&gt;0,IF(MOD(INT(Cron_Uso!S6/Frota!$L6)*Frota!$L6,N(VLOOKUP(Frota!$B6,Premissas!$A$39:$E$43,4,0)))=0,"A","S"),"S")),IF(N(VLOOKUP(Frota!$B6,Premissas!$A$39:$E$43,4,0))&gt;0,IF(MOD(INT(Cron_Uso!S6/Frota!$L6)*Frota!$L6,N(VLOOKUP(Frota!$B6,Premissas!$A$39:$E$43,4,0)))=0,"A","S"),"S")),""))</f>
        <v>S</v>
      </c>
      <c r="T6" s="16" t="str">
        <f aca="false">IF(Cron_Uso!T6="","",IF(INT(Cron_Uso!T6/Frota!$L6)&gt;INT(Cron_Uso!S6/Frota!$L6),IF(N(VLOOKUP(Frota!$B6,Premissas!$A$39:$E$43,5,0))&gt;0,IF(MOD(INT(Cron_Uso!T6/Frota!$L6)*Frota!$L6,N(VLOOKUP(Frota!$B6,Premissas!$A$39:$E$43,5,0)))=0,"B",IF(N(VLOOKUP(Frota!$B6,Premissas!$A$39:$E$43,4,0))&gt;0,IF(MOD(INT(Cron_Uso!T6/Frota!$L6)*Frota!$L6,N(VLOOKUP(Frota!$B6,Premissas!$A$39:$E$43,4,0)))=0,"A","S"),"S")),IF(N(VLOOKUP(Frota!$B6,Premissas!$A$39:$E$43,4,0))&gt;0,IF(MOD(INT(Cron_Uso!T6/Frota!$L6)*Frota!$L6,N(VLOOKUP(Frota!$B6,Premissas!$A$39:$E$43,4,0)))=0,"A","S"),"S")),""))</f>
        <v/>
      </c>
      <c r="U6" s="16" t="str">
        <f aca="false">IF(Cron_Uso!U6="","",IF(INT(Cron_Uso!U6/Frota!$L6)&gt;INT(Cron_Uso!T6/Frota!$L6),IF(N(VLOOKUP(Frota!$B6,Premissas!$A$39:$E$43,5,0))&gt;0,IF(MOD(INT(Cron_Uso!U6/Frota!$L6)*Frota!$L6,N(VLOOKUP(Frota!$B6,Premissas!$A$39:$E$43,5,0)))=0,"B",IF(N(VLOOKUP(Frota!$B6,Premissas!$A$39:$E$43,4,0))&gt;0,IF(MOD(INT(Cron_Uso!U6/Frota!$L6)*Frota!$L6,N(VLOOKUP(Frota!$B6,Premissas!$A$39:$E$43,4,0)))=0,"A","S"),"S")),IF(N(VLOOKUP(Frota!$B6,Premissas!$A$39:$E$43,4,0))&gt;0,IF(MOD(INT(Cron_Uso!U6/Frota!$L6)*Frota!$L6,N(VLOOKUP(Frota!$B6,Premissas!$A$39:$E$43,4,0)))=0,"A","S"),"S")),""))</f>
        <v/>
      </c>
      <c r="V6" s="16" t="str">
        <f aca="false">IF(Cron_Uso!V6="","",IF(INT(Cron_Uso!V6/Frota!$L6)&gt;INT(Cron_Uso!U6/Frota!$L6),IF(N(VLOOKUP(Frota!$B6,Premissas!$A$39:$E$43,5,0))&gt;0,IF(MOD(INT(Cron_Uso!V6/Frota!$L6)*Frota!$L6,N(VLOOKUP(Frota!$B6,Premissas!$A$39:$E$43,5,0)))=0,"B",IF(N(VLOOKUP(Frota!$B6,Premissas!$A$39:$E$43,4,0))&gt;0,IF(MOD(INT(Cron_Uso!V6/Frota!$L6)*Frota!$L6,N(VLOOKUP(Frota!$B6,Premissas!$A$39:$E$43,4,0)))=0,"A","S"),"S")),IF(N(VLOOKUP(Frota!$B6,Premissas!$A$39:$E$43,4,0))&gt;0,IF(MOD(INT(Cron_Uso!V6/Frota!$L6)*Frota!$L6,N(VLOOKUP(Frota!$B6,Premissas!$A$39:$E$43,4,0)))=0,"A","S"),"S")),""))</f>
        <v/>
      </c>
      <c r="W6" s="16" t="str">
        <f aca="false">IF(Cron_Uso!W6="","",IF(INT(Cron_Uso!W6/Frota!$L6)&gt;INT(Cron_Uso!V6/Frota!$L6),IF(N(VLOOKUP(Frota!$B6,Premissas!$A$39:$E$43,5,0))&gt;0,IF(MOD(INT(Cron_Uso!W6/Frota!$L6)*Frota!$L6,N(VLOOKUP(Frota!$B6,Premissas!$A$39:$E$43,5,0)))=0,"B",IF(N(VLOOKUP(Frota!$B6,Premissas!$A$39:$E$43,4,0))&gt;0,IF(MOD(INT(Cron_Uso!W6/Frota!$L6)*Frota!$L6,N(VLOOKUP(Frota!$B6,Premissas!$A$39:$E$43,4,0)))=0,"A","S"),"S")),IF(N(VLOOKUP(Frota!$B6,Premissas!$A$39:$E$43,4,0))&gt;0,IF(MOD(INT(Cron_Uso!W6/Frota!$L6)*Frota!$L6,N(VLOOKUP(Frota!$B6,Premissas!$A$39:$E$43,4,0)))=0,"A","S"),"S")),""))</f>
        <v/>
      </c>
      <c r="X6" s="16" t="str">
        <f aca="false">IF(Cron_Uso!X6="","",IF(INT(Cron_Uso!X6/Frota!$L6)&gt;INT(Cron_Uso!W6/Frota!$L6),IF(N(VLOOKUP(Frota!$B6,Premissas!$A$39:$E$43,5,0))&gt;0,IF(MOD(INT(Cron_Uso!X6/Frota!$L6)*Frota!$L6,N(VLOOKUP(Frota!$B6,Premissas!$A$39:$E$43,5,0)))=0,"B",IF(N(VLOOKUP(Frota!$B6,Premissas!$A$39:$E$43,4,0))&gt;0,IF(MOD(INT(Cron_Uso!X6/Frota!$L6)*Frota!$L6,N(VLOOKUP(Frota!$B6,Premissas!$A$39:$E$43,4,0)))=0,"A","S"),"S")),IF(N(VLOOKUP(Frota!$B6,Premissas!$A$39:$E$43,4,0))&gt;0,IF(MOD(INT(Cron_Uso!X6/Frota!$L6)*Frota!$L6,N(VLOOKUP(Frota!$B6,Premissas!$A$39:$E$43,4,0)))=0,"A","S"),"S")),""))</f>
        <v>A</v>
      </c>
      <c r="Y6" s="16" t="str">
        <f aca="false">IF(Cron_Uso!Y6="","",IF(INT(Cron_Uso!Y6/Frota!$L6)&gt;INT(Cron_Uso!X6/Frota!$L6),IF(N(VLOOKUP(Frota!$B6,Premissas!$A$39:$E$43,5,0))&gt;0,IF(MOD(INT(Cron_Uso!Y6/Frota!$L6)*Frota!$L6,N(VLOOKUP(Frota!$B6,Premissas!$A$39:$E$43,5,0)))=0,"B",IF(N(VLOOKUP(Frota!$B6,Premissas!$A$39:$E$43,4,0))&gt;0,IF(MOD(INT(Cron_Uso!Y6/Frota!$L6)*Frota!$L6,N(VLOOKUP(Frota!$B6,Premissas!$A$39:$E$43,4,0)))=0,"A","S"),"S")),IF(N(VLOOKUP(Frota!$B6,Premissas!$A$39:$E$43,4,0))&gt;0,IF(MOD(INT(Cron_Uso!Y6/Frota!$L6)*Frota!$L6,N(VLOOKUP(Frota!$B6,Premissas!$A$39:$E$43,4,0)))=0,"A","S"),"S")),""))</f>
        <v/>
      </c>
      <c r="Z6" s="16" t="str">
        <f aca="false">IF(Cron_Uso!Z6="","",IF(INT(Cron_Uso!Z6/Frota!$L6)&gt;INT(Cron_Uso!Y6/Frota!$L6),IF(N(VLOOKUP(Frota!$B6,Premissas!$A$39:$E$43,5,0))&gt;0,IF(MOD(INT(Cron_Uso!Z6/Frota!$L6)*Frota!$L6,N(VLOOKUP(Frota!$B6,Premissas!$A$39:$E$43,5,0)))=0,"B",IF(N(VLOOKUP(Frota!$B6,Premissas!$A$39:$E$43,4,0))&gt;0,IF(MOD(INT(Cron_Uso!Z6/Frota!$L6)*Frota!$L6,N(VLOOKUP(Frota!$B6,Premissas!$A$39:$E$43,4,0)))=0,"A","S"),"S")),IF(N(VLOOKUP(Frota!$B6,Premissas!$A$39:$E$43,4,0))&gt;0,IF(MOD(INT(Cron_Uso!Z6/Frota!$L6)*Frota!$L6,N(VLOOKUP(Frota!$B6,Premissas!$A$39:$E$43,4,0)))=0,"A","S"),"S")),""))</f>
        <v/>
      </c>
      <c r="AA6" s="16" t="str">
        <f aca="false">IF(Cron_Uso!AA6="","",IF(INT(Cron_Uso!AA6/Frota!$L6)&gt;INT(Cron_Uso!Z6/Frota!$L6),IF(N(VLOOKUP(Frota!$B6,Premissas!$A$39:$E$43,5,0))&gt;0,IF(MOD(INT(Cron_Uso!AA6/Frota!$L6)*Frota!$L6,N(VLOOKUP(Frota!$B6,Premissas!$A$39:$E$43,5,0)))=0,"B",IF(N(VLOOKUP(Frota!$B6,Premissas!$A$39:$E$43,4,0))&gt;0,IF(MOD(INT(Cron_Uso!AA6/Frota!$L6)*Frota!$L6,N(VLOOKUP(Frota!$B6,Premissas!$A$39:$E$43,4,0)))=0,"A","S"),"S")),IF(N(VLOOKUP(Frota!$B6,Premissas!$A$39:$E$43,4,0))&gt;0,IF(MOD(INT(Cron_Uso!AA6/Frota!$L6)*Frota!$L6,N(VLOOKUP(Frota!$B6,Premissas!$A$39:$E$43,4,0)))=0,"A","S"),"S")),""))</f>
        <v/>
      </c>
      <c r="AB6" s="16" t="str">
        <f aca="false">IF(Cron_Uso!AB6="","",IF(INT(Cron_Uso!AB6/Frota!$L6)&gt;INT(Cron_Uso!AA6/Frota!$L6),IF(N(VLOOKUP(Frota!$B6,Premissas!$A$39:$E$43,5,0))&gt;0,IF(MOD(INT(Cron_Uso!AB6/Frota!$L6)*Frota!$L6,N(VLOOKUP(Frota!$B6,Premissas!$A$39:$E$43,5,0)))=0,"B",IF(N(VLOOKUP(Frota!$B6,Premissas!$A$39:$E$43,4,0))&gt;0,IF(MOD(INT(Cron_Uso!AB6/Frota!$L6)*Frota!$L6,N(VLOOKUP(Frota!$B6,Premissas!$A$39:$E$43,4,0)))=0,"A","S"),"S")),IF(N(VLOOKUP(Frota!$B6,Premissas!$A$39:$E$43,4,0))&gt;0,IF(MOD(INT(Cron_Uso!AB6/Frota!$L6)*Frota!$L6,N(VLOOKUP(Frota!$B6,Premissas!$A$39:$E$43,4,0)))=0,"A","S"),"S")),""))</f>
        <v/>
      </c>
      <c r="AC6" s="16" t="str">
        <f aca="false">IF(Cron_Uso!AC6="","",IF(INT(Cron_Uso!AC6/Frota!$L6)&gt;INT(Cron_Uso!AB6/Frota!$L6),IF(N(VLOOKUP(Frota!$B6,Premissas!$A$39:$E$43,5,0))&gt;0,IF(MOD(INT(Cron_Uso!AC6/Frota!$L6)*Frota!$L6,N(VLOOKUP(Frota!$B6,Premissas!$A$39:$E$43,5,0)))=0,"B",IF(N(VLOOKUP(Frota!$B6,Premissas!$A$39:$E$43,4,0))&gt;0,IF(MOD(INT(Cron_Uso!AC6/Frota!$L6)*Frota!$L6,N(VLOOKUP(Frota!$B6,Premissas!$A$39:$E$43,4,0)))=0,"A","S"),"S")),IF(N(VLOOKUP(Frota!$B6,Premissas!$A$39:$E$43,4,0))&gt;0,IF(MOD(INT(Cron_Uso!AC6/Frota!$L6)*Frota!$L6,N(VLOOKUP(Frota!$B6,Premissas!$A$39:$E$43,4,0)))=0,"A","S"),"S")),""))</f>
        <v/>
      </c>
      <c r="AD6" s="16" t="str">
        <f aca="false">IF(Cron_Uso!AD6="","",IF(INT(Cron_Uso!AD6/Frota!$L6)&gt;INT(Cron_Uso!AC6/Frota!$L6),IF(N(VLOOKUP(Frota!$B6,Premissas!$A$39:$E$43,5,0))&gt;0,IF(MOD(INT(Cron_Uso!AD6/Frota!$L6)*Frota!$L6,N(VLOOKUP(Frota!$B6,Premissas!$A$39:$E$43,5,0)))=0,"B",IF(N(VLOOKUP(Frota!$B6,Premissas!$A$39:$E$43,4,0))&gt;0,IF(MOD(INT(Cron_Uso!AD6/Frota!$L6)*Frota!$L6,N(VLOOKUP(Frota!$B6,Premissas!$A$39:$E$43,4,0)))=0,"A","S"),"S")),IF(N(VLOOKUP(Frota!$B6,Premissas!$A$39:$E$43,4,0))&gt;0,IF(MOD(INT(Cron_Uso!AD6/Frota!$L6)*Frota!$L6,N(VLOOKUP(Frota!$B6,Premissas!$A$39:$E$43,4,0)))=0,"A","S"),"S")),""))</f>
        <v>S</v>
      </c>
      <c r="AE6" s="16" t="str">
        <f aca="false">IF(Cron_Uso!AE6="","",IF(INT(Cron_Uso!AE6/Frota!$L6)&gt;INT(Cron_Uso!AD6/Frota!$L6),IF(N(VLOOKUP(Frota!$B6,Premissas!$A$39:$E$43,5,0))&gt;0,IF(MOD(INT(Cron_Uso!AE6/Frota!$L6)*Frota!$L6,N(VLOOKUP(Frota!$B6,Premissas!$A$39:$E$43,5,0)))=0,"B",IF(N(VLOOKUP(Frota!$B6,Premissas!$A$39:$E$43,4,0))&gt;0,IF(MOD(INT(Cron_Uso!AE6/Frota!$L6)*Frota!$L6,N(VLOOKUP(Frota!$B6,Premissas!$A$39:$E$43,4,0)))=0,"A","S"),"S")),IF(N(VLOOKUP(Frota!$B6,Premissas!$A$39:$E$43,4,0))&gt;0,IF(MOD(INT(Cron_Uso!AE6/Frota!$L6)*Frota!$L6,N(VLOOKUP(Frota!$B6,Premissas!$A$39:$E$43,4,0)))=0,"A","S"),"S")),""))</f>
        <v/>
      </c>
      <c r="AF6" s="16" t="str">
        <f aca="false">IF(Cron_Uso!AF6="","",IF(INT(Cron_Uso!AF6/Frota!$L6)&gt;INT(Cron_Uso!AE6/Frota!$L6),IF(N(VLOOKUP(Frota!$B6,Premissas!$A$39:$E$43,5,0))&gt;0,IF(MOD(INT(Cron_Uso!AF6/Frota!$L6)*Frota!$L6,N(VLOOKUP(Frota!$B6,Premissas!$A$39:$E$43,5,0)))=0,"B",IF(N(VLOOKUP(Frota!$B6,Premissas!$A$39:$E$43,4,0))&gt;0,IF(MOD(INT(Cron_Uso!AF6/Frota!$L6)*Frota!$L6,N(VLOOKUP(Frota!$B6,Premissas!$A$39:$E$43,4,0)))=0,"A","S"),"S")),IF(N(VLOOKUP(Frota!$B6,Premissas!$A$39:$E$43,4,0))&gt;0,IF(MOD(INT(Cron_Uso!AF6/Frota!$L6)*Frota!$L6,N(VLOOKUP(Frota!$B6,Premissas!$A$39:$E$43,4,0)))=0,"A","S"),"S")),""))</f>
        <v/>
      </c>
      <c r="AG6" s="16" t="str">
        <f aca="false">IF(Cron_Uso!AG6="","",IF(INT(Cron_Uso!AG6/Frota!$L6)&gt;INT(Cron_Uso!AF6/Frota!$L6),IF(N(VLOOKUP(Frota!$B6,Premissas!$A$39:$E$43,5,0))&gt;0,IF(MOD(INT(Cron_Uso!AG6/Frota!$L6)*Frota!$L6,N(VLOOKUP(Frota!$B6,Premissas!$A$39:$E$43,5,0)))=0,"B",IF(N(VLOOKUP(Frota!$B6,Premissas!$A$39:$E$43,4,0))&gt;0,IF(MOD(INT(Cron_Uso!AG6/Frota!$L6)*Frota!$L6,N(VLOOKUP(Frota!$B6,Premissas!$A$39:$E$43,4,0)))=0,"A","S"),"S")),IF(N(VLOOKUP(Frota!$B6,Premissas!$A$39:$E$43,4,0))&gt;0,IF(MOD(INT(Cron_Uso!AG6/Frota!$L6)*Frota!$L6,N(VLOOKUP(Frota!$B6,Premissas!$A$39:$E$43,4,0)))=0,"A","S"),"S")),""))</f>
        <v/>
      </c>
      <c r="AH6" s="16" t="str">
        <f aca="false">IF(Cron_Uso!AH6="","",IF(INT(Cron_Uso!AH6/Frota!$L6)&gt;INT(Cron_Uso!AG6/Frota!$L6),IF(N(VLOOKUP(Frota!$B6,Premissas!$A$39:$E$43,5,0))&gt;0,IF(MOD(INT(Cron_Uso!AH6/Frota!$L6)*Frota!$L6,N(VLOOKUP(Frota!$B6,Premissas!$A$39:$E$43,5,0)))=0,"B",IF(N(VLOOKUP(Frota!$B6,Premissas!$A$39:$E$43,4,0))&gt;0,IF(MOD(INT(Cron_Uso!AH6/Frota!$L6)*Frota!$L6,N(VLOOKUP(Frota!$B6,Premissas!$A$39:$E$43,4,0)))=0,"A","S"),"S")),IF(N(VLOOKUP(Frota!$B6,Premissas!$A$39:$E$43,4,0))&gt;0,IF(MOD(INT(Cron_Uso!AH6/Frota!$L6)*Frota!$L6,N(VLOOKUP(Frota!$B6,Premissas!$A$39:$E$43,4,0)))=0,"A","S"),"S")),""))</f>
        <v/>
      </c>
      <c r="AI6" s="16" t="str">
        <f aca="false">IF(Cron_Uso!AI6="","",IF(INT(Cron_Uso!AI6/Frota!$L6)&gt;INT(Cron_Uso!AH6/Frota!$L6),IF(N(VLOOKUP(Frota!$B6,Premissas!$A$39:$E$43,5,0))&gt;0,IF(MOD(INT(Cron_Uso!AI6/Frota!$L6)*Frota!$L6,N(VLOOKUP(Frota!$B6,Premissas!$A$39:$E$43,5,0)))=0,"B",IF(N(VLOOKUP(Frota!$B6,Premissas!$A$39:$E$43,4,0))&gt;0,IF(MOD(INT(Cron_Uso!AI6/Frota!$L6)*Frota!$L6,N(VLOOKUP(Frota!$B6,Premissas!$A$39:$E$43,4,0)))=0,"A","S"),"S")),IF(N(VLOOKUP(Frota!$B6,Premissas!$A$39:$E$43,4,0))&gt;0,IF(MOD(INT(Cron_Uso!AI6/Frota!$L6)*Frota!$L6,N(VLOOKUP(Frota!$B6,Premissas!$A$39:$E$43,4,0)))=0,"A","S"),"S")),""))</f>
        <v/>
      </c>
      <c r="AJ6" s="16" t="str">
        <f aca="false">IF(Cron_Uso!AJ6="","",IF(INT(Cron_Uso!AJ6/Frota!$L6)&gt;INT(Cron_Uso!AI6/Frota!$L6),IF(N(VLOOKUP(Frota!$B6,Premissas!$A$39:$E$43,5,0))&gt;0,IF(MOD(INT(Cron_Uso!AJ6/Frota!$L6)*Frota!$L6,N(VLOOKUP(Frota!$B6,Premissas!$A$39:$E$43,5,0)))=0,"B",IF(N(VLOOKUP(Frota!$B6,Premissas!$A$39:$E$43,4,0))&gt;0,IF(MOD(INT(Cron_Uso!AJ6/Frota!$L6)*Frota!$L6,N(VLOOKUP(Frota!$B6,Premissas!$A$39:$E$43,4,0)))=0,"A","S"),"S")),IF(N(VLOOKUP(Frota!$B6,Premissas!$A$39:$E$43,4,0))&gt;0,IF(MOD(INT(Cron_Uso!AJ6/Frota!$L6)*Frota!$L6,N(VLOOKUP(Frota!$B6,Premissas!$A$39:$E$43,4,0)))=0,"A","S"),"S")),""))</f>
        <v>B</v>
      </c>
      <c r="AK6" s="16" t="str">
        <f aca="false">IF(Cron_Uso!AK6="","",IF(INT(Cron_Uso!AK6/Frota!$L6)&gt;INT(Cron_Uso!AJ6/Frota!$L6),IF(N(VLOOKUP(Frota!$B6,Premissas!$A$39:$E$43,5,0))&gt;0,IF(MOD(INT(Cron_Uso!AK6/Frota!$L6)*Frota!$L6,N(VLOOKUP(Frota!$B6,Premissas!$A$39:$E$43,5,0)))=0,"B",IF(N(VLOOKUP(Frota!$B6,Premissas!$A$39:$E$43,4,0))&gt;0,IF(MOD(INT(Cron_Uso!AK6/Frota!$L6)*Frota!$L6,N(VLOOKUP(Frota!$B6,Premissas!$A$39:$E$43,4,0)))=0,"A","S"),"S")),IF(N(VLOOKUP(Frota!$B6,Premissas!$A$39:$E$43,4,0))&gt;0,IF(MOD(INT(Cron_Uso!AK6/Frota!$L6)*Frota!$L6,N(VLOOKUP(Frota!$B6,Premissas!$A$39:$E$43,4,0)))=0,"A","S"),"S")),""))</f>
        <v/>
      </c>
      <c r="AL6" s="16" t="str">
        <f aca="false">IF(Cron_Uso!AL6="","",IF(INT(Cron_Uso!AL6/Frota!$L6)&gt;INT(Cron_Uso!AK6/Frota!$L6),IF(N(VLOOKUP(Frota!$B6,Premissas!$A$39:$E$43,5,0))&gt;0,IF(MOD(INT(Cron_Uso!AL6/Frota!$L6)*Frota!$L6,N(VLOOKUP(Frota!$B6,Premissas!$A$39:$E$43,5,0)))=0,"B",IF(N(VLOOKUP(Frota!$B6,Premissas!$A$39:$E$43,4,0))&gt;0,IF(MOD(INT(Cron_Uso!AL6/Frota!$L6)*Frota!$L6,N(VLOOKUP(Frota!$B6,Premissas!$A$39:$E$43,4,0)))=0,"A","S"),"S")),IF(N(VLOOKUP(Frota!$B6,Premissas!$A$39:$E$43,4,0))&gt;0,IF(MOD(INT(Cron_Uso!AL6/Frota!$L6)*Frota!$L6,N(VLOOKUP(Frota!$B6,Premissas!$A$39:$E$43,4,0)))=0,"A","S"),"S")),""))</f>
        <v/>
      </c>
      <c r="AM6" s="16" t="str">
        <f aca="false">IF(Cron_Uso!AM6="","",IF(INT(Cron_Uso!AM6/Frota!$L6)&gt;INT(Cron_Uso!AL6/Frota!$L6),IF(N(VLOOKUP(Frota!$B6,Premissas!$A$39:$E$43,5,0))&gt;0,IF(MOD(INT(Cron_Uso!AM6/Frota!$L6)*Frota!$L6,N(VLOOKUP(Frota!$B6,Premissas!$A$39:$E$43,5,0)))=0,"B",IF(N(VLOOKUP(Frota!$B6,Premissas!$A$39:$E$43,4,0))&gt;0,IF(MOD(INT(Cron_Uso!AM6/Frota!$L6)*Frota!$L6,N(VLOOKUP(Frota!$B6,Premissas!$A$39:$E$43,4,0)))=0,"A","S"),"S")),IF(N(VLOOKUP(Frota!$B6,Premissas!$A$39:$E$43,4,0))&gt;0,IF(MOD(INT(Cron_Uso!AM6/Frota!$L6)*Frota!$L6,N(VLOOKUP(Frota!$B6,Premissas!$A$39:$E$43,4,0)))=0,"A","S"),"S")),""))</f>
        <v/>
      </c>
      <c r="AN6" s="16" t="str">
        <f aca="false">IF(Cron_Uso!AN6="","",IF(INT(Cron_Uso!AN6/Frota!$L6)&gt;INT(Cron_Uso!AM6/Frota!$L6),IF(N(VLOOKUP(Frota!$B6,Premissas!$A$39:$E$43,5,0))&gt;0,IF(MOD(INT(Cron_Uso!AN6/Frota!$L6)*Frota!$L6,N(VLOOKUP(Frota!$B6,Premissas!$A$39:$E$43,5,0)))=0,"B",IF(N(VLOOKUP(Frota!$B6,Premissas!$A$39:$E$43,4,0))&gt;0,IF(MOD(INT(Cron_Uso!AN6/Frota!$L6)*Frota!$L6,N(VLOOKUP(Frota!$B6,Premissas!$A$39:$E$43,4,0)))=0,"A","S"),"S")),IF(N(VLOOKUP(Frota!$B6,Premissas!$A$39:$E$43,4,0))&gt;0,IF(MOD(INT(Cron_Uso!AN6/Frota!$L6)*Frota!$L6,N(VLOOKUP(Frota!$B6,Premissas!$A$39:$E$43,4,0)))=0,"A","S"),"S")),""))</f>
        <v/>
      </c>
      <c r="AO6" s="16" t="str">
        <f aca="false">IF(Cron_Uso!AO6="","",IF(INT(Cron_Uso!AO6/Frota!$L6)&gt;INT(Cron_Uso!AN6/Frota!$L6),IF(N(VLOOKUP(Frota!$B6,Premissas!$A$39:$E$43,5,0))&gt;0,IF(MOD(INT(Cron_Uso!AO6/Frota!$L6)*Frota!$L6,N(VLOOKUP(Frota!$B6,Premissas!$A$39:$E$43,5,0)))=0,"B",IF(N(VLOOKUP(Frota!$B6,Premissas!$A$39:$E$43,4,0))&gt;0,IF(MOD(INT(Cron_Uso!AO6/Frota!$L6)*Frota!$L6,N(VLOOKUP(Frota!$B6,Premissas!$A$39:$E$43,4,0)))=0,"A","S"),"S")),IF(N(VLOOKUP(Frota!$B6,Premissas!$A$39:$E$43,4,0))&gt;0,IF(MOD(INT(Cron_Uso!AO6/Frota!$L6)*Frota!$L6,N(VLOOKUP(Frota!$B6,Premissas!$A$39:$E$43,4,0)))=0,"A","S"),"S")),""))</f>
        <v/>
      </c>
      <c r="AP6" s="16" t="str">
        <f aca="false">IF(Cron_Uso!AP6="","",IF(INT(Cron_Uso!AP6/Frota!$L6)&gt;INT(Cron_Uso!AO6/Frota!$L6),IF(N(VLOOKUP(Frota!$B6,Premissas!$A$39:$E$43,5,0))&gt;0,IF(MOD(INT(Cron_Uso!AP6/Frota!$L6)*Frota!$L6,N(VLOOKUP(Frota!$B6,Premissas!$A$39:$E$43,5,0)))=0,"B",IF(N(VLOOKUP(Frota!$B6,Premissas!$A$39:$E$43,4,0))&gt;0,IF(MOD(INT(Cron_Uso!AP6/Frota!$L6)*Frota!$L6,N(VLOOKUP(Frota!$B6,Premissas!$A$39:$E$43,4,0)))=0,"A","S"),"S")),IF(N(VLOOKUP(Frota!$B6,Premissas!$A$39:$E$43,4,0))&gt;0,IF(MOD(INT(Cron_Uso!AP6/Frota!$L6)*Frota!$L6,N(VLOOKUP(Frota!$B6,Premissas!$A$39:$E$43,4,0)))=0,"A","S"),"S")),""))</f>
        <v/>
      </c>
      <c r="AQ6" s="16" t="str">
        <f aca="false">IF(Cron_Uso!AQ6="","",IF(INT(Cron_Uso!AQ6/Frota!$L6)&gt;INT(Cron_Uso!AP6/Frota!$L6),IF(N(VLOOKUP(Frota!$B6,Premissas!$A$39:$E$43,5,0))&gt;0,IF(MOD(INT(Cron_Uso!AQ6/Frota!$L6)*Frota!$L6,N(VLOOKUP(Frota!$B6,Premissas!$A$39:$E$43,5,0)))=0,"B",IF(N(VLOOKUP(Frota!$B6,Premissas!$A$39:$E$43,4,0))&gt;0,IF(MOD(INT(Cron_Uso!AQ6/Frota!$L6)*Frota!$L6,N(VLOOKUP(Frota!$B6,Premissas!$A$39:$E$43,4,0)))=0,"A","S"),"S")),IF(N(VLOOKUP(Frota!$B6,Premissas!$A$39:$E$43,4,0))&gt;0,IF(MOD(INT(Cron_Uso!AQ6/Frota!$L6)*Frota!$L6,N(VLOOKUP(Frota!$B6,Premissas!$A$39:$E$43,4,0)))=0,"A","S"),"S")),""))</f>
        <v/>
      </c>
      <c r="AR6" s="16" t="str">
        <f aca="false">IF(Cron_Uso!AR6="","",IF(INT(Cron_Uso!AR6/Frota!$L6)&gt;INT(Cron_Uso!AQ6/Frota!$L6),IF(N(VLOOKUP(Frota!$B6,Premissas!$A$39:$E$43,5,0))&gt;0,IF(MOD(INT(Cron_Uso!AR6/Frota!$L6)*Frota!$L6,N(VLOOKUP(Frota!$B6,Premissas!$A$39:$E$43,5,0)))=0,"B",IF(N(VLOOKUP(Frota!$B6,Premissas!$A$39:$E$43,4,0))&gt;0,IF(MOD(INT(Cron_Uso!AR6/Frota!$L6)*Frota!$L6,N(VLOOKUP(Frota!$B6,Premissas!$A$39:$E$43,4,0)))=0,"A","S"),"S")),IF(N(VLOOKUP(Frota!$B6,Premissas!$A$39:$E$43,4,0))&gt;0,IF(MOD(INT(Cron_Uso!AR6/Frota!$L6)*Frota!$L6,N(VLOOKUP(Frota!$B6,Premissas!$A$39:$E$43,4,0)))=0,"A","S"),"S")),""))</f>
        <v/>
      </c>
      <c r="AS6" s="16" t="str">
        <f aca="false">IF(Cron_Uso!AS6="","",IF(INT(Cron_Uso!AS6/Frota!$L6)&gt;INT(Cron_Uso!AR6/Frota!$L6),IF(N(VLOOKUP(Frota!$B6,Premissas!$A$39:$E$43,5,0))&gt;0,IF(MOD(INT(Cron_Uso!AS6/Frota!$L6)*Frota!$L6,N(VLOOKUP(Frota!$B6,Premissas!$A$39:$E$43,5,0)))=0,"B",IF(N(VLOOKUP(Frota!$B6,Premissas!$A$39:$E$43,4,0))&gt;0,IF(MOD(INT(Cron_Uso!AS6/Frota!$L6)*Frota!$L6,N(VLOOKUP(Frota!$B6,Premissas!$A$39:$E$43,4,0)))=0,"A","S"),"S")),IF(N(VLOOKUP(Frota!$B6,Premissas!$A$39:$E$43,4,0))&gt;0,IF(MOD(INT(Cron_Uso!AS6/Frota!$L6)*Frota!$L6,N(VLOOKUP(Frota!$B6,Premissas!$A$39:$E$43,4,0)))=0,"A","S"),"S")),""))</f>
        <v/>
      </c>
      <c r="AT6" s="16" t="str">
        <f aca="false">IF(Cron_Uso!AT6="","",IF(INT(Cron_Uso!AT6/Frota!$L6)&gt;INT(Cron_Uso!AS6/Frota!$L6),IF(N(VLOOKUP(Frota!$B6,Premissas!$A$39:$E$43,5,0))&gt;0,IF(MOD(INT(Cron_Uso!AT6/Frota!$L6)*Frota!$L6,N(VLOOKUP(Frota!$B6,Premissas!$A$39:$E$43,5,0)))=0,"B",IF(N(VLOOKUP(Frota!$B6,Premissas!$A$39:$E$43,4,0))&gt;0,IF(MOD(INT(Cron_Uso!AT6/Frota!$L6)*Frota!$L6,N(VLOOKUP(Frota!$B6,Premissas!$A$39:$E$43,4,0)))=0,"A","S"),"S")),IF(N(VLOOKUP(Frota!$B6,Premissas!$A$39:$E$43,4,0))&gt;0,IF(MOD(INT(Cron_Uso!AT6/Frota!$L6)*Frota!$L6,N(VLOOKUP(Frota!$B6,Premissas!$A$39:$E$43,4,0)))=0,"A","S"),"S")),""))</f>
        <v/>
      </c>
      <c r="AU6" s="16" t="str">
        <f aca="false">IF(Cron_Uso!AU6="","",IF(INT(Cron_Uso!AU6/Frota!$L6)&gt;INT(Cron_Uso!AT6/Frota!$L6),IF(N(VLOOKUP(Frota!$B6,Premissas!$A$39:$E$43,5,0))&gt;0,IF(MOD(INT(Cron_Uso!AU6/Frota!$L6)*Frota!$L6,N(VLOOKUP(Frota!$B6,Premissas!$A$39:$E$43,5,0)))=0,"B",IF(N(VLOOKUP(Frota!$B6,Premissas!$A$39:$E$43,4,0))&gt;0,IF(MOD(INT(Cron_Uso!AU6/Frota!$L6)*Frota!$L6,N(VLOOKUP(Frota!$B6,Premissas!$A$39:$E$43,4,0)))=0,"A","S"),"S")),IF(N(VLOOKUP(Frota!$B6,Premissas!$A$39:$E$43,4,0))&gt;0,IF(MOD(INT(Cron_Uso!AU6/Frota!$L6)*Frota!$L6,N(VLOOKUP(Frota!$B6,Premissas!$A$39:$E$43,4,0)))=0,"A","S"),"S")),""))</f>
        <v/>
      </c>
      <c r="AV6" s="16" t="str">
        <f aca="false">IF(Cron_Uso!AV6="","",IF(INT(Cron_Uso!AV6/Frota!$L6)&gt;INT(Cron_Uso!AU6/Frota!$L6),IF(N(VLOOKUP(Frota!$B6,Premissas!$A$39:$E$43,5,0))&gt;0,IF(MOD(INT(Cron_Uso!AV6/Frota!$L6)*Frota!$L6,N(VLOOKUP(Frota!$B6,Premissas!$A$39:$E$43,5,0)))=0,"B",IF(N(VLOOKUP(Frota!$B6,Premissas!$A$39:$E$43,4,0))&gt;0,IF(MOD(INT(Cron_Uso!AV6/Frota!$L6)*Frota!$L6,N(VLOOKUP(Frota!$B6,Premissas!$A$39:$E$43,4,0)))=0,"A","S"),"S")),IF(N(VLOOKUP(Frota!$B6,Premissas!$A$39:$E$43,4,0))&gt;0,IF(MOD(INT(Cron_Uso!AV6/Frota!$L6)*Frota!$L6,N(VLOOKUP(Frota!$B6,Premissas!$A$39:$E$43,4,0)))=0,"A","S"),"S")),""))</f>
        <v/>
      </c>
      <c r="AW6" s="16" t="str">
        <f aca="false">IF(Cron_Uso!AW6="","",IF(INT(Cron_Uso!AW6/Frota!$L6)&gt;INT(Cron_Uso!AV6/Frota!$L6),IF(N(VLOOKUP(Frota!$B6,Premissas!$A$39:$E$43,5,0))&gt;0,IF(MOD(INT(Cron_Uso!AW6/Frota!$L6)*Frota!$L6,N(VLOOKUP(Frota!$B6,Premissas!$A$39:$E$43,5,0)))=0,"B",IF(N(VLOOKUP(Frota!$B6,Premissas!$A$39:$E$43,4,0))&gt;0,IF(MOD(INT(Cron_Uso!AW6/Frota!$L6)*Frota!$L6,N(VLOOKUP(Frota!$B6,Premissas!$A$39:$E$43,4,0)))=0,"A","S"),"S")),IF(N(VLOOKUP(Frota!$B6,Premissas!$A$39:$E$43,4,0))&gt;0,IF(MOD(INT(Cron_Uso!AW6/Frota!$L6)*Frota!$L6,N(VLOOKUP(Frota!$B6,Premissas!$A$39:$E$43,4,0)))=0,"A","S"),"S")),""))</f>
        <v/>
      </c>
      <c r="AX6" s="16" t="str">
        <f aca="false">IF(Cron_Uso!AX6="","",IF(INT(Cron_Uso!AX6/Frota!$L6)&gt;INT(Cron_Uso!AW6/Frota!$L6),IF(N(VLOOKUP(Frota!$B6,Premissas!$A$39:$E$43,5,0))&gt;0,IF(MOD(INT(Cron_Uso!AX6/Frota!$L6)*Frota!$L6,N(VLOOKUP(Frota!$B6,Premissas!$A$39:$E$43,5,0)))=0,"B",IF(N(VLOOKUP(Frota!$B6,Premissas!$A$39:$E$43,4,0))&gt;0,IF(MOD(INT(Cron_Uso!AX6/Frota!$L6)*Frota!$L6,N(VLOOKUP(Frota!$B6,Premissas!$A$39:$E$43,4,0)))=0,"A","S"),"S")),IF(N(VLOOKUP(Frota!$B6,Premissas!$A$39:$E$43,4,0))&gt;0,IF(MOD(INT(Cron_Uso!AX6/Frota!$L6)*Frota!$L6,N(VLOOKUP(Frota!$B6,Premissas!$A$39:$E$43,4,0)))=0,"A","S"),"S")),""))</f>
        <v/>
      </c>
      <c r="AY6" s="16" t="str">
        <f aca="false">IF(Cron_Uso!AY6="","",IF(INT(Cron_Uso!AY6/Frota!$L6)&gt;INT(Cron_Uso!AX6/Frota!$L6),IF(N(VLOOKUP(Frota!$B6,Premissas!$A$39:$E$43,5,0))&gt;0,IF(MOD(INT(Cron_Uso!AY6/Frota!$L6)*Frota!$L6,N(VLOOKUP(Frota!$B6,Premissas!$A$39:$E$43,5,0)))=0,"B",IF(N(VLOOKUP(Frota!$B6,Premissas!$A$39:$E$43,4,0))&gt;0,IF(MOD(INT(Cron_Uso!AY6/Frota!$L6)*Frota!$L6,N(VLOOKUP(Frota!$B6,Premissas!$A$39:$E$43,4,0)))=0,"A","S"),"S")),IF(N(VLOOKUP(Frota!$B6,Premissas!$A$39:$E$43,4,0))&gt;0,IF(MOD(INT(Cron_Uso!AY6/Frota!$L6)*Frota!$L6,N(VLOOKUP(Frota!$B6,Premissas!$A$39:$E$43,4,0)))=0,"A","S"),"S")),""))</f>
        <v/>
      </c>
      <c r="AZ6" s="16" t="str">
        <f aca="false">IF(Cron_Uso!AZ6="","",IF(INT(Cron_Uso!AZ6/Frota!$L6)&gt;INT(Cron_Uso!AY6/Frota!$L6),IF(N(VLOOKUP(Frota!$B6,Premissas!$A$39:$E$43,5,0))&gt;0,IF(MOD(INT(Cron_Uso!AZ6/Frota!$L6)*Frota!$L6,N(VLOOKUP(Frota!$B6,Premissas!$A$39:$E$43,5,0)))=0,"B",IF(N(VLOOKUP(Frota!$B6,Premissas!$A$39:$E$43,4,0))&gt;0,IF(MOD(INT(Cron_Uso!AZ6/Frota!$L6)*Frota!$L6,N(VLOOKUP(Frota!$B6,Premissas!$A$39:$E$43,4,0)))=0,"A","S"),"S")),IF(N(VLOOKUP(Frota!$B6,Premissas!$A$39:$E$43,4,0))&gt;0,IF(MOD(INT(Cron_Uso!AZ6/Frota!$L6)*Frota!$L6,N(VLOOKUP(Frota!$B6,Premissas!$A$39:$E$43,4,0)))=0,"A","S"),"S")),""))</f>
        <v/>
      </c>
      <c r="BA6" s="16" t="str">
        <f aca="false">IF(Cron_Uso!BA6="","",IF(INT(Cron_Uso!BA6/Frota!$L6)&gt;INT(Cron_Uso!AZ6/Frota!$L6),IF(N(VLOOKUP(Frota!$B6,Premissas!$A$39:$E$43,5,0))&gt;0,IF(MOD(INT(Cron_Uso!BA6/Frota!$L6)*Frota!$L6,N(VLOOKUP(Frota!$B6,Premissas!$A$39:$E$43,5,0)))=0,"B",IF(N(VLOOKUP(Frota!$B6,Premissas!$A$39:$E$43,4,0))&gt;0,IF(MOD(INT(Cron_Uso!BA6/Frota!$L6)*Frota!$L6,N(VLOOKUP(Frota!$B6,Premissas!$A$39:$E$43,4,0)))=0,"A","S"),"S")),IF(N(VLOOKUP(Frota!$B6,Premissas!$A$39:$E$43,4,0))&gt;0,IF(MOD(INT(Cron_Uso!BA6/Frota!$L6)*Frota!$L6,N(VLOOKUP(Frota!$B6,Premissas!$A$39:$E$43,4,0)))=0,"A","S"),"S")),""))</f>
        <v/>
      </c>
    </row>
    <row r="7" customFormat="false" ht="15" hidden="false" customHeight="false" outlineLevel="0" collapsed="false">
      <c r="A7" s="6" t="str">
        <f aca="false">IF(Frota!$A7="","",Frota!$A7)</f>
        <v>Colhedora JD CH570 — 1027</v>
      </c>
      <c r="B7" s="16" t="str">
        <f aca="false">IF(Cron_Uso!B7="","",IF(INT(Cron_Uso!B7/Frota!$L7)&gt;INT(Frota!$I7/Frota!$L7),IF(N(VLOOKUP(Frota!$B7,Premissas!$A$39:$E$43,5,0))&gt;0,IF(MOD(INT(Cron_Uso!B7/Frota!$L7)*Frota!$L7,N(VLOOKUP(Frota!$B7,Premissas!$A$39:$E$43,5,0)))=0,"B",IF(N(VLOOKUP(Frota!$B7,Premissas!$A$39:$E$43,4,0))&gt;0,IF(MOD(INT(Cron_Uso!B7/Frota!$L7)*Frota!$L7,N(VLOOKUP(Frota!$B7,Premissas!$A$39:$E$43,4,0)))=0,"A","S"),"S")),IF(N(VLOOKUP(Frota!$B7,Premissas!$A$39:$E$43,4,0))&gt;0,IF(MOD(INT(Cron_Uso!B7/Frota!$L7)*Frota!$L7,N(VLOOKUP(Frota!$B7,Premissas!$A$39:$E$43,4,0)))=0,"A","S"),"S")),""))</f>
        <v/>
      </c>
      <c r="C7" s="16" t="str">
        <f aca="false">IF(Cron_Uso!C7="","",IF(INT(Cron_Uso!C7/Frota!$L7)&gt;INT(Cron_Uso!B7/Frota!$L7),IF(N(VLOOKUP(Frota!$B7,Premissas!$A$39:$E$43,5,0))&gt;0,IF(MOD(INT(Cron_Uso!C7/Frota!$L7)*Frota!$L7,N(VLOOKUP(Frota!$B7,Premissas!$A$39:$E$43,5,0)))=0,"B",IF(N(VLOOKUP(Frota!$B7,Premissas!$A$39:$E$43,4,0))&gt;0,IF(MOD(INT(Cron_Uso!C7/Frota!$L7)*Frota!$L7,N(VLOOKUP(Frota!$B7,Premissas!$A$39:$E$43,4,0)))=0,"A","S"),"S")),IF(N(VLOOKUP(Frota!$B7,Premissas!$A$39:$E$43,4,0))&gt;0,IF(MOD(INT(Cron_Uso!C7/Frota!$L7)*Frota!$L7,N(VLOOKUP(Frota!$B7,Premissas!$A$39:$E$43,4,0)))=0,"A","S"),"S")),""))</f>
        <v/>
      </c>
      <c r="D7" s="16" t="str">
        <f aca="false">IF(Cron_Uso!D7="","",IF(INT(Cron_Uso!D7/Frota!$L7)&gt;INT(Cron_Uso!C7/Frota!$L7),IF(N(VLOOKUP(Frota!$B7,Premissas!$A$39:$E$43,5,0))&gt;0,IF(MOD(INT(Cron_Uso!D7/Frota!$L7)*Frota!$L7,N(VLOOKUP(Frota!$B7,Premissas!$A$39:$E$43,5,0)))=0,"B",IF(N(VLOOKUP(Frota!$B7,Premissas!$A$39:$E$43,4,0))&gt;0,IF(MOD(INT(Cron_Uso!D7/Frota!$L7)*Frota!$L7,N(VLOOKUP(Frota!$B7,Premissas!$A$39:$E$43,4,0)))=0,"A","S"),"S")),IF(N(VLOOKUP(Frota!$B7,Premissas!$A$39:$E$43,4,0))&gt;0,IF(MOD(INT(Cron_Uso!D7/Frota!$L7)*Frota!$L7,N(VLOOKUP(Frota!$B7,Premissas!$A$39:$E$43,4,0)))=0,"A","S"),"S")),""))</f>
        <v/>
      </c>
      <c r="E7" s="16" t="str">
        <f aca="false">IF(Cron_Uso!E7="","",IF(INT(Cron_Uso!E7/Frota!$L7)&gt;INT(Cron_Uso!D7/Frota!$L7),IF(N(VLOOKUP(Frota!$B7,Premissas!$A$39:$E$43,5,0))&gt;0,IF(MOD(INT(Cron_Uso!E7/Frota!$L7)*Frota!$L7,N(VLOOKUP(Frota!$B7,Premissas!$A$39:$E$43,5,0)))=0,"B",IF(N(VLOOKUP(Frota!$B7,Premissas!$A$39:$E$43,4,0))&gt;0,IF(MOD(INT(Cron_Uso!E7/Frota!$L7)*Frota!$L7,N(VLOOKUP(Frota!$B7,Premissas!$A$39:$E$43,4,0)))=0,"A","S"),"S")),IF(N(VLOOKUP(Frota!$B7,Premissas!$A$39:$E$43,4,0))&gt;0,IF(MOD(INT(Cron_Uso!E7/Frota!$L7)*Frota!$L7,N(VLOOKUP(Frota!$B7,Premissas!$A$39:$E$43,4,0)))=0,"A","S"),"S")),""))</f>
        <v>B</v>
      </c>
      <c r="F7" s="16" t="str">
        <f aca="false">IF(Cron_Uso!F7="","",IF(INT(Cron_Uso!F7/Frota!$L7)&gt;INT(Cron_Uso!E7/Frota!$L7),IF(N(VLOOKUP(Frota!$B7,Premissas!$A$39:$E$43,5,0))&gt;0,IF(MOD(INT(Cron_Uso!F7/Frota!$L7)*Frota!$L7,N(VLOOKUP(Frota!$B7,Premissas!$A$39:$E$43,5,0)))=0,"B",IF(N(VLOOKUP(Frota!$B7,Premissas!$A$39:$E$43,4,0))&gt;0,IF(MOD(INT(Cron_Uso!F7/Frota!$L7)*Frota!$L7,N(VLOOKUP(Frota!$B7,Premissas!$A$39:$E$43,4,0)))=0,"A","S"),"S")),IF(N(VLOOKUP(Frota!$B7,Premissas!$A$39:$E$43,4,0))&gt;0,IF(MOD(INT(Cron_Uso!F7/Frota!$L7)*Frota!$L7,N(VLOOKUP(Frota!$B7,Premissas!$A$39:$E$43,4,0)))=0,"A","S"),"S")),""))</f>
        <v/>
      </c>
      <c r="G7" s="16" t="str">
        <f aca="false">IF(Cron_Uso!G7="","",IF(INT(Cron_Uso!G7/Frota!$L7)&gt;INT(Cron_Uso!F7/Frota!$L7),IF(N(VLOOKUP(Frota!$B7,Premissas!$A$39:$E$43,5,0))&gt;0,IF(MOD(INT(Cron_Uso!G7/Frota!$L7)*Frota!$L7,N(VLOOKUP(Frota!$B7,Premissas!$A$39:$E$43,5,0)))=0,"B",IF(N(VLOOKUP(Frota!$B7,Premissas!$A$39:$E$43,4,0))&gt;0,IF(MOD(INT(Cron_Uso!G7/Frota!$L7)*Frota!$L7,N(VLOOKUP(Frota!$B7,Premissas!$A$39:$E$43,4,0)))=0,"A","S"),"S")),IF(N(VLOOKUP(Frota!$B7,Premissas!$A$39:$E$43,4,0))&gt;0,IF(MOD(INT(Cron_Uso!G7/Frota!$L7)*Frota!$L7,N(VLOOKUP(Frota!$B7,Premissas!$A$39:$E$43,4,0)))=0,"A","S"),"S")),""))</f>
        <v/>
      </c>
      <c r="H7" s="16" t="str">
        <f aca="false">IF(Cron_Uso!H7="","",IF(INT(Cron_Uso!H7/Frota!$L7)&gt;INT(Cron_Uso!G7/Frota!$L7),IF(N(VLOOKUP(Frota!$B7,Premissas!$A$39:$E$43,5,0))&gt;0,IF(MOD(INT(Cron_Uso!H7/Frota!$L7)*Frota!$L7,N(VLOOKUP(Frota!$B7,Premissas!$A$39:$E$43,5,0)))=0,"B",IF(N(VLOOKUP(Frota!$B7,Premissas!$A$39:$E$43,4,0))&gt;0,IF(MOD(INT(Cron_Uso!H7/Frota!$L7)*Frota!$L7,N(VLOOKUP(Frota!$B7,Premissas!$A$39:$E$43,4,0)))=0,"A","S"),"S")),IF(N(VLOOKUP(Frota!$B7,Premissas!$A$39:$E$43,4,0))&gt;0,IF(MOD(INT(Cron_Uso!H7/Frota!$L7)*Frota!$L7,N(VLOOKUP(Frota!$B7,Premissas!$A$39:$E$43,4,0)))=0,"A","S"),"S")),""))</f>
        <v/>
      </c>
      <c r="I7" s="16" t="str">
        <f aca="false">IF(Cron_Uso!I7="","",IF(INT(Cron_Uso!I7/Frota!$L7)&gt;INT(Cron_Uso!H7/Frota!$L7),IF(N(VLOOKUP(Frota!$B7,Premissas!$A$39:$E$43,5,0))&gt;0,IF(MOD(INT(Cron_Uso!I7/Frota!$L7)*Frota!$L7,N(VLOOKUP(Frota!$B7,Premissas!$A$39:$E$43,5,0)))=0,"B",IF(N(VLOOKUP(Frota!$B7,Premissas!$A$39:$E$43,4,0))&gt;0,IF(MOD(INT(Cron_Uso!I7/Frota!$L7)*Frota!$L7,N(VLOOKUP(Frota!$B7,Premissas!$A$39:$E$43,4,0)))=0,"A","S"),"S")),IF(N(VLOOKUP(Frota!$B7,Premissas!$A$39:$E$43,4,0))&gt;0,IF(MOD(INT(Cron_Uso!I7/Frota!$L7)*Frota!$L7,N(VLOOKUP(Frota!$B7,Premissas!$A$39:$E$43,4,0)))=0,"A","S"),"S")),""))</f>
        <v/>
      </c>
      <c r="J7" s="16" t="str">
        <f aca="false">IF(Cron_Uso!J7="","",IF(INT(Cron_Uso!J7/Frota!$L7)&gt;INT(Cron_Uso!I7/Frota!$L7),IF(N(VLOOKUP(Frota!$B7,Premissas!$A$39:$E$43,5,0))&gt;0,IF(MOD(INT(Cron_Uso!J7/Frota!$L7)*Frota!$L7,N(VLOOKUP(Frota!$B7,Premissas!$A$39:$E$43,5,0)))=0,"B",IF(N(VLOOKUP(Frota!$B7,Premissas!$A$39:$E$43,4,0))&gt;0,IF(MOD(INT(Cron_Uso!J7/Frota!$L7)*Frota!$L7,N(VLOOKUP(Frota!$B7,Premissas!$A$39:$E$43,4,0)))=0,"A","S"),"S")),IF(N(VLOOKUP(Frota!$B7,Premissas!$A$39:$E$43,4,0))&gt;0,IF(MOD(INT(Cron_Uso!J7/Frota!$L7)*Frota!$L7,N(VLOOKUP(Frota!$B7,Premissas!$A$39:$E$43,4,0)))=0,"A","S"),"S")),""))</f>
        <v/>
      </c>
      <c r="K7" s="16" t="str">
        <f aca="false">IF(Cron_Uso!K7="","",IF(INT(Cron_Uso!K7/Frota!$L7)&gt;INT(Cron_Uso!J7/Frota!$L7),IF(N(VLOOKUP(Frota!$B7,Premissas!$A$39:$E$43,5,0))&gt;0,IF(MOD(INT(Cron_Uso!K7/Frota!$L7)*Frota!$L7,N(VLOOKUP(Frota!$B7,Premissas!$A$39:$E$43,5,0)))=0,"B",IF(N(VLOOKUP(Frota!$B7,Premissas!$A$39:$E$43,4,0))&gt;0,IF(MOD(INT(Cron_Uso!K7/Frota!$L7)*Frota!$L7,N(VLOOKUP(Frota!$B7,Premissas!$A$39:$E$43,4,0)))=0,"A","S"),"S")),IF(N(VLOOKUP(Frota!$B7,Premissas!$A$39:$E$43,4,0))&gt;0,IF(MOD(INT(Cron_Uso!K7/Frota!$L7)*Frota!$L7,N(VLOOKUP(Frota!$B7,Premissas!$A$39:$E$43,4,0)))=0,"A","S"),"S")),""))</f>
        <v>S</v>
      </c>
      <c r="L7" s="16" t="str">
        <f aca="false">IF(Cron_Uso!L7="","",IF(INT(Cron_Uso!L7/Frota!$L7)&gt;INT(Cron_Uso!K7/Frota!$L7),IF(N(VLOOKUP(Frota!$B7,Premissas!$A$39:$E$43,5,0))&gt;0,IF(MOD(INT(Cron_Uso!L7/Frota!$L7)*Frota!$L7,N(VLOOKUP(Frota!$B7,Premissas!$A$39:$E$43,5,0)))=0,"B",IF(N(VLOOKUP(Frota!$B7,Premissas!$A$39:$E$43,4,0))&gt;0,IF(MOD(INT(Cron_Uso!L7/Frota!$L7)*Frota!$L7,N(VLOOKUP(Frota!$B7,Premissas!$A$39:$E$43,4,0)))=0,"A","S"),"S")),IF(N(VLOOKUP(Frota!$B7,Premissas!$A$39:$E$43,4,0))&gt;0,IF(MOD(INT(Cron_Uso!L7/Frota!$L7)*Frota!$L7,N(VLOOKUP(Frota!$B7,Premissas!$A$39:$E$43,4,0)))=0,"A","S"),"S")),""))</f>
        <v/>
      </c>
      <c r="M7" s="16" t="str">
        <f aca="false">IF(Cron_Uso!M7="","",IF(INT(Cron_Uso!M7/Frota!$L7)&gt;INT(Cron_Uso!L7/Frota!$L7),IF(N(VLOOKUP(Frota!$B7,Premissas!$A$39:$E$43,5,0))&gt;0,IF(MOD(INT(Cron_Uso!M7/Frota!$L7)*Frota!$L7,N(VLOOKUP(Frota!$B7,Premissas!$A$39:$E$43,5,0)))=0,"B",IF(N(VLOOKUP(Frota!$B7,Premissas!$A$39:$E$43,4,0))&gt;0,IF(MOD(INT(Cron_Uso!M7/Frota!$L7)*Frota!$L7,N(VLOOKUP(Frota!$B7,Premissas!$A$39:$E$43,4,0)))=0,"A","S"),"S")),IF(N(VLOOKUP(Frota!$B7,Premissas!$A$39:$E$43,4,0))&gt;0,IF(MOD(INT(Cron_Uso!M7/Frota!$L7)*Frota!$L7,N(VLOOKUP(Frota!$B7,Premissas!$A$39:$E$43,4,0)))=0,"A","S"),"S")),""))</f>
        <v/>
      </c>
      <c r="N7" s="16" t="str">
        <f aca="false">IF(Cron_Uso!N7="","",IF(INT(Cron_Uso!N7/Frota!$L7)&gt;INT(Cron_Uso!M7/Frota!$L7),IF(N(VLOOKUP(Frota!$B7,Premissas!$A$39:$E$43,5,0))&gt;0,IF(MOD(INT(Cron_Uso!N7/Frota!$L7)*Frota!$L7,N(VLOOKUP(Frota!$B7,Premissas!$A$39:$E$43,5,0)))=0,"B",IF(N(VLOOKUP(Frota!$B7,Premissas!$A$39:$E$43,4,0))&gt;0,IF(MOD(INT(Cron_Uso!N7/Frota!$L7)*Frota!$L7,N(VLOOKUP(Frota!$B7,Premissas!$A$39:$E$43,4,0)))=0,"A","S"),"S")),IF(N(VLOOKUP(Frota!$B7,Premissas!$A$39:$E$43,4,0))&gt;0,IF(MOD(INT(Cron_Uso!N7/Frota!$L7)*Frota!$L7,N(VLOOKUP(Frota!$B7,Premissas!$A$39:$E$43,4,0)))=0,"A","S"),"S")),""))</f>
        <v/>
      </c>
      <c r="O7" s="16" t="str">
        <f aca="false">IF(Cron_Uso!O7="","",IF(INT(Cron_Uso!O7/Frota!$L7)&gt;INT(Cron_Uso!N7/Frota!$L7),IF(N(VLOOKUP(Frota!$B7,Premissas!$A$39:$E$43,5,0))&gt;0,IF(MOD(INT(Cron_Uso!O7/Frota!$L7)*Frota!$L7,N(VLOOKUP(Frota!$B7,Premissas!$A$39:$E$43,5,0)))=0,"B",IF(N(VLOOKUP(Frota!$B7,Premissas!$A$39:$E$43,4,0))&gt;0,IF(MOD(INT(Cron_Uso!O7/Frota!$L7)*Frota!$L7,N(VLOOKUP(Frota!$B7,Premissas!$A$39:$E$43,4,0)))=0,"A","S"),"S")),IF(N(VLOOKUP(Frota!$B7,Premissas!$A$39:$E$43,4,0))&gt;0,IF(MOD(INT(Cron_Uso!O7/Frota!$L7)*Frota!$L7,N(VLOOKUP(Frota!$B7,Premissas!$A$39:$E$43,4,0)))=0,"A","S"),"S")),""))</f>
        <v/>
      </c>
      <c r="P7" s="16" t="str">
        <f aca="false">IF(Cron_Uso!P7="","",IF(INT(Cron_Uso!P7/Frota!$L7)&gt;INT(Cron_Uso!O7/Frota!$L7),IF(N(VLOOKUP(Frota!$B7,Premissas!$A$39:$E$43,5,0))&gt;0,IF(MOD(INT(Cron_Uso!P7/Frota!$L7)*Frota!$L7,N(VLOOKUP(Frota!$B7,Premissas!$A$39:$E$43,5,0)))=0,"B",IF(N(VLOOKUP(Frota!$B7,Premissas!$A$39:$E$43,4,0))&gt;0,IF(MOD(INT(Cron_Uso!P7/Frota!$L7)*Frota!$L7,N(VLOOKUP(Frota!$B7,Premissas!$A$39:$E$43,4,0)))=0,"A","S"),"S")),IF(N(VLOOKUP(Frota!$B7,Premissas!$A$39:$E$43,4,0))&gt;0,IF(MOD(INT(Cron_Uso!P7/Frota!$L7)*Frota!$L7,N(VLOOKUP(Frota!$B7,Premissas!$A$39:$E$43,4,0)))=0,"A","S"),"S")),""))</f>
        <v/>
      </c>
      <c r="Q7" s="16" t="str">
        <f aca="false">IF(Cron_Uso!Q7="","",IF(INT(Cron_Uso!Q7/Frota!$L7)&gt;INT(Cron_Uso!P7/Frota!$L7),IF(N(VLOOKUP(Frota!$B7,Premissas!$A$39:$E$43,5,0))&gt;0,IF(MOD(INT(Cron_Uso!Q7/Frota!$L7)*Frota!$L7,N(VLOOKUP(Frota!$B7,Premissas!$A$39:$E$43,5,0)))=0,"B",IF(N(VLOOKUP(Frota!$B7,Premissas!$A$39:$E$43,4,0))&gt;0,IF(MOD(INT(Cron_Uso!Q7/Frota!$L7)*Frota!$L7,N(VLOOKUP(Frota!$B7,Premissas!$A$39:$E$43,4,0)))=0,"A","S"),"S")),IF(N(VLOOKUP(Frota!$B7,Premissas!$A$39:$E$43,4,0))&gt;0,IF(MOD(INT(Cron_Uso!Q7/Frota!$L7)*Frota!$L7,N(VLOOKUP(Frota!$B7,Premissas!$A$39:$E$43,4,0)))=0,"A","S"),"S")),""))</f>
        <v>A</v>
      </c>
      <c r="R7" s="16" t="str">
        <f aca="false">IF(Cron_Uso!R7="","",IF(INT(Cron_Uso!R7/Frota!$L7)&gt;INT(Cron_Uso!Q7/Frota!$L7),IF(N(VLOOKUP(Frota!$B7,Premissas!$A$39:$E$43,5,0))&gt;0,IF(MOD(INT(Cron_Uso!R7/Frota!$L7)*Frota!$L7,N(VLOOKUP(Frota!$B7,Premissas!$A$39:$E$43,5,0)))=0,"B",IF(N(VLOOKUP(Frota!$B7,Premissas!$A$39:$E$43,4,0))&gt;0,IF(MOD(INT(Cron_Uso!R7/Frota!$L7)*Frota!$L7,N(VLOOKUP(Frota!$B7,Premissas!$A$39:$E$43,4,0)))=0,"A","S"),"S")),IF(N(VLOOKUP(Frota!$B7,Premissas!$A$39:$E$43,4,0))&gt;0,IF(MOD(INT(Cron_Uso!R7/Frota!$L7)*Frota!$L7,N(VLOOKUP(Frota!$B7,Premissas!$A$39:$E$43,4,0)))=0,"A","S"),"S")),""))</f>
        <v/>
      </c>
      <c r="S7" s="16" t="str">
        <f aca="false">IF(Cron_Uso!S7="","",IF(INT(Cron_Uso!S7/Frota!$L7)&gt;INT(Cron_Uso!R7/Frota!$L7),IF(N(VLOOKUP(Frota!$B7,Premissas!$A$39:$E$43,5,0))&gt;0,IF(MOD(INT(Cron_Uso!S7/Frota!$L7)*Frota!$L7,N(VLOOKUP(Frota!$B7,Premissas!$A$39:$E$43,5,0)))=0,"B",IF(N(VLOOKUP(Frota!$B7,Premissas!$A$39:$E$43,4,0))&gt;0,IF(MOD(INT(Cron_Uso!S7/Frota!$L7)*Frota!$L7,N(VLOOKUP(Frota!$B7,Premissas!$A$39:$E$43,4,0)))=0,"A","S"),"S")),IF(N(VLOOKUP(Frota!$B7,Premissas!$A$39:$E$43,4,0))&gt;0,IF(MOD(INT(Cron_Uso!S7/Frota!$L7)*Frota!$L7,N(VLOOKUP(Frota!$B7,Premissas!$A$39:$E$43,4,0)))=0,"A","S"),"S")),""))</f>
        <v/>
      </c>
      <c r="T7" s="16" t="str">
        <f aca="false">IF(Cron_Uso!T7="","",IF(INT(Cron_Uso!T7/Frota!$L7)&gt;INT(Cron_Uso!S7/Frota!$L7),IF(N(VLOOKUP(Frota!$B7,Premissas!$A$39:$E$43,5,0))&gt;0,IF(MOD(INT(Cron_Uso!T7/Frota!$L7)*Frota!$L7,N(VLOOKUP(Frota!$B7,Premissas!$A$39:$E$43,5,0)))=0,"B",IF(N(VLOOKUP(Frota!$B7,Premissas!$A$39:$E$43,4,0))&gt;0,IF(MOD(INT(Cron_Uso!T7/Frota!$L7)*Frota!$L7,N(VLOOKUP(Frota!$B7,Premissas!$A$39:$E$43,4,0)))=0,"A","S"),"S")),IF(N(VLOOKUP(Frota!$B7,Premissas!$A$39:$E$43,4,0))&gt;0,IF(MOD(INT(Cron_Uso!T7/Frota!$L7)*Frota!$L7,N(VLOOKUP(Frota!$B7,Premissas!$A$39:$E$43,4,0)))=0,"A","S"),"S")),""))</f>
        <v/>
      </c>
      <c r="U7" s="16" t="str">
        <f aca="false">IF(Cron_Uso!U7="","",IF(INT(Cron_Uso!U7/Frota!$L7)&gt;INT(Cron_Uso!T7/Frota!$L7),IF(N(VLOOKUP(Frota!$B7,Premissas!$A$39:$E$43,5,0))&gt;0,IF(MOD(INT(Cron_Uso!U7/Frota!$L7)*Frota!$L7,N(VLOOKUP(Frota!$B7,Premissas!$A$39:$E$43,5,0)))=0,"B",IF(N(VLOOKUP(Frota!$B7,Premissas!$A$39:$E$43,4,0))&gt;0,IF(MOD(INT(Cron_Uso!U7/Frota!$L7)*Frota!$L7,N(VLOOKUP(Frota!$B7,Premissas!$A$39:$E$43,4,0)))=0,"A","S"),"S")),IF(N(VLOOKUP(Frota!$B7,Premissas!$A$39:$E$43,4,0))&gt;0,IF(MOD(INT(Cron_Uso!U7/Frota!$L7)*Frota!$L7,N(VLOOKUP(Frota!$B7,Premissas!$A$39:$E$43,4,0)))=0,"A","S"),"S")),""))</f>
        <v/>
      </c>
      <c r="V7" s="16" t="str">
        <f aca="false">IF(Cron_Uso!V7="","",IF(INT(Cron_Uso!V7/Frota!$L7)&gt;INT(Cron_Uso!U7/Frota!$L7),IF(N(VLOOKUP(Frota!$B7,Premissas!$A$39:$E$43,5,0))&gt;0,IF(MOD(INT(Cron_Uso!V7/Frota!$L7)*Frota!$L7,N(VLOOKUP(Frota!$B7,Premissas!$A$39:$E$43,5,0)))=0,"B",IF(N(VLOOKUP(Frota!$B7,Premissas!$A$39:$E$43,4,0))&gt;0,IF(MOD(INT(Cron_Uso!V7/Frota!$L7)*Frota!$L7,N(VLOOKUP(Frota!$B7,Premissas!$A$39:$E$43,4,0)))=0,"A","S"),"S")),IF(N(VLOOKUP(Frota!$B7,Premissas!$A$39:$E$43,4,0))&gt;0,IF(MOD(INT(Cron_Uso!V7/Frota!$L7)*Frota!$L7,N(VLOOKUP(Frota!$B7,Premissas!$A$39:$E$43,4,0)))=0,"A","S"),"S")),""))</f>
        <v/>
      </c>
      <c r="W7" s="16" t="str">
        <f aca="false">IF(Cron_Uso!W7="","",IF(INT(Cron_Uso!W7/Frota!$L7)&gt;INT(Cron_Uso!V7/Frota!$L7),IF(N(VLOOKUP(Frota!$B7,Premissas!$A$39:$E$43,5,0))&gt;0,IF(MOD(INT(Cron_Uso!W7/Frota!$L7)*Frota!$L7,N(VLOOKUP(Frota!$B7,Premissas!$A$39:$E$43,5,0)))=0,"B",IF(N(VLOOKUP(Frota!$B7,Premissas!$A$39:$E$43,4,0))&gt;0,IF(MOD(INT(Cron_Uso!W7/Frota!$L7)*Frota!$L7,N(VLOOKUP(Frota!$B7,Premissas!$A$39:$E$43,4,0)))=0,"A","S"),"S")),IF(N(VLOOKUP(Frota!$B7,Premissas!$A$39:$E$43,4,0))&gt;0,IF(MOD(INT(Cron_Uso!W7/Frota!$L7)*Frota!$L7,N(VLOOKUP(Frota!$B7,Premissas!$A$39:$E$43,4,0)))=0,"A","S"),"S")),""))</f>
        <v>S</v>
      </c>
      <c r="X7" s="16" t="str">
        <f aca="false">IF(Cron_Uso!X7="","",IF(INT(Cron_Uso!X7/Frota!$L7)&gt;INT(Cron_Uso!W7/Frota!$L7),IF(N(VLOOKUP(Frota!$B7,Premissas!$A$39:$E$43,5,0))&gt;0,IF(MOD(INT(Cron_Uso!X7/Frota!$L7)*Frota!$L7,N(VLOOKUP(Frota!$B7,Premissas!$A$39:$E$43,5,0)))=0,"B",IF(N(VLOOKUP(Frota!$B7,Premissas!$A$39:$E$43,4,0))&gt;0,IF(MOD(INT(Cron_Uso!X7/Frota!$L7)*Frota!$L7,N(VLOOKUP(Frota!$B7,Premissas!$A$39:$E$43,4,0)))=0,"A","S"),"S")),IF(N(VLOOKUP(Frota!$B7,Premissas!$A$39:$E$43,4,0))&gt;0,IF(MOD(INT(Cron_Uso!X7/Frota!$L7)*Frota!$L7,N(VLOOKUP(Frota!$B7,Premissas!$A$39:$E$43,4,0)))=0,"A","S"),"S")),""))</f>
        <v/>
      </c>
      <c r="Y7" s="16" t="str">
        <f aca="false">IF(Cron_Uso!Y7="","",IF(INT(Cron_Uso!Y7/Frota!$L7)&gt;INT(Cron_Uso!X7/Frota!$L7),IF(N(VLOOKUP(Frota!$B7,Premissas!$A$39:$E$43,5,0))&gt;0,IF(MOD(INT(Cron_Uso!Y7/Frota!$L7)*Frota!$L7,N(VLOOKUP(Frota!$B7,Premissas!$A$39:$E$43,5,0)))=0,"B",IF(N(VLOOKUP(Frota!$B7,Premissas!$A$39:$E$43,4,0))&gt;0,IF(MOD(INT(Cron_Uso!Y7/Frota!$L7)*Frota!$L7,N(VLOOKUP(Frota!$B7,Premissas!$A$39:$E$43,4,0)))=0,"A","S"),"S")),IF(N(VLOOKUP(Frota!$B7,Premissas!$A$39:$E$43,4,0))&gt;0,IF(MOD(INT(Cron_Uso!Y7/Frota!$L7)*Frota!$L7,N(VLOOKUP(Frota!$B7,Premissas!$A$39:$E$43,4,0)))=0,"A","S"),"S")),""))</f>
        <v/>
      </c>
      <c r="Z7" s="16" t="str">
        <f aca="false">IF(Cron_Uso!Z7="","",IF(INT(Cron_Uso!Z7/Frota!$L7)&gt;INT(Cron_Uso!Y7/Frota!$L7),IF(N(VLOOKUP(Frota!$B7,Premissas!$A$39:$E$43,5,0))&gt;0,IF(MOD(INT(Cron_Uso!Z7/Frota!$L7)*Frota!$L7,N(VLOOKUP(Frota!$B7,Premissas!$A$39:$E$43,5,0)))=0,"B",IF(N(VLOOKUP(Frota!$B7,Premissas!$A$39:$E$43,4,0))&gt;0,IF(MOD(INT(Cron_Uso!Z7/Frota!$L7)*Frota!$L7,N(VLOOKUP(Frota!$B7,Premissas!$A$39:$E$43,4,0)))=0,"A","S"),"S")),IF(N(VLOOKUP(Frota!$B7,Premissas!$A$39:$E$43,4,0))&gt;0,IF(MOD(INT(Cron_Uso!Z7/Frota!$L7)*Frota!$L7,N(VLOOKUP(Frota!$B7,Premissas!$A$39:$E$43,4,0)))=0,"A","S"),"S")),""))</f>
        <v/>
      </c>
      <c r="AA7" s="16" t="str">
        <f aca="false">IF(Cron_Uso!AA7="","",IF(INT(Cron_Uso!AA7/Frota!$L7)&gt;INT(Cron_Uso!Z7/Frota!$L7),IF(N(VLOOKUP(Frota!$B7,Premissas!$A$39:$E$43,5,0))&gt;0,IF(MOD(INT(Cron_Uso!AA7/Frota!$L7)*Frota!$L7,N(VLOOKUP(Frota!$B7,Premissas!$A$39:$E$43,5,0)))=0,"B",IF(N(VLOOKUP(Frota!$B7,Premissas!$A$39:$E$43,4,0))&gt;0,IF(MOD(INT(Cron_Uso!AA7/Frota!$L7)*Frota!$L7,N(VLOOKUP(Frota!$B7,Premissas!$A$39:$E$43,4,0)))=0,"A","S"),"S")),IF(N(VLOOKUP(Frota!$B7,Premissas!$A$39:$E$43,4,0))&gt;0,IF(MOD(INT(Cron_Uso!AA7/Frota!$L7)*Frota!$L7,N(VLOOKUP(Frota!$B7,Premissas!$A$39:$E$43,4,0)))=0,"A","S"),"S")),""))</f>
        <v/>
      </c>
      <c r="AB7" s="16" t="str">
        <f aca="false">IF(Cron_Uso!AB7="","",IF(INT(Cron_Uso!AB7/Frota!$L7)&gt;INT(Cron_Uso!AA7/Frota!$L7),IF(N(VLOOKUP(Frota!$B7,Premissas!$A$39:$E$43,5,0))&gt;0,IF(MOD(INT(Cron_Uso!AB7/Frota!$L7)*Frota!$L7,N(VLOOKUP(Frota!$B7,Premissas!$A$39:$E$43,5,0)))=0,"B",IF(N(VLOOKUP(Frota!$B7,Premissas!$A$39:$E$43,4,0))&gt;0,IF(MOD(INT(Cron_Uso!AB7/Frota!$L7)*Frota!$L7,N(VLOOKUP(Frota!$B7,Premissas!$A$39:$E$43,4,0)))=0,"A","S"),"S")),IF(N(VLOOKUP(Frota!$B7,Premissas!$A$39:$E$43,4,0))&gt;0,IF(MOD(INT(Cron_Uso!AB7/Frota!$L7)*Frota!$L7,N(VLOOKUP(Frota!$B7,Premissas!$A$39:$E$43,4,0)))=0,"A","S"),"S")),""))</f>
        <v/>
      </c>
      <c r="AC7" s="16" t="str">
        <f aca="false">IF(Cron_Uso!AC7="","",IF(INT(Cron_Uso!AC7/Frota!$L7)&gt;INT(Cron_Uso!AB7/Frota!$L7),IF(N(VLOOKUP(Frota!$B7,Premissas!$A$39:$E$43,5,0))&gt;0,IF(MOD(INT(Cron_Uso!AC7/Frota!$L7)*Frota!$L7,N(VLOOKUP(Frota!$B7,Premissas!$A$39:$E$43,5,0)))=0,"B",IF(N(VLOOKUP(Frota!$B7,Premissas!$A$39:$E$43,4,0))&gt;0,IF(MOD(INT(Cron_Uso!AC7/Frota!$L7)*Frota!$L7,N(VLOOKUP(Frota!$B7,Premissas!$A$39:$E$43,4,0)))=0,"A","S"),"S")),IF(N(VLOOKUP(Frota!$B7,Premissas!$A$39:$E$43,4,0))&gt;0,IF(MOD(INT(Cron_Uso!AC7/Frota!$L7)*Frota!$L7,N(VLOOKUP(Frota!$B7,Premissas!$A$39:$E$43,4,0)))=0,"A","S"),"S")),""))</f>
        <v>B</v>
      </c>
      <c r="AD7" s="16" t="str">
        <f aca="false">IF(Cron_Uso!AD7="","",IF(INT(Cron_Uso!AD7/Frota!$L7)&gt;INT(Cron_Uso!AC7/Frota!$L7),IF(N(VLOOKUP(Frota!$B7,Premissas!$A$39:$E$43,5,0))&gt;0,IF(MOD(INT(Cron_Uso!AD7/Frota!$L7)*Frota!$L7,N(VLOOKUP(Frota!$B7,Premissas!$A$39:$E$43,5,0)))=0,"B",IF(N(VLOOKUP(Frota!$B7,Premissas!$A$39:$E$43,4,0))&gt;0,IF(MOD(INT(Cron_Uso!AD7/Frota!$L7)*Frota!$L7,N(VLOOKUP(Frota!$B7,Premissas!$A$39:$E$43,4,0)))=0,"A","S"),"S")),IF(N(VLOOKUP(Frota!$B7,Premissas!$A$39:$E$43,4,0))&gt;0,IF(MOD(INT(Cron_Uso!AD7/Frota!$L7)*Frota!$L7,N(VLOOKUP(Frota!$B7,Premissas!$A$39:$E$43,4,0)))=0,"A","S"),"S")),""))</f>
        <v/>
      </c>
      <c r="AE7" s="16" t="str">
        <f aca="false">IF(Cron_Uso!AE7="","",IF(INT(Cron_Uso!AE7/Frota!$L7)&gt;INT(Cron_Uso!AD7/Frota!$L7),IF(N(VLOOKUP(Frota!$B7,Premissas!$A$39:$E$43,5,0))&gt;0,IF(MOD(INT(Cron_Uso!AE7/Frota!$L7)*Frota!$L7,N(VLOOKUP(Frota!$B7,Premissas!$A$39:$E$43,5,0)))=0,"B",IF(N(VLOOKUP(Frota!$B7,Premissas!$A$39:$E$43,4,0))&gt;0,IF(MOD(INT(Cron_Uso!AE7/Frota!$L7)*Frota!$L7,N(VLOOKUP(Frota!$B7,Premissas!$A$39:$E$43,4,0)))=0,"A","S"),"S")),IF(N(VLOOKUP(Frota!$B7,Premissas!$A$39:$E$43,4,0))&gt;0,IF(MOD(INT(Cron_Uso!AE7/Frota!$L7)*Frota!$L7,N(VLOOKUP(Frota!$B7,Premissas!$A$39:$E$43,4,0)))=0,"A","S"),"S")),""))</f>
        <v/>
      </c>
      <c r="AF7" s="16" t="str">
        <f aca="false">IF(Cron_Uso!AF7="","",IF(INT(Cron_Uso!AF7/Frota!$L7)&gt;INT(Cron_Uso!AE7/Frota!$L7),IF(N(VLOOKUP(Frota!$B7,Premissas!$A$39:$E$43,5,0))&gt;0,IF(MOD(INT(Cron_Uso!AF7/Frota!$L7)*Frota!$L7,N(VLOOKUP(Frota!$B7,Premissas!$A$39:$E$43,5,0)))=0,"B",IF(N(VLOOKUP(Frota!$B7,Premissas!$A$39:$E$43,4,0))&gt;0,IF(MOD(INT(Cron_Uso!AF7/Frota!$L7)*Frota!$L7,N(VLOOKUP(Frota!$B7,Premissas!$A$39:$E$43,4,0)))=0,"A","S"),"S")),IF(N(VLOOKUP(Frota!$B7,Premissas!$A$39:$E$43,4,0))&gt;0,IF(MOD(INT(Cron_Uso!AF7/Frota!$L7)*Frota!$L7,N(VLOOKUP(Frota!$B7,Premissas!$A$39:$E$43,4,0)))=0,"A","S"),"S")),""))</f>
        <v/>
      </c>
      <c r="AG7" s="16" t="str">
        <f aca="false">IF(Cron_Uso!AG7="","",IF(INT(Cron_Uso!AG7/Frota!$L7)&gt;INT(Cron_Uso!AF7/Frota!$L7),IF(N(VLOOKUP(Frota!$B7,Premissas!$A$39:$E$43,5,0))&gt;0,IF(MOD(INT(Cron_Uso!AG7/Frota!$L7)*Frota!$L7,N(VLOOKUP(Frota!$B7,Premissas!$A$39:$E$43,5,0)))=0,"B",IF(N(VLOOKUP(Frota!$B7,Premissas!$A$39:$E$43,4,0))&gt;0,IF(MOD(INT(Cron_Uso!AG7/Frota!$L7)*Frota!$L7,N(VLOOKUP(Frota!$B7,Premissas!$A$39:$E$43,4,0)))=0,"A","S"),"S")),IF(N(VLOOKUP(Frota!$B7,Premissas!$A$39:$E$43,4,0))&gt;0,IF(MOD(INT(Cron_Uso!AG7/Frota!$L7)*Frota!$L7,N(VLOOKUP(Frota!$B7,Premissas!$A$39:$E$43,4,0)))=0,"A","S"),"S")),""))</f>
        <v/>
      </c>
      <c r="AH7" s="16" t="str">
        <f aca="false">IF(Cron_Uso!AH7="","",IF(INT(Cron_Uso!AH7/Frota!$L7)&gt;INT(Cron_Uso!AG7/Frota!$L7),IF(N(VLOOKUP(Frota!$B7,Premissas!$A$39:$E$43,5,0))&gt;0,IF(MOD(INT(Cron_Uso!AH7/Frota!$L7)*Frota!$L7,N(VLOOKUP(Frota!$B7,Premissas!$A$39:$E$43,5,0)))=0,"B",IF(N(VLOOKUP(Frota!$B7,Premissas!$A$39:$E$43,4,0))&gt;0,IF(MOD(INT(Cron_Uso!AH7/Frota!$L7)*Frota!$L7,N(VLOOKUP(Frota!$B7,Premissas!$A$39:$E$43,4,0)))=0,"A","S"),"S")),IF(N(VLOOKUP(Frota!$B7,Premissas!$A$39:$E$43,4,0))&gt;0,IF(MOD(INT(Cron_Uso!AH7/Frota!$L7)*Frota!$L7,N(VLOOKUP(Frota!$B7,Premissas!$A$39:$E$43,4,0)))=0,"A","S"),"S")),""))</f>
        <v/>
      </c>
      <c r="AI7" s="16" t="str">
        <f aca="false">IF(Cron_Uso!AI7="","",IF(INT(Cron_Uso!AI7/Frota!$L7)&gt;INT(Cron_Uso!AH7/Frota!$L7),IF(N(VLOOKUP(Frota!$B7,Premissas!$A$39:$E$43,5,0))&gt;0,IF(MOD(INT(Cron_Uso!AI7/Frota!$L7)*Frota!$L7,N(VLOOKUP(Frota!$B7,Premissas!$A$39:$E$43,5,0)))=0,"B",IF(N(VLOOKUP(Frota!$B7,Premissas!$A$39:$E$43,4,0))&gt;0,IF(MOD(INT(Cron_Uso!AI7/Frota!$L7)*Frota!$L7,N(VLOOKUP(Frota!$B7,Premissas!$A$39:$E$43,4,0)))=0,"A","S"),"S")),IF(N(VLOOKUP(Frota!$B7,Premissas!$A$39:$E$43,4,0))&gt;0,IF(MOD(INT(Cron_Uso!AI7/Frota!$L7)*Frota!$L7,N(VLOOKUP(Frota!$B7,Premissas!$A$39:$E$43,4,0)))=0,"A","S"),"S")),""))</f>
        <v>S</v>
      </c>
      <c r="AJ7" s="16" t="str">
        <f aca="false">IF(Cron_Uso!AJ7="","",IF(INT(Cron_Uso!AJ7/Frota!$L7)&gt;INT(Cron_Uso!AI7/Frota!$L7),IF(N(VLOOKUP(Frota!$B7,Premissas!$A$39:$E$43,5,0))&gt;0,IF(MOD(INT(Cron_Uso!AJ7/Frota!$L7)*Frota!$L7,N(VLOOKUP(Frota!$B7,Premissas!$A$39:$E$43,5,0)))=0,"B",IF(N(VLOOKUP(Frota!$B7,Premissas!$A$39:$E$43,4,0))&gt;0,IF(MOD(INT(Cron_Uso!AJ7/Frota!$L7)*Frota!$L7,N(VLOOKUP(Frota!$B7,Premissas!$A$39:$E$43,4,0)))=0,"A","S"),"S")),IF(N(VLOOKUP(Frota!$B7,Premissas!$A$39:$E$43,4,0))&gt;0,IF(MOD(INT(Cron_Uso!AJ7/Frota!$L7)*Frota!$L7,N(VLOOKUP(Frota!$B7,Premissas!$A$39:$E$43,4,0)))=0,"A","S"),"S")),""))</f>
        <v/>
      </c>
      <c r="AK7" s="16" t="str">
        <f aca="false">IF(Cron_Uso!AK7="","",IF(INT(Cron_Uso!AK7/Frota!$L7)&gt;INT(Cron_Uso!AJ7/Frota!$L7),IF(N(VLOOKUP(Frota!$B7,Premissas!$A$39:$E$43,5,0))&gt;0,IF(MOD(INT(Cron_Uso!AK7/Frota!$L7)*Frota!$L7,N(VLOOKUP(Frota!$B7,Premissas!$A$39:$E$43,5,0)))=0,"B",IF(N(VLOOKUP(Frota!$B7,Premissas!$A$39:$E$43,4,0))&gt;0,IF(MOD(INT(Cron_Uso!AK7/Frota!$L7)*Frota!$L7,N(VLOOKUP(Frota!$B7,Premissas!$A$39:$E$43,4,0)))=0,"A","S"),"S")),IF(N(VLOOKUP(Frota!$B7,Premissas!$A$39:$E$43,4,0))&gt;0,IF(MOD(INT(Cron_Uso!AK7/Frota!$L7)*Frota!$L7,N(VLOOKUP(Frota!$B7,Premissas!$A$39:$E$43,4,0)))=0,"A","S"),"S")),""))</f>
        <v/>
      </c>
      <c r="AL7" s="16" t="str">
        <f aca="false">IF(Cron_Uso!AL7="","",IF(INT(Cron_Uso!AL7/Frota!$L7)&gt;INT(Cron_Uso!AK7/Frota!$L7),IF(N(VLOOKUP(Frota!$B7,Premissas!$A$39:$E$43,5,0))&gt;0,IF(MOD(INT(Cron_Uso!AL7/Frota!$L7)*Frota!$L7,N(VLOOKUP(Frota!$B7,Premissas!$A$39:$E$43,5,0)))=0,"B",IF(N(VLOOKUP(Frota!$B7,Premissas!$A$39:$E$43,4,0))&gt;0,IF(MOD(INT(Cron_Uso!AL7/Frota!$L7)*Frota!$L7,N(VLOOKUP(Frota!$B7,Premissas!$A$39:$E$43,4,0)))=0,"A","S"),"S")),IF(N(VLOOKUP(Frota!$B7,Premissas!$A$39:$E$43,4,0))&gt;0,IF(MOD(INT(Cron_Uso!AL7/Frota!$L7)*Frota!$L7,N(VLOOKUP(Frota!$B7,Premissas!$A$39:$E$43,4,0)))=0,"A","S"),"S")),""))</f>
        <v/>
      </c>
      <c r="AM7" s="16" t="str">
        <f aca="false">IF(Cron_Uso!AM7="","",IF(INT(Cron_Uso!AM7/Frota!$L7)&gt;INT(Cron_Uso!AL7/Frota!$L7),IF(N(VLOOKUP(Frota!$B7,Premissas!$A$39:$E$43,5,0))&gt;0,IF(MOD(INT(Cron_Uso!AM7/Frota!$L7)*Frota!$L7,N(VLOOKUP(Frota!$B7,Premissas!$A$39:$E$43,5,0)))=0,"B",IF(N(VLOOKUP(Frota!$B7,Premissas!$A$39:$E$43,4,0))&gt;0,IF(MOD(INT(Cron_Uso!AM7/Frota!$L7)*Frota!$L7,N(VLOOKUP(Frota!$B7,Premissas!$A$39:$E$43,4,0)))=0,"A","S"),"S")),IF(N(VLOOKUP(Frota!$B7,Premissas!$A$39:$E$43,4,0))&gt;0,IF(MOD(INT(Cron_Uso!AM7/Frota!$L7)*Frota!$L7,N(VLOOKUP(Frota!$B7,Premissas!$A$39:$E$43,4,0)))=0,"A","S"),"S")),""))</f>
        <v/>
      </c>
      <c r="AN7" s="16" t="str">
        <f aca="false">IF(Cron_Uso!AN7="","",IF(INT(Cron_Uso!AN7/Frota!$L7)&gt;INT(Cron_Uso!AM7/Frota!$L7),IF(N(VLOOKUP(Frota!$B7,Premissas!$A$39:$E$43,5,0))&gt;0,IF(MOD(INT(Cron_Uso!AN7/Frota!$L7)*Frota!$L7,N(VLOOKUP(Frota!$B7,Premissas!$A$39:$E$43,5,0)))=0,"B",IF(N(VLOOKUP(Frota!$B7,Premissas!$A$39:$E$43,4,0))&gt;0,IF(MOD(INT(Cron_Uso!AN7/Frota!$L7)*Frota!$L7,N(VLOOKUP(Frota!$B7,Premissas!$A$39:$E$43,4,0)))=0,"A","S"),"S")),IF(N(VLOOKUP(Frota!$B7,Premissas!$A$39:$E$43,4,0))&gt;0,IF(MOD(INT(Cron_Uso!AN7/Frota!$L7)*Frota!$L7,N(VLOOKUP(Frota!$B7,Premissas!$A$39:$E$43,4,0)))=0,"A","S"),"S")),""))</f>
        <v/>
      </c>
      <c r="AO7" s="16" t="str">
        <f aca="false">IF(Cron_Uso!AO7="","",IF(INT(Cron_Uso!AO7/Frota!$L7)&gt;INT(Cron_Uso!AN7/Frota!$L7),IF(N(VLOOKUP(Frota!$B7,Premissas!$A$39:$E$43,5,0))&gt;0,IF(MOD(INT(Cron_Uso!AO7/Frota!$L7)*Frota!$L7,N(VLOOKUP(Frota!$B7,Premissas!$A$39:$E$43,5,0)))=0,"B",IF(N(VLOOKUP(Frota!$B7,Premissas!$A$39:$E$43,4,0))&gt;0,IF(MOD(INT(Cron_Uso!AO7/Frota!$L7)*Frota!$L7,N(VLOOKUP(Frota!$B7,Premissas!$A$39:$E$43,4,0)))=0,"A","S"),"S")),IF(N(VLOOKUP(Frota!$B7,Premissas!$A$39:$E$43,4,0))&gt;0,IF(MOD(INT(Cron_Uso!AO7/Frota!$L7)*Frota!$L7,N(VLOOKUP(Frota!$B7,Premissas!$A$39:$E$43,4,0)))=0,"A","S"),"S")),""))</f>
        <v/>
      </c>
      <c r="AP7" s="16" t="str">
        <f aca="false">IF(Cron_Uso!AP7="","",IF(INT(Cron_Uso!AP7/Frota!$L7)&gt;INT(Cron_Uso!AO7/Frota!$L7),IF(N(VLOOKUP(Frota!$B7,Premissas!$A$39:$E$43,5,0))&gt;0,IF(MOD(INT(Cron_Uso!AP7/Frota!$L7)*Frota!$L7,N(VLOOKUP(Frota!$B7,Premissas!$A$39:$E$43,5,0)))=0,"B",IF(N(VLOOKUP(Frota!$B7,Premissas!$A$39:$E$43,4,0))&gt;0,IF(MOD(INT(Cron_Uso!AP7/Frota!$L7)*Frota!$L7,N(VLOOKUP(Frota!$B7,Premissas!$A$39:$E$43,4,0)))=0,"A","S"),"S")),IF(N(VLOOKUP(Frota!$B7,Premissas!$A$39:$E$43,4,0))&gt;0,IF(MOD(INT(Cron_Uso!AP7/Frota!$L7)*Frota!$L7,N(VLOOKUP(Frota!$B7,Premissas!$A$39:$E$43,4,0)))=0,"A","S"),"S")),""))</f>
        <v/>
      </c>
      <c r="AQ7" s="16" t="str">
        <f aca="false">IF(Cron_Uso!AQ7="","",IF(INT(Cron_Uso!AQ7/Frota!$L7)&gt;INT(Cron_Uso!AP7/Frota!$L7),IF(N(VLOOKUP(Frota!$B7,Premissas!$A$39:$E$43,5,0))&gt;0,IF(MOD(INT(Cron_Uso!AQ7/Frota!$L7)*Frota!$L7,N(VLOOKUP(Frota!$B7,Premissas!$A$39:$E$43,5,0)))=0,"B",IF(N(VLOOKUP(Frota!$B7,Premissas!$A$39:$E$43,4,0))&gt;0,IF(MOD(INT(Cron_Uso!AQ7/Frota!$L7)*Frota!$L7,N(VLOOKUP(Frota!$B7,Premissas!$A$39:$E$43,4,0)))=0,"A","S"),"S")),IF(N(VLOOKUP(Frota!$B7,Premissas!$A$39:$E$43,4,0))&gt;0,IF(MOD(INT(Cron_Uso!AQ7/Frota!$L7)*Frota!$L7,N(VLOOKUP(Frota!$B7,Premissas!$A$39:$E$43,4,0)))=0,"A","S"),"S")),""))</f>
        <v/>
      </c>
      <c r="AR7" s="16" t="str">
        <f aca="false">IF(Cron_Uso!AR7="","",IF(INT(Cron_Uso!AR7/Frota!$L7)&gt;INT(Cron_Uso!AQ7/Frota!$L7),IF(N(VLOOKUP(Frota!$B7,Premissas!$A$39:$E$43,5,0))&gt;0,IF(MOD(INT(Cron_Uso!AR7/Frota!$L7)*Frota!$L7,N(VLOOKUP(Frota!$B7,Premissas!$A$39:$E$43,5,0)))=0,"B",IF(N(VLOOKUP(Frota!$B7,Premissas!$A$39:$E$43,4,0))&gt;0,IF(MOD(INT(Cron_Uso!AR7/Frota!$L7)*Frota!$L7,N(VLOOKUP(Frota!$B7,Premissas!$A$39:$E$43,4,0)))=0,"A","S"),"S")),IF(N(VLOOKUP(Frota!$B7,Premissas!$A$39:$E$43,4,0))&gt;0,IF(MOD(INT(Cron_Uso!AR7/Frota!$L7)*Frota!$L7,N(VLOOKUP(Frota!$B7,Premissas!$A$39:$E$43,4,0)))=0,"A","S"),"S")),""))</f>
        <v/>
      </c>
      <c r="AS7" s="16" t="str">
        <f aca="false">IF(Cron_Uso!AS7="","",IF(INT(Cron_Uso!AS7/Frota!$L7)&gt;INT(Cron_Uso!AR7/Frota!$L7),IF(N(VLOOKUP(Frota!$B7,Premissas!$A$39:$E$43,5,0))&gt;0,IF(MOD(INT(Cron_Uso!AS7/Frota!$L7)*Frota!$L7,N(VLOOKUP(Frota!$B7,Premissas!$A$39:$E$43,5,0)))=0,"B",IF(N(VLOOKUP(Frota!$B7,Premissas!$A$39:$E$43,4,0))&gt;0,IF(MOD(INT(Cron_Uso!AS7/Frota!$L7)*Frota!$L7,N(VLOOKUP(Frota!$B7,Premissas!$A$39:$E$43,4,0)))=0,"A","S"),"S")),IF(N(VLOOKUP(Frota!$B7,Premissas!$A$39:$E$43,4,0))&gt;0,IF(MOD(INT(Cron_Uso!AS7/Frota!$L7)*Frota!$L7,N(VLOOKUP(Frota!$B7,Premissas!$A$39:$E$43,4,0)))=0,"A","S"),"S")),""))</f>
        <v/>
      </c>
      <c r="AT7" s="16" t="str">
        <f aca="false">IF(Cron_Uso!AT7="","",IF(INT(Cron_Uso!AT7/Frota!$L7)&gt;INT(Cron_Uso!AS7/Frota!$L7),IF(N(VLOOKUP(Frota!$B7,Premissas!$A$39:$E$43,5,0))&gt;0,IF(MOD(INT(Cron_Uso!AT7/Frota!$L7)*Frota!$L7,N(VLOOKUP(Frota!$B7,Premissas!$A$39:$E$43,5,0)))=0,"B",IF(N(VLOOKUP(Frota!$B7,Premissas!$A$39:$E$43,4,0))&gt;0,IF(MOD(INT(Cron_Uso!AT7/Frota!$L7)*Frota!$L7,N(VLOOKUP(Frota!$B7,Premissas!$A$39:$E$43,4,0)))=0,"A","S"),"S")),IF(N(VLOOKUP(Frota!$B7,Premissas!$A$39:$E$43,4,0))&gt;0,IF(MOD(INT(Cron_Uso!AT7/Frota!$L7)*Frota!$L7,N(VLOOKUP(Frota!$B7,Premissas!$A$39:$E$43,4,0)))=0,"A","S"),"S")),""))</f>
        <v/>
      </c>
      <c r="AU7" s="16" t="str">
        <f aca="false">IF(Cron_Uso!AU7="","",IF(INT(Cron_Uso!AU7/Frota!$L7)&gt;INT(Cron_Uso!AT7/Frota!$L7),IF(N(VLOOKUP(Frota!$B7,Premissas!$A$39:$E$43,5,0))&gt;0,IF(MOD(INT(Cron_Uso!AU7/Frota!$L7)*Frota!$L7,N(VLOOKUP(Frota!$B7,Premissas!$A$39:$E$43,5,0)))=0,"B",IF(N(VLOOKUP(Frota!$B7,Premissas!$A$39:$E$43,4,0))&gt;0,IF(MOD(INT(Cron_Uso!AU7/Frota!$L7)*Frota!$L7,N(VLOOKUP(Frota!$B7,Premissas!$A$39:$E$43,4,0)))=0,"A","S"),"S")),IF(N(VLOOKUP(Frota!$B7,Premissas!$A$39:$E$43,4,0))&gt;0,IF(MOD(INT(Cron_Uso!AU7/Frota!$L7)*Frota!$L7,N(VLOOKUP(Frota!$B7,Premissas!$A$39:$E$43,4,0)))=0,"A","S"),"S")),""))</f>
        <v/>
      </c>
      <c r="AV7" s="16" t="str">
        <f aca="false">IF(Cron_Uso!AV7="","",IF(INT(Cron_Uso!AV7/Frota!$L7)&gt;INT(Cron_Uso!AU7/Frota!$L7),IF(N(VLOOKUP(Frota!$B7,Premissas!$A$39:$E$43,5,0))&gt;0,IF(MOD(INT(Cron_Uso!AV7/Frota!$L7)*Frota!$L7,N(VLOOKUP(Frota!$B7,Premissas!$A$39:$E$43,5,0)))=0,"B",IF(N(VLOOKUP(Frota!$B7,Premissas!$A$39:$E$43,4,0))&gt;0,IF(MOD(INT(Cron_Uso!AV7/Frota!$L7)*Frota!$L7,N(VLOOKUP(Frota!$B7,Premissas!$A$39:$E$43,4,0)))=0,"A","S"),"S")),IF(N(VLOOKUP(Frota!$B7,Premissas!$A$39:$E$43,4,0))&gt;0,IF(MOD(INT(Cron_Uso!AV7/Frota!$L7)*Frota!$L7,N(VLOOKUP(Frota!$B7,Premissas!$A$39:$E$43,4,0)))=0,"A","S"),"S")),""))</f>
        <v/>
      </c>
      <c r="AW7" s="16" t="str">
        <f aca="false">IF(Cron_Uso!AW7="","",IF(INT(Cron_Uso!AW7/Frota!$L7)&gt;INT(Cron_Uso!AV7/Frota!$L7),IF(N(VLOOKUP(Frota!$B7,Premissas!$A$39:$E$43,5,0))&gt;0,IF(MOD(INT(Cron_Uso!AW7/Frota!$L7)*Frota!$L7,N(VLOOKUP(Frota!$B7,Premissas!$A$39:$E$43,5,0)))=0,"B",IF(N(VLOOKUP(Frota!$B7,Premissas!$A$39:$E$43,4,0))&gt;0,IF(MOD(INT(Cron_Uso!AW7/Frota!$L7)*Frota!$L7,N(VLOOKUP(Frota!$B7,Premissas!$A$39:$E$43,4,0)))=0,"A","S"),"S")),IF(N(VLOOKUP(Frota!$B7,Premissas!$A$39:$E$43,4,0))&gt;0,IF(MOD(INT(Cron_Uso!AW7/Frota!$L7)*Frota!$L7,N(VLOOKUP(Frota!$B7,Premissas!$A$39:$E$43,4,0)))=0,"A","S"),"S")),""))</f>
        <v/>
      </c>
      <c r="AX7" s="16" t="str">
        <f aca="false">IF(Cron_Uso!AX7="","",IF(INT(Cron_Uso!AX7/Frota!$L7)&gt;INT(Cron_Uso!AW7/Frota!$L7),IF(N(VLOOKUP(Frota!$B7,Premissas!$A$39:$E$43,5,0))&gt;0,IF(MOD(INT(Cron_Uso!AX7/Frota!$L7)*Frota!$L7,N(VLOOKUP(Frota!$B7,Premissas!$A$39:$E$43,5,0)))=0,"B",IF(N(VLOOKUP(Frota!$B7,Premissas!$A$39:$E$43,4,0))&gt;0,IF(MOD(INT(Cron_Uso!AX7/Frota!$L7)*Frota!$L7,N(VLOOKUP(Frota!$B7,Premissas!$A$39:$E$43,4,0)))=0,"A","S"),"S")),IF(N(VLOOKUP(Frota!$B7,Premissas!$A$39:$E$43,4,0))&gt;0,IF(MOD(INT(Cron_Uso!AX7/Frota!$L7)*Frota!$L7,N(VLOOKUP(Frota!$B7,Premissas!$A$39:$E$43,4,0)))=0,"A","S"),"S")),""))</f>
        <v/>
      </c>
      <c r="AY7" s="16" t="str">
        <f aca="false">IF(Cron_Uso!AY7="","",IF(INT(Cron_Uso!AY7/Frota!$L7)&gt;INT(Cron_Uso!AX7/Frota!$L7),IF(N(VLOOKUP(Frota!$B7,Premissas!$A$39:$E$43,5,0))&gt;0,IF(MOD(INT(Cron_Uso!AY7/Frota!$L7)*Frota!$L7,N(VLOOKUP(Frota!$B7,Premissas!$A$39:$E$43,5,0)))=0,"B",IF(N(VLOOKUP(Frota!$B7,Premissas!$A$39:$E$43,4,0))&gt;0,IF(MOD(INT(Cron_Uso!AY7/Frota!$L7)*Frota!$L7,N(VLOOKUP(Frota!$B7,Premissas!$A$39:$E$43,4,0)))=0,"A","S"),"S")),IF(N(VLOOKUP(Frota!$B7,Premissas!$A$39:$E$43,4,0))&gt;0,IF(MOD(INT(Cron_Uso!AY7/Frota!$L7)*Frota!$L7,N(VLOOKUP(Frota!$B7,Premissas!$A$39:$E$43,4,0)))=0,"A","S"),"S")),""))</f>
        <v/>
      </c>
      <c r="AZ7" s="16" t="str">
        <f aca="false">IF(Cron_Uso!AZ7="","",IF(INT(Cron_Uso!AZ7/Frota!$L7)&gt;INT(Cron_Uso!AY7/Frota!$L7),IF(N(VLOOKUP(Frota!$B7,Premissas!$A$39:$E$43,5,0))&gt;0,IF(MOD(INT(Cron_Uso!AZ7/Frota!$L7)*Frota!$L7,N(VLOOKUP(Frota!$B7,Premissas!$A$39:$E$43,5,0)))=0,"B",IF(N(VLOOKUP(Frota!$B7,Premissas!$A$39:$E$43,4,0))&gt;0,IF(MOD(INT(Cron_Uso!AZ7/Frota!$L7)*Frota!$L7,N(VLOOKUP(Frota!$B7,Premissas!$A$39:$E$43,4,0)))=0,"A","S"),"S")),IF(N(VLOOKUP(Frota!$B7,Premissas!$A$39:$E$43,4,0))&gt;0,IF(MOD(INT(Cron_Uso!AZ7/Frota!$L7)*Frota!$L7,N(VLOOKUP(Frota!$B7,Premissas!$A$39:$E$43,4,0)))=0,"A","S"),"S")),""))</f>
        <v/>
      </c>
      <c r="BA7" s="16" t="str">
        <f aca="false">IF(Cron_Uso!BA7="","",IF(INT(Cron_Uso!BA7/Frota!$L7)&gt;INT(Cron_Uso!AZ7/Frota!$L7),IF(N(VLOOKUP(Frota!$B7,Premissas!$A$39:$E$43,5,0))&gt;0,IF(MOD(INT(Cron_Uso!BA7/Frota!$L7)*Frota!$L7,N(VLOOKUP(Frota!$B7,Premissas!$A$39:$E$43,5,0)))=0,"B",IF(N(VLOOKUP(Frota!$B7,Premissas!$A$39:$E$43,4,0))&gt;0,IF(MOD(INT(Cron_Uso!BA7/Frota!$L7)*Frota!$L7,N(VLOOKUP(Frota!$B7,Premissas!$A$39:$E$43,4,0)))=0,"A","S"),"S")),IF(N(VLOOKUP(Frota!$B7,Premissas!$A$39:$E$43,4,0))&gt;0,IF(MOD(INT(Cron_Uso!BA7/Frota!$L7)*Frota!$L7,N(VLOOKUP(Frota!$B7,Premissas!$A$39:$E$43,4,0)))=0,"A","S"),"S")),""))</f>
        <v/>
      </c>
    </row>
    <row r="8" customFormat="false" ht="15" hidden="false" customHeight="false" outlineLevel="0" collapsed="false">
      <c r="A8" s="6" t="str">
        <f aca="false">IF(Frota!$A8="","",Frota!$A8)</f>
        <v>Colhedora CASE A9000 — 1043</v>
      </c>
      <c r="B8" s="16" t="str">
        <f aca="false">IF(Cron_Uso!B8="","",IF(INT(Cron_Uso!B8/Frota!$L8)&gt;INT(Frota!$I8/Frota!$L8),IF(N(VLOOKUP(Frota!$B8,Premissas!$A$39:$E$43,5,0))&gt;0,IF(MOD(INT(Cron_Uso!B8/Frota!$L8)*Frota!$L8,N(VLOOKUP(Frota!$B8,Premissas!$A$39:$E$43,5,0)))=0,"B",IF(N(VLOOKUP(Frota!$B8,Premissas!$A$39:$E$43,4,0))&gt;0,IF(MOD(INT(Cron_Uso!B8/Frota!$L8)*Frota!$L8,N(VLOOKUP(Frota!$B8,Premissas!$A$39:$E$43,4,0)))=0,"A","S"),"S")),IF(N(VLOOKUP(Frota!$B8,Premissas!$A$39:$E$43,4,0))&gt;0,IF(MOD(INT(Cron_Uso!B8/Frota!$L8)*Frota!$L8,N(VLOOKUP(Frota!$B8,Premissas!$A$39:$E$43,4,0)))=0,"A","S"),"S")),""))</f>
        <v/>
      </c>
      <c r="C8" s="16" t="str">
        <f aca="false">IF(Cron_Uso!C8="","",IF(INT(Cron_Uso!C8/Frota!$L8)&gt;INT(Cron_Uso!B8/Frota!$L8),IF(N(VLOOKUP(Frota!$B8,Premissas!$A$39:$E$43,5,0))&gt;0,IF(MOD(INT(Cron_Uso!C8/Frota!$L8)*Frota!$L8,N(VLOOKUP(Frota!$B8,Premissas!$A$39:$E$43,5,0)))=0,"B",IF(N(VLOOKUP(Frota!$B8,Premissas!$A$39:$E$43,4,0))&gt;0,IF(MOD(INT(Cron_Uso!C8/Frota!$L8)*Frota!$L8,N(VLOOKUP(Frota!$B8,Premissas!$A$39:$E$43,4,0)))=0,"A","S"),"S")),IF(N(VLOOKUP(Frota!$B8,Premissas!$A$39:$E$43,4,0))&gt;0,IF(MOD(INT(Cron_Uso!C8/Frota!$L8)*Frota!$L8,N(VLOOKUP(Frota!$B8,Premissas!$A$39:$E$43,4,0)))=0,"A","S"),"S")),""))</f>
        <v>S</v>
      </c>
      <c r="D8" s="16" t="str">
        <f aca="false">IF(Cron_Uso!D8="","",IF(INT(Cron_Uso!D8/Frota!$L8)&gt;INT(Cron_Uso!C8/Frota!$L8),IF(N(VLOOKUP(Frota!$B8,Premissas!$A$39:$E$43,5,0))&gt;0,IF(MOD(INT(Cron_Uso!D8/Frota!$L8)*Frota!$L8,N(VLOOKUP(Frota!$B8,Premissas!$A$39:$E$43,5,0)))=0,"B",IF(N(VLOOKUP(Frota!$B8,Premissas!$A$39:$E$43,4,0))&gt;0,IF(MOD(INT(Cron_Uso!D8/Frota!$L8)*Frota!$L8,N(VLOOKUP(Frota!$B8,Premissas!$A$39:$E$43,4,0)))=0,"A","S"),"S")),IF(N(VLOOKUP(Frota!$B8,Premissas!$A$39:$E$43,4,0))&gt;0,IF(MOD(INT(Cron_Uso!D8/Frota!$L8)*Frota!$L8,N(VLOOKUP(Frota!$B8,Premissas!$A$39:$E$43,4,0)))=0,"A","S"),"S")),""))</f>
        <v/>
      </c>
      <c r="E8" s="16" t="str">
        <f aca="false">IF(Cron_Uso!E8="","",IF(INT(Cron_Uso!E8/Frota!$L8)&gt;INT(Cron_Uso!D8/Frota!$L8),IF(N(VLOOKUP(Frota!$B8,Premissas!$A$39:$E$43,5,0))&gt;0,IF(MOD(INT(Cron_Uso!E8/Frota!$L8)*Frota!$L8,N(VLOOKUP(Frota!$B8,Premissas!$A$39:$E$43,5,0)))=0,"B",IF(N(VLOOKUP(Frota!$B8,Premissas!$A$39:$E$43,4,0))&gt;0,IF(MOD(INT(Cron_Uso!E8/Frota!$L8)*Frota!$L8,N(VLOOKUP(Frota!$B8,Premissas!$A$39:$E$43,4,0)))=0,"A","S"),"S")),IF(N(VLOOKUP(Frota!$B8,Premissas!$A$39:$E$43,4,0))&gt;0,IF(MOD(INT(Cron_Uso!E8/Frota!$L8)*Frota!$L8,N(VLOOKUP(Frota!$B8,Premissas!$A$39:$E$43,4,0)))=0,"A","S"),"S")),""))</f>
        <v/>
      </c>
      <c r="F8" s="16" t="str">
        <f aca="false">IF(Cron_Uso!F8="","",IF(INT(Cron_Uso!F8/Frota!$L8)&gt;INT(Cron_Uso!E8/Frota!$L8),IF(N(VLOOKUP(Frota!$B8,Premissas!$A$39:$E$43,5,0))&gt;0,IF(MOD(INT(Cron_Uso!F8/Frota!$L8)*Frota!$L8,N(VLOOKUP(Frota!$B8,Premissas!$A$39:$E$43,5,0)))=0,"B",IF(N(VLOOKUP(Frota!$B8,Premissas!$A$39:$E$43,4,0))&gt;0,IF(MOD(INT(Cron_Uso!F8/Frota!$L8)*Frota!$L8,N(VLOOKUP(Frota!$B8,Premissas!$A$39:$E$43,4,0)))=0,"A","S"),"S")),IF(N(VLOOKUP(Frota!$B8,Premissas!$A$39:$E$43,4,0))&gt;0,IF(MOD(INT(Cron_Uso!F8/Frota!$L8)*Frota!$L8,N(VLOOKUP(Frota!$B8,Premissas!$A$39:$E$43,4,0)))=0,"A","S"),"S")),""))</f>
        <v/>
      </c>
      <c r="G8" s="16" t="str">
        <f aca="false">IF(Cron_Uso!G8="","",IF(INT(Cron_Uso!G8/Frota!$L8)&gt;INT(Cron_Uso!F8/Frota!$L8),IF(N(VLOOKUP(Frota!$B8,Premissas!$A$39:$E$43,5,0))&gt;0,IF(MOD(INT(Cron_Uso!G8/Frota!$L8)*Frota!$L8,N(VLOOKUP(Frota!$B8,Premissas!$A$39:$E$43,5,0)))=0,"B",IF(N(VLOOKUP(Frota!$B8,Premissas!$A$39:$E$43,4,0))&gt;0,IF(MOD(INT(Cron_Uso!G8/Frota!$L8)*Frota!$L8,N(VLOOKUP(Frota!$B8,Premissas!$A$39:$E$43,4,0)))=0,"A","S"),"S")),IF(N(VLOOKUP(Frota!$B8,Premissas!$A$39:$E$43,4,0))&gt;0,IF(MOD(INT(Cron_Uso!G8/Frota!$L8)*Frota!$L8,N(VLOOKUP(Frota!$B8,Premissas!$A$39:$E$43,4,0)))=0,"A","S"),"S")),""))</f>
        <v/>
      </c>
      <c r="H8" s="16" t="str">
        <f aca="false">IF(Cron_Uso!H8="","",IF(INT(Cron_Uso!H8/Frota!$L8)&gt;INT(Cron_Uso!G8/Frota!$L8),IF(N(VLOOKUP(Frota!$B8,Premissas!$A$39:$E$43,5,0))&gt;0,IF(MOD(INT(Cron_Uso!H8/Frota!$L8)*Frota!$L8,N(VLOOKUP(Frota!$B8,Premissas!$A$39:$E$43,5,0)))=0,"B",IF(N(VLOOKUP(Frota!$B8,Premissas!$A$39:$E$43,4,0))&gt;0,IF(MOD(INT(Cron_Uso!H8/Frota!$L8)*Frota!$L8,N(VLOOKUP(Frota!$B8,Premissas!$A$39:$E$43,4,0)))=0,"A","S"),"S")),IF(N(VLOOKUP(Frota!$B8,Premissas!$A$39:$E$43,4,0))&gt;0,IF(MOD(INT(Cron_Uso!H8/Frota!$L8)*Frota!$L8,N(VLOOKUP(Frota!$B8,Premissas!$A$39:$E$43,4,0)))=0,"A","S"),"S")),""))</f>
        <v>A</v>
      </c>
      <c r="I8" s="16" t="str">
        <f aca="false">IF(Cron_Uso!I8="","",IF(INT(Cron_Uso!I8/Frota!$L8)&gt;INT(Cron_Uso!H8/Frota!$L8),IF(N(VLOOKUP(Frota!$B8,Premissas!$A$39:$E$43,5,0))&gt;0,IF(MOD(INT(Cron_Uso!I8/Frota!$L8)*Frota!$L8,N(VLOOKUP(Frota!$B8,Premissas!$A$39:$E$43,5,0)))=0,"B",IF(N(VLOOKUP(Frota!$B8,Premissas!$A$39:$E$43,4,0))&gt;0,IF(MOD(INT(Cron_Uso!I8/Frota!$L8)*Frota!$L8,N(VLOOKUP(Frota!$B8,Premissas!$A$39:$E$43,4,0)))=0,"A","S"),"S")),IF(N(VLOOKUP(Frota!$B8,Premissas!$A$39:$E$43,4,0))&gt;0,IF(MOD(INT(Cron_Uso!I8/Frota!$L8)*Frota!$L8,N(VLOOKUP(Frota!$B8,Premissas!$A$39:$E$43,4,0)))=0,"A","S"),"S")),""))</f>
        <v/>
      </c>
      <c r="J8" s="16" t="str">
        <f aca="false">IF(Cron_Uso!J8="","",IF(INT(Cron_Uso!J8/Frota!$L8)&gt;INT(Cron_Uso!I8/Frota!$L8),IF(N(VLOOKUP(Frota!$B8,Premissas!$A$39:$E$43,5,0))&gt;0,IF(MOD(INT(Cron_Uso!J8/Frota!$L8)*Frota!$L8,N(VLOOKUP(Frota!$B8,Premissas!$A$39:$E$43,5,0)))=0,"B",IF(N(VLOOKUP(Frota!$B8,Premissas!$A$39:$E$43,4,0))&gt;0,IF(MOD(INT(Cron_Uso!J8/Frota!$L8)*Frota!$L8,N(VLOOKUP(Frota!$B8,Premissas!$A$39:$E$43,4,0)))=0,"A","S"),"S")),IF(N(VLOOKUP(Frota!$B8,Premissas!$A$39:$E$43,4,0))&gt;0,IF(MOD(INT(Cron_Uso!J8/Frota!$L8)*Frota!$L8,N(VLOOKUP(Frota!$B8,Premissas!$A$39:$E$43,4,0)))=0,"A","S"),"S")),""))</f>
        <v/>
      </c>
      <c r="K8" s="16" t="str">
        <f aca="false">IF(Cron_Uso!K8="","",IF(INT(Cron_Uso!K8/Frota!$L8)&gt;INT(Cron_Uso!J8/Frota!$L8),IF(N(VLOOKUP(Frota!$B8,Premissas!$A$39:$E$43,5,0))&gt;0,IF(MOD(INT(Cron_Uso!K8/Frota!$L8)*Frota!$L8,N(VLOOKUP(Frota!$B8,Premissas!$A$39:$E$43,5,0)))=0,"B",IF(N(VLOOKUP(Frota!$B8,Premissas!$A$39:$E$43,4,0))&gt;0,IF(MOD(INT(Cron_Uso!K8/Frota!$L8)*Frota!$L8,N(VLOOKUP(Frota!$B8,Premissas!$A$39:$E$43,4,0)))=0,"A","S"),"S")),IF(N(VLOOKUP(Frota!$B8,Premissas!$A$39:$E$43,4,0))&gt;0,IF(MOD(INT(Cron_Uso!K8/Frota!$L8)*Frota!$L8,N(VLOOKUP(Frota!$B8,Premissas!$A$39:$E$43,4,0)))=0,"A","S"),"S")),""))</f>
        <v/>
      </c>
      <c r="L8" s="16" t="str">
        <f aca="false">IF(Cron_Uso!L8="","",IF(INT(Cron_Uso!L8/Frota!$L8)&gt;INT(Cron_Uso!K8/Frota!$L8),IF(N(VLOOKUP(Frota!$B8,Premissas!$A$39:$E$43,5,0))&gt;0,IF(MOD(INT(Cron_Uso!L8/Frota!$L8)*Frota!$L8,N(VLOOKUP(Frota!$B8,Premissas!$A$39:$E$43,5,0)))=0,"B",IF(N(VLOOKUP(Frota!$B8,Premissas!$A$39:$E$43,4,0))&gt;0,IF(MOD(INT(Cron_Uso!L8/Frota!$L8)*Frota!$L8,N(VLOOKUP(Frota!$B8,Premissas!$A$39:$E$43,4,0)))=0,"A","S"),"S")),IF(N(VLOOKUP(Frota!$B8,Premissas!$A$39:$E$43,4,0))&gt;0,IF(MOD(INT(Cron_Uso!L8/Frota!$L8)*Frota!$L8,N(VLOOKUP(Frota!$B8,Premissas!$A$39:$E$43,4,0)))=0,"A","S"),"S")),""))</f>
        <v/>
      </c>
      <c r="M8" s="16" t="str">
        <f aca="false">IF(Cron_Uso!M8="","",IF(INT(Cron_Uso!M8/Frota!$L8)&gt;INT(Cron_Uso!L8/Frota!$L8),IF(N(VLOOKUP(Frota!$B8,Premissas!$A$39:$E$43,5,0))&gt;0,IF(MOD(INT(Cron_Uso!M8/Frota!$L8)*Frota!$L8,N(VLOOKUP(Frota!$B8,Premissas!$A$39:$E$43,5,0)))=0,"B",IF(N(VLOOKUP(Frota!$B8,Premissas!$A$39:$E$43,4,0))&gt;0,IF(MOD(INT(Cron_Uso!M8/Frota!$L8)*Frota!$L8,N(VLOOKUP(Frota!$B8,Premissas!$A$39:$E$43,4,0)))=0,"A","S"),"S")),IF(N(VLOOKUP(Frota!$B8,Premissas!$A$39:$E$43,4,0))&gt;0,IF(MOD(INT(Cron_Uso!M8/Frota!$L8)*Frota!$L8,N(VLOOKUP(Frota!$B8,Premissas!$A$39:$E$43,4,0)))=0,"A","S"),"S")),""))</f>
        <v>S</v>
      </c>
      <c r="N8" s="16" t="str">
        <f aca="false">IF(Cron_Uso!N8="","",IF(INT(Cron_Uso!N8/Frota!$L8)&gt;INT(Cron_Uso!M8/Frota!$L8),IF(N(VLOOKUP(Frota!$B8,Premissas!$A$39:$E$43,5,0))&gt;0,IF(MOD(INT(Cron_Uso!N8/Frota!$L8)*Frota!$L8,N(VLOOKUP(Frota!$B8,Premissas!$A$39:$E$43,5,0)))=0,"B",IF(N(VLOOKUP(Frota!$B8,Premissas!$A$39:$E$43,4,0))&gt;0,IF(MOD(INT(Cron_Uso!N8/Frota!$L8)*Frota!$L8,N(VLOOKUP(Frota!$B8,Premissas!$A$39:$E$43,4,0)))=0,"A","S"),"S")),IF(N(VLOOKUP(Frota!$B8,Premissas!$A$39:$E$43,4,0))&gt;0,IF(MOD(INT(Cron_Uso!N8/Frota!$L8)*Frota!$L8,N(VLOOKUP(Frota!$B8,Premissas!$A$39:$E$43,4,0)))=0,"A","S"),"S")),""))</f>
        <v/>
      </c>
      <c r="O8" s="16" t="str">
        <f aca="false">IF(Cron_Uso!O8="","",IF(INT(Cron_Uso!O8/Frota!$L8)&gt;INT(Cron_Uso!N8/Frota!$L8),IF(N(VLOOKUP(Frota!$B8,Premissas!$A$39:$E$43,5,0))&gt;0,IF(MOD(INT(Cron_Uso!O8/Frota!$L8)*Frota!$L8,N(VLOOKUP(Frota!$B8,Premissas!$A$39:$E$43,5,0)))=0,"B",IF(N(VLOOKUP(Frota!$B8,Premissas!$A$39:$E$43,4,0))&gt;0,IF(MOD(INT(Cron_Uso!O8/Frota!$L8)*Frota!$L8,N(VLOOKUP(Frota!$B8,Premissas!$A$39:$E$43,4,0)))=0,"A","S"),"S")),IF(N(VLOOKUP(Frota!$B8,Premissas!$A$39:$E$43,4,0))&gt;0,IF(MOD(INT(Cron_Uso!O8/Frota!$L8)*Frota!$L8,N(VLOOKUP(Frota!$B8,Premissas!$A$39:$E$43,4,0)))=0,"A","S"),"S")),""))</f>
        <v/>
      </c>
      <c r="P8" s="16" t="str">
        <f aca="false">IF(Cron_Uso!P8="","",IF(INT(Cron_Uso!P8/Frota!$L8)&gt;INT(Cron_Uso!O8/Frota!$L8),IF(N(VLOOKUP(Frota!$B8,Premissas!$A$39:$E$43,5,0))&gt;0,IF(MOD(INT(Cron_Uso!P8/Frota!$L8)*Frota!$L8,N(VLOOKUP(Frota!$B8,Premissas!$A$39:$E$43,5,0)))=0,"B",IF(N(VLOOKUP(Frota!$B8,Premissas!$A$39:$E$43,4,0))&gt;0,IF(MOD(INT(Cron_Uso!P8/Frota!$L8)*Frota!$L8,N(VLOOKUP(Frota!$B8,Premissas!$A$39:$E$43,4,0)))=0,"A","S"),"S")),IF(N(VLOOKUP(Frota!$B8,Premissas!$A$39:$E$43,4,0))&gt;0,IF(MOD(INT(Cron_Uso!P8/Frota!$L8)*Frota!$L8,N(VLOOKUP(Frota!$B8,Premissas!$A$39:$E$43,4,0)))=0,"A","S"),"S")),""))</f>
        <v/>
      </c>
      <c r="Q8" s="16" t="str">
        <f aca="false">IF(Cron_Uso!Q8="","",IF(INT(Cron_Uso!Q8/Frota!$L8)&gt;INT(Cron_Uso!P8/Frota!$L8),IF(N(VLOOKUP(Frota!$B8,Premissas!$A$39:$E$43,5,0))&gt;0,IF(MOD(INT(Cron_Uso!Q8/Frota!$L8)*Frota!$L8,N(VLOOKUP(Frota!$B8,Premissas!$A$39:$E$43,5,0)))=0,"B",IF(N(VLOOKUP(Frota!$B8,Premissas!$A$39:$E$43,4,0))&gt;0,IF(MOD(INT(Cron_Uso!Q8/Frota!$L8)*Frota!$L8,N(VLOOKUP(Frota!$B8,Premissas!$A$39:$E$43,4,0)))=0,"A","S"),"S")),IF(N(VLOOKUP(Frota!$B8,Premissas!$A$39:$E$43,4,0))&gt;0,IF(MOD(INT(Cron_Uso!Q8/Frota!$L8)*Frota!$L8,N(VLOOKUP(Frota!$B8,Premissas!$A$39:$E$43,4,0)))=0,"A","S"),"S")),""))</f>
        <v/>
      </c>
      <c r="R8" s="16" t="str">
        <f aca="false">IF(Cron_Uso!R8="","",IF(INT(Cron_Uso!R8/Frota!$L8)&gt;INT(Cron_Uso!Q8/Frota!$L8),IF(N(VLOOKUP(Frota!$B8,Premissas!$A$39:$E$43,5,0))&gt;0,IF(MOD(INT(Cron_Uso!R8/Frota!$L8)*Frota!$L8,N(VLOOKUP(Frota!$B8,Premissas!$A$39:$E$43,5,0)))=0,"B",IF(N(VLOOKUP(Frota!$B8,Premissas!$A$39:$E$43,4,0))&gt;0,IF(MOD(INT(Cron_Uso!R8/Frota!$L8)*Frota!$L8,N(VLOOKUP(Frota!$B8,Premissas!$A$39:$E$43,4,0)))=0,"A","S"),"S")),IF(N(VLOOKUP(Frota!$B8,Premissas!$A$39:$E$43,4,0))&gt;0,IF(MOD(INT(Cron_Uso!R8/Frota!$L8)*Frota!$L8,N(VLOOKUP(Frota!$B8,Premissas!$A$39:$E$43,4,0)))=0,"A","S"),"S")),""))</f>
        <v>B</v>
      </c>
      <c r="S8" s="16" t="str">
        <f aca="false">IF(Cron_Uso!S8="","",IF(INT(Cron_Uso!S8/Frota!$L8)&gt;INT(Cron_Uso!R8/Frota!$L8),IF(N(VLOOKUP(Frota!$B8,Premissas!$A$39:$E$43,5,0))&gt;0,IF(MOD(INT(Cron_Uso!S8/Frota!$L8)*Frota!$L8,N(VLOOKUP(Frota!$B8,Premissas!$A$39:$E$43,5,0)))=0,"B",IF(N(VLOOKUP(Frota!$B8,Premissas!$A$39:$E$43,4,0))&gt;0,IF(MOD(INT(Cron_Uso!S8/Frota!$L8)*Frota!$L8,N(VLOOKUP(Frota!$B8,Premissas!$A$39:$E$43,4,0)))=0,"A","S"),"S")),IF(N(VLOOKUP(Frota!$B8,Premissas!$A$39:$E$43,4,0))&gt;0,IF(MOD(INT(Cron_Uso!S8/Frota!$L8)*Frota!$L8,N(VLOOKUP(Frota!$B8,Premissas!$A$39:$E$43,4,0)))=0,"A","S"),"S")),""))</f>
        <v/>
      </c>
      <c r="T8" s="16" t="str">
        <f aca="false">IF(Cron_Uso!T8="","",IF(INT(Cron_Uso!T8/Frota!$L8)&gt;INT(Cron_Uso!S8/Frota!$L8),IF(N(VLOOKUP(Frota!$B8,Premissas!$A$39:$E$43,5,0))&gt;0,IF(MOD(INT(Cron_Uso!T8/Frota!$L8)*Frota!$L8,N(VLOOKUP(Frota!$B8,Premissas!$A$39:$E$43,5,0)))=0,"B",IF(N(VLOOKUP(Frota!$B8,Premissas!$A$39:$E$43,4,0))&gt;0,IF(MOD(INT(Cron_Uso!T8/Frota!$L8)*Frota!$L8,N(VLOOKUP(Frota!$B8,Premissas!$A$39:$E$43,4,0)))=0,"A","S"),"S")),IF(N(VLOOKUP(Frota!$B8,Premissas!$A$39:$E$43,4,0))&gt;0,IF(MOD(INT(Cron_Uso!T8/Frota!$L8)*Frota!$L8,N(VLOOKUP(Frota!$B8,Premissas!$A$39:$E$43,4,0)))=0,"A","S"),"S")),""))</f>
        <v/>
      </c>
      <c r="U8" s="16" t="str">
        <f aca="false">IF(Cron_Uso!U8="","",IF(INT(Cron_Uso!U8/Frota!$L8)&gt;INT(Cron_Uso!T8/Frota!$L8),IF(N(VLOOKUP(Frota!$B8,Premissas!$A$39:$E$43,5,0))&gt;0,IF(MOD(INT(Cron_Uso!U8/Frota!$L8)*Frota!$L8,N(VLOOKUP(Frota!$B8,Premissas!$A$39:$E$43,5,0)))=0,"B",IF(N(VLOOKUP(Frota!$B8,Premissas!$A$39:$E$43,4,0))&gt;0,IF(MOD(INT(Cron_Uso!U8/Frota!$L8)*Frota!$L8,N(VLOOKUP(Frota!$B8,Premissas!$A$39:$E$43,4,0)))=0,"A","S"),"S")),IF(N(VLOOKUP(Frota!$B8,Premissas!$A$39:$E$43,4,0))&gt;0,IF(MOD(INT(Cron_Uso!U8/Frota!$L8)*Frota!$L8,N(VLOOKUP(Frota!$B8,Premissas!$A$39:$E$43,4,0)))=0,"A","S"),"S")),""))</f>
        <v/>
      </c>
      <c r="V8" s="16" t="str">
        <f aca="false">IF(Cron_Uso!V8="","",IF(INT(Cron_Uso!V8/Frota!$L8)&gt;INT(Cron_Uso!U8/Frota!$L8),IF(N(VLOOKUP(Frota!$B8,Premissas!$A$39:$E$43,5,0))&gt;0,IF(MOD(INT(Cron_Uso!V8/Frota!$L8)*Frota!$L8,N(VLOOKUP(Frota!$B8,Premissas!$A$39:$E$43,5,0)))=0,"B",IF(N(VLOOKUP(Frota!$B8,Premissas!$A$39:$E$43,4,0))&gt;0,IF(MOD(INT(Cron_Uso!V8/Frota!$L8)*Frota!$L8,N(VLOOKUP(Frota!$B8,Premissas!$A$39:$E$43,4,0)))=0,"A","S"),"S")),IF(N(VLOOKUP(Frota!$B8,Premissas!$A$39:$E$43,4,0))&gt;0,IF(MOD(INT(Cron_Uso!V8/Frota!$L8)*Frota!$L8,N(VLOOKUP(Frota!$B8,Premissas!$A$39:$E$43,4,0)))=0,"A","S"),"S")),""))</f>
        <v/>
      </c>
      <c r="W8" s="16" t="str">
        <f aca="false">IF(Cron_Uso!W8="","",IF(INT(Cron_Uso!W8/Frota!$L8)&gt;INT(Cron_Uso!V8/Frota!$L8),IF(N(VLOOKUP(Frota!$B8,Premissas!$A$39:$E$43,5,0))&gt;0,IF(MOD(INT(Cron_Uso!W8/Frota!$L8)*Frota!$L8,N(VLOOKUP(Frota!$B8,Premissas!$A$39:$E$43,5,0)))=0,"B",IF(N(VLOOKUP(Frota!$B8,Premissas!$A$39:$E$43,4,0))&gt;0,IF(MOD(INT(Cron_Uso!W8/Frota!$L8)*Frota!$L8,N(VLOOKUP(Frota!$B8,Premissas!$A$39:$E$43,4,0)))=0,"A","S"),"S")),IF(N(VLOOKUP(Frota!$B8,Premissas!$A$39:$E$43,4,0))&gt;0,IF(MOD(INT(Cron_Uso!W8/Frota!$L8)*Frota!$L8,N(VLOOKUP(Frota!$B8,Premissas!$A$39:$E$43,4,0)))=0,"A","S"),"S")),""))</f>
        <v>S</v>
      </c>
      <c r="X8" s="16" t="str">
        <f aca="false">IF(Cron_Uso!X8="","",IF(INT(Cron_Uso!X8/Frota!$L8)&gt;INT(Cron_Uso!W8/Frota!$L8),IF(N(VLOOKUP(Frota!$B8,Premissas!$A$39:$E$43,5,0))&gt;0,IF(MOD(INT(Cron_Uso!X8/Frota!$L8)*Frota!$L8,N(VLOOKUP(Frota!$B8,Premissas!$A$39:$E$43,5,0)))=0,"B",IF(N(VLOOKUP(Frota!$B8,Premissas!$A$39:$E$43,4,0))&gt;0,IF(MOD(INT(Cron_Uso!X8/Frota!$L8)*Frota!$L8,N(VLOOKUP(Frota!$B8,Premissas!$A$39:$E$43,4,0)))=0,"A","S"),"S")),IF(N(VLOOKUP(Frota!$B8,Premissas!$A$39:$E$43,4,0))&gt;0,IF(MOD(INT(Cron_Uso!X8/Frota!$L8)*Frota!$L8,N(VLOOKUP(Frota!$B8,Premissas!$A$39:$E$43,4,0)))=0,"A","S"),"S")),""))</f>
        <v/>
      </c>
      <c r="Y8" s="16" t="str">
        <f aca="false">IF(Cron_Uso!Y8="","",IF(INT(Cron_Uso!Y8/Frota!$L8)&gt;INT(Cron_Uso!X8/Frota!$L8),IF(N(VLOOKUP(Frota!$B8,Premissas!$A$39:$E$43,5,0))&gt;0,IF(MOD(INT(Cron_Uso!Y8/Frota!$L8)*Frota!$L8,N(VLOOKUP(Frota!$B8,Premissas!$A$39:$E$43,5,0)))=0,"B",IF(N(VLOOKUP(Frota!$B8,Premissas!$A$39:$E$43,4,0))&gt;0,IF(MOD(INT(Cron_Uso!Y8/Frota!$L8)*Frota!$L8,N(VLOOKUP(Frota!$B8,Premissas!$A$39:$E$43,4,0)))=0,"A","S"),"S")),IF(N(VLOOKUP(Frota!$B8,Premissas!$A$39:$E$43,4,0))&gt;0,IF(MOD(INT(Cron_Uso!Y8/Frota!$L8)*Frota!$L8,N(VLOOKUP(Frota!$B8,Premissas!$A$39:$E$43,4,0)))=0,"A","S"),"S")),""))</f>
        <v/>
      </c>
      <c r="Z8" s="16" t="str">
        <f aca="false">IF(Cron_Uso!Z8="","",IF(INT(Cron_Uso!Z8/Frota!$L8)&gt;INT(Cron_Uso!Y8/Frota!$L8),IF(N(VLOOKUP(Frota!$B8,Premissas!$A$39:$E$43,5,0))&gt;0,IF(MOD(INT(Cron_Uso!Z8/Frota!$L8)*Frota!$L8,N(VLOOKUP(Frota!$B8,Premissas!$A$39:$E$43,5,0)))=0,"B",IF(N(VLOOKUP(Frota!$B8,Premissas!$A$39:$E$43,4,0))&gt;0,IF(MOD(INT(Cron_Uso!Z8/Frota!$L8)*Frota!$L8,N(VLOOKUP(Frota!$B8,Premissas!$A$39:$E$43,4,0)))=0,"A","S"),"S")),IF(N(VLOOKUP(Frota!$B8,Premissas!$A$39:$E$43,4,0))&gt;0,IF(MOD(INT(Cron_Uso!Z8/Frota!$L8)*Frota!$L8,N(VLOOKUP(Frota!$B8,Premissas!$A$39:$E$43,4,0)))=0,"A","S"),"S")),""))</f>
        <v/>
      </c>
      <c r="AA8" s="16" t="str">
        <f aca="false">IF(Cron_Uso!AA8="","",IF(INT(Cron_Uso!AA8/Frota!$L8)&gt;INT(Cron_Uso!Z8/Frota!$L8),IF(N(VLOOKUP(Frota!$B8,Premissas!$A$39:$E$43,5,0))&gt;0,IF(MOD(INT(Cron_Uso!AA8/Frota!$L8)*Frota!$L8,N(VLOOKUP(Frota!$B8,Premissas!$A$39:$E$43,5,0)))=0,"B",IF(N(VLOOKUP(Frota!$B8,Premissas!$A$39:$E$43,4,0))&gt;0,IF(MOD(INT(Cron_Uso!AA8/Frota!$L8)*Frota!$L8,N(VLOOKUP(Frota!$B8,Premissas!$A$39:$E$43,4,0)))=0,"A","S"),"S")),IF(N(VLOOKUP(Frota!$B8,Premissas!$A$39:$E$43,4,0))&gt;0,IF(MOD(INT(Cron_Uso!AA8/Frota!$L8)*Frota!$L8,N(VLOOKUP(Frota!$B8,Premissas!$A$39:$E$43,4,0)))=0,"A","S"),"S")),""))</f>
        <v/>
      </c>
      <c r="AB8" s="16" t="str">
        <f aca="false">IF(Cron_Uso!AB8="","",IF(INT(Cron_Uso!AB8/Frota!$L8)&gt;INT(Cron_Uso!AA8/Frota!$L8),IF(N(VLOOKUP(Frota!$B8,Premissas!$A$39:$E$43,5,0))&gt;0,IF(MOD(INT(Cron_Uso!AB8/Frota!$L8)*Frota!$L8,N(VLOOKUP(Frota!$B8,Premissas!$A$39:$E$43,5,0)))=0,"B",IF(N(VLOOKUP(Frota!$B8,Premissas!$A$39:$E$43,4,0))&gt;0,IF(MOD(INT(Cron_Uso!AB8/Frota!$L8)*Frota!$L8,N(VLOOKUP(Frota!$B8,Premissas!$A$39:$E$43,4,0)))=0,"A","S"),"S")),IF(N(VLOOKUP(Frota!$B8,Premissas!$A$39:$E$43,4,0))&gt;0,IF(MOD(INT(Cron_Uso!AB8/Frota!$L8)*Frota!$L8,N(VLOOKUP(Frota!$B8,Premissas!$A$39:$E$43,4,0)))=0,"A","S"),"S")),""))</f>
        <v/>
      </c>
      <c r="AC8" s="16" t="str">
        <f aca="false">IF(Cron_Uso!AC8="","",IF(INT(Cron_Uso!AC8/Frota!$L8)&gt;INT(Cron_Uso!AB8/Frota!$L8),IF(N(VLOOKUP(Frota!$B8,Premissas!$A$39:$E$43,5,0))&gt;0,IF(MOD(INT(Cron_Uso!AC8/Frota!$L8)*Frota!$L8,N(VLOOKUP(Frota!$B8,Premissas!$A$39:$E$43,5,0)))=0,"B",IF(N(VLOOKUP(Frota!$B8,Premissas!$A$39:$E$43,4,0))&gt;0,IF(MOD(INT(Cron_Uso!AC8/Frota!$L8)*Frota!$L8,N(VLOOKUP(Frota!$B8,Premissas!$A$39:$E$43,4,0)))=0,"A","S"),"S")),IF(N(VLOOKUP(Frota!$B8,Premissas!$A$39:$E$43,4,0))&gt;0,IF(MOD(INT(Cron_Uso!AC8/Frota!$L8)*Frota!$L8,N(VLOOKUP(Frota!$B8,Premissas!$A$39:$E$43,4,0)))=0,"A","S"),"S")),""))</f>
        <v>A</v>
      </c>
      <c r="AD8" s="16" t="str">
        <f aca="false">IF(Cron_Uso!AD8="","",IF(INT(Cron_Uso!AD8/Frota!$L8)&gt;INT(Cron_Uso!AC8/Frota!$L8),IF(N(VLOOKUP(Frota!$B8,Premissas!$A$39:$E$43,5,0))&gt;0,IF(MOD(INT(Cron_Uso!AD8/Frota!$L8)*Frota!$L8,N(VLOOKUP(Frota!$B8,Premissas!$A$39:$E$43,5,0)))=0,"B",IF(N(VLOOKUP(Frota!$B8,Premissas!$A$39:$E$43,4,0))&gt;0,IF(MOD(INT(Cron_Uso!AD8/Frota!$L8)*Frota!$L8,N(VLOOKUP(Frota!$B8,Premissas!$A$39:$E$43,4,0)))=0,"A","S"),"S")),IF(N(VLOOKUP(Frota!$B8,Premissas!$A$39:$E$43,4,0))&gt;0,IF(MOD(INT(Cron_Uso!AD8/Frota!$L8)*Frota!$L8,N(VLOOKUP(Frota!$B8,Premissas!$A$39:$E$43,4,0)))=0,"A","S"),"S")),""))</f>
        <v/>
      </c>
      <c r="AE8" s="16" t="str">
        <f aca="false">IF(Cron_Uso!AE8="","",IF(INT(Cron_Uso!AE8/Frota!$L8)&gt;INT(Cron_Uso!AD8/Frota!$L8),IF(N(VLOOKUP(Frota!$B8,Premissas!$A$39:$E$43,5,0))&gt;0,IF(MOD(INT(Cron_Uso!AE8/Frota!$L8)*Frota!$L8,N(VLOOKUP(Frota!$B8,Premissas!$A$39:$E$43,5,0)))=0,"B",IF(N(VLOOKUP(Frota!$B8,Premissas!$A$39:$E$43,4,0))&gt;0,IF(MOD(INT(Cron_Uso!AE8/Frota!$L8)*Frota!$L8,N(VLOOKUP(Frota!$B8,Premissas!$A$39:$E$43,4,0)))=0,"A","S"),"S")),IF(N(VLOOKUP(Frota!$B8,Premissas!$A$39:$E$43,4,0))&gt;0,IF(MOD(INT(Cron_Uso!AE8/Frota!$L8)*Frota!$L8,N(VLOOKUP(Frota!$B8,Premissas!$A$39:$E$43,4,0)))=0,"A","S"),"S")),""))</f>
        <v/>
      </c>
      <c r="AF8" s="16" t="str">
        <f aca="false">IF(Cron_Uso!AF8="","",IF(INT(Cron_Uso!AF8/Frota!$L8)&gt;INT(Cron_Uso!AE8/Frota!$L8),IF(N(VLOOKUP(Frota!$B8,Premissas!$A$39:$E$43,5,0))&gt;0,IF(MOD(INT(Cron_Uso!AF8/Frota!$L8)*Frota!$L8,N(VLOOKUP(Frota!$B8,Premissas!$A$39:$E$43,5,0)))=0,"B",IF(N(VLOOKUP(Frota!$B8,Premissas!$A$39:$E$43,4,0))&gt;0,IF(MOD(INT(Cron_Uso!AF8/Frota!$L8)*Frota!$L8,N(VLOOKUP(Frota!$B8,Premissas!$A$39:$E$43,4,0)))=0,"A","S"),"S")),IF(N(VLOOKUP(Frota!$B8,Premissas!$A$39:$E$43,4,0))&gt;0,IF(MOD(INT(Cron_Uso!AF8/Frota!$L8)*Frota!$L8,N(VLOOKUP(Frota!$B8,Premissas!$A$39:$E$43,4,0)))=0,"A","S"),"S")),""))</f>
        <v/>
      </c>
      <c r="AG8" s="16" t="str">
        <f aca="false">IF(Cron_Uso!AG8="","",IF(INT(Cron_Uso!AG8/Frota!$L8)&gt;INT(Cron_Uso!AF8/Frota!$L8),IF(N(VLOOKUP(Frota!$B8,Premissas!$A$39:$E$43,5,0))&gt;0,IF(MOD(INT(Cron_Uso!AG8/Frota!$L8)*Frota!$L8,N(VLOOKUP(Frota!$B8,Premissas!$A$39:$E$43,5,0)))=0,"B",IF(N(VLOOKUP(Frota!$B8,Premissas!$A$39:$E$43,4,0))&gt;0,IF(MOD(INT(Cron_Uso!AG8/Frota!$L8)*Frota!$L8,N(VLOOKUP(Frota!$B8,Premissas!$A$39:$E$43,4,0)))=0,"A","S"),"S")),IF(N(VLOOKUP(Frota!$B8,Premissas!$A$39:$E$43,4,0))&gt;0,IF(MOD(INT(Cron_Uso!AG8/Frota!$L8)*Frota!$L8,N(VLOOKUP(Frota!$B8,Premissas!$A$39:$E$43,4,0)))=0,"A","S"),"S")),""))</f>
        <v/>
      </c>
      <c r="AH8" s="16" t="str">
        <f aca="false">IF(Cron_Uso!AH8="","",IF(INT(Cron_Uso!AH8/Frota!$L8)&gt;INT(Cron_Uso!AG8/Frota!$L8),IF(N(VLOOKUP(Frota!$B8,Premissas!$A$39:$E$43,5,0))&gt;0,IF(MOD(INT(Cron_Uso!AH8/Frota!$L8)*Frota!$L8,N(VLOOKUP(Frota!$B8,Premissas!$A$39:$E$43,5,0)))=0,"B",IF(N(VLOOKUP(Frota!$B8,Premissas!$A$39:$E$43,4,0))&gt;0,IF(MOD(INT(Cron_Uso!AH8/Frota!$L8)*Frota!$L8,N(VLOOKUP(Frota!$B8,Premissas!$A$39:$E$43,4,0)))=0,"A","S"),"S")),IF(N(VLOOKUP(Frota!$B8,Premissas!$A$39:$E$43,4,0))&gt;0,IF(MOD(INT(Cron_Uso!AH8/Frota!$L8)*Frota!$L8,N(VLOOKUP(Frota!$B8,Premissas!$A$39:$E$43,4,0)))=0,"A","S"),"S")),""))</f>
        <v>S</v>
      </c>
      <c r="AI8" s="16" t="str">
        <f aca="false">IF(Cron_Uso!AI8="","",IF(INT(Cron_Uso!AI8/Frota!$L8)&gt;INT(Cron_Uso!AH8/Frota!$L8),IF(N(VLOOKUP(Frota!$B8,Premissas!$A$39:$E$43,5,0))&gt;0,IF(MOD(INT(Cron_Uso!AI8/Frota!$L8)*Frota!$L8,N(VLOOKUP(Frota!$B8,Premissas!$A$39:$E$43,5,0)))=0,"B",IF(N(VLOOKUP(Frota!$B8,Premissas!$A$39:$E$43,4,0))&gt;0,IF(MOD(INT(Cron_Uso!AI8/Frota!$L8)*Frota!$L8,N(VLOOKUP(Frota!$B8,Premissas!$A$39:$E$43,4,0)))=0,"A","S"),"S")),IF(N(VLOOKUP(Frota!$B8,Premissas!$A$39:$E$43,4,0))&gt;0,IF(MOD(INT(Cron_Uso!AI8/Frota!$L8)*Frota!$L8,N(VLOOKUP(Frota!$B8,Premissas!$A$39:$E$43,4,0)))=0,"A","S"),"S")),""))</f>
        <v/>
      </c>
      <c r="AJ8" s="16" t="str">
        <f aca="false">IF(Cron_Uso!AJ8="","",IF(INT(Cron_Uso!AJ8/Frota!$L8)&gt;INT(Cron_Uso!AI8/Frota!$L8),IF(N(VLOOKUP(Frota!$B8,Premissas!$A$39:$E$43,5,0))&gt;0,IF(MOD(INT(Cron_Uso!AJ8/Frota!$L8)*Frota!$L8,N(VLOOKUP(Frota!$B8,Premissas!$A$39:$E$43,5,0)))=0,"B",IF(N(VLOOKUP(Frota!$B8,Premissas!$A$39:$E$43,4,0))&gt;0,IF(MOD(INT(Cron_Uso!AJ8/Frota!$L8)*Frota!$L8,N(VLOOKUP(Frota!$B8,Premissas!$A$39:$E$43,4,0)))=0,"A","S"),"S")),IF(N(VLOOKUP(Frota!$B8,Premissas!$A$39:$E$43,4,0))&gt;0,IF(MOD(INT(Cron_Uso!AJ8/Frota!$L8)*Frota!$L8,N(VLOOKUP(Frota!$B8,Premissas!$A$39:$E$43,4,0)))=0,"A","S"),"S")),""))</f>
        <v/>
      </c>
      <c r="AK8" s="16" t="str">
        <f aca="false">IF(Cron_Uso!AK8="","",IF(INT(Cron_Uso!AK8/Frota!$L8)&gt;INT(Cron_Uso!AJ8/Frota!$L8),IF(N(VLOOKUP(Frota!$B8,Premissas!$A$39:$E$43,5,0))&gt;0,IF(MOD(INT(Cron_Uso!AK8/Frota!$L8)*Frota!$L8,N(VLOOKUP(Frota!$B8,Premissas!$A$39:$E$43,5,0)))=0,"B",IF(N(VLOOKUP(Frota!$B8,Premissas!$A$39:$E$43,4,0))&gt;0,IF(MOD(INT(Cron_Uso!AK8/Frota!$L8)*Frota!$L8,N(VLOOKUP(Frota!$B8,Premissas!$A$39:$E$43,4,0)))=0,"A","S"),"S")),IF(N(VLOOKUP(Frota!$B8,Premissas!$A$39:$E$43,4,0))&gt;0,IF(MOD(INT(Cron_Uso!AK8/Frota!$L8)*Frota!$L8,N(VLOOKUP(Frota!$B8,Premissas!$A$39:$E$43,4,0)))=0,"A","S"),"S")),""))</f>
        <v/>
      </c>
      <c r="AL8" s="16" t="str">
        <f aca="false">IF(Cron_Uso!AL8="","",IF(INT(Cron_Uso!AL8/Frota!$L8)&gt;INT(Cron_Uso!AK8/Frota!$L8),IF(N(VLOOKUP(Frota!$B8,Premissas!$A$39:$E$43,5,0))&gt;0,IF(MOD(INT(Cron_Uso!AL8/Frota!$L8)*Frota!$L8,N(VLOOKUP(Frota!$B8,Premissas!$A$39:$E$43,5,0)))=0,"B",IF(N(VLOOKUP(Frota!$B8,Premissas!$A$39:$E$43,4,0))&gt;0,IF(MOD(INT(Cron_Uso!AL8/Frota!$L8)*Frota!$L8,N(VLOOKUP(Frota!$B8,Premissas!$A$39:$E$43,4,0)))=0,"A","S"),"S")),IF(N(VLOOKUP(Frota!$B8,Premissas!$A$39:$E$43,4,0))&gt;0,IF(MOD(INT(Cron_Uso!AL8/Frota!$L8)*Frota!$L8,N(VLOOKUP(Frota!$B8,Premissas!$A$39:$E$43,4,0)))=0,"A","S"),"S")),""))</f>
        <v/>
      </c>
      <c r="AM8" s="16" t="str">
        <f aca="false">IF(Cron_Uso!AM8="","",IF(INT(Cron_Uso!AM8/Frota!$L8)&gt;INT(Cron_Uso!AL8/Frota!$L8),IF(N(VLOOKUP(Frota!$B8,Premissas!$A$39:$E$43,5,0))&gt;0,IF(MOD(INT(Cron_Uso!AM8/Frota!$L8)*Frota!$L8,N(VLOOKUP(Frota!$B8,Premissas!$A$39:$E$43,5,0)))=0,"B",IF(N(VLOOKUP(Frota!$B8,Premissas!$A$39:$E$43,4,0))&gt;0,IF(MOD(INT(Cron_Uso!AM8/Frota!$L8)*Frota!$L8,N(VLOOKUP(Frota!$B8,Premissas!$A$39:$E$43,4,0)))=0,"A","S"),"S")),IF(N(VLOOKUP(Frota!$B8,Premissas!$A$39:$E$43,4,0))&gt;0,IF(MOD(INT(Cron_Uso!AM8/Frota!$L8)*Frota!$L8,N(VLOOKUP(Frota!$B8,Premissas!$A$39:$E$43,4,0)))=0,"A","S"),"S")),""))</f>
        <v/>
      </c>
      <c r="AN8" s="16" t="str">
        <f aca="false">IF(Cron_Uso!AN8="","",IF(INT(Cron_Uso!AN8/Frota!$L8)&gt;INT(Cron_Uso!AM8/Frota!$L8),IF(N(VLOOKUP(Frota!$B8,Premissas!$A$39:$E$43,5,0))&gt;0,IF(MOD(INT(Cron_Uso!AN8/Frota!$L8)*Frota!$L8,N(VLOOKUP(Frota!$B8,Premissas!$A$39:$E$43,5,0)))=0,"B",IF(N(VLOOKUP(Frota!$B8,Premissas!$A$39:$E$43,4,0))&gt;0,IF(MOD(INT(Cron_Uso!AN8/Frota!$L8)*Frota!$L8,N(VLOOKUP(Frota!$B8,Premissas!$A$39:$E$43,4,0)))=0,"A","S"),"S")),IF(N(VLOOKUP(Frota!$B8,Premissas!$A$39:$E$43,4,0))&gt;0,IF(MOD(INT(Cron_Uso!AN8/Frota!$L8)*Frota!$L8,N(VLOOKUP(Frota!$B8,Premissas!$A$39:$E$43,4,0)))=0,"A","S"),"S")),""))</f>
        <v/>
      </c>
      <c r="AO8" s="16" t="str">
        <f aca="false">IF(Cron_Uso!AO8="","",IF(INT(Cron_Uso!AO8/Frota!$L8)&gt;INT(Cron_Uso!AN8/Frota!$L8),IF(N(VLOOKUP(Frota!$B8,Premissas!$A$39:$E$43,5,0))&gt;0,IF(MOD(INT(Cron_Uso!AO8/Frota!$L8)*Frota!$L8,N(VLOOKUP(Frota!$B8,Premissas!$A$39:$E$43,5,0)))=0,"B",IF(N(VLOOKUP(Frota!$B8,Premissas!$A$39:$E$43,4,0))&gt;0,IF(MOD(INT(Cron_Uso!AO8/Frota!$L8)*Frota!$L8,N(VLOOKUP(Frota!$B8,Premissas!$A$39:$E$43,4,0)))=0,"A","S"),"S")),IF(N(VLOOKUP(Frota!$B8,Premissas!$A$39:$E$43,4,0))&gt;0,IF(MOD(INT(Cron_Uso!AO8/Frota!$L8)*Frota!$L8,N(VLOOKUP(Frota!$B8,Premissas!$A$39:$E$43,4,0)))=0,"A","S"),"S")),""))</f>
        <v/>
      </c>
      <c r="AP8" s="16" t="str">
        <f aca="false">IF(Cron_Uso!AP8="","",IF(INT(Cron_Uso!AP8/Frota!$L8)&gt;INT(Cron_Uso!AO8/Frota!$L8),IF(N(VLOOKUP(Frota!$B8,Premissas!$A$39:$E$43,5,0))&gt;0,IF(MOD(INT(Cron_Uso!AP8/Frota!$L8)*Frota!$L8,N(VLOOKUP(Frota!$B8,Premissas!$A$39:$E$43,5,0)))=0,"B",IF(N(VLOOKUP(Frota!$B8,Premissas!$A$39:$E$43,4,0))&gt;0,IF(MOD(INT(Cron_Uso!AP8/Frota!$L8)*Frota!$L8,N(VLOOKUP(Frota!$B8,Premissas!$A$39:$E$43,4,0)))=0,"A","S"),"S")),IF(N(VLOOKUP(Frota!$B8,Premissas!$A$39:$E$43,4,0))&gt;0,IF(MOD(INT(Cron_Uso!AP8/Frota!$L8)*Frota!$L8,N(VLOOKUP(Frota!$B8,Premissas!$A$39:$E$43,4,0)))=0,"A","S"),"S")),""))</f>
        <v/>
      </c>
      <c r="AQ8" s="16" t="str">
        <f aca="false">IF(Cron_Uso!AQ8="","",IF(INT(Cron_Uso!AQ8/Frota!$L8)&gt;INT(Cron_Uso!AP8/Frota!$L8),IF(N(VLOOKUP(Frota!$B8,Premissas!$A$39:$E$43,5,0))&gt;0,IF(MOD(INT(Cron_Uso!AQ8/Frota!$L8)*Frota!$L8,N(VLOOKUP(Frota!$B8,Premissas!$A$39:$E$43,5,0)))=0,"B",IF(N(VLOOKUP(Frota!$B8,Premissas!$A$39:$E$43,4,0))&gt;0,IF(MOD(INT(Cron_Uso!AQ8/Frota!$L8)*Frota!$L8,N(VLOOKUP(Frota!$B8,Premissas!$A$39:$E$43,4,0)))=0,"A","S"),"S")),IF(N(VLOOKUP(Frota!$B8,Premissas!$A$39:$E$43,4,0))&gt;0,IF(MOD(INT(Cron_Uso!AQ8/Frota!$L8)*Frota!$L8,N(VLOOKUP(Frota!$B8,Premissas!$A$39:$E$43,4,0)))=0,"A","S"),"S")),""))</f>
        <v/>
      </c>
      <c r="AR8" s="16" t="str">
        <f aca="false">IF(Cron_Uso!AR8="","",IF(INT(Cron_Uso!AR8/Frota!$L8)&gt;INT(Cron_Uso!AQ8/Frota!$L8),IF(N(VLOOKUP(Frota!$B8,Premissas!$A$39:$E$43,5,0))&gt;0,IF(MOD(INT(Cron_Uso!AR8/Frota!$L8)*Frota!$L8,N(VLOOKUP(Frota!$B8,Premissas!$A$39:$E$43,5,0)))=0,"B",IF(N(VLOOKUP(Frota!$B8,Premissas!$A$39:$E$43,4,0))&gt;0,IF(MOD(INT(Cron_Uso!AR8/Frota!$L8)*Frota!$L8,N(VLOOKUP(Frota!$B8,Premissas!$A$39:$E$43,4,0)))=0,"A","S"),"S")),IF(N(VLOOKUP(Frota!$B8,Premissas!$A$39:$E$43,4,0))&gt;0,IF(MOD(INT(Cron_Uso!AR8/Frota!$L8)*Frota!$L8,N(VLOOKUP(Frota!$B8,Premissas!$A$39:$E$43,4,0)))=0,"A","S"),"S")),""))</f>
        <v/>
      </c>
      <c r="AS8" s="16" t="str">
        <f aca="false">IF(Cron_Uso!AS8="","",IF(INT(Cron_Uso!AS8/Frota!$L8)&gt;INT(Cron_Uso!AR8/Frota!$L8),IF(N(VLOOKUP(Frota!$B8,Premissas!$A$39:$E$43,5,0))&gt;0,IF(MOD(INT(Cron_Uso!AS8/Frota!$L8)*Frota!$L8,N(VLOOKUP(Frota!$B8,Premissas!$A$39:$E$43,5,0)))=0,"B",IF(N(VLOOKUP(Frota!$B8,Premissas!$A$39:$E$43,4,0))&gt;0,IF(MOD(INT(Cron_Uso!AS8/Frota!$L8)*Frota!$L8,N(VLOOKUP(Frota!$B8,Premissas!$A$39:$E$43,4,0)))=0,"A","S"),"S")),IF(N(VLOOKUP(Frota!$B8,Premissas!$A$39:$E$43,4,0))&gt;0,IF(MOD(INT(Cron_Uso!AS8/Frota!$L8)*Frota!$L8,N(VLOOKUP(Frota!$B8,Premissas!$A$39:$E$43,4,0)))=0,"A","S"),"S")),""))</f>
        <v/>
      </c>
      <c r="AT8" s="16" t="str">
        <f aca="false">IF(Cron_Uso!AT8="","",IF(INT(Cron_Uso!AT8/Frota!$L8)&gt;INT(Cron_Uso!AS8/Frota!$L8),IF(N(VLOOKUP(Frota!$B8,Premissas!$A$39:$E$43,5,0))&gt;0,IF(MOD(INT(Cron_Uso!AT8/Frota!$L8)*Frota!$L8,N(VLOOKUP(Frota!$B8,Premissas!$A$39:$E$43,5,0)))=0,"B",IF(N(VLOOKUP(Frota!$B8,Premissas!$A$39:$E$43,4,0))&gt;0,IF(MOD(INT(Cron_Uso!AT8/Frota!$L8)*Frota!$L8,N(VLOOKUP(Frota!$B8,Premissas!$A$39:$E$43,4,0)))=0,"A","S"),"S")),IF(N(VLOOKUP(Frota!$B8,Premissas!$A$39:$E$43,4,0))&gt;0,IF(MOD(INT(Cron_Uso!AT8/Frota!$L8)*Frota!$L8,N(VLOOKUP(Frota!$B8,Premissas!$A$39:$E$43,4,0)))=0,"A","S"),"S")),""))</f>
        <v/>
      </c>
      <c r="AU8" s="16" t="str">
        <f aca="false">IF(Cron_Uso!AU8="","",IF(INT(Cron_Uso!AU8/Frota!$L8)&gt;INT(Cron_Uso!AT8/Frota!$L8),IF(N(VLOOKUP(Frota!$B8,Premissas!$A$39:$E$43,5,0))&gt;0,IF(MOD(INT(Cron_Uso!AU8/Frota!$L8)*Frota!$L8,N(VLOOKUP(Frota!$B8,Premissas!$A$39:$E$43,5,0)))=0,"B",IF(N(VLOOKUP(Frota!$B8,Premissas!$A$39:$E$43,4,0))&gt;0,IF(MOD(INT(Cron_Uso!AU8/Frota!$L8)*Frota!$L8,N(VLOOKUP(Frota!$B8,Premissas!$A$39:$E$43,4,0)))=0,"A","S"),"S")),IF(N(VLOOKUP(Frota!$B8,Premissas!$A$39:$E$43,4,0))&gt;0,IF(MOD(INT(Cron_Uso!AU8/Frota!$L8)*Frota!$L8,N(VLOOKUP(Frota!$B8,Premissas!$A$39:$E$43,4,0)))=0,"A","S"),"S")),""))</f>
        <v/>
      </c>
      <c r="AV8" s="16" t="str">
        <f aca="false">IF(Cron_Uso!AV8="","",IF(INT(Cron_Uso!AV8/Frota!$L8)&gt;INT(Cron_Uso!AU8/Frota!$L8),IF(N(VLOOKUP(Frota!$B8,Premissas!$A$39:$E$43,5,0))&gt;0,IF(MOD(INT(Cron_Uso!AV8/Frota!$L8)*Frota!$L8,N(VLOOKUP(Frota!$B8,Premissas!$A$39:$E$43,5,0)))=0,"B",IF(N(VLOOKUP(Frota!$B8,Premissas!$A$39:$E$43,4,0))&gt;0,IF(MOD(INT(Cron_Uso!AV8/Frota!$L8)*Frota!$L8,N(VLOOKUP(Frota!$B8,Premissas!$A$39:$E$43,4,0)))=0,"A","S"),"S")),IF(N(VLOOKUP(Frota!$B8,Premissas!$A$39:$E$43,4,0))&gt;0,IF(MOD(INT(Cron_Uso!AV8/Frota!$L8)*Frota!$L8,N(VLOOKUP(Frota!$B8,Premissas!$A$39:$E$43,4,0)))=0,"A","S"),"S")),""))</f>
        <v/>
      </c>
      <c r="AW8" s="16" t="str">
        <f aca="false">IF(Cron_Uso!AW8="","",IF(INT(Cron_Uso!AW8/Frota!$L8)&gt;INT(Cron_Uso!AV8/Frota!$L8),IF(N(VLOOKUP(Frota!$B8,Premissas!$A$39:$E$43,5,0))&gt;0,IF(MOD(INT(Cron_Uso!AW8/Frota!$L8)*Frota!$L8,N(VLOOKUP(Frota!$B8,Premissas!$A$39:$E$43,5,0)))=0,"B",IF(N(VLOOKUP(Frota!$B8,Premissas!$A$39:$E$43,4,0))&gt;0,IF(MOD(INT(Cron_Uso!AW8/Frota!$L8)*Frota!$L8,N(VLOOKUP(Frota!$B8,Premissas!$A$39:$E$43,4,0)))=0,"A","S"),"S")),IF(N(VLOOKUP(Frota!$B8,Premissas!$A$39:$E$43,4,0))&gt;0,IF(MOD(INT(Cron_Uso!AW8/Frota!$L8)*Frota!$L8,N(VLOOKUP(Frota!$B8,Premissas!$A$39:$E$43,4,0)))=0,"A","S"),"S")),""))</f>
        <v/>
      </c>
      <c r="AX8" s="16" t="str">
        <f aca="false">IF(Cron_Uso!AX8="","",IF(INT(Cron_Uso!AX8/Frota!$L8)&gt;INT(Cron_Uso!AW8/Frota!$L8),IF(N(VLOOKUP(Frota!$B8,Premissas!$A$39:$E$43,5,0))&gt;0,IF(MOD(INT(Cron_Uso!AX8/Frota!$L8)*Frota!$L8,N(VLOOKUP(Frota!$B8,Premissas!$A$39:$E$43,5,0)))=0,"B",IF(N(VLOOKUP(Frota!$B8,Premissas!$A$39:$E$43,4,0))&gt;0,IF(MOD(INT(Cron_Uso!AX8/Frota!$L8)*Frota!$L8,N(VLOOKUP(Frota!$B8,Premissas!$A$39:$E$43,4,0)))=0,"A","S"),"S")),IF(N(VLOOKUP(Frota!$B8,Premissas!$A$39:$E$43,4,0))&gt;0,IF(MOD(INT(Cron_Uso!AX8/Frota!$L8)*Frota!$L8,N(VLOOKUP(Frota!$B8,Premissas!$A$39:$E$43,4,0)))=0,"A","S"),"S")),""))</f>
        <v/>
      </c>
      <c r="AY8" s="16" t="str">
        <f aca="false">IF(Cron_Uso!AY8="","",IF(INT(Cron_Uso!AY8/Frota!$L8)&gt;INT(Cron_Uso!AX8/Frota!$L8),IF(N(VLOOKUP(Frota!$B8,Premissas!$A$39:$E$43,5,0))&gt;0,IF(MOD(INT(Cron_Uso!AY8/Frota!$L8)*Frota!$L8,N(VLOOKUP(Frota!$B8,Premissas!$A$39:$E$43,5,0)))=0,"B",IF(N(VLOOKUP(Frota!$B8,Premissas!$A$39:$E$43,4,0))&gt;0,IF(MOD(INT(Cron_Uso!AY8/Frota!$L8)*Frota!$L8,N(VLOOKUP(Frota!$B8,Premissas!$A$39:$E$43,4,0)))=0,"A","S"),"S")),IF(N(VLOOKUP(Frota!$B8,Premissas!$A$39:$E$43,4,0))&gt;0,IF(MOD(INT(Cron_Uso!AY8/Frota!$L8)*Frota!$L8,N(VLOOKUP(Frota!$B8,Premissas!$A$39:$E$43,4,0)))=0,"A","S"),"S")),""))</f>
        <v>B</v>
      </c>
      <c r="AZ8" s="16" t="str">
        <f aca="false">IF(Cron_Uso!AZ8="","",IF(INT(Cron_Uso!AZ8/Frota!$L8)&gt;INT(Cron_Uso!AY8/Frota!$L8),IF(N(VLOOKUP(Frota!$B8,Premissas!$A$39:$E$43,5,0))&gt;0,IF(MOD(INT(Cron_Uso!AZ8/Frota!$L8)*Frota!$L8,N(VLOOKUP(Frota!$B8,Premissas!$A$39:$E$43,5,0)))=0,"B",IF(N(VLOOKUP(Frota!$B8,Premissas!$A$39:$E$43,4,0))&gt;0,IF(MOD(INT(Cron_Uso!AZ8/Frota!$L8)*Frota!$L8,N(VLOOKUP(Frota!$B8,Premissas!$A$39:$E$43,4,0)))=0,"A","S"),"S")),IF(N(VLOOKUP(Frota!$B8,Premissas!$A$39:$E$43,4,0))&gt;0,IF(MOD(INT(Cron_Uso!AZ8/Frota!$L8)*Frota!$L8,N(VLOOKUP(Frota!$B8,Premissas!$A$39:$E$43,4,0)))=0,"A","S"),"S")),""))</f>
        <v/>
      </c>
      <c r="BA8" s="16" t="str">
        <f aca="false">IF(Cron_Uso!BA8="","",IF(INT(Cron_Uso!BA8/Frota!$L8)&gt;INT(Cron_Uso!AZ8/Frota!$L8),IF(N(VLOOKUP(Frota!$B8,Premissas!$A$39:$E$43,5,0))&gt;0,IF(MOD(INT(Cron_Uso!BA8/Frota!$L8)*Frota!$L8,N(VLOOKUP(Frota!$B8,Premissas!$A$39:$E$43,5,0)))=0,"B",IF(N(VLOOKUP(Frota!$B8,Premissas!$A$39:$E$43,4,0))&gt;0,IF(MOD(INT(Cron_Uso!BA8/Frota!$L8)*Frota!$L8,N(VLOOKUP(Frota!$B8,Premissas!$A$39:$E$43,4,0)))=0,"A","S"),"S")),IF(N(VLOOKUP(Frota!$B8,Premissas!$A$39:$E$43,4,0))&gt;0,IF(MOD(INT(Cron_Uso!BA8/Frota!$L8)*Frota!$L8,N(VLOOKUP(Frota!$B8,Premissas!$A$39:$E$43,4,0)))=0,"A","S"),"S")),""))</f>
        <v/>
      </c>
    </row>
    <row r="9" customFormat="false" ht="15" hidden="false" customHeight="false" outlineLevel="0" collapsed="false">
      <c r="A9" s="6" t="str">
        <f aca="false">IF(Frota!$A9="","",Frota!$A9)</f>
        <v>Trator NH T7.315 — 401</v>
      </c>
      <c r="B9" s="16" t="str">
        <f aca="false">IF(Cron_Uso!B9="","",IF(INT(Cron_Uso!B9/Frota!$L9)&gt;INT(Frota!$I9/Frota!$L9),IF(N(VLOOKUP(Frota!$B9,Premissas!$A$39:$E$43,5,0))&gt;0,IF(MOD(INT(Cron_Uso!B9/Frota!$L9)*Frota!$L9,N(VLOOKUP(Frota!$B9,Premissas!$A$39:$E$43,5,0)))=0,"B",IF(N(VLOOKUP(Frota!$B9,Premissas!$A$39:$E$43,4,0))&gt;0,IF(MOD(INT(Cron_Uso!B9/Frota!$L9)*Frota!$L9,N(VLOOKUP(Frota!$B9,Premissas!$A$39:$E$43,4,0)))=0,"A","S"),"S")),IF(N(VLOOKUP(Frota!$B9,Premissas!$A$39:$E$43,4,0))&gt;0,IF(MOD(INT(Cron_Uso!B9/Frota!$L9)*Frota!$L9,N(VLOOKUP(Frota!$B9,Premissas!$A$39:$E$43,4,0)))=0,"A","S"),"S")),""))</f>
        <v>S</v>
      </c>
      <c r="C9" s="16" t="str">
        <f aca="false">IF(Cron_Uso!C9="","",IF(INT(Cron_Uso!C9/Frota!$L9)&gt;INT(Cron_Uso!B9/Frota!$L9),IF(N(VLOOKUP(Frota!$B9,Premissas!$A$39:$E$43,5,0))&gt;0,IF(MOD(INT(Cron_Uso!C9/Frota!$L9)*Frota!$L9,N(VLOOKUP(Frota!$B9,Premissas!$A$39:$E$43,5,0)))=0,"B",IF(N(VLOOKUP(Frota!$B9,Premissas!$A$39:$E$43,4,0))&gt;0,IF(MOD(INT(Cron_Uso!C9/Frota!$L9)*Frota!$L9,N(VLOOKUP(Frota!$B9,Premissas!$A$39:$E$43,4,0)))=0,"A","S"),"S")),IF(N(VLOOKUP(Frota!$B9,Premissas!$A$39:$E$43,4,0))&gt;0,IF(MOD(INT(Cron_Uso!C9/Frota!$L9)*Frota!$L9,N(VLOOKUP(Frota!$B9,Premissas!$A$39:$E$43,4,0)))=0,"A","S"),"S")),""))</f>
        <v/>
      </c>
      <c r="D9" s="16" t="str">
        <f aca="false">IF(Cron_Uso!D9="","",IF(INT(Cron_Uso!D9/Frota!$L9)&gt;INT(Cron_Uso!C9/Frota!$L9),IF(N(VLOOKUP(Frota!$B9,Premissas!$A$39:$E$43,5,0))&gt;0,IF(MOD(INT(Cron_Uso!D9/Frota!$L9)*Frota!$L9,N(VLOOKUP(Frota!$B9,Premissas!$A$39:$E$43,5,0)))=0,"B",IF(N(VLOOKUP(Frota!$B9,Premissas!$A$39:$E$43,4,0))&gt;0,IF(MOD(INT(Cron_Uso!D9/Frota!$L9)*Frota!$L9,N(VLOOKUP(Frota!$B9,Premissas!$A$39:$E$43,4,0)))=0,"A","S"),"S")),IF(N(VLOOKUP(Frota!$B9,Premissas!$A$39:$E$43,4,0))&gt;0,IF(MOD(INT(Cron_Uso!D9/Frota!$L9)*Frota!$L9,N(VLOOKUP(Frota!$B9,Premissas!$A$39:$E$43,4,0)))=0,"A","S"),"S")),""))</f>
        <v/>
      </c>
      <c r="E9" s="16" t="str">
        <f aca="false">IF(Cron_Uso!E9="","",IF(INT(Cron_Uso!E9/Frota!$L9)&gt;INT(Cron_Uso!D9/Frota!$L9),IF(N(VLOOKUP(Frota!$B9,Premissas!$A$39:$E$43,5,0))&gt;0,IF(MOD(INT(Cron_Uso!E9/Frota!$L9)*Frota!$L9,N(VLOOKUP(Frota!$B9,Premissas!$A$39:$E$43,5,0)))=0,"B",IF(N(VLOOKUP(Frota!$B9,Premissas!$A$39:$E$43,4,0))&gt;0,IF(MOD(INT(Cron_Uso!E9/Frota!$L9)*Frota!$L9,N(VLOOKUP(Frota!$B9,Premissas!$A$39:$E$43,4,0)))=0,"A","S"),"S")),IF(N(VLOOKUP(Frota!$B9,Premissas!$A$39:$E$43,4,0))&gt;0,IF(MOD(INT(Cron_Uso!E9/Frota!$L9)*Frota!$L9,N(VLOOKUP(Frota!$B9,Premissas!$A$39:$E$43,4,0)))=0,"A","S"),"S")),""))</f>
        <v/>
      </c>
      <c r="F9" s="16" t="str">
        <f aca="false">IF(Cron_Uso!F9="","",IF(INT(Cron_Uso!F9/Frota!$L9)&gt;INT(Cron_Uso!E9/Frota!$L9),IF(N(VLOOKUP(Frota!$B9,Premissas!$A$39:$E$43,5,0))&gt;0,IF(MOD(INT(Cron_Uso!F9/Frota!$L9)*Frota!$L9,N(VLOOKUP(Frota!$B9,Premissas!$A$39:$E$43,5,0)))=0,"B",IF(N(VLOOKUP(Frota!$B9,Premissas!$A$39:$E$43,4,0))&gt;0,IF(MOD(INT(Cron_Uso!F9/Frota!$L9)*Frota!$L9,N(VLOOKUP(Frota!$B9,Premissas!$A$39:$E$43,4,0)))=0,"A","S"),"S")),IF(N(VLOOKUP(Frota!$B9,Premissas!$A$39:$E$43,4,0))&gt;0,IF(MOD(INT(Cron_Uso!F9/Frota!$L9)*Frota!$L9,N(VLOOKUP(Frota!$B9,Premissas!$A$39:$E$43,4,0)))=0,"A","S"),"S")),""))</f>
        <v/>
      </c>
      <c r="G9" s="16" t="str">
        <f aca="false">IF(Cron_Uso!G9="","",IF(INT(Cron_Uso!G9/Frota!$L9)&gt;INT(Cron_Uso!F9/Frota!$L9),IF(N(VLOOKUP(Frota!$B9,Premissas!$A$39:$E$43,5,0))&gt;0,IF(MOD(INT(Cron_Uso!G9/Frota!$L9)*Frota!$L9,N(VLOOKUP(Frota!$B9,Premissas!$A$39:$E$43,5,0)))=0,"B",IF(N(VLOOKUP(Frota!$B9,Premissas!$A$39:$E$43,4,0))&gt;0,IF(MOD(INT(Cron_Uso!G9/Frota!$L9)*Frota!$L9,N(VLOOKUP(Frota!$B9,Premissas!$A$39:$E$43,4,0)))=0,"A","S"),"S")),IF(N(VLOOKUP(Frota!$B9,Premissas!$A$39:$E$43,4,0))&gt;0,IF(MOD(INT(Cron_Uso!G9/Frota!$L9)*Frota!$L9,N(VLOOKUP(Frota!$B9,Premissas!$A$39:$E$43,4,0)))=0,"A","S"),"S")),""))</f>
        <v>A</v>
      </c>
      <c r="H9" s="16" t="str">
        <f aca="false">IF(Cron_Uso!H9="","",IF(INT(Cron_Uso!H9/Frota!$L9)&gt;INT(Cron_Uso!G9/Frota!$L9),IF(N(VLOOKUP(Frota!$B9,Premissas!$A$39:$E$43,5,0))&gt;0,IF(MOD(INT(Cron_Uso!H9/Frota!$L9)*Frota!$L9,N(VLOOKUP(Frota!$B9,Premissas!$A$39:$E$43,5,0)))=0,"B",IF(N(VLOOKUP(Frota!$B9,Premissas!$A$39:$E$43,4,0))&gt;0,IF(MOD(INT(Cron_Uso!H9/Frota!$L9)*Frota!$L9,N(VLOOKUP(Frota!$B9,Premissas!$A$39:$E$43,4,0)))=0,"A","S"),"S")),IF(N(VLOOKUP(Frota!$B9,Premissas!$A$39:$E$43,4,0))&gt;0,IF(MOD(INT(Cron_Uso!H9/Frota!$L9)*Frota!$L9,N(VLOOKUP(Frota!$B9,Premissas!$A$39:$E$43,4,0)))=0,"A","S"),"S")),""))</f>
        <v/>
      </c>
      <c r="I9" s="16" t="str">
        <f aca="false">IF(Cron_Uso!I9="","",IF(INT(Cron_Uso!I9/Frota!$L9)&gt;INT(Cron_Uso!H9/Frota!$L9),IF(N(VLOOKUP(Frota!$B9,Premissas!$A$39:$E$43,5,0))&gt;0,IF(MOD(INT(Cron_Uso!I9/Frota!$L9)*Frota!$L9,N(VLOOKUP(Frota!$B9,Premissas!$A$39:$E$43,5,0)))=0,"B",IF(N(VLOOKUP(Frota!$B9,Premissas!$A$39:$E$43,4,0))&gt;0,IF(MOD(INT(Cron_Uso!I9/Frota!$L9)*Frota!$L9,N(VLOOKUP(Frota!$B9,Premissas!$A$39:$E$43,4,0)))=0,"A","S"),"S")),IF(N(VLOOKUP(Frota!$B9,Premissas!$A$39:$E$43,4,0))&gt;0,IF(MOD(INT(Cron_Uso!I9/Frota!$L9)*Frota!$L9,N(VLOOKUP(Frota!$B9,Premissas!$A$39:$E$43,4,0)))=0,"A","S"),"S")),""))</f>
        <v/>
      </c>
      <c r="J9" s="16" t="str">
        <f aca="false">IF(Cron_Uso!J9="","",IF(INT(Cron_Uso!J9/Frota!$L9)&gt;INT(Cron_Uso!I9/Frota!$L9),IF(N(VLOOKUP(Frota!$B9,Premissas!$A$39:$E$43,5,0))&gt;0,IF(MOD(INT(Cron_Uso!J9/Frota!$L9)*Frota!$L9,N(VLOOKUP(Frota!$B9,Premissas!$A$39:$E$43,5,0)))=0,"B",IF(N(VLOOKUP(Frota!$B9,Premissas!$A$39:$E$43,4,0))&gt;0,IF(MOD(INT(Cron_Uso!J9/Frota!$L9)*Frota!$L9,N(VLOOKUP(Frota!$B9,Premissas!$A$39:$E$43,4,0)))=0,"A","S"),"S")),IF(N(VLOOKUP(Frota!$B9,Premissas!$A$39:$E$43,4,0))&gt;0,IF(MOD(INT(Cron_Uso!J9/Frota!$L9)*Frota!$L9,N(VLOOKUP(Frota!$B9,Premissas!$A$39:$E$43,4,0)))=0,"A","S"),"S")),""))</f>
        <v/>
      </c>
      <c r="K9" s="16" t="str">
        <f aca="false">IF(Cron_Uso!K9="","",IF(INT(Cron_Uso!K9/Frota!$L9)&gt;INT(Cron_Uso!J9/Frota!$L9),IF(N(VLOOKUP(Frota!$B9,Premissas!$A$39:$E$43,5,0))&gt;0,IF(MOD(INT(Cron_Uso!K9/Frota!$L9)*Frota!$L9,N(VLOOKUP(Frota!$B9,Premissas!$A$39:$E$43,5,0)))=0,"B",IF(N(VLOOKUP(Frota!$B9,Premissas!$A$39:$E$43,4,0))&gt;0,IF(MOD(INT(Cron_Uso!K9/Frota!$L9)*Frota!$L9,N(VLOOKUP(Frota!$B9,Premissas!$A$39:$E$43,4,0)))=0,"A","S"),"S")),IF(N(VLOOKUP(Frota!$B9,Premissas!$A$39:$E$43,4,0))&gt;0,IF(MOD(INT(Cron_Uso!K9/Frota!$L9)*Frota!$L9,N(VLOOKUP(Frota!$B9,Premissas!$A$39:$E$43,4,0)))=0,"A","S"),"S")),""))</f>
        <v/>
      </c>
      <c r="L9" s="16" t="str">
        <f aca="false">IF(Cron_Uso!L9="","",IF(INT(Cron_Uso!L9/Frota!$L9)&gt;INT(Cron_Uso!K9/Frota!$L9),IF(N(VLOOKUP(Frota!$B9,Premissas!$A$39:$E$43,5,0))&gt;0,IF(MOD(INT(Cron_Uso!L9/Frota!$L9)*Frota!$L9,N(VLOOKUP(Frota!$B9,Premissas!$A$39:$E$43,5,0)))=0,"B",IF(N(VLOOKUP(Frota!$B9,Premissas!$A$39:$E$43,4,0))&gt;0,IF(MOD(INT(Cron_Uso!L9/Frota!$L9)*Frota!$L9,N(VLOOKUP(Frota!$B9,Premissas!$A$39:$E$43,4,0)))=0,"A","S"),"S")),IF(N(VLOOKUP(Frota!$B9,Premissas!$A$39:$E$43,4,0))&gt;0,IF(MOD(INT(Cron_Uso!L9/Frota!$L9)*Frota!$L9,N(VLOOKUP(Frota!$B9,Premissas!$A$39:$E$43,4,0)))=0,"A","S"),"S")),""))</f>
        <v>S</v>
      </c>
      <c r="M9" s="16" t="str">
        <f aca="false">IF(Cron_Uso!M9="","",IF(INT(Cron_Uso!M9/Frota!$L9)&gt;INT(Cron_Uso!L9/Frota!$L9),IF(N(VLOOKUP(Frota!$B9,Premissas!$A$39:$E$43,5,0))&gt;0,IF(MOD(INT(Cron_Uso!M9/Frota!$L9)*Frota!$L9,N(VLOOKUP(Frota!$B9,Premissas!$A$39:$E$43,5,0)))=0,"B",IF(N(VLOOKUP(Frota!$B9,Premissas!$A$39:$E$43,4,0))&gt;0,IF(MOD(INT(Cron_Uso!M9/Frota!$L9)*Frota!$L9,N(VLOOKUP(Frota!$B9,Premissas!$A$39:$E$43,4,0)))=0,"A","S"),"S")),IF(N(VLOOKUP(Frota!$B9,Premissas!$A$39:$E$43,4,0))&gt;0,IF(MOD(INT(Cron_Uso!M9/Frota!$L9)*Frota!$L9,N(VLOOKUP(Frota!$B9,Premissas!$A$39:$E$43,4,0)))=0,"A","S"),"S")),""))</f>
        <v/>
      </c>
      <c r="N9" s="16" t="str">
        <f aca="false">IF(Cron_Uso!N9="","",IF(INT(Cron_Uso!N9/Frota!$L9)&gt;INT(Cron_Uso!M9/Frota!$L9),IF(N(VLOOKUP(Frota!$B9,Premissas!$A$39:$E$43,5,0))&gt;0,IF(MOD(INT(Cron_Uso!N9/Frota!$L9)*Frota!$L9,N(VLOOKUP(Frota!$B9,Premissas!$A$39:$E$43,5,0)))=0,"B",IF(N(VLOOKUP(Frota!$B9,Premissas!$A$39:$E$43,4,0))&gt;0,IF(MOD(INT(Cron_Uso!N9/Frota!$L9)*Frota!$L9,N(VLOOKUP(Frota!$B9,Premissas!$A$39:$E$43,4,0)))=0,"A","S"),"S")),IF(N(VLOOKUP(Frota!$B9,Premissas!$A$39:$E$43,4,0))&gt;0,IF(MOD(INT(Cron_Uso!N9/Frota!$L9)*Frota!$L9,N(VLOOKUP(Frota!$B9,Premissas!$A$39:$E$43,4,0)))=0,"A","S"),"S")),""))</f>
        <v/>
      </c>
      <c r="O9" s="16" t="str">
        <f aca="false">IF(Cron_Uso!O9="","",IF(INT(Cron_Uso!O9/Frota!$L9)&gt;INT(Cron_Uso!N9/Frota!$L9),IF(N(VLOOKUP(Frota!$B9,Premissas!$A$39:$E$43,5,0))&gt;0,IF(MOD(INT(Cron_Uso!O9/Frota!$L9)*Frota!$L9,N(VLOOKUP(Frota!$B9,Premissas!$A$39:$E$43,5,0)))=0,"B",IF(N(VLOOKUP(Frota!$B9,Premissas!$A$39:$E$43,4,0))&gt;0,IF(MOD(INT(Cron_Uso!O9/Frota!$L9)*Frota!$L9,N(VLOOKUP(Frota!$B9,Premissas!$A$39:$E$43,4,0)))=0,"A","S"),"S")),IF(N(VLOOKUP(Frota!$B9,Premissas!$A$39:$E$43,4,0))&gt;0,IF(MOD(INT(Cron_Uso!O9/Frota!$L9)*Frota!$L9,N(VLOOKUP(Frota!$B9,Premissas!$A$39:$E$43,4,0)))=0,"A","S"),"S")),""))</f>
        <v/>
      </c>
      <c r="P9" s="16" t="str">
        <f aca="false">IF(Cron_Uso!P9="","",IF(INT(Cron_Uso!P9/Frota!$L9)&gt;INT(Cron_Uso!O9/Frota!$L9),IF(N(VLOOKUP(Frota!$B9,Premissas!$A$39:$E$43,5,0))&gt;0,IF(MOD(INT(Cron_Uso!P9/Frota!$L9)*Frota!$L9,N(VLOOKUP(Frota!$B9,Premissas!$A$39:$E$43,5,0)))=0,"B",IF(N(VLOOKUP(Frota!$B9,Premissas!$A$39:$E$43,4,0))&gt;0,IF(MOD(INT(Cron_Uso!P9/Frota!$L9)*Frota!$L9,N(VLOOKUP(Frota!$B9,Premissas!$A$39:$E$43,4,0)))=0,"A","S"),"S")),IF(N(VLOOKUP(Frota!$B9,Premissas!$A$39:$E$43,4,0))&gt;0,IF(MOD(INT(Cron_Uso!P9/Frota!$L9)*Frota!$L9,N(VLOOKUP(Frota!$B9,Premissas!$A$39:$E$43,4,0)))=0,"A","S"),"S")),""))</f>
        <v/>
      </c>
      <c r="Q9" s="16" t="str">
        <f aca="false">IF(Cron_Uso!Q9="","",IF(INT(Cron_Uso!Q9/Frota!$L9)&gt;INT(Cron_Uso!P9/Frota!$L9),IF(N(VLOOKUP(Frota!$B9,Premissas!$A$39:$E$43,5,0))&gt;0,IF(MOD(INT(Cron_Uso!Q9/Frota!$L9)*Frota!$L9,N(VLOOKUP(Frota!$B9,Premissas!$A$39:$E$43,5,0)))=0,"B",IF(N(VLOOKUP(Frota!$B9,Premissas!$A$39:$E$43,4,0))&gt;0,IF(MOD(INT(Cron_Uso!Q9/Frota!$L9)*Frota!$L9,N(VLOOKUP(Frota!$B9,Premissas!$A$39:$E$43,4,0)))=0,"A","S"),"S")),IF(N(VLOOKUP(Frota!$B9,Premissas!$A$39:$E$43,4,0))&gt;0,IF(MOD(INT(Cron_Uso!Q9/Frota!$L9)*Frota!$L9,N(VLOOKUP(Frota!$B9,Premissas!$A$39:$E$43,4,0)))=0,"A","S"),"S")),""))</f>
        <v>B</v>
      </c>
      <c r="R9" s="16" t="str">
        <f aca="false">IF(Cron_Uso!R9="","",IF(INT(Cron_Uso!R9/Frota!$L9)&gt;INT(Cron_Uso!Q9/Frota!$L9),IF(N(VLOOKUP(Frota!$B9,Premissas!$A$39:$E$43,5,0))&gt;0,IF(MOD(INT(Cron_Uso!R9/Frota!$L9)*Frota!$L9,N(VLOOKUP(Frota!$B9,Premissas!$A$39:$E$43,5,0)))=0,"B",IF(N(VLOOKUP(Frota!$B9,Premissas!$A$39:$E$43,4,0))&gt;0,IF(MOD(INT(Cron_Uso!R9/Frota!$L9)*Frota!$L9,N(VLOOKUP(Frota!$B9,Premissas!$A$39:$E$43,4,0)))=0,"A","S"),"S")),IF(N(VLOOKUP(Frota!$B9,Premissas!$A$39:$E$43,4,0))&gt;0,IF(MOD(INT(Cron_Uso!R9/Frota!$L9)*Frota!$L9,N(VLOOKUP(Frota!$B9,Premissas!$A$39:$E$43,4,0)))=0,"A","S"),"S")),""))</f>
        <v/>
      </c>
      <c r="S9" s="16" t="str">
        <f aca="false">IF(Cron_Uso!S9="","",IF(INT(Cron_Uso!S9/Frota!$L9)&gt;INT(Cron_Uso!R9/Frota!$L9),IF(N(VLOOKUP(Frota!$B9,Premissas!$A$39:$E$43,5,0))&gt;0,IF(MOD(INT(Cron_Uso!S9/Frota!$L9)*Frota!$L9,N(VLOOKUP(Frota!$B9,Premissas!$A$39:$E$43,5,0)))=0,"B",IF(N(VLOOKUP(Frota!$B9,Premissas!$A$39:$E$43,4,0))&gt;0,IF(MOD(INT(Cron_Uso!S9/Frota!$L9)*Frota!$L9,N(VLOOKUP(Frota!$B9,Premissas!$A$39:$E$43,4,0)))=0,"A","S"),"S")),IF(N(VLOOKUP(Frota!$B9,Premissas!$A$39:$E$43,4,0))&gt;0,IF(MOD(INT(Cron_Uso!S9/Frota!$L9)*Frota!$L9,N(VLOOKUP(Frota!$B9,Premissas!$A$39:$E$43,4,0)))=0,"A","S"),"S")),""))</f>
        <v/>
      </c>
      <c r="T9" s="16" t="str">
        <f aca="false">IF(Cron_Uso!T9="","",IF(INT(Cron_Uso!T9/Frota!$L9)&gt;INT(Cron_Uso!S9/Frota!$L9),IF(N(VLOOKUP(Frota!$B9,Premissas!$A$39:$E$43,5,0))&gt;0,IF(MOD(INT(Cron_Uso!T9/Frota!$L9)*Frota!$L9,N(VLOOKUP(Frota!$B9,Premissas!$A$39:$E$43,5,0)))=0,"B",IF(N(VLOOKUP(Frota!$B9,Premissas!$A$39:$E$43,4,0))&gt;0,IF(MOD(INT(Cron_Uso!T9/Frota!$L9)*Frota!$L9,N(VLOOKUP(Frota!$B9,Premissas!$A$39:$E$43,4,0)))=0,"A","S"),"S")),IF(N(VLOOKUP(Frota!$B9,Premissas!$A$39:$E$43,4,0))&gt;0,IF(MOD(INT(Cron_Uso!T9/Frota!$L9)*Frota!$L9,N(VLOOKUP(Frota!$B9,Premissas!$A$39:$E$43,4,0)))=0,"A","S"),"S")),""))</f>
        <v/>
      </c>
      <c r="U9" s="16" t="str">
        <f aca="false">IF(Cron_Uso!U9="","",IF(INT(Cron_Uso!U9/Frota!$L9)&gt;INT(Cron_Uso!T9/Frota!$L9),IF(N(VLOOKUP(Frota!$B9,Premissas!$A$39:$E$43,5,0))&gt;0,IF(MOD(INT(Cron_Uso!U9/Frota!$L9)*Frota!$L9,N(VLOOKUP(Frota!$B9,Premissas!$A$39:$E$43,5,0)))=0,"B",IF(N(VLOOKUP(Frota!$B9,Premissas!$A$39:$E$43,4,0))&gt;0,IF(MOD(INT(Cron_Uso!U9/Frota!$L9)*Frota!$L9,N(VLOOKUP(Frota!$B9,Premissas!$A$39:$E$43,4,0)))=0,"A","S"),"S")),IF(N(VLOOKUP(Frota!$B9,Premissas!$A$39:$E$43,4,0))&gt;0,IF(MOD(INT(Cron_Uso!U9/Frota!$L9)*Frota!$L9,N(VLOOKUP(Frota!$B9,Premissas!$A$39:$E$43,4,0)))=0,"A","S"),"S")),""))</f>
        <v/>
      </c>
      <c r="V9" s="16" t="str">
        <f aca="false">IF(Cron_Uso!V9="","",IF(INT(Cron_Uso!V9/Frota!$L9)&gt;INT(Cron_Uso!U9/Frota!$L9),IF(N(VLOOKUP(Frota!$B9,Premissas!$A$39:$E$43,5,0))&gt;0,IF(MOD(INT(Cron_Uso!V9/Frota!$L9)*Frota!$L9,N(VLOOKUP(Frota!$B9,Premissas!$A$39:$E$43,5,0)))=0,"B",IF(N(VLOOKUP(Frota!$B9,Premissas!$A$39:$E$43,4,0))&gt;0,IF(MOD(INT(Cron_Uso!V9/Frota!$L9)*Frota!$L9,N(VLOOKUP(Frota!$B9,Premissas!$A$39:$E$43,4,0)))=0,"A","S"),"S")),IF(N(VLOOKUP(Frota!$B9,Premissas!$A$39:$E$43,4,0))&gt;0,IF(MOD(INT(Cron_Uso!V9/Frota!$L9)*Frota!$L9,N(VLOOKUP(Frota!$B9,Premissas!$A$39:$E$43,4,0)))=0,"A","S"),"S")),""))</f>
        <v>S</v>
      </c>
      <c r="W9" s="16" t="str">
        <f aca="false">IF(Cron_Uso!W9="","",IF(INT(Cron_Uso!W9/Frota!$L9)&gt;INT(Cron_Uso!V9/Frota!$L9),IF(N(VLOOKUP(Frota!$B9,Premissas!$A$39:$E$43,5,0))&gt;0,IF(MOD(INT(Cron_Uso!W9/Frota!$L9)*Frota!$L9,N(VLOOKUP(Frota!$B9,Premissas!$A$39:$E$43,5,0)))=0,"B",IF(N(VLOOKUP(Frota!$B9,Premissas!$A$39:$E$43,4,0))&gt;0,IF(MOD(INT(Cron_Uso!W9/Frota!$L9)*Frota!$L9,N(VLOOKUP(Frota!$B9,Premissas!$A$39:$E$43,4,0)))=0,"A","S"),"S")),IF(N(VLOOKUP(Frota!$B9,Premissas!$A$39:$E$43,4,0))&gt;0,IF(MOD(INT(Cron_Uso!W9/Frota!$L9)*Frota!$L9,N(VLOOKUP(Frota!$B9,Premissas!$A$39:$E$43,4,0)))=0,"A","S"),"S")),""))</f>
        <v/>
      </c>
      <c r="X9" s="16" t="str">
        <f aca="false">IF(Cron_Uso!X9="","",IF(INT(Cron_Uso!X9/Frota!$L9)&gt;INT(Cron_Uso!W9/Frota!$L9),IF(N(VLOOKUP(Frota!$B9,Premissas!$A$39:$E$43,5,0))&gt;0,IF(MOD(INT(Cron_Uso!X9/Frota!$L9)*Frota!$L9,N(VLOOKUP(Frota!$B9,Premissas!$A$39:$E$43,5,0)))=0,"B",IF(N(VLOOKUP(Frota!$B9,Premissas!$A$39:$E$43,4,0))&gt;0,IF(MOD(INT(Cron_Uso!X9/Frota!$L9)*Frota!$L9,N(VLOOKUP(Frota!$B9,Premissas!$A$39:$E$43,4,0)))=0,"A","S"),"S")),IF(N(VLOOKUP(Frota!$B9,Premissas!$A$39:$E$43,4,0))&gt;0,IF(MOD(INT(Cron_Uso!X9/Frota!$L9)*Frota!$L9,N(VLOOKUP(Frota!$B9,Premissas!$A$39:$E$43,4,0)))=0,"A","S"),"S")),""))</f>
        <v/>
      </c>
      <c r="Y9" s="16" t="str">
        <f aca="false">IF(Cron_Uso!Y9="","",IF(INT(Cron_Uso!Y9/Frota!$L9)&gt;INT(Cron_Uso!X9/Frota!$L9),IF(N(VLOOKUP(Frota!$B9,Premissas!$A$39:$E$43,5,0))&gt;0,IF(MOD(INT(Cron_Uso!Y9/Frota!$L9)*Frota!$L9,N(VLOOKUP(Frota!$B9,Premissas!$A$39:$E$43,5,0)))=0,"B",IF(N(VLOOKUP(Frota!$B9,Premissas!$A$39:$E$43,4,0))&gt;0,IF(MOD(INT(Cron_Uso!Y9/Frota!$L9)*Frota!$L9,N(VLOOKUP(Frota!$B9,Premissas!$A$39:$E$43,4,0)))=0,"A","S"),"S")),IF(N(VLOOKUP(Frota!$B9,Premissas!$A$39:$E$43,4,0))&gt;0,IF(MOD(INT(Cron_Uso!Y9/Frota!$L9)*Frota!$L9,N(VLOOKUP(Frota!$B9,Premissas!$A$39:$E$43,4,0)))=0,"A","S"),"S")),""))</f>
        <v/>
      </c>
      <c r="Z9" s="16" t="str">
        <f aca="false">IF(Cron_Uso!Z9="","",IF(INT(Cron_Uso!Z9/Frota!$L9)&gt;INT(Cron_Uso!Y9/Frota!$L9),IF(N(VLOOKUP(Frota!$B9,Premissas!$A$39:$E$43,5,0))&gt;0,IF(MOD(INT(Cron_Uso!Z9/Frota!$L9)*Frota!$L9,N(VLOOKUP(Frota!$B9,Premissas!$A$39:$E$43,5,0)))=0,"B",IF(N(VLOOKUP(Frota!$B9,Premissas!$A$39:$E$43,4,0))&gt;0,IF(MOD(INT(Cron_Uso!Z9/Frota!$L9)*Frota!$L9,N(VLOOKUP(Frota!$B9,Premissas!$A$39:$E$43,4,0)))=0,"A","S"),"S")),IF(N(VLOOKUP(Frota!$B9,Premissas!$A$39:$E$43,4,0))&gt;0,IF(MOD(INT(Cron_Uso!Z9/Frota!$L9)*Frota!$L9,N(VLOOKUP(Frota!$B9,Premissas!$A$39:$E$43,4,0)))=0,"A","S"),"S")),""))</f>
        <v/>
      </c>
      <c r="AA9" s="16" t="str">
        <f aca="false">IF(Cron_Uso!AA9="","",IF(INT(Cron_Uso!AA9/Frota!$L9)&gt;INT(Cron_Uso!Z9/Frota!$L9),IF(N(VLOOKUP(Frota!$B9,Premissas!$A$39:$E$43,5,0))&gt;0,IF(MOD(INT(Cron_Uso!AA9/Frota!$L9)*Frota!$L9,N(VLOOKUP(Frota!$B9,Premissas!$A$39:$E$43,5,0)))=0,"B",IF(N(VLOOKUP(Frota!$B9,Premissas!$A$39:$E$43,4,0))&gt;0,IF(MOD(INT(Cron_Uso!AA9/Frota!$L9)*Frota!$L9,N(VLOOKUP(Frota!$B9,Premissas!$A$39:$E$43,4,0)))=0,"A","S"),"S")),IF(N(VLOOKUP(Frota!$B9,Premissas!$A$39:$E$43,4,0))&gt;0,IF(MOD(INT(Cron_Uso!AA9/Frota!$L9)*Frota!$L9,N(VLOOKUP(Frota!$B9,Premissas!$A$39:$E$43,4,0)))=0,"A","S"),"S")),""))</f>
        <v>A</v>
      </c>
      <c r="AB9" s="16" t="str">
        <f aca="false">IF(Cron_Uso!AB9="","",IF(INT(Cron_Uso!AB9/Frota!$L9)&gt;INT(Cron_Uso!AA9/Frota!$L9),IF(N(VLOOKUP(Frota!$B9,Premissas!$A$39:$E$43,5,0))&gt;0,IF(MOD(INT(Cron_Uso!AB9/Frota!$L9)*Frota!$L9,N(VLOOKUP(Frota!$B9,Premissas!$A$39:$E$43,5,0)))=0,"B",IF(N(VLOOKUP(Frota!$B9,Premissas!$A$39:$E$43,4,0))&gt;0,IF(MOD(INT(Cron_Uso!AB9/Frota!$L9)*Frota!$L9,N(VLOOKUP(Frota!$B9,Premissas!$A$39:$E$43,4,0)))=0,"A","S"),"S")),IF(N(VLOOKUP(Frota!$B9,Premissas!$A$39:$E$43,4,0))&gt;0,IF(MOD(INT(Cron_Uso!AB9/Frota!$L9)*Frota!$L9,N(VLOOKUP(Frota!$B9,Premissas!$A$39:$E$43,4,0)))=0,"A","S"),"S")),""))</f>
        <v/>
      </c>
      <c r="AC9" s="16" t="str">
        <f aca="false">IF(Cron_Uso!AC9="","",IF(INT(Cron_Uso!AC9/Frota!$L9)&gt;INT(Cron_Uso!AB9/Frota!$L9),IF(N(VLOOKUP(Frota!$B9,Premissas!$A$39:$E$43,5,0))&gt;0,IF(MOD(INT(Cron_Uso!AC9/Frota!$L9)*Frota!$L9,N(VLOOKUP(Frota!$B9,Premissas!$A$39:$E$43,5,0)))=0,"B",IF(N(VLOOKUP(Frota!$B9,Premissas!$A$39:$E$43,4,0))&gt;0,IF(MOD(INT(Cron_Uso!AC9/Frota!$L9)*Frota!$L9,N(VLOOKUP(Frota!$B9,Premissas!$A$39:$E$43,4,0)))=0,"A","S"),"S")),IF(N(VLOOKUP(Frota!$B9,Premissas!$A$39:$E$43,4,0))&gt;0,IF(MOD(INT(Cron_Uso!AC9/Frota!$L9)*Frota!$L9,N(VLOOKUP(Frota!$B9,Premissas!$A$39:$E$43,4,0)))=0,"A","S"),"S")),""))</f>
        <v/>
      </c>
      <c r="AD9" s="16" t="str">
        <f aca="false">IF(Cron_Uso!AD9="","",IF(INT(Cron_Uso!AD9/Frota!$L9)&gt;INT(Cron_Uso!AC9/Frota!$L9),IF(N(VLOOKUP(Frota!$B9,Premissas!$A$39:$E$43,5,0))&gt;0,IF(MOD(INT(Cron_Uso!AD9/Frota!$L9)*Frota!$L9,N(VLOOKUP(Frota!$B9,Premissas!$A$39:$E$43,5,0)))=0,"B",IF(N(VLOOKUP(Frota!$B9,Premissas!$A$39:$E$43,4,0))&gt;0,IF(MOD(INT(Cron_Uso!AD9/Frota!$L9)*Frota!$L9,N(VLOOKUP(Frota!$B9,Premissas!$A$39:$E$43,4,0)))=0,"A","S"),"S")),IF(N(VLOOKUP(Frota!$B9,Premissas!$A$39:$E$43,4,0))&gt;0,IF(MOD(INT(Cron_Uso!AD9/Frota!$L9)*Frota!$L9,N(VLOOKUP(Frota!$B9,Premissas!$A$39:$E$43,4,0)))=0,"A","S"),"S")),""))</f>
        <v/>
      </c>
      <c r="AE9" s="16" t="str">
        <f aca="false">IF(Cron_Uso!AE9="","",IF(INT(Cron_Uso!AE9/Frota!$L9)&gt;INT(Cron_Uso!AD9/Frota!$L9),IF(N(VLOOKUP(Frota!$B9,Premissas!$A$39:$E$43,5,0))&gt;0,IF(MOD(INT(Cron_Uso!AE9/Frota!$L9)*Frota!$L9,N(VLOOKUP(Frota!$B9,Premissas!$A$39:$E$43,5,0)))=0,"B",IF(N(VLOOKUP(Frota!$B9,Premissas!$A$39:$E$43,4,0))&gt;0,IF(MOD(INT(Cron_Uso!AE9/Frota!$L9)*Frota!$L9,N(VLOOKUP(Frota!$B9,Premissas!$A$39:$E$43,4,0)))=0,"A","S"),"S")),IF(N(VLOOKUP(Frota!$B9,Premissas!$A$39:$E$43,4,0))&gt;0,IF(MOD(INT(Cron_Uso!AE9/Frota!$L9)*Frota!$L9,N(VLOOKUP(Frota!$B9,Premissas!$A$39:$E$43,4,0)))=0,"A","S"),"S")),""))</f>
        <v/>
      </c>
      <c r="AF9" s="16" t="str">
        <f aca="false">IF(Cron_Uso!AF9="","",IF(INT(Cron_Uso!AF9/Frota!$L9)&gt;INT(Cron_Uso!AE9/Frota!$L9),IF(N(VLOOKUP(Frota!$B9,Premissas!$A$39:$E$43,5,0))&gt;0,IF(MOD(INT(Cron_Uso!AF9/Frota!$L9)*Frota!$L9,N(VLOOKUP(Frota!$B9,Premissas!$A$39:$E$43,5,0)))=0,"B",IF(N(VLOOKUP(Frota!$B9,Premissas!$A$39:$E$43,4,0))&gt;0,IF(MOD(INT(Cron_Uso!AF9/Frota!$L9)*Frota!$L9,N(VLOOKUP(Frota!$B9,Premissas!$A$39:$E$43,4,0)))=0,"A","S"),"S")),IF(N(VLOOKUP(Frota!$B9,Premissas!$A$39:$E$43,4,0))&gt;0,IF(MOD(INT(Cron_Uso!AF9/Frota!$L9)*Frota!$L9,N(VLOOKUP(Frota!$B9,Premissas!$A$39:$E$43,4,0)))=0,"A","S"),"S")),""))</f>
        <v>S</v>
      </c>
      <c r="AG9" s="16" t="str">
        <f aca="false">IF(Cron_Uso!AG9="","",IF(INT(Cron_Uso!AG9/Frota!$L9)&gt;INT(Cron_Uso!AF9/Frota!$L9),IF(N(VLOOKUP(Frota!$B9,Premissas!$A$39:$E$43,5,0))&gt;0,IF(MOD(INT(Cron_Uso!AG9/Frota!$L9)*Frota!$L9,N(VLOOKUP(Frota!$B9,Premissas!$A$39:$E$43,5,0)))=0,"B",IF(N(VLOOKUP(Frota!$B9,Premissas!$A$39:$E$43,4,0))&gt;0,IF(MOD(INT(Cron_Uso!AG9/Frota!$L9)*Frota!$L9,N(VLOOKUP(Frota!$B9,Premissas!$A$39:$E$43,4,0)))=0,"A","S"),"S")),IF(N(VLOOKUP(Frota!$B9,Premissas!$A$39:$E$43,4,0))&gt;0,IF(MOD(INT(Cron_Uso!AG9/Frota!$L9)*Frota!$L9,N(VLOOKUP(Frota!$B9,Premissas!$A$39:$E$43,4,0)))=0,"A","S"),"S")),""))</f>
        <v/>
      </c>
      <c r="AH9" s="16" t="str">
        <f aca="false">IF(Cron_Uso!AH9="","",IF(INT(Cron_Uso!AH9/Frota!$L9)&gt;INT(Cron_Uso!AG9/Frota!$L9),IF(N(VLOOKUP(Frota!$B9,Premissas!$A$39:$E$43,5,0))&gt;0,IF(MOD(INT(Cron_Uso!AH9/Frota!$L9)*Frota!$L9,N(VLOOKUP(Frota!$B9,Premissas!$A$39:$E$43,5,0)))=0,"B",IF(N(VLOOKUP(Frota!$B9,Premissas!$A$39:$E$43,4,0))&gt;0,IF(MOD(INT(Cron_Uso!AH9/Frota!$L9)*Frota!$L9,N(VLOOKUP(Frota!$B9,Premissas!$A$39:$E$43,4,0)))=0,"A","S"),"S")),IF(N(VLOOKUP(Frota!$B9,Premissas!$A$39:$E$43,4,0))&gt;0,IF(MOD(INT(Cron_Uso!AH9/Frota!$L9)*Frota!$L9,N(VLOOKUP(Frota!$B9,Premissas!$A$39:$E$43,4,0)))=0,"A","S"),"S")),""))</f>
        <v/>
      </c>
      <c r="AI9" s="16" t="str">
        <f aca="false">IF(Cron_Uso!AI9="","",IF(INT(Cron_Uso!AI9/Frota!$L9)&gt;INT(Cron_Uso!AH9/Frota!$L9),IF(N(VLOOKUP(Frota!$B9,Premissas!$A$39:$E$43,5,0))&gt;0,IF(MOD(INT(Cron_Uso!AI9/Frota!$L9)*Frota!$L9,N(VLOOKUP(Frota!$B9,Premissas!$A$39:$E$43,5,0)))=0,"B",IF(N(VLOOKUP(Frota!$B9,Premissas!$A$39:$E$43,4,0))&gt;0,IF(MOD(INT(Cron_Uso!AI9/Frota!$L9)*Frota!$L9,N(VLOOKUP(Frota!$B9,Premissas!$A$39:$E$43,4,0)))=0,"A","S"),"S")),IF(N(VLOOKUP(Frota!$B9,Premissas!$A$39:$E$43,4,0))&gt;0,IF(MOD(INT(Cron_Uso!AI9/Frota!$L9)*Frota!$L9,N(VLOOKUP(Frota!$B9,Premissas!$A$39:$E$43,4,0)))=0,"A","S"),"S")),""))</f>
        <v/>
      </c>
      <c r="AJ9" s="16" t="str">
        <f aca="false">IF(Cron_Uso!AJ9="","",IF(INT(Cron_Uso!AJ9/Frota!$L9)&gt;INT(Cron_Uso!AI9/Frota!$L9),IF(N(VLOOKUP(Frota!$B9,Premissas!$A$39:$E$43,5,0))&gt;0,IF(MOD(INT(Cron_Uso!AJ9/Frota!$L9)*Frota!$L9,N(VLOOKUP(Frota!$B9,Premissas!$A$39:$E$43,5,0)))=0,"B",IF(N(VLOOKUP(Frota!$B9,Premissas!$A$39:$E$43,4,0))&gt;0,IF(MOD(INT(Cron_Uso!AJ9/Frota!$L9)*Frota!$L9,N(VLOOKUP(Frota!$B9,Premissas!$A$39:$E$43,4,0)))=0,"A","S"),"S")),IF(N(VLOOKUP(Frota!$B9,Premissas!$A$39:$E$43,4,0))&gt;0,IF(MOD(INT(Cron_Uso!AJ9/Frota!$L9)*Frota!$L9,N(VLOOKUP(Frota!$B9,Premissas!$A$39:$E$43,4,0)))=0,"A","S"),"S")),""))</f>
        <v/>
      </c>
      <c r="AK9" s="16" t="str">
        <f aca="false">IF(Cron_Uso!AK9="","",IF(INT(Cron_Uso!AK9/Frota!$L9)&gt;INT(Cron_Uso!AJ9/Frota!$L9),IF(N(VLOOKUP(Frota!$B9,Premissas!$A$39:$E$43,5,0))&gt;0,IF(MOD(INT(Cron_Uso!AK9/Frota!$L9)*Frota!$L9,N(VLOOKUP(Frota!$B9,Premissas!$A$39:$E$43,5,0)))=0,"B",IF(N(VLOOKUP(Frota!$B9,Premissas!$A$39:$E$43,4,0))&gt;0,IF(MOD(INT(Cron_Uso!AK9/Frota!$L9)*Frota!$L9,N(VLOOKUP(Frota!$B9,Premissas!$A$39:$E$43,4,0)))=0,"A","S"),"S")),IF(N(VLOOKUP(Frota!$B9,Premissas!$A$39:$E$43,4,0))&gt;0,IF(MOD(INT(Cron_Uso!AK9/Frota!$L9)*Frota!$L9,N(VLOOKUP(Frota!$B9,Premissas!$A$39:$E$43,4,0)))=0,"A","S"),"S")),""))</f>
        <v/>
      </c>
      <c r="AL9" s="16" t="str">
        <f aca="false">IF(Cron_Uso!AL9="","",IF(INT(Cron_Uso!AL9/Frota!$L9)&gt;INT(Cron_Uso!AK9/Frota!$L9),IF(N(VLOOKUP(Frota!$B9,Premissas!$A$39:$E$43,5,0))&gt;0,IF(MOD(INT(Cron_Uso!AL9/Frota!$L9)*Frota!$L9,N(VLOOKUP(Frota!$B9,Premissas!$A$39:$E$43,5,0)))=0,"B",IF(N(VLOOKUP(Frota!$B9,Premissas!$A$39:$E$43,4,0))&gt;0,IF(MOD(INT(Cron_Uso!AL9/Frota!$L9)*Frota!$L9,N(VLOOKUP(Frota!$B9,Premissas!$A$39:$E$43,4,0)))=0,"A","S"),"S")),IF(N(VLOOKUP(Frota!$B9,Premissas!$A$39:$E$43,4,0))&gt;0,IF(MOD(INT(Cron_Uso!AL9/Frota!$L9)*Frota!$L9,N(VLOOKUP(Frota!$B9,Premissas!$A$39:$E$43,4,0)))=0,"A","S"),"S")),""))</f>
        <v/>
      </c>
      <c r="AM9" s="16" t="str">
        <f aca="false">IF(Cron_Uso!AM9="","",IF(INT(Cron_Uso!AM9/Frota!$L9)&gt;INT(Cron_Uso!AL9/Frota!$L9),IF(N(VLOOKUP(Frota!$B9,Premissas!$A$39:$E$43,5,0))&gt;0,IF(MOD(INT(Cron_Uso!AM9/Frota!$L9)*Frota!$L9,N(VLOOKUP(Frota!$B9,Premissas!$A$39:$E$43,5,0)))=0,"B",IF(N(VLOOKUP(Frota!$B9,Premissas!$A$39:$E$43,4,0))&gt;0,IF(MOD(INT(Cron_Uso!AM9/Frota!$L9)*Frota!$L9,N(VLOOKUP(Frota!$B9,Premissas!$A$39:$E$43,4,0)))=0,"A","S"),"S")),IF(N(VLOOKUP(Frota!$B9,Premissas!$A$39:$E$43,4,0))&gt;0,IF(MOD(INT(Cron_Uso!AM9/Frota!$L9)*Frota!$L9,N(VLOOKUP(Frota!$B9,Premissas!$A$39:$E$43,4,0)))=0,"A","S"),"S")),""))</f>
        <v/>
      </c>
      <c r="AN9" s="16" t="str">
        <f aca="false">IF(Cron_Uso!AN9="","",IF(INT(Cron_Uso!AN9/Frota!$L9)&gt;INT(Cron_Uso!AM9/Frota!$L9),IF(N(VLOOKUP(Frota!$B9,Premissas!$A$39:$E$43,5,0))&gt;0,IF(MOD(INT(Cron_Uso!AN9/Frota!$L9)*Frota!$L9,N(VLOOKUP(Frota!$B9,Premissas!$A$39:$E$43,5,0)))=0,"B",IF(N(VLOOKUP(Frota!$B9,Premissas!$A$39:$E$43,4,0))&gt;0,IF(MOD(INT(Cron_Uso!AN9/Frota!$L9)*Frota!$L9,N(VLOOKUP(Frota!$B9,Premissas!$A$39:$E$43,4,0)))=0,"A","S"),"S")),IF(N(VLOOKUP(Frota!$B9,Premissas!$A$39:$E$43,4,0))&gt;0,IF(MOD(INT(Cron_Uso!AN9/Frota!$L9)*Frota!$L9,N(VLOOKUP(Frota!$B9,Premissas!$A$39:$E$43,4,0)))=0,"A","S"),"S")),""))</f>
        <v/>
      </c>
      <c r="AO9" s="16" t="str">
        <f aca="false">IF(Cron_Uso!AO9="","",IF(INT(Cron_Uso!AO9/Frota!$L9)&gt;INT(Cron_Uso!AN9/Frota!$L9),IF(N(VLOOKUP(Frota!$B9,Premissas!$A$39:$E$43,5,0))&gt;0,IF(MOD(INT(Cron_Uso!AO9/Frota!$L9)*Frota!$L9,N(VLOOKUP(Frota!$B9,Premissas!$A$39:$E$43,5,0)))=0,"B",IF(N(VLOOKUP(Frota!$B9,Premissas!$A$39:$E$43,4,0))&gt;0,IF(MOD(INT(Cron_Uso!AO9/Frota!$L9)*Frota!$L9,N(VLOOKUP(Frota!$B9,Premissas!$A$39:$E$43,4,0)))=0,"A","S"),"S")),IF(N(VLOOKUP(Frota!$B9,Premissas!$A$39:$E$43,4,0))&gt;0,IF(MOD(INT(Cron_Uso!AO9/Frota!$L9)*Frota!$L9,N(VLOOKUP(Frota!$B9,Premissas!$A$39:$E$43,4,0)))=0,"A","S"),"S")),""))</f>
        <v>B</v>
      </c>
      <c r="AP9" s="16" t="str">
        <f aca="false">IF(Cron_Uso!AP9="","",IF(INT(Cron_Uso!AP9/Frota!$L9)&gt;INT(Cron_Uso!AO9/Frota!$L9),IF(N(VLOOKUP(Frota!$B9,Premissas!$A$39:$E$43,5,0))&gt;0,IF(MOD(INT(Cron_Uso!AP9/Frota!$L9)*Frota!$L9,N(VLOOKUP(Frota!$B9,Premissas!$A$39:$E$43,5,0)))=0,"B",IF(N(VLOOKUP(Frota!$B9,Premissas!$A$39:$E$43,4,0))&gt;0,IF(MOD(INT(Cron_Uso!AP9/Frota!$L9)*Frota!$L9,N(VLOOKUP(Frota!$B9,Premissas!$A$39:$E$43,4,0)))=0,"A","S"),"S")),IF(N(VLOOKUP(Frota!$B9,Premissas!$A$39:$E$43,4,0))&gt;0,IF(MOD(INT(Cron_Uso!AP9/Frota!$L9)*Frota!$L9,N(VLOOKUP(Frota!$B9,Premissas!$A$39:$E$43,4,0)))=0,"A","S"),"S")),""))</f>
        <v/>
      </c>
      <c r="AQ9" s="16" t="str">
        <f aca="false">IF(Cron_Uso!AQ9="","",IF(INT(Cron_Uso!AQ9/Frota!$L9)&gt;INT(Cron_Uso!AP9/Frota!$L9),IF(N(VLOOKUP(Frota!$B9,Premissas!$A$39:$E$43,5,0))&gt;0,IF(MOD(INT(Cron_Uso!AQ9/Frota!$L9)*Frota!$L9,N(VLOOKUP(Frota!$B9,Premissas!$A$39:$E$43,5,0)))=0,"B",IF(N(VLOOKUP(Frota!$B9,Premissas!$A$39:$E$43,4,0))&gt;0,IF(MOD(INT(Cron_Uso!AQ9/Frota!$L9)*Frota!$L9,N(VLOOKUP(Frota!$B9,Premissas!$A$39:$E$43,4,0)))=0,"A","S"),"S")),IF(N(VLOOKUP(Frota!$B9,Premissas!$A$39:$E$43,4,0))&gt;0,IF(MOD(INT(Cron_Uso!AQ9/Frota!$L9)*Frota!$L9,N(VLOOKUP(Frota!$B9,Premissas!$A$39:$E$43,4,0)))=0,"A","S"),"S")),""))</f>
        <v/>
      </c>
      <c r="AR9" s="16" t="str">
        <f aca="false">IF(Cron_Uso!AR9="","",IF(INT(Cron_Uso!AR9/Frota!$L9)&gt;INT(Cron_Uso!AQ9/Frota!$L9),IF(N(VLOOKUP(Frota!$B9,Premissas!$A$39:$E$43,5,0))&gt;0,IF(MOD(INT(Cron_Uso!AR9/Frota!$L9)*Frota!$L9,N(VLOOKUP(Frota!$B9,Premissas!$A$39:$E$43,5,0)))=0,"B",IF(N(VLOOKUP(Frota!$B9,Premissas!$A$39:$E$43,4,0))&gt;0,IF(MOD(INT(Cron_Uso!AR9/Frota!$L9)*Frota!$L9,N(VLOOKUP(Frota!$B9,Premissas!$A$39:$E$43,4,0)))=0,"A","S"),"S")),IF(N(VLOOKUP(Frota!$B9,Premissas!$A$39:$E$43,4,0))&gt;0,IF(MOD(INT(Cron_Uso!AR9/Frota!$L9)*Frota!$L9,N(VLOOKUP(Frota!$B9,Premissas!$A$39:$E$43,4,0)))=0,"A","S"),"S")),""))</f>
        <v/>
      </c>
      <c r="AS9" s="16" t="str">
        <f aca="false">IF(Cron_Uso!AS9="","",IF(INT(Cron_Uso!AS9/Frota!$L9)&gt;INT(Cron_Uso!AR9/Frota!$L9),IF(N(VLOOKUP(Frota!$B9,Premissas!$A$39:$E$43,5,0))&gt;0,IF(MOD(INT(Cron_Uso!AS9/Frota!$L9)*Frota!$L9,N(VLOOKUP(Frota!$B9,Premissas!$A$39:$E$43,5,0)))=0,"B",IF(N(VLOOKUP(Frota!$B9,Premissas!$A$39:$E$43,4,0))&gt;0,IF(MOD(INT(Cron_Uso!AS9/Frota!$L9)*Frota!$L9,N(VLOOKUP(Frota!$B9,Premissas!$A$39:$E$43,4,0)))=0,"A","S"),"S")),IF(N(VLOOKUP(Frota!$B9,Premissas!$A$39:$E$43,4,0))&gt;0,IF(MOD(INT(Cron_Uso!AS9/Frota!$L9)*Frota!$L9,N(VLOOKUP(Frota!$B9,Premissas!$A$39:$E$43,4,0)))=0,"A","S"),"S")),""))</f>
        <v/>
      </c>
      <c r="AT9" s="16" t="str">
        <f aca="false">IF(Cron_Uso!AT9="","",IF(INT(Cron_Uso!AT9/Frota!$L9)&gt;INT(Cron_Uso!AS9/Frota!$L9),IF(N(VLOOKUP(Frota!$B9,Premissas!$A$39:$E$43,5,0))&gt;0,IF(MOD(INT(Cron_Uso!AT9/Frota!$L9)*Frota!$L9,N(VLOOKUP(Frota!$B9,Premissas!$A$39:$E$43,5,0)))=0,"B",IF(N(VLOOKUP(Frota!$B9,Premissas!$A$39:$E$43,4,0))&gt;0,IF(MOD(INT(Cron_Uso!AT9/Frota!$L9)*Frota!$L9,N(VLOOKUP(Frota!$B9,Premissas!$A$39:$E$43,4,0)))=0,"A","S"),"S")),IF(N(VLOOKUP(Frota!$B9,Premissas!$A$39:$E$43,4,0))&gt;0,IF(MOD(INT(Cron_Uso!AT9/Frota!$L9)*Frota!$L9,N(VLOOKUP(Frota!$B9,Premissas!$A$39:$E$43,4,0)))=0,"A","S"),"S")),""))</f>
        <v/>
      </c>
      <c r="AU9" s="16" t="str">
        <f aca="false">IF(Cron_Uso!AU9="","",IF(INT(Cron_Uso!AU9/Frota!$L9)&gt;INT(Cron_Uso!AT9/Frota!$L9),IF(N(VLOOKUP(Frota!$B9,Premissas!$A$39:$E$43,5,0))&gt;0,IF(MOD(INT(Cron_Uso!AU9/Frota!$L9)*Frota!$L9,N(VLOOKUP(Frota!$B9,Premissas!$A$39:$E$43,5,0)))=0,"B",IF(N(VLOOKUP(Frota!$B9,Premissas!$A$39:$E$43,4,0))&gt;0,IF(MOD(INT(Cron_Uso!AU9/Frota!$L9)*Frota!$L9,N(VLOOKUP(Frota!$B9,Premissas!$A$39:$E$43,4,0)))=0,"A","S"),"S")),IF(N(VLOOKUP(Frota!$B9,Premissas!$A$39:$E$43,4,0))&gt;0,IF(MOD(INT(Cron_Uso!AU9/Frota!$L9)*Frota!$L9,N(VLOOKUP(Frota!$B9,Premissas!$A$39:$E$43,4,0)))=0,"A","S"),"S")),""))</f>
        <v/>
      </c>
      <c r="AV9" s="16" t="str">
        <f aca="false">IF(Cron_Uso!AV9="","",IF(INT(Cron_Uso!AV9/Frota!$L9)&gt;INT(Cron_Uso!AU9/Frota!$L9),IF(N(VLOOKUP(Frota!$B9,Premissas!$A$39:$E$43,5,0))&gt;0,IF(MOD(INT(Cron_Uso!AV9/Frota!$L9)*Frota!$L9,N(VLOOKUP(Frota!$B9,Premissas!$A$39:$E$43,5,0)))=0,"B",IF(N(VLOOKUP(Frota!$B9,Premissas!$A$39:$E$43,4,0))&gt;0,IF(MOD(INT(Cron_Uso!AV9/Frota!$L9)*Frota!$L9,N(VLOOKUP(Frota!$B9,Premissas!$A$39:$E$43,4,0)))=0,"A","S"),"S")),IF(N(VLOOKUP(Frota!$B9,Premissas!$A$39:$E$43,4,0))&gt;0,IF(MOD(INT(Cron_Uso!AV9/Frota!$L9)*Frota!$L9,N(VLOOKUP(Frota!$B9,Premissas!$A$39:$E$43,4,0)))=0,"A","S"),"S")),""))</f>
        <v/>
      </c>
      <c r="AW9" s="16" t="str">
        <f aca="false">IF(Cron_Uso!AW9="","",IF(INT(Cron_Uso!AW9/Frota!$L9)&gt;INT(Cron_Uso!AV9/Frota!$L9),IF(N(VLOOKUP(Frota!$B9,Premissas!$A$39:$E$43,5,0))&gt;0,IF(MOD(INT(Cron_Uso!AW9/Frota!$L9)*Frota!$L9,N(VLOOKUP(Frota!$B9,Premissas!$A$39:$E$43,5,0)))=0,"B",IF(N(VLOOKUP(Frota!$B9,Premissas!$A$39:$E$43,4,0))&gt;0,IF(MOD(INT(Cron_Uso!AW9/Frota!$L9)*Frota!$L9,N(VLOOKUP(Frota!$B9,Premissas!$A$39:$E$43,4,0)))=0,"A","S"),"S")),IF(N(VLOOKUP(Frota!$B9,Premissas!$A$39:$E$43,4,0))&gt;0,IF(MOD(INT(Cron_Uso!AW9/Frota!$L9)*Frota!$L9,N(VLOOKUP(Frota!$B9,Premissas!$A$39:$E$43,4,0)))=0,"A","S"),"S")),""))</f>
        <v/>
      </c>
      <c r="AX9" s="16" t="str">
        <f aca="false">IF(Cron_Uso!AX9="","",IF(INT(Cron_Uso!AX9/Frota!$L9)&gt;INT(Cron_Uso!AW9/Frota!$L9),IF(N(VLOOKUP(Frota!$B9,Premissas!$A$39:$E$43,5,0))&gt;0,IF(MOD(INT(Cron_Uso!AX9/Frota!$L9)*Frota!$L9,N(VLOOKUP(Frota!$B9,Premissas!$A$39:$E$43,5,0)))=0,"B",IF(N(VLOOKUP(Frota!$B9,Premissas!$A$39:$E$43,4,0))&gt;0,IF(MOD(INT(Cron_Uso!AX9/Frota!$L9)*Frota!$L9,N(VLOOKUP(Frota!$B9,Premissas!$A$39:$E$43,4,0)))=0,"A","S"),"S")),IF(N(VLOOKUP(Frota!$B9,Premissas!$A$39:$E$43,4,0))&gt;0,IF(MOD(INT(Cron_Uso!AX9/Frota!$L9)*Frota!$L9,N(VLOOKUP(Frota!$B9,Premissas!$A$39:$E$43,4,0)))=0,"A","S"),"S")),""))</f>
        <v/>
      </c>
      <c r="AY9" s="16" t="str">
        <f aca="false">IF(Cron_Uso!AY9="","",IF(INT(Cron_Uso!AY9/Frota!$L9)&gt;INT(Cron_Uso!AX9/Frota!$L9),IF(N(VLOOKUP(Frota!$B9,Premissas!$A$39:$E$43,5,0))&gt;0,IF(MOD(INT(Cron_Uso!AY9/Frota!$L9)*Frota!$L9,N(VLOOKUP(Frota!$B9,Premissas!$A$39:$E$43,5,0)))=0,"B",IF(N(VLOOKUP(Frota!$B9,Premissas!$A$39:$E$43,4,0))&gt;0,IF(MOD(INT(Cron_Uso!AY9/Frota!$L9)*Frota!$L9,N(VLOOKUP(Frota!$B9,Premissas!$A$39:$E$43,4,0)))=0,"A","S"),"S")),IF(N(VLOOKUP(Frota!$B9,Premissas!$A$39:$E$43,4,0))&gt;0,IF(MOD(INT(Cron_Uso!AY9/Frota!$L9)*Frota!$L9,N(VLOOKUP(Frota!$B9,Premissas!$A$39:$E$43,4,0)))=0,"A","S"),"S")),""))</f>
        <v/>
      </c>
      <c r="AZ9" s="16" t="str">
        <f aca="false">IF(Cron_Uso!AZ9="","",IF(INT(Cron_Uso!AZ9/Frota!$L9)&gt;INT(Cron_Uso!AY9/Frota!$L9),IF(N(VLOOKUP(Frota!$B9,Premissas!$A$39:$E$43,5,0))&gt;0,IF(MOD(INT(Cron_Uso!AZ9/Frota!$L9)*Frota!$L9,N(VLOOKUP(Frota!$B9,Premissas!$A$39:$E$43,5,0)))=0,"B",IF(N(VLOOKUP(Frota!$B9,Premissas!$A$39:$E$43,4,0))&gt;0,IF(MOD(INT(Cron_Uso!AZ9/Frota!$L9)*Frota!$L9,N(VLOOKUP(Frota!$B9,Premissas!$A$39:$E$43,4,0)))=0,"A","S"),"S")),IF(N(VLOOKUP(Frota!$B9,Premissas!$A$39:$E$43,4,0))&gt;0,IF(MOD(INT(Cron_Uso!AZ9/Frota!$L9)*Frota!$L9,N(VLOOKUP(Frota!$B9,Premissas!$A$39:$E$43,4,0)))=0,"A","S"),"S")),""))</f>
        <v/>
      </c>
      <c r="BA9" s="16" t="str">
        <f aca="false">IF(Cron_Uso!BA9="","",IF(INT(Cron_Uso!BA9/Frota!$L9)&gt;INT(Cron_Uso!AZ9/Frota!$L9),IF(N(VLOOKUP(Frota!$B9,Premissas!$A$39:$E$43,5,0))&gt;0,IF(MOD(INT(Cron_Uso!BA9/Frota!$L9)*Frota!$L9,N(VLOOKUP(Frota!$B9,Premissas!$A$39:$E$43,5,0)))=0,"B",IF(N(VLOOKUP(Frota!$B9,Premissas!$A$39:$E$43,4,0))&gt;0,IF(MOD(INT(Cron_Uso!BA9/Frota!$L9)*Frota!$L9,N(VLOOKUP(Frota!$B9,Premissas!$A$39:$E$43,4,0)))=0,"A","S"),"S")),IF(N(VLOOKUP(Frota!$B9,Premissas!$A$39:$E$43,4,0))&gt;0,IF(MOD(INT(Cron_Uso!BA9/Frota!$L9)*Frota!$L9,N(VLOOKUP(Frota!$B9,Premissas!$A$39:$E$43,4,0)))=0,"A","S"),"S")),""))</f>
        <v/>
      </c>
    </row>
    <row r="10" customFormat="false" ht="15" hidden="false" customHeight="false" outlineLevel="0" collapsed="false">
      <c r="A10" s="6" t="str">
        <f aca="false">IF(Frota!$A10="","",Frota!$A10)</f>
        <v>Trator NH T7.315 — 402</v>
      </c>
      <c r="B10" s="16" t="str">
        <f aca="false">IF(Cron_Uso!B10="","",IF(INT(Cron_Uso!B10/Frota!$L10)&gt;INT(Frota!$I10/Frota!$L10),IF(N(VLOOKUP(Frota!$B10,Premissas!$A$39:$E$43,5,0))&gt;0,IF(MOD(INT(Cron_Uso!B10/Frota!$L10)*Frota!$L10,N(VLOOKUP(Frota!$B10,Premissas!$A$39:$E$43,5,0)))=0,"B",IF(N(VLOOKUP(Frota!$B10,Premissas!$A$39:$E$43,4,0))&gt;0,IF(MOD(INT(Cron_Uso!B10/Frota!$L10)*Frota!$L10,N(VLOOKUP(Frota!$B10,Premissas!$A$39:$E$43,4,0)))=0,"A","S"),"S")),IF(N(VLOOKUP(Frota!$B10,Premissas!$A$39:$E$43,4,0))&gt;0,IF(MOD(INT(Cron_Uso!B10/Frota!$L10)*Frota!$L10,N(VLOOKUP(Frota!$B10,Premissas!$A$39:$E$43,4,0)))=0,"A","S"),"S")),""))</f>
        <v/>
      </c>
      <c r="C10" s="16" t="str">
        <f aca="false">IF(Cron_Uso!C10="","",IF(INT(Cron_Uso!C10/Frota!$L10)&gt;INT(Cron_Uso!B10/Frota!$L10),IF(N(VLOOKUP(Frota!$B10,Premissas!$A$39:$E$43,5,0))&gt;0,IF(MOD(INT(Cron_Uso!C10/Frota!$L10)*Frota!$L10,N(VLOOKUP(Frota!$B10,Premissas!$A$39:$E$43,5,0)))=0,"B",IF(N(VLOOKUP(Frota!$B10,Premissas!$A$39:$E$43,4,0))&gt;0,IF(MOD(INT(Cron_Uso!C10/Frota!$L10)*Frota!$L10,N(VLOOKUP(Frota!$B10,Premissas!$A$39:$E$43,4,0)))=0,"A","S"),"S")),IF(N(VLOOKUP(Frota!$B10,Premissas!$A$39:$E$43,4,0))&gt;0,IF(MOD(INT(Cron_Uso!C10/Frota!$L10)*Frota!$L10,N(VLOOKUP(Frota!$B10,Premissas!$A$39:$E$43,4,0)))=0,"A","S"),"S")),""))</f>
        <v/>
      </c>
      <c r="D10" s="16" t="str">
        <f aca="false">IF(Cron_Uso!D10="","",IF(INT(Cron_Uso!D10/Frota!$L10)&gt;INT(Cron_Uso!C10/Frota!$L10),IF(N(VLOOKUP(Frota!$B10,Premissas!$A$39:$E$43,5,0))&gt;0,IF(MOD(INT(Cron_Uso!D10/Frota!$L10)*Frota!$L10,N(VLOOKUP(Frota!$B10,Premissas!$A$39:$E$43,5,0)))=0,"B",IF(N(VLOOKUP(Frota!$B10,Premissas!$A$39:$E$43,4,0))&gt;0,IF(MOD(INT(Cron_Uso!D10/Frota!$L10)*Frota!$L10,N(VLOOKUP(Frota!$B10,Premissas!$A$39:$E$43,4,0)))=0,"A","S"),"S")),IF(N(VLOOKUP(Frota!$B10,Premissas!$A$39:$E$43,4,0))&gt;0,IF(MOD(INT(Cron_Uso!D10/Frota!$L10)*Frota!$L10,N(VLOOKUP(Frota!$B10,Premissas!$A$39:$E$43,4,0)))=0,"A","S"),"S")),""))</f>
        <v/>
      </c>
      <c r="E10" s="16" t="str">
        <f aca="false">IF(Cron_Uso!E10="","",IF(INT(Cron_Uso!E10/Frota!$L10)&gt;INT(Cron_Uso!D10/Frota!$L10),IF(N(VLOOKUP(Frota!$B10,Premissas!$A$39:$E$43,5,0))&gt;0,IF(MOD(INT(Cron_Uso!E10/Frota!$L10)*Frota!$L10,N(VLOOKUP(Frota!$B10,Premissas!$A$39:$E$43,5,0)))=0,"B",IF(N(VLOOKUP(Frota!$B10,Premissas!$A$39:$E$43,4,0))&gt;0,IF(MOD(INT(Cron_Uso!E10/Frota!$L10)*Frota!$L10,N(VLOOKUP(Frota!$B10,Premissas!$A$39:$E$43,4,0)))=0,"A","S"),"S")),IF(N(VLOOKUP(Frota!$B10,Premissas!$A$39:$E$43,4,0))&gt;0,IF(MOD(INT(Cron_Uso!E10/Frota!$L10)*Frota!$L10,N(VLOOKUP(Frota!$B10,Premissas!$A$39:$E$43,4,0)))=0,"A","S"),"S")),""))</f>
        <v>S</v>
      </c>
      <c r="F10" s="16" t="str">
        <f aca="false">IF(Cron_Uso!F10="","",IF(INT(Cron_Uso!F10/Frota!$L10)&gt;INT(Cron_Uso!E10/Frota!$L10),IF(N(VLOOKUP(Frota!$B10,Premissas!$A$39:$E$43,5,0))&gt;0,IF(MOD(INT(Cron_Uso!F10/Frota!$L10)*Frota!$L10,N(VLOOKUP(Frota!$B10,Premissas!$A$39:$E$43,5,0)))=0,"B",IF(N(VLOOKUP(Frota!$B10,Premissas!$A$39:$E$43,4,0))&gt;0,IF(MOD(INT(Cron_Uso!F10/Frota!$L10)*Frota!$L10,N(VLOOKUP(Frota!$B10,Premissas!$A$39:$E$43,4,0)))=0,"A","S"),"S")),IF(N(VLOOKUP(Frota!$B10,Premissas!$A$39:$E$43,4,0))&gt;0,IF(MOD(INT(Cron_Uso!F10/Frota!$L10)*Frota!$L10,N(VLOOKUP(Frota!$B10,Premissas!$A$39:$E$43,4,0)))=0,"A","S"),"S")),""))</f>
        <v/>
      </c>
      <c r="G10" s="16" t="str">
        <f aca="false">IF(Cron_Uso!G10="","",IF(INT(Cron_Uso!G10/Frota!$L10)&gt;INT(Cron_Uso!F10/Frota!$L10),IF(N(VLOOKUP(Frota!$B10,Premissas!$A$39:$E$43,5,0))&gt;0,IF(MOD(INT(Cron_Uso!G10/Frota!$L10)*Frota!$L10,N(VLOOKUP(Frota!$B10,Premissas!$A$39:$E$43,5,0)))=0,"B",IF(N(VLOOKUP(Frota!$B10,Premissas!$A$39:$E$43,4,0))&gt;0,IF(MOD(INT(Cron_Uso!G10/Frota!$L10)*Frota!$L10,N(VLOOKUP(Frota!$B10,Premissas!$A$39:$E$43,4,0)))=0,"A","S"),"S")),IF(N(VLOOKUP(Frota!$B10,Premissas!$A$39:$E$43,4,0))&gt;0,IF(MOD(INT(Cron_Uso!G10/Frota!$L10)*Frota!$L10,N(VLOOKUP(Frota!$B10,Premissas!$A$39:$E$43,4,0)))=0,"A","S"),"S")),""))</f>
        <v/>
      </c>
      <c r="H10" s="16" t="str">
        <f aca="false">IF(Cron_Uso!H10="","",IF(INT(Cron_Uso!H10/Frota!$L10)&gt;INT(Cron_Uso!G10/Frota!$L10),IF(N(VLOOKUP(Frota!$B10,Premissas!$A$39:$E$43,5,0))&gt;0,IF(MOD(INT(Cron_Uso!H10/Frota!$L10)*Frota!$L10,N(VLOOKUP(Frota!$B10,Premissas!$A$39:$E$43,5,0)))=0,"B",IF(N(VLOOKUP(Frota!$B10,Premissas!$A$39:$E$43,4,0))&gt;0,IF(MOD(INT(Cron_Uso!H10/Frota!$L10)*Frota!$L10,N(VLOOKUP(Frota!$B10,Premissas!$A$39:$E$43,4,0)))=0,"A","S"),"S")),IF(N(VLOOKUP(Frota!$B10,Premissas!$A$39:$E$43,4,0))&gt;0,IF(MOD(INT(Cron_Uso!H10/Frota!$L10)*Frota!$L10,N(VLOOKUP(Frota!$B10,Premissas!$A$39:$E$43,4,0)))=0,"A","S"),"S")),""))</f>
        <v/>
      </c>
      <c r="I10" s="16" t="str">
        <f aca="false">IF(Cron_Uso!I10="","",IF(INT(Cron_Uso!I10/Frota!$L10)&gt;INT(Cron_Uso!H10/Frota!$L10),IF(N(VLOOKUP(Frota!$B10,Premissas!$A$39:$E$43,5,0))&gt;0,IF(MOD(INT(Cron_Uso!I10/Frota!$L10)*Frota!$L10,N(VLOOKUP(Frota!$B10,Premissas!$A$39:$E$43,5,0)))=0,"B",IF(N(VLOOKUP(Frota!$B10,Premissas!$A$39:$E$43,4,0))&gt;0,IF(MOD(INT(Cron_Uso!I10/Frota!$L10)*Frota!$L10,N(VLOOKUP(Frota!$B10,Premissas!$A$39:$E$43,4,0)))=0,"A","S"),"S")),IF(N(VLOOKUP(Frota!$B10,Premissas!$A$39:$E$43,4,0))&gt;0,IF(MOD(INT(Cron_Uso!I10/Frota!$L10)*Frota!$L10,N(VLOOKUP(Frota!$B10,Premissas!$A$39:$E$43,4,0)))=0,"A","S"),"S")),""))</f>
        <v/>
      </c>
      <c r="J10" s="16" t="str">
        <f aca="false">IF(Cron_Uso!J10="","",IF(INT(Cron_Uso!J10/Frota!$L10)&gt;INT(Cron_Uso!I10/Frota!$L10),IF(N(VLOOKUP(Frota!$B10,Premissas!$A$39:$E$43,5,0))&gt;0,IF(MOD(INT(Cron_Uso!J10/Frota!$L10)*Frota!$L10,N(VLOOKUP(Frota!$B10,Premissas!$A$39:$E$43,5,0)))=0,"B",IF(N(VLOOKUP(Frota!$B10,Premissas!$A$39:$E$43,4,0))&gt;0,IF(MOD(INT(Cron_Uso!J10/Frota!$L10)*Frota!$L10,N(VLOOKUP(Frota!$B10,Premissas!$A$39:$E$43,4,0)))=0,"A","S"),"S")),IF(N(VLOOKUP(Frota!$B10,Premissas!$A$39:$E$43,4,0))&gt;0,IF(MOD(INT(Cron_Uso!J10/Frota!$L10)*Frota!$L10,N(VLOOKUP(Frota!$B10,Premissas!$A$39:$E$43,4,0)))=0,"A","S"),"S")),""))</f>
        <v>A</v>
      </c>
      <c r="K10" s="16" t="str">
        <f aca="false">IF(Cron_Uso!K10="","",IF(INT(Cron_Uso!K10/Frota!$L10)&gt;INT(Cron_Uso!J10/Frota!$L10),IF(N(VLOOKUP(Frota!$B10,Premissas!$A$39:$E$43,5,0))&gt;0,IF(MOD(INT(Cron_Uso!K10/Frota!$L10)*Frota!$L10,N(VLOOKUP(Frota!$B10,Premissas!$A$39:$E$43,5,0)))=0,"B",IF(N(VLOOKUP(Frota!$B10,Premissas!$A$39:$E$43,4,0))&gt;0,IF(MOD(INT(Cron_Uso!K10/Frota!$L10)*Frota!$L10,N(VLOOKUP(Frota!$B10,Premissas!$A$39:$E$43,4,0)))=0,"A","S"),"S")),IF(N(VLOOKUP(Frota!$B10,Premissas!$A$39:$E$43,4,0))&gt;0,IF(MOD(INT(Cron_Uso!K10/Frota!$L10)*Frota!$L10,N(VLOOKUP(Frota!$B10,Premissas!$A$39:$E$43,4,0)))=0,"A","S"),"S")),""))</f>
        <v/>
      </c>
      <c r="L10" s="16" t="str">
        <f aca="false">IF(Cron_Uso!L10="","",IF(INT(Cron_Uso!L10/Frota!$L10)&gt;INT(Cron_Uso!K10/Frota!$L10),IF(N(VLOOKUP(Frota!$B10,Premissas!$A$39:$E$43,5,0))&gt;0,IF(MOD(INT(Cron_Uso!L10/Frota!$L10)*Frota!$L10,N(VLOOKUP(Frota!$B10,Premissas!$A$39:$E$43,5,0)))=0,"B",IF(N(VLOOKUP(Frota!$B10,Premissas!$A$39:$E$43,4,0))&gt;0,IF(MOD(INT(Cron_Uso!L10/Frota!$L10)*Frota!$L10,N(VLOOKUP(Frota!$B10,Premissas!$A$39:$E$43,4,0)))=0,"A","S"),"S")),IF(N(VLOOKUP(Frota!$B10,Premissas!$A$39:$E$43,4,0))&gt;0,IF(MOD(INT(Cron_Uso!L10/Frota!$L10)*Frota!$L10,N(VLOOKUP(Frota!$B10,Premissas!$A$39:$E$43,4,0)))=0,"A","S"),"S")),""))</f>
        <v/>
      </c>
      <c r="M10" s="16" t="str">
        <f aca="false">IF(Cron_Uso!M10="","",IF(INT(Cron_Uso!M10/Frota!$L10)&gt;INT(Cron_Uso!L10/Frota!$L10),IF(N(VLOOKUP(Frota!$B10,Premissas!$A$39:$E$43,5,0))&gt;0,IF(MOD(INT(Cron_Uso!M10/Frota!$L10)*Frota!$L10,N(VLOOKUP(Frota!$B10,Premissas!$A$39:$E$43,5,0)))=0,"B",IF(N(VLOOKUP(Frota!$B10,Premissas!$A$39:$E$43,4,0))&gt;0,IF(MOD(INT(Cron_Uso!M10/Frota!$L10)*Frota!$L10,N(VLOOKUP(Frota!$B10,Premissas!$A$39:$E$43,4,0)))=0,"A","S"),"S")),IF(N(VLOOKUP(Frota!$B10,Premissas!$A$39:$E$43,4,0))&gt;0,IF(MOD(INT(Cron_Uso!M10/Frota!$L10)*Frota!$L10,N(VLOOKUP(Frota!$B10,Premissas!$A$39:$E$43,4,0)))=0,"A","S"),"S")),""))</f>
        <v/>
      </c>
      <c r="N10" s="16" t="str">
        <f aca="false">IF(Cron_Uso!N10="","",IF(INT(Cron_Uso!N10/Frota!$L10)&gt;INT(Cron_Uso!M10/Frota!$L10),IF(N(VLOOKUP(Frota!$B10,Premissas!$A$39:$E$43,5,0))&gt;0,IF(MOD(INT(Cron_Uso!N10/Frota!$L10)*Frota!$L10,N(VLOOKUP(Frota!$B10,Premissas!$A$39:$E$43,5,0)))=0,"B",IF(N(VLOOKUP(Frota!$B10,Premissas!$A$39:$E$43,4,0))&gt;0,IF(MOD(INT(Cron_Uso!N10/Frota!$L10)*Frota!$L10,N(VLOOKUP(Frota!$B10,Premissas!$A$39:$E$43,4,0)))=0,"A","S"),"S")),IF(N(VLOOKUP(Frota!$B10,Premissas!$A$39:$E$43,4,0))&gt;0,IF(MOD(INT(Cron_Uso!N10/Frota!$L10)*Frota!$L10,N(VLOOKUP(Frota!$B10,Premissas!$A$39:$E$43,4,0)))=0,"A","S"),"S")),""))</f>
        <v/>
      </c>
      <c r="O10" s="16" t="str">
        <f aca="false">IF(Cron_Uso!O10="","",IF(INT(Cron_Uso!O10/Frota!$L10)&gt;INT(Cron_Uso!N10/Frota!$L10),IF(N(VLOOKUP(Frota!$B10,Premissas!$A$39:$E$43,5,0))&gt;0,IF(MOD(INT(Cron_Uso!O10/Frota!$L10)*Frota!$L10,N(VLOOKUP(Frota!$B10,Premissas!$A$39:$E$43,5,0)))=0,"B",IF(N(VLOOKUP(Frota!$B10,Premissas!$A$39:$E$43,4,0))&gt;0,IF(MOD(INT(Cron_Uso!O10/Frota!$L10)*Frota!$L10,N(VLOOKUP(Frota!$B10,Premissas!$A$39:$E$43,4,0)))=0,"A","S"),"S")),IF(N(VLOOKUP(Frota!$B10,Premissas!$A$39:$E$43,4,0))&gt;0,IF(MOD(INT(Cron_Uso!O10/Frota!$L10)*Frota!$L10,N(VLOOKUP(Frota!$B10,Premissas!$A$39:$E$43,4,0)))=0,"A","S"),"S")),""))</f>
        <v>S</v>
      </c>
      <c r="P10" s="16" t="str">
        <f aca="false">IF(Cron_Uso!P10="","",IF(INT(Cron_Uso!P10/Frota!$L10)&gt;INT(Cron_Uso!O10/Frota!$L10),IF(N(VLOOKUP(Frota!$B10,Premissas!$A$39:$E$43,5,0))&gt;0,IF(MOD(INT(Cron_Uso!P10/Frota!$L10)*Frota!$L10,N(VLOOKUP(Frota!$B10,Premissas!$A$39:$E$43,5,0)))=0,"B",IF(N(VLOOKUP(Frota!$B10,Premissas!$A$39:$E$43,4,0))&gt;0,IF(MOD(INT(Cron_Uso!P10/Frota!$L10)*Frota!$L10,N(VLOOKUP(Frota!$B10,Premissas!$A$39:$E$43,4,0)))=0,"A","S"),"S")),IF(N(VLOOKUP(Frota!$B10,Premissas!$A$39:$E$43,4,0))&gt;0,IF(MOD(INT(Cron_Uso!P10/Frota!$L10)*Frota!$L10,N(VLOOKUP(Frota!$B10,Premissas!$A$39:$E$43,4,0)))=0,"A","S"),"S")),""))</f>
        <v/>
      </c>
      <c r="Q10" s="16" t="str">
        <f aca="false">IF(Cron_Uso!Q10="","",IF(INT(Cron_Uso!Q10/Frota!$L10)&gt;INT(Cron_Uso!P10/Frota!$L10),IF(N(VLOOKUP(Frota!$B10,Premissas!$A$39:$E$43,5,0))&gt;0,IF(MOD(INT(Cron_Uso!Q10/Frota!$L10)*Frota!$L10,N(VLOOKUP(Frota!$B10,Premissas!$A$39:$E$43,5,0)))=0,"B",IF(N(VLOOKUP(Frota!$B10,Premissas!$A$39:$E$43,4,0))&gt;0,IF(MOD(INT(Cron_Uso!Q10/Frota!$L10)*Frota!$L10,N(VLOOKUP(Frota!$B10,Premissas!$A$39:$E$43,4,0)))=0,"A","S"),"S")),IF(N(VLOOKUP(Frota!$B10,Premissas!$A$39:$E$43,4,0))&gt;0,IF(MOD(INT(Cron_Uso!Q10/Frota!$L10)*Frota!$L10,N(VLOOKUP(Frota!$B10,Premissas!$A$39:$E$43,4,0)))=0,"A","S"),"S")),""))</f>
        <v/>
      </c>
      <c r="R10" s="16" t="str">
        <f aca="false">IF(Cron_Uso!R10="","",IF(INT(Cron_Uso!R10/Frota!$L10)&gt;INT(Cron_Uso!Q10/Frota!$L10),IF(N(VLOOKUP(Frota!$B10,Premissas!$A$39:$E$43,5,0))&gt;0,IF(MOD(INT(Cron_Uso!R10/Frota!$L10)*Frota!$L10,N(VLOOKUP(Frota!$B10,Premissas!$A$39:$E$43,5,0)))=0,"B",IF(N(VLOOKUP(Frota!$B10,Premissas!$A$39:$E$43,4,0))&gt;0,IF(MOD(INT(Cron_Uso!R10/Frota!$L10)*Frota!$L10,N(VLOOKUP(Frota!$B10,Premissas!$A$39:$E$43,4,0)))=0,"A","S"),"S")),IF(N(VLOOKUP(Frota!$B10,Premissas!$A$39:$E$43,4,0))&gt;0,IF(MOD(INT(Cron_Uso!R10/Frota!$L10)*Frota!$L10,N(VLOOKUP(Frota!$B10,Premissas!$A$39:$E$43,4,0)))=0,"A","S"),"S")),""))</f>
        <v/>
      </c>
      <c r="S10" s="16" t="str">
        <f aca="false">IF(Cron_Uso!S10="","",IF(INT(Cron_Uso!S10/Frota!$L10)&gt;INT(Cron_Uso!R10/Frota!$L10),IF(N(VLOOKUP(Frota!$B10,Premissas!$A$39:$E$43,5,0))&gt;0,IF(MOD(INT(Cron_Uso!S10/Frota!$L10)*Frota!$L10,N(VLOOKUP(Frota!$B10,Premissas!$A$39:$E$43,5,0)))=0,"B",IF(N(VLOOKUP(Frota!$B10,Premissas!$A$39:$E$43,4,0))&gt;0,IF(MOD(INT(Cron_Uso!S10/Frota!$L10)*Frota!$L10,N(VLOOKUP(Frota!$B10,Premissas!$A$39:$E$43,4,0)))=0,"A","S"),"S")),IF(N(VLOOKUP(Frota!$B10,Premissas!$A$39:$E$43,4,0))&gt;0,IF(MOD(INT(Cron_Uso!S10/Frota!$L10)*Frota!$L10,N(VLOOKUP(Frota!$B10,Premissas!$A$39:$E$43,4,0)))=0,"A","S"),"S")),""))</f>
        <v/>
      </c>
      <c r="T10" s="16" t="str">
        <f aca="false">IF(Cron_Uso!T10="","",IF(INT(Cron_Uso!T10/Frota!$L10)&gt;INT(Cron_Uso!S10/Frota!$L10),IF(N(VLOOKUP(Frota!$B10,Premissas!$A$39:$E$43,5,0))&gt;0,IF(MOD(INT(Cron_Uso!T10/Frota!$L10)*Frota!$L10,N(VLOOKUP(Frota!$B10,Premissas!$A$39:$E$43,5,0)))=0,"B",IF(N(VLOOKUP(Frota!$B10,Premissas!$A$39:$E$43,4,0))&gt;0,IF(MOD(INT(Cron_Uso!T10/Frota!$L10)*Frota!$L10,N(VLOOKUP(Frota!$B10,Premissas!$A$39:$E$43,4,0)))=0,"A","S"),"S")),IF(N(VLOOKUP(Frota!$B10,Premissas!$A$39:$E$43,4,0))&gt;0,IF(MOD(INT(Cron_Uso!T10/Frota!$L10)*Frota!$L10,N(VLOOKUP(Frota!$B10,Premissas!$A$39:$E$43,4,0)))=0,"A","S"),"S")),""))</f>
        <v>B</v>
      </c>
      <c r="U10" s="16" t="str">
        <f aca="false">IF(Cron_Uso!U10="","",IF(INT(Cron_Uso!U10/Frota!$L10)&gt;INT(Cron_Uso!T10/Frota!$L10),IF(N(VLOOKUP(Frota!$B10,Premissas!$A$39:$E$43,5,0))&gt;0,IF(MOD(INT(Cron_Uso!U10/Frota!$L10)*Frota!$L10,N(VLOOKUP(Frota!$B10,Premissas!$A$39:$E$43,5,0)))=0,"B",IF(N(VLOOKUP(Frota!$B10,Premissas!$A$39:$E$43,4,0))&gt;0,IF(MOD(INT(Cron_Uso!U10/Frota!$L10)*Frota!$L10,N(VLOOKUP(Frota!$B10,Premissas!$A$39:$E$43,4,0)))=0,"A","S"),"S")),IF(N(VLOOKUP(Frota!$B10,Premissas!$A$39:$E$43,4,0))&gt;0,IF(MOD(INT(Cron_Uso!U10/Frota!$L10)*Frota!$L10,N(VLOOKUP(Frota!$B10,Premissas!$A$39:$E$43,4,0)))=0,"A","S"),"S")),""))</f>
        <v/>
      </c>
      <c r="V10" s="16" t="str">
        <f aca="false">IF(Cron_Uso!V10="","",IF(INT(Cron_Uso!V10/Frota!$L10)&gt;INT(Cron_Uso!U10/Frota!$L10),IF(N(VLOOKUP(Frota!$B10,Premissas!$A$39:$E$43,5,0))&gt;0,IF(MOD(INT(Cron_Uso!V10/Frota!$L10)*Frota!$L10,N(VLOOKUP(Frota!$B10,Premissas!$A$39:$E$43,5,0)))=0,"B",IF(N(VLOOKUP(Frota!$B10,Premissas!$A$39:$E$43,4,0))&gt;0,IF(MOD(INT(Cron_Uso!V10/Frota!$L10)*Frota!$L10,N(VLOOKUP(Frota!$B10,Premissas!$A$39:$E$43,4,0)))=0,"A","S"),"S")),IF(N(VLOOKUP(Frota!$B10,Premissas!$A$39:$E$43,4,0))&gt;0,IF(MOD(INT(Cron_Uso!V10/Frota!$L10)*Frota!$L10,N(VLOOKUP(Frota!$B10,Premissas!$A$39:$E$43,4,0)))=0,"A","S"),"S")),""))</f>
        <v/>
      </c>
      <c r="W10" s="16" t="str">
        <f aca="false">IF(Cron_Uso!W10="","",IF(INT(Cron_Uso!W10/Frota!$L10)&gt;INT(Cron_Uso!V10/Frota!$L10),IF(N(VLOOKUP(Frota!$B10,Premissas!$A$39:$E$43,5,0))&gt;0,IF(MOD(INT(Cron_Uso!W10/Frota!$L10)*Frota!$L10,N(VLOOKUP(Frota!$B10,Premissas!$A$39:$E$43,5,0)))=0,"B",IF(N(VLOOKUP(Frota!$B10,Premissas!$A$39:$E$43,4,0))&gt;0,IF(MOD(INT(Cron_Uso!W10/Frota!$L10)*Frota!$L10,N(VLOOKUP(Frota!$B10,Premissas!$A$39:$E$43,4,0)))=0,"A","S"),"S")),IF(N(VLOOKUP(Frota!$B10,Premissas!$A$39:$E$43,4,0))&gt;0,IF(MOD(INT(Cron_Uso!W10/Frota!$L10)*Frota!$L10,N(VLOOKUP(Frota!$B10,Premissas!$A$39:$E$43,4,0)))=0,"A","S"),"S")),""))</f>
        <v/>
      </c>
      <c r="X10" s="16" t="str">
        <f aca="false">IF(Cron_Uso!X10="","",IF(INT(Cron_Uso!X10/Frota!$L10)&gt;INT(Cron_Uso!W10/Frota!$L10),IF(N(VLOOKUP(Frota!$B10,Premissas!$A$39:$E$43,5,0))&gt;0,IF(MOD(INT(Cron_Uso!X10/Frota!$L10)*Frota!$L10,N(VLOOKUP(Frota!$B10,Premissas!$A$39:$E$43,5,0)))=0,"B",IF(N(VLOOKUP(Frota!$B10,Premissas!$A$39:$E$43,4,0))&gt;0,IF(MOD(INT(Cron_Uso!X10/Frota!$L10)*Frota!$L10,N(VLOOKUP(Frota!$B10,Premissas!$A$39:$E$43,4,0)))=0,"A","S"),"S")),IF(N(VLOOKUP(Frota!$B10,Premissas!$A$39:$E$43,4,0))&gt;0,IF(MOD(INT(Cron_Uso!X10/Frota!$L10)*Frota!$L10,N(VLOOKUP(Frota!$B10,Premissas!$A$39:$E$43,4,0)))=0,"A","S"),"S")),""))</f>
        <v/>
      </c>
      <c r="Y10" s="16" t="str">
        <f aca="false">IF(Cron_Uso!Y10="","",IF(INT(Cron_Uso!Y10/Frota!$L10)&gt;INT(Cron_Uso!X10/Frota!$L10),IF(N(VLOOKUP(Frota!$B10,Premissas!$A$39:$E$43,5,0))&gt;0,IF(MOD(INT(Cron_Uso!Y10/Frota!$L10)*Frota!$L10,N(VLOOKUP(Frota!$B10,Premissas!$A$39:$E$43,5,0)))=0,"B",IF(N(VLOOKUP(Frota!$B10,Premissas!$A$39:$E$43,4,0))&gt;0,IF(MOD(INT(Cron_Uso!Y10/Frota!$L10)*Frota!$L10,N(VLOOKUP(Frota!$B10,Premissas!$A$39:$E$43,4,0)))=0,"A","S"),"S")),IF(N(VLOOKUP(Frota!$B10,Premissas!$A$39:$E$43,4,0))&gt;0,IF(MOD(INT(Cron_Uso!Y10/Frota!$L10)*Frota!$L10,N(VLOOKUP(Frota!$B10,Premissas!$A$39:$E$43,4,0)))=0,"A","S"),"S")),""))</f>
        <v>S</v>
      </c>
      <c r="Z10" s="16" t="str">
        <f aca="false">IF(Cron_Uso!Z10="","",IF(INT(Cron_Uso!Z10/Frota!$L10)&gt;INT(Cron_Uso!Y10/Frota!$L10),IF(N(VLOOKUP(Frota!$B10,Premissas!$A$39:$E$43,5,0))&gt;0,IF(MOD(INT(Cron_Uso!Z10/Frota!$L10)*Frota!$L10,N(VLOOKUP(Frota!$B10,Premissas!$A$39:$E$43,5,0)))=0,"B",IF(N(VLOOKUP(Frota!$B10,Premissas!$A$39:$E$43,4,0))&gt;0,IF(MOD(INT(Cron_Uso!Z10/Frota!$L10)*Frota!$L10,N(VLOOKUP(Frota!$B10,Premissas!$A$39:$E$43,4,0)))=0,"A","S"),"S")),IF(N(VLOOKUP(Frota!$B10,Premissas!$A$39:$E$43,4,0))&gt;0,IF(MOD(INT(Cron_Uso!Z10/Frota!$L10)*Frota!$L10,N(VLOOKUP(Frota!$B10,Premissas!$A$39:$E$43,4,0)))=0,"A","S"),"S")),""))</f>
        <v/>
      </c>
      <c r="AA10" s="16" t="str">
        <f aca="false">IF(Cron_Uso!AA10="","",IF(INT(Cron_Uso!AA10/Frota!$L10)&gt;INT(Cron_Uso!Z10/Frota!$L10),IF(N(VLOOKUP(Frota!$B10,Premissas!$A$39:$E$43,5,0))&gt;0,IF(MOD(INT(Cron_Uso!AA10/Frota!$L10)*Frota!$L10,N(VLOOKUP(Frota!$B10,Premissas!$A$39:$E$43,5,0)))=0,"B",IF(N(VLOOKUP(Frota!$B10,Premissas!$A$39:$E$43,4,0))&gt;0,IF(MOD(INT(Cron_Uso!AA10/Frota!$L10)*Frota!$L10,N(VLOOKUP(Frota!$B10,Premissas!$A$39:$E$43,4,0)))=0,"A","S"),"S")),IF(N(VLOOKUP(Frota!$B10,Premissas!$A$39:$E$43,4,0))&gt;0,IF(MOD(INT(Cron_Uso!AA10/Frota!$L10)*Frota!$L10,N(VLOOKUP(Frota!$B10,Premissas!$A$39:$E$43,4,0)))=0,"A","S"),"S")),""))</f>
        <v/>
      </c>
      <c r="AB10" s="16" t="str">
        <f aca="false">IF(Cron_Uso!AB10="","",IF(INT(Cron_Uso!AB10/Frota!$L10)&gt;INT(Cron_Uso!AA10/Frota!$L10),IF(N(VLOOKUP(Frota!$B10,Premissas!$A$39:$E$43,5,0))&gt;0,IF(MOD(INT(Cron_Uso!AB10/Frota!$L10)*Frota!$L10,N(VLOOKUP(Frota!$B10,Premissas!$A$39:$E$43,5,0)))=0,"B",IF(N(VLOOKUP(Frota!$B10,Premissas!$A$39:$E$43,4,0))&gt;0,IF(MOD(INT(Cron_Uso!AB10/Frota!$L10)*Frota!$L10,N(VLOOKUP(Frota!$B10,Premissas!$A$39:$E$43,4,0)))=0,"A","S"),"S")),IF(N(VLOOKUP(Frota!$B10,Premissas!$A$39:$E$43,4,0))&gt;0,IF(MOD(INT(Cron_Uso!AB10/Frota!$L10)*Frota!$L10,N(VLOOKUP(Frota!$B10,Premissas!$A$39:$E$43,4,0)))=0,"A","S"),"S")),""))</f>
        <v/>
      </c>
      <c r="AC10" s="16" t="str">
        <f aca="false">IF(Cron_Uso!AC10="","",IF(INT(Cron_Uso!AC10/Frota!$L10)&gt;INT(Cron_Uso!AB10/Frota!$L10),IF(N(VLOOKUP(Frota!$B10,Premissas!$A$39:$E$43,5,0))&gt;0,IF(MOD(INT(Cron_Uso!AC10/Frota!$L10)*Frota!$L10,N(VLOOKUP(Frota!$B10,Premissas!$A$39:$E$43,5,0)))=0,"B",IF(N(VLOOKUP(Frota!$B10,Premissas!$A$39:$E$43,4,0))&gt;0,IF(MOD(INT(Cron_Uso!AC10/Frota!$L10)*Frota!$L10,N(VLOOKUP(Frota!$B10,Premissas!$A$39:$E$43,4,0)))=0,"A","S"),"S")),IF(N(VLOOKUP(Frota!$B10,Premissas!$A$39:$E$43,4,0))&gt;0,IF(MOD(INT(Cron_Uso!AC10/Frota!$L10)*Frota!$L10,N(VLOOKUP(Frota!$B10,Premissas!$A$39:$E$43,4,0)))=0,"A","S"),"S")),""))</f>
        <v/>
      </c>
      <c r="AD10" s="16" t="str">
        <f aca="false">IF(Cron_Uso!AD10="","",IF(INT(Cron_Uso!AD10/Frota!$L10)&gt;INT(Cron_Uso!AC10/Frota!$L10),IF(N(VLOOKUP(Frota!$B10,Premissas!$A$39:$E$43,5,0))&gt;0,IF(MOD(INT(Cron_Uso!AD10/Frota!$L10)*Frota!$L10,N(VLOOKUP(Frota!$B10,Premissas!$A$39:$E$43,5,0)))=0,"B",IF(N(VLOOKUP(Frota!$B10,Premissas!$A$39:$E$43,4,0))&gt;0,IF(MOD(INT(Cron_Uso!AD10/Frota!$L10)*Frota!$L10,N(VLOOKUP(Frota!$B10,Premissas!$A$39:$E$43,4,0)))=0,"A","S"),"S")),IF(N(VLOOKUP(Frota!$B10,Premissas!$A$39:$E$43,4,0))&gt;0,IF(MOD(INT(Cron_Uso!AD10/Frota!$L10)*Frota!$L10,N(VLOOKUP(Frota!$B10,Premissas!$A$39:$E$43,4,0)))=0,"A","S"),"S")),""))</f>
        <v>A</v>
      </c>
      <c r="AE10" s="16" t="str">
        <f aca="false">IF(Cron_Uso!AE10="","",IF(INT(Cron_Uso!AE10/Frota!$L10)&gt;INT(Cron_Uso!AD10/Frota!$L10),IF(N(VLOOKUP(Frota!$B10,Premissas!$A$39:$E$43,5,0))&gt;0,IF(MOD(INT(Cron_Uso!AE10/Frota!$L10)*Frota!$L10,N(VLOOKUP(Frota!$B10,Premissas!$A$39:$E$43,5,0)))=0,"B",IF(N(VLOOKUP(Frota!$B10,Premissas!$A$39:$E$43,4,0))&gt;0,IF(MOD(INT(Cron_Uso!AE10/Frota!$L10)*Frota!$L10,N(VLOOKUP(Frota!$B10,Premissas!$A$39:$E$43,4,0)))=0,"A","S"),"S")),IF(N(VLOOKUP(Frota!$B10,Premissas!$A$39:$E$43,4,0))&gt;0,IF(MOD(INT(Cron_Uso!AE10/Frota!$L10)*Frota!$L10,N(VLOOKUP(Frota!$B10,Premissas!$A$39:$E$43,4,0)))=0,"A","S"),"S")),""))</f>
        <v/>
      </c>
      <c r="AF10" s="16" t="str">
        <f aca="false">IF(Cron_Uso!AF10="","",IF(INT(Cron_Uso!AF10/Frota!$L10)&gt;INT(Cron_Uso!AE10/Frota!$L10),IF(N(VLOOKUP(Frota!$B10,Premissas!$A$39:$E$43,5,0))&gt;0,IF(MOD(INT(Cron_Uso!AF10/Frota!$L10)*Frota!$L10,N(VLOOKUP(Frota!$B10,Premissas!$A$39:$E$43,5,0)))=0,"B",IF(N(VLOOKUP(Frota!$B10,Premissas!$A$39:$E$43,4,0))&gt;0,IF(MOD(INT(Cron_Uso!AF10/Frota!$L10)*Frota!$L10,N(VLOOKUP(Frota!$B10,Premissas!$A$39:$E$43,4,0)))=0,"A","S"),"S")),IF(N(VLOOKUP(Frota!$B10,Premissas!$A$39:$E$43,4,0))&gt;0,IF(MOD(INT(Cron_Uso!AF10/Frota!$L10)*Frota!$L10,N(VLOOKUP(Frota!$B10,Premissas!$A$39:$E$43,4,0)))=0,"A","S"),"S")),""))</f>
        <v/>
      </c>
      <c r="AG10" s="16" t="str">
        <f aca="false">IF(Cron_Uso!AG10="","",IF(INT(Cron_Uso!AG10/Frota!$L10)&gt;INT(Cron_Uso!AF10/Frota!$L10),IF(N(VLOOKUP(Frota!$B10,Premissas!$A$39:$E$43,5,0))&gt;0,IF(MOD(INT(Cron_Uso!AG10/Frota!$L10)*Frota!$L10,N(VLOOKUP(Frota!$B10,Premissas!$A$39:$E$43,5,0)))=0,"B",IF(N(VLOOKUP(Frota!$B10,Premissas!$A$39:$E$43,4,0))&gt;0,IF(MOD(INT(Cron_Uso!AG10/Frota!$L10)*Frota!$L10,N(VLOOKUP(Frota!$B10,Premissas!$A$39:$E$43,4,0)))=0,"A","S"),"S")),IF(N(VLOOKUP(Frota!$B10,Premissas!$A$39:$E$43,4,0))&gt;0,IF(MOD(INT(Cron_Uso!AG10/Frota!$L10)*Frota!$L10,N(VLOOKUP(Frota!$B10,Premissas!$A$39:$E$43,4,0)))=0,"A","S"),"S")),""))</f>
        <v/>
      </c>
      <c r="AH10" s="16" t="str">
        <f aca="false">IF(Cron_Uso!AH10="","",IF(INT(Cron_Uso!AH10/Frota!$L10)&gt;INT(Cron_Uso!AG10/Frota!$L10),IF(N(VLOOKUP(Frota!$B10,Premissas!$A$39:$E$43,5,0))&gt;0,IF(MOD(INT(Cron_Uso!AH10/Frota!$L10)*Frota!$L10,N(VLOOKUP(Frota!$B10,Premissas!$A$39:$E$43,5,0)))=0,"B",IF(N(VLOOKUP(Frota!$B10,Premissas!$A$39:$E$43,4,0))&gt;0,IF(MOD(INT(Cron_Uso!AH10/Frota!$L10)*Frota!$L10,N(VLOOKUP(Frota!$B10,Premissas!$A$39:$E$43,4,0)))=0,"A","S"),"S")),IF(N(VLOOKUP(Frota!$B10,Premissas!$A$39:$E$43,4,0))&gt;0,IF(MOD(INT(Cron_Uso!AH10/Frota!$L10)*Frota!$L10,N(VLOOKUP(Frota!$B10,Premissas!$A$39:$E$43,4,0)))=0,"A","S"),"S")),""))</f>
        <v/>
      </c>
      <c r="AI10" s="16" t="str">
        <f aca="false">IF(Cron_Uso!AI10="","",IF(INT(Cron_Uso!AI10/Frota!$L10)&gt;INT(Cron_Uso!AH10/Frota!$L10),IF(N(VLOOKUP(Frota!$B10,Premissas!$A$39:$E$43,5,0))&gt;0,IF(MOD(INT(Cron_Uso!AI10/Frota!$L10)*Frota!$L10,N(VLOOKUP(Frota!$B10,Premissas!$A$39:$E$43,5,0)))=0,"B",IF(N(VLOOKUP(Frota!$B10,Premissas!$A$39:$E$43,4,0))&gt;0,IF(MOD(INT(Cron_Uso!AI10/Frota!$L10)*Frota!$L10,N(VLOOKUP(Frota!$B10,Premissas!$A$39:$E$43,4,0)))=0,"A","S"),"S")),IF(N(VLOOKUP(Frota!$B10,Premissas!$A$39:$E$43,4,0))&gt;0,IF(MOD(INT(Cron_Uso!AI10/Frota!$L10)*Frota!$L10,N(VLOOKUP(Frota!$B10,Premissas!$A$39:$E$43,4,0)))=0,"A","S"),"S")),""))</f>
        <v>S</v>
      </c>
      <c r="AJ10" s="16" t="str">
        <f aca="false">IF(Cron_Uso!AJ10="","",IF(INT(Cron_Uso!AJ10/Frota!$L10)&gt;INT(Cron_Uso!AI10/Frota!$L10),IF(N(VLOOKUP(Frota!$B10,Premissas!$A$39:$E$43,5,0))&gt;0,IF(MOD(INT(Cron_Uso!AJ10/Frota!$L10)*Frota!$L10,N(VLOOKUP(Frota!$B10,Premissas!$A$39:$E$43,5,0)))=0,"B",IF(N(VLOOKUP(Frota!$B10,Premissas!$A$39:$E$43,4,0))&gt;0,IF(MOD(INT(Cron_Uso!AJ10/Frota!$L10)*Frota!$L10,N(VLOOKUP(Frota!$B10,Premissas!$A$39:$E$43,4,0)))=0,"A","S"),"S")),IF(N(VLOOKUP(Frota!$B10,Premissas!$A$39:$E$43,4,0))&gt;0,IF(MOD(INT(Cron_Uso!AJ10/Frota!$L10)*Frota!$L10,N(VLOOKUP(Frota!$B10,Premissas!$A$39:$E$43,4,0)))=0,"A","S"),"S")),""))</f>
        <v/>
      </c>
      <c r="AK10" s="16" t="str">
        <f aca="false">IF(Cron_Uso!AK10="","",IF(INT(Cron_Uso!AK10/Frota!$L10)&gt;INT(Cron_Uso!AJ10/Frota!$L10),IF(N(VLOOKUP(Frota!$B10,Premissas!$A$39:$E$43,5,0))&gt;0,IF(MOD(INT(Cron_Uso!AK10/Frota!$L10)*Frota!$L10,N(VLOOKUP(Frota!$B10,Premissas!$A$39:$E$43,5,0)))=0,"B",IF(N(VLOOKUP(Frota!$B10,Premissas!$A$39:$E$43,4,0))&gt;0,IF(MOD(INT(Cron_Uso!AK10/Frota!$L10)*Frota!$L10,N(VLOOKUP(Frota!$B10,Premissas!$A$39:$E$43,4,0)))=0,"A","S"),"S")),IF(N(VLOOKUP(Frota!$B10,Premissas!$A$39:$E$43,4,0))&gt;0,IF(MOD(INT(Cron_Uso!AK10/Frota!$L10)*Frota!$L10,N(VLOOKUP(Frota!$B10,Premissas!$A$39:$E$43,4,0)))=0,"A","S"),"S")),""))</f>
        <v/>
      </c>
      <c r="AL10" s="16" t="str">
        <f aca="false">IF(Cron_Uso!AL10="","",IF(INT(Cron_Uso!AL10/Frota!$L10)&gt;INT(Cron_Uso!AK10/Frota!$L10),IF(N(VLOOKUP(Frota!$B10,Premissas!$A$39:$E$43,5,0))&gt;0,IF(MOD(INT(Cron_Uso!AL10/Frota!$L10)*Frota!$L10,N(VLOOKUP(Frota!$B10,Premissas!$A$39:$E$43,5,0)))=0,"B",IF(N(VLOOKUP(Frota!$B10,Premissas!$A$39:$E$43,4,0))&gt;0,IF(MOD(INT(Cron_Uso!AL10/Frota!$L10)*Frota!$L10,N(VLOOKUP(Frota!$B10,Premissas!$A$39:$E$43,4,0)))=0,"A","S"),"S")),IF(N(VLOOKUP(Frota!$B10,Premissas!$A$39:$E$43,4,0))&gt;0,IF(MOD(INT(Cron_Uso!AL10/Frota!$L10)*Frota!$L10,N(VLOOKUP(Frota!$B10,Premissas!$A$39:$E$43,4,0)))=0,"A","S"),"S")),""))</f>
        <v/>
      </c>
      <c r="AM10" s="16" t="str">
        <f aca="false">IF(Cron_Uso!AM10="","",IF(INT(Cron_Uso!AM10/Frota!$L10)&gt;INT(Cron_Uso!AL10/Frota!$L10),IF(N(VLOOKUP(Frota!$B10,Premissas!$A$39:$E$43,5,0))&gt;0,IF(MOD(INT(Cron_Uso!AM10/Frota!$L10)*Frota!$L10,N(VLOOKUP(Frota!$B10,Premissas!$A$39:$E$43,5,0)))=0,"B",IF(N(VLOOKUP(Frota!$B10,Premissas!$A$39:$E$43,4,0))&gt;0,IF(MOD(INT(Cron_Uso!AM10/Frota!$L10)*Frota!$L10,N(VLOOKUP(Frota!$B10,Premissas!$A$39:$E$43,4,0)))=0,"A","S"),"S")),IF(N(VLOOKUP(Frota!$B10,Premissas!$A$39:$E$43,4,0))&gt;0,IF(MOD(INT(Cron_Uso!AM10/Frota!$L10)*Frota!$L10,N(VLOOKUP(Frota!$B10,Premissas!$A$39:$E$43,4,0)))=0,"A","S"),"S")),""))</f>
        <v/>
      </c>
      <c r="AN10" s="16" t="str">
        <f aca="false">IF(Cron_Uso!AN10="","",IF(INT(Cron_Uso!AN10/Frota!$L10)&gt;INT(Cron_Uso!AM10/Frota!$L10),IF(N(VLOOKUP(Frota!$B10,Premissas!$A$39:$E$43,5,0))&gt;0,IF(MOD(INT(Cron_Uso!AN10/Frota!$L10)*Frota!$L10,N(VLOOKUP(Frota!$B10,Premissas!$A$39:$E$43,5,0)))=0,"B",IF(N(VLOOKUP(Frota!$B10,Premissas!$A$39:$E$43,4,0))&gt;0,IF(MOD(INT(Cron_Uso!AN10/Frota!$L10)*Frota!$L10,N(VLOOKUP(Frota!$B10,Premissas!$A$39:$E$43,4,0)))=0,"A","S"),"S")),IF(N(VLOOKUP(Frota!$B10,Premissas!$A$39:$E$43,4,0))&gt;0,IF(MOD(INT(Cron_Uso!AN10/Frota!$L10)*Frota!$L10,N(VLOOKUP(Frota!$B10,Premissas!$A$39:$E$43,4,0)))=0,"A","S"),"S")),""))</f>
        <v/>
      </c>
      <c r="AO10" s="16" t="str">
        <f aca="false">IF(Cron_Uso!AO10="","",IF(INT(Cron_Uso!AO10/Frota!$L10)&gt;INT(Cron_Uso!AN10/Frota!$L10),IF(N(VLOOKUP(Frota!$B10,Premissas!$A$39:$E$43,5,0))&gt;0,IF(MOD(INT(Cron_Uso!AO10/Frota!$L10)*Frota!$L10,N(VLOOKUP(Frota!$B10,Premissas!$A$39:$E$43,5,0)))=0,"B",IF(N(VLOOKUP(Frota!$B10,Premissas!$A$39:$E$43,4,0))&gt;0,IF(MOD(INT(Cron_Uso!AO10/Frota!$L10)*Frota!$L10,N(VLOOKUP(Frota!$B10,Premissas!$A$39:$E$43,4,0)))=0,"A","S"),"S")),IF(N(VLOOKUP(Frota!$B10,Premissas!$A$39:$E$43,4,0))&gt;0,IF(MOD(INT(Cron_Uso!AO10/Frota!$L10)*Frota!$L10,N(VLOOKUP(Frota!$B10,Premissas!$A$39:$E$43,4,0)))=0,"A","S"),"S")),""))</f>
        <v/>
      </c>
      <c r="AP10" s="16" t="str">
        <f aca="false">IF(Cron_Uso!AP10="","",IF(INT(Cron_Uso!AP10/Frota!$L10)&gt;INT(Cron_Uso!AO10/Frota!$L10),IF(N(VLOOKUP(Frota!$B10,Premissas!$A$39:$E$43,5,0))&gt;0,IF(MOD(INT(Cron_Uso!AP10/Frota!$L10)*Frota!$L10,N(VLOOKUP(Frota!$B10,Premissas!$A$39:$E$43,5,0)))=0,"B",IF(N(VLOOKUP(Frota!$B10,Premissas!$A$39:$E$43,4,0))&gt;0,IF(MOD(INT(Cron_Uso!AP10/Frota!$L10)*Frota!$L10,N(VLOOKUP(Frota!$B10,Premissas!$A$39:$E$43,4,0)))=0,"A","S"),"S")),IF(N(VLOOKUP(Frota!$B10,Premissas!$A$39:$E$43,4,0))&gt;0,IF(MOD(INT(Cron_Uso!AP10/Frota!$L10)*Frota!$L10,N(VLOOKUP(Frota!$B10,Premissas!$A$39:$E$43,4,0)))=0,"A","S"),"S")),""))</f>
        <v/>
      </c>
      <c r="AQ10" s="16" t="str">
        <f aca="false">IF(Cron_Uso!AQ10="","",IF(INT(Cron_Uso!AQ10/Frota!$L10)&gt;INT(Cron_Uso!AP10/Frota!$L10),IF(N(VLOOKUP(Frota!$B10,Premissas!$A$39:$E$43,5,0))&gt;0,IF(MOD(INT(Cron_Uso!AQ10/Frota!$L10)*Frota!$L10,N(VLOOKUP(Frota!$B10,Premissas!$A$39:$E$43,5,0)))=0,"B",IF(N(VLOOKUP(Frota!$B10,Premissas!$A$39:$E$43,4,0))&gt;0,IF(MOD(INT(Cron_Uso!AQ10/Frota!$L10)*Frota!$L10,N(VLOOKUP(Frota!$B10,Premissas!$A$39:$E$43,4,0)))=0,"A","S"),"S")),IF(N(VLOOKUP(Frota!$B10,Premissas!$A$39:$E$43,4,0))&gt;0,IF(MOD(INT(Cron_Uso!AQ10/Frota!$L10)*Frota!$L10,N(VLOOKUP(Frota!$B10,Premissas!$A$39:$E$43,4,0)))=0,"A","S"),"S")),""))</f>
        <v/>
      </c>
      <c r="AR10" s="16" t="str">
        <f aca="false">IF(Cron_Uso!AR10="","",IF(INT(Cron_Uso!AR10/Frota!$L10)&gt;INT(Cron_Uso!AQ10/Frota!$L10),IF(N(VLOOKUP(Frota!$B10,Premissas!$A$39:$E$43,5,0))&gt;0,IF(MOD(INT(Cron_Uso!AR10/Frota!$L10)*Frota!$L10,N(VLOOKUP(Frota!$B10,Premissas!$A$39:$E$43,5,0)))=0,"B",IF(N(VLOOKUP(Frota!$B10,Premissas!$A$39:$E$43,4,0))&gt;0,IF(MOD(INT(Cron_Uso!AR10/Frota!$L10)*Frota!$L10,N(VLOOKUP(Frota!$B10,Premissas!$A$39:$E$43,4,0)))=0,"A","S"),"S")),IF(N(VLOOKUP(Frota!$B10,Premissas!$A$39:$E$43,4,0))&gt;0,IF(MOD(INT(Cron_Uso!AR10/Frota!$L10)*Frota!$L10,N(VLOOKUP(Frota!$B10,Premissas!$A$39:$E$43,4,0)))=0,"A","S"),"S")),""))</f>
        <v/>
      </c>
      <c r="AS10" s="16" t="str">
        <f aca="false">IF(Cron_Uso!AS10="","",IF(INT(Cron_Uso!AS10/Frota!$L10)&gt;INT(Cron_Uso!AR10/Frota!$L10),IF(N(VLOOKUP(Frota!$B10,Premissas!$A$39:$E$43,5,0))&gt;0,IF(MOD(INT(Cron_Uso!AS10/Frota!$L10)*Frota!$L10,N(VLOOKUP(Frota!$B10,Premissas!$A$39:$E$43,5,0)))=0,"B",IF(N(VLOOKUP(Frota!$B10,Premissas!$A$39:$E$43,4,0))&gt;0,IF(MOD(INT(Cron_Uso!AS10/Frota!$L10)*Frota!$L10,N(VLOOKUP(Frota!$B10,Premissas!$A$39:$E$43,4,0)))=0,"A","S"),"S")),IF(N(VLOOKUP(Frota!$B10,Premissas!$A$39:$E$43,4,0))&gt;0,IF(MOD(INT(Cron_Uso!AS10/Frota!$L10)*Frota!$L10,N(VLOOKUP(Frota!$B10,Premissas!$A$39:$E$43,4,0)))=0,"A","S"),"S")),""))</f>
        <v/>
      </c>
      <c r="AT10" s="16" t="str">
        <f aca="false">IF(Cron_Uso!AT10="","",IF(INT(Cron_Uso!AT10/Frota!$L10)&gt;INT(Cron_Uso!AS10/Frota!$L10),IF(N(VLOOKUP(Frota!$B10,Premissas!$A$39:$E$43,5,0))&gt;0,IF(MOD(INT(Cron_Uso!AT10/Frota!$L10)*Frota!$L10,N(VLOOKUP(Frota!$B10,Premissas!$A$39:$E$43,5,0)))=0,"B",IF(N(VLOOKUP(Frota!$B10,Premissas!$A$39:$E$43,4,0))&gt;0,IF(MOD(INT(Cron_Uso!AT10/Frota!$L10)*Frota!$L10,N(VLOOKUP(Frota!$B10,Premissas!$A$39:$E$43,4,0)))=0,"A","S"),"S")),IF(N(VLOOKUP(Frota!$B10,Premissas!$A$39:$E$43,4,0))&gt;0,IF(MOD(INT(Cron_Uso!AT10/Frota!$L10)*Frota!$L10,N(VLOOKUP(Frota!$B10,Premissas!$A$39:$E$43,4,0)))=0,"A","S"),"S")),""))</f>
        <v/>
      </c>
      <c r="AU10" s="16" t="str">
        <f aca="false">IF(Cron_Uso!AU10="","",IF(INT(Cron_Uso!AU10/Frota!$L10)&gt;INT(Cron_Uso!AT10/Frota!$L10),IF(N(VLOOKUP(Frota!$B10,Premissas!$A$39:$E$43,5,0))&gt;0,IF(MOD(INT(Cron_Uso!AU10/Frota!$L10)*Frota!$L10,N(VLOOKUP(Frota!$B10,Premissas!$A$39:$E$43,5,0)))=0,"B",IF(N(VLOOKUP(Frota!$B10,Premissas!$A$39:$E$43,4,0))&gt;0,IF(MOD(INT(Cron_Uso!AU10/Frota!$L10)*Frota!$L10,N(VLOOKUP(Frota!$B10,Premissas!$A$39:$E$43,4,0)))=0,"A","S"),"S")),IF(N(VLOOKUP(Frota!$B10,Premissas!$A$39:$E$43,4,0))&gt;0,IF(MOD(INT(Cron_Uso!AU10/Frota!$L10)*Frota!$L10,N(VLOOKUP(Frota!$B10,Premissas!$A$39:$E$43,4,0)))=0,"A","S"),"S")),""))</f>
        <v/>
      </c>
      <c r="AV10" s="16" t="str">
        <f aca="false">IF(Cron_Uso!AV10="","",IF(INT(Cron_Uso!AV10/Frota!$L10)&gt;INT(Cron_Uso!AU10/Frota!$L10),IF(N(VLOOKUP(Frota!$B10,Premissas!$A$39:$E$43,5,0))&gt;0,IF(MOD(INT(Cron_Uso!AV10/Frota!$L10)*Frota!$L10,N(VLOOKUP(Frota!$B10,Premissas!$A$39:$E$43,5,0)))=0,"B",IF(N(VLOOKUP(Frota!$B10,Premissas!$A$39:$E$43,4,0))&gt;0,IF(MOD(INT(Cron_Uso!AV10/Frota!$L10)*Frota!$L10,N(VLOOKUP(Frota!$B10,Premissas!$A$39:$E$43,4,0)))=0,"A","S"),"S")),IF(N(VLOOKUP(Frota!$B10,Premissas!$A$39:$E$43,4,0))&gt;0,IF(MOD(INT(Cron_Uso!AV10/Frota!$L10)*Frota!$L10,N(VLOOKUP(Frota!$B10,Premissas!$A$39:$E$43,4,0)))=0,"A","S"),"S")),""))</f>
        <v/>
      </c>
      <c r="AW10" s="16" t="str">
        <f aca="false">IF(Cron_Uso!AW10="","",IF(INT(Cron_Uso!AW10/Frota!$L10)&gt;INT(Cron_Uso!AV10/Frota!$L10),IF(N(VLOOKUP(Frota!$B10,Premissas!$A$39:$E$43,5,0))&gt;0,IF(MOD(INT(Cron_Uso!AW10/Frota!$L10)*Frota!$L10,N(VLOOKUP(Frota!$B10,Premissas!$A$39:$E$43,5,0)))=0,"B",IF(N(VLOOKUP(Frota!$B10,Premissas!$A$39:$E$43,4,0))&gt;0,IF(MOD(INT(Cron_Uso!AW10/Frota!$L10)*Frota!$L10,N(VLOOKUP(Frota!$B10,Premissas!$A$39:$E$43,4,0)))=0,"A","S"),"S")),IF(N(VLOOKUP(Frota!$B10,Premissas!$A$39:$E$43,4,0))&gt;0,IF(MOD(INT(Cron_Uso!AW10/Frota!$L10)*Frota!$L10,N(VLOOKUP(Frota!$B10,Premissas!$A$39:$E$43,4,0)))=0,"A","S"),"S")),""))</f>
        <v/>
      </c>
      <c r="AX10" s="16" t="str">
        <f aca="false">IF(Cron_Uso!AX10="","",IF(INT(Cron_Uso!AX10/Frota!$L10)&gt;INT(Cron_Uso!AW10/Frota!$L10),IF(N(VLOOKUP(Frota!$B10,Premissas!$A$39:$E$43,5,0))&gt;0,IF(MOD(INT(Cron_Uso!AX10/Frota!$L10)*Frota!$L10,N(VLOOKUP(Frota!$B10,Premissas!$A$39:$E$43,5,0)))=0,"B",IF(N(VLOOKUP(Frota!$B10,Premissas!$A$39:$E$43,4,0))&gt;0,IF(MOD(INT(Cron_Uso!AX10/Frota!$L10)*Frota!$L10,N(VLOOKUP(Frota!$B10,Premissas!$A$39:$E$43,4,0)))=0,"A","S"),"S")),IF(N(VLOOKUP(Frota!$B10,Premissas!$A$39:$E$43,4,0))&gt;0,IF(MOD(INT(Cron_Uso!AX10/Frota!$L10)*Frota!$L10,N(VLOOKUP(Frota!$B10,Premissas!$A$39:$E$43,4,0)))=0,"A","S"),"S")),""))</f>
        <v/>
      </c>
      <c r="AY10" s="16" t="str">
        <f aca="false">IF(Cron_Uso!AY10="","",IF(INT(Cron_Uso!AY10/Frota!$L10)&gt;INT(Cron_Uso!AX10/Frota!$L10),IF(N(VLOOKUP(Frota!$B10,Premissas!$A$39:$E$43,5,0))&gt;0,IF(MOD(INT(Cron_Uso!AY10/Frota!$L10)*Frota!$L10,N(VLOOKUP(Frota!$B10,Premissas!$A$39:$E$43,5,0)))=0,"B",IF(N(VLOOKUP(Frota!$B10,Premissas!$A$39:$E$43,4,0))&gt;0,IF(MOD(INT(Cron_Uso!AY10/Frota!$L10)*Frota!$L10,N(VLOOKUP(Frota!$B10,Premissas!$A$39:$E$43,4,0)))=0,"A","S"),"S")),IF(N(VLOOKUP(Frota!$B10,Premissas!$A$39:$E$43,4,0))&gt;0,IF(MOD(INT(Cron_Uso!AY10/Frota!$L10)*Frota!$L10,N(VLOOKUP(Frota!$B10,Premissas!$A$39:$E$43,4,0)))=0,"A","S"),"S")),""))</f>
        <v/>
      </c>
      <c r="AZ10" s="16" t="str">
        <f aca="false">IF(Cron_Uso!AZ10="","",IF(INT(Cron_Uso!AZ10/Frota!$L10)&gt;INT(Cron_Uso!AY10/Frota!$L10),IF(N(VLOOKUP(Frota!$B10,Premissas!$A$39:$E$43,5,0))&gt;0,IF(MOD(INT(Cron_Uso!AZ10/Frota!$L10)*Frota!$L10,N(VLOOKUP(Frota!$B10,Premissas!$A$39:$E$43,5,0)))=0,"B",IF(N(VLOOKUP(Frota!$B10,Premissas!$A$39:$E$43,4,0))&gt;0,IF(MOD(INT(Cron_Uso!AZ10/Frota!$L10)*Frota!$L10,N(VLOOKUP(Frota!$B10,Premissas!$A$39:$E$43,4,0)))=0,"A","S"),"S")),IF(N(VLOOKUP(Frota!$B10,Premissas!$A$39:$E$43,4,0))&gt;0,IF(MOD(INT(Cron_Uso!AZ10/Frota!$L10)*Frota!$L10,N(VLOOKUP(Frota!$B10,Premissas!$A$39:$E$43,4,0)))=0,"A","S"),"S")),""))</f>
        <v>B</v>
      </c>
      <c r="BA10" s="16" t="str">
        <f aca="false">IF(Cron_Uso!BA10="","",IF(INT(Cron_Uso!BA10/Frota!$L10)&gt;INT(Cron_Uso!AZ10/Frota!$L10),IF(N(VLOOKUP(Frota!$B10,Premissas!$A$39:$E$43,5,0))&gt;0,IF(MOD(INT(Cron_Uso!BA10/Frota!$L10)*Frota!$L10,N(VLOOKUP(Frota!$B10,Premissas!$A$39:$E$43,5,0)))=0,"B",IF(N(VLOOKUP(Frota!$B10,Premissas!$A$39:$E$43,4,0))&gt;0,IF(MOD(INT(Cron_Uso!BA10/Frota!$L10)*Frota!$L10,N(VLOOKUP(Frota!$B10,Premissas!$A$39:$E$43,4,0)))=0,"A","S"),"S")),IF(N(VLOOKUP(Frota!$B10,Premissas!$A$39:$E$43,4,0))&gt;0,IF(MOD(INT(Cron_Uso!BA10/Frota!$L10)*Frota!$L10,N(VLOOKUP(Frota!$B10,Premissas!$A$39:$E$43,4,0)))=0,"A","S"),"S")),""))</f>
        <v/>
      </c>
    </row>
    <row r="11" customFormat="false" ht="15" hidden="false" customHeight="false" outlineLevel="0" collapsed="false">
      <c r="A11" s="6" t="str">
        <f aca="false">IF(Frota!$A11="","",Frota!$A11)</f>
        <v>Trator Case Puma 175 — 403</v>
      </c>
      <c r="B11" s="16" t="str">
        <f aca="false">IF(Cron_Uso!B11="","",IF(INT(Cron_Uso!B11/Frota!$L11)&gt;INT(Frota!$I11/Frota!$L11),IF(N(VLOOKUP(Frota!$B11,Premissas!$A$39:$E$43,5,0))&gt;0,IF(MOD(INT(Cron_Uso!B11/Frota!$L11)*Frota!$L11,N(VLOOKUP(Frota!$B11,Premissas!$A$39:$E$43,5,0)))=0,"B",IF(N(VLOOKUP(Frota!$B11,Premissas!$A$39:$E$43,4,0))&gt;0,IF(MOD(INT(Cron_Uso!B11/Frota!$L11)*Frota!$L11,N(VLOOKUP(Frota!$B11,Premissas!$A$39:$E$43,4,0)))=0,"A","S"),"S")),IF(N(VLOOKUP(Frota!$B11,Premissas!$A$39:$E$43,4,0))&gt;0,IF(MOD(INT(Cron_Uso!B11/Frota!$L11)*Frota!$L11,N(VLOOKUP(Frota!$B11,Premissas!$A$39:$E$43,4,0)))=0,"A","S"),"S")),""))</f>
        <v/>
      </c>
      <c r="C11" s="16" t="str">
        <f aca="false">IF(Cron_Uso!C11="","",IF(INT(Cron_Uso!C11/Frota!$L11)&gt;INT(Cron_Uso!B11/Frota!$L11),IF(N(VLOOKUP(Frota!$B11,Premissas!$A$39:$E$43,5,0))&gt;0,IF(MOD(INT(Cron_Uso!C11/Frota!$L11)*Frota!$L11,N(VLOOKUP(Frota!$B11,Premissas!$A$39:$E$43,5,0)))=0,"B",IF(N(VLOOKUP(Frota!$B11,Premissas!$A$39:$E$43,4,0))&gt;0,IF(MOD(INT(Cron_Uso!C11/Frota!$L11)*Frota!$L11,N(VLOOKUP(Frota!$B11,Premissas!$A$39:$E$43,4,0)))=0,"A","S"),"S")),IF(N(VLOOKUP(Frota!$B11,Premissas!$A$39:$E$43,4,0))&gt;0,IF(MOD(INT(Cron_Uso!C11/Frota!$L11)*Frota!$L11,N(VLOOKUP(Frota!$B11,Premissas!$A$39:$E$43,4,0)))=0,"A","S"),"S")),""))</f>
        <v/>
      </c>
      <c r="D11" s="16" t="str">
        <f aca="false">IF(Cron_Uso!D11="","",IF(INT(Cron_Uso!D11/Frota!$L11)&gt;INT(Cron_Uso!C11/Frota!$L11),IF(N(VLOOKUP(Frota!$B11,Premissas!$A$39:$E$43,5,0))&gt;0,IF(MOD(INT(Cron_Uso!D11/Frota!$L11)*Frota!$L11,N(VLOOKUP(Frota!$B11,Premissas!$A$39:$E$43,5,0)))=0,"B",IF(N(VLOOKUP(Frota!$B11,Premissas!$A$39:$E$43,4,0))&gt;0,IF(MOD(INT(Cron_Uso!D11/Frota!$L11)*Frota!$L11,N(VLOOKUP(Frota!$B11,Premissas!$A$39:$E$43,4,0)))=0,"A","S"),"S")),IF(N(VLOOKUP(Frota!$B11,Premissas!$A$39:$E$43,4,0))&gt;0,IF(MOD(INT(Cron_Uso!D11/Frota!$L11)*Frota!$L11,N(VLOOKUP(Frota!$B11,Premissas!$A$39:$E$43,4,0)))=0,"A","S"),"S")),""))</f>
        <v/>
      </c>
      <c r="E11" s="16" t="str">
        <f aca="false">IF(Cron_Uso!E11="","",IF(INT(Cron_Uso!E11/Frota!$L11)&gt;INT(Cron_Uso!D11/Frota!$L11),IF(N(VLOOKUP(Frota!$B11,Premissas!$A$39:$E$43,5,0))&gt;0,IF(MOD(INT(Cron_Uso!E11/Frota!$L11)*Frota!$L11,N(VLOOKUP(Frota!$B11,Premissas!$A$39:$E$43,5,0)))=0,"B",IF(N(VLOOKUP(Frota!$B11,Premissas!$A$39:$E$43,4,0))&gt;0,IF(MOD(INT(Cron_Uso!E11/Frota!$L11)*Frota!$L11,N(VLOOKUP(Frota!$B11,Premissas!$A$39:$E$43,4,0)))=0,"A","S"),"S")),IF(N(VLOOKUP(Frota!$B11,Premissas!$A$39:$E$43,4,0))&gt;0,IF(MOD(INT(Cron_Uso!E11/Frota!$L11)*Frota!$L11,N(VLOOKUP(Frota!$B11,Premissas!$A$39:$E$43,4,0)))=0,"A","S"),"S")),""))</f>
        <v>S</v>
      </c>
      <c r="F11" s="16" t="str">
        <f aca="false">IF(Cron_Uso!F11="","",IF(INT(Cron_Uso!F11/Frota!$L11)&gt;INT(Cron_Uso!E11/Frota!$L11),IF(N(VLOOKUP(Frota!$B11,Premissas!$A$39:$E$43,5,0))&gt;0,IF(MOD(INT(Cron_Uso!F11/Frota!$L11)*Frota!$L11,N(VLOOKUP(Frota!$B11,Premissas!$A$39:$E$43,5,0)))=0,"B",IF(N(VLOOKUP(Frota!$B11,Premissas!$A$39:$E$43,4,0))&gt;0,IF(MOD(INT(Cron_Uso!F11/Frota!$L11)*Frota!$L11,N(VLOOKUP(Frota!$B11,Premissas!$A$39:$E$43,4,0)))=0,"A","S"),"S")),IF(N(VLOOKUP(Frota!$B11,Premissas!$A$39:$E$43,4,0))&gt;0,IF(MOD(INT(Cron_Uso!F11/Frota!$L11)*Frota!$L11,N(VLOOKUP(Frota!$B11,Premissas!$A$39:$E$43,4,0)))=0,"A","S"),"S")),""))</f>
        <v/>
      </c>
      <c r="G11" s="16" t="str">
        <f aca="false">IF(Cron_Uso!G11="","",IF(INT(Cron_Uso!G11/Frota!$L11)&gt;INT(Cron_Uso!F11/Frota!$L11),IF(N(VLOOKUP(Frota!$B11,Premissas!$A$39:$E$43,5,0))&gt;0,IF(MOD(INT(Cron_Uso!G11/Frota!$L11)*Frota!$L11,N(VLOOKUP(Frota!$B11,Premissas!$A$39:$E$43,5,0)))=0,"B",IF(N(VLOOKUP(Frota!$B11,Premissas!$A$39:$E$43,4,0))&gt;0,IF(MOD(INT(Cron_Uso!G11/Frota!$L11)*Frota!$L11,N(VLOOKUP(Frota!$B11,Premissas!$A$39:$E$43,4,0)))=0,"A","S"),"S")),IF(N(VLOOKUP(Frota!$B11,Premissas!$A$39:$E$43,4,0))&gt;0,IF(MOD(INT(Cron_Uso!G11/Frota!$L11)*Frota!$L11,N(VLOOKUP(Frota!$B11,Premissas!$A$39:$E$43,4,0)))=0,"A","S"),"S")),""))</f>
        <v/>
      </c>
      <c r="H11" s="16" t="str">
        <f aca="false">IF(Cron_Uso!H11="","",IF(INT(Cron_Uso!H11/Frota!$L11)&gt;INT(Cron_Uso!G11/Frota!$L11),IF(N(VLOOKUP(Frota!$B11,Premissas!$A$39:$E$43,5,0))&gt;0,IF(MOD(INT(Cron_Uso!H11/Frota!$L11)*Frota!$L11,N(VLOOKUP(Frota!$B11,Premissas!$A$39:$E$43,5,0)))=0,"B",IF(N(VLOOKUP(Frota!$B11,Premissas!$A$39:$E$43,4,0))&gt;0,IF(MOD(INT(Cron_Uso!H11/Frota!$L11)*Frota!$L11,N(VLOOKUP(Frota!$B11,Premissas!$A$39:$E$43,4,0)))=0,"A","S"),"S")),IF(N(VLOOKUP(Frota!$B11,Premissas!$A$39:$E$43,4,0))&gt;0,IF(MOD(INT(Cron_Uso!H11/Frota!$L11)*Frota!$L11,N(VLOOKUP(Frota!$B11,Premissas!$A$39:$E$43,4,0)))=0,"A","S"),"S")),""))</f>
        <v/>
      </c>
      <c r="I11" s="16" t="str">
        <f aca="false">IF(Cron_Uso!I11="","",IF(INT(Cron_Uso!I11/Frota!$L11)&gt;INT(Cron_Uso!H11/Frota!$L11),IF(N(VLOOKUP(Frota!$B11,Premissas!$A$39:$E$43,5,0))&gt;0,IF(MOD(INT(Cron_Uso!I11/Frota!$L11)*Frota!$L11,N(VLOOKUP(Frota!$B11,Premissas!$A$39:$E$43,5,0)))=0,"B",IF(N(VLOOKUP(Frota!$B11,Premissas!$A$39:$E$43,4,0))&gt;0,IF(MOD(INT(Cron_Uso!I11/Frota!$L11)*Frota!$L11,N(VLOOKUP(Frota!$B11,Premissas!$A$39:$E$43,4,0)))=0,"A","S"),"S")),IF(N(VLOOKUP(Frota!$B11,Premissas!$A$39:$E$43,4,0))&gt;0,IF(MOD(INT(Cron_Uso!I11/Frota!$L11)*Frota!$L11,N(VLOOKUP(Frota!$B11,Premissas!$A$39:$E$43,4,0)))=0,"A","S"),"S")),""))</f>
        <v/>
      </c>
      <c r="J11" s="16" t="str">
        <f aca="false">IF(Cron_Uso!J11="","",IF(INT(Cron_Uso!J11/Frota!$L11)&gt;INT(Cron_Uso!I11/Frota!$L11),IF(N(VLOOKUP(Frota!$B11,Premissas!$A$39:$E$43,5,0))&gt;0,IF(MOD(INT(Cron_Uso!J11/Frota!$L11)*Frota!$L11,N(VLOOKUP(Frota!$B11,Premissas!$A$39:$E$43,5,0)))=0,"B",IF(N(VLOOKUP(Frota!$B11,Premissas!$A$39:$E$43,4,0))&gt;0,IF(MOD(INT(Cron_Uso!J11/Frota!$L11)*Frota!$L11,N(VLOOKUP(Frota!$B11,Premissas!$A$39:$E$43,4,0)))=0,"A","S"),"S")),IF(N(VLOOKUP(Frota!$B11,Premissas!$A$39:$E$43,4,0))&gt;0,IF(MOD(INT(Cron_Uso!J11/Frota!$L11)*Frota!$L11,N(VLOOKUP(Frota!$B11,Premissas!$A$39:$E$43,4,0)))=0,"A","S"),"S")),""))</f>
        <v>A</v>
      </c>
      <c r="K11" s="16" t="str">
        <f aca="false">IF(Cron_Uso!K11="","",IF(INT(Cron_Uso!K11/Frota!$L11)&gt;INT(Cron_Uso!J11/Frota!$L11),IF(N(VLOOKUP(Frota!$B11,Premissas!$A$39:$E$43,5,0))&gt;0,IF(MOD(INT(Cron_Uso!K11/Frota!$L11)*Frota!$L11,N(VLOOKUP(Frota!$B11,Premissas!$A$39:$E$43,5,0)))=0,"B",IF(N(VLOOKUP(Frota!$B11,Premissas!$A$39:$E$43,4,0))&gt;0,IF(MOD(INT(Cron_Uso!K11/Frota!$L11)*Frota!$L11,N(VLOOKUP(Frota!$B11,Premissas!$A$39:$E$43,4,0)))=0,"A","S"),"S")),IF(N(VLOOKUP(Frota!$B11,Premissas!$A$39:$E$43,4,0))&gt;0,IF(MOD(INT(Cron_Uso!K11/Frota!$L11)*Frota!$L11,N(VLOOKUP(Frota!$B11,Premissas!$A$39:$E$43,4,0)))=0,"A","S"),"S")),""))</f>
        <v/>
      </c>
      <c r="L11" s="16" t="str">
        <f aca="false">IF(Cron_Uso!L11="","",IF(INT(Cron_Uso!L11/Frota!$L11)&gt;INT(Cron_Uso!K11/Frota!$L11),IF(N(VLOOKUP(Frota!$B11,Premissas!$A$39:$E$43,5,0))&gt;0,IF(MOD(INT(Cron_Uso!L11/Frota!$L11)*Frota!$L11,N(VLOOKUP(Frota!$B11,Premissas!$A$39:$E$43,5,0)))=0,"B",IF(N(VLOOKUP(Frota!$B11,Premissas!$A$39:$E$43,4,0))&gt;0,IF(MOD(INT(Cron_Uso!L11/Frota!$L11)*Frota!$L11,N(VLOOKUP(Frota!$B11,Premissas!$A$39:$E$43,4,0)))=0,"A","S"),"S")),IF(N(VLOOKUP(Frota!$B11,Premissas!$A$39:$E$43,4,0))&gt;0,IF(MOD(INT(Cron_Uso!L11/Frota!$L11)*Frota!$L11,N(VLOOKUP(Frota!$B11,Premissas!$A$39:$E$43,4,0)))=0,"A","S"),"S")),""))</f>
        <v/>
      </c>
      <c r="M11" s="16" t="str">
        <f aca="false">IF(Cron_Uso!M11="","",IF(INT(Cron_Uso!M11/Frota!$L11)&gt;INT(Cron_Uso!L11/Frota!$L11),IF(N(VLOOKUP(Frota!$B11,Premissas!$A$39:$E$43,5,0))&gt;0,IF(MOD(INT(Cron_Uso!M11/Frota!$L11)*Frota!$L11,N(VLOOKUP(Frota!$B11,Premissas!$A$39:$E$43,5,0)))=0,"B",IF(N(VLOOKUP(Frota!$B11,Premissas!$A$39:$E$43,4,0))&gt;0,IF(MOD(INT(Cron_Uso!M11/Frota!$L11)*Frota!$L11,N(VLOOKUP(Frota!$B11,Premissas!$A$39:$E$43,4,0)))=0,"A","S"),"S")),IF(N(VLOOKUP(Frota!$B11,Premissas!$A$39:$E$43,4,0))&gt;0,IF(MOD(INT(Cron_Uso!M11/Frota!$L11)*Frota!$L11,N(VLOOKUP(Frota!$B11,Premissas!$A$39:$E$43,4,0)))=0,"A","S"),"S")),""))</f>
        <v/>
      </c>
      <c r="N11" s="16" t="str">
        <f aca="false">IF(Cron_Uso!N11="","",IF(INT(Cron_Uso!N11/Frota!$L11)&gt;INT(Cron_Uso!M11/Frota!$L11),IF(N(VLOOKUP(Frota!$B11,Premissas!$A$39:$E$43,5,0))&gt;0,IF(MOD(INT(Cron_Uso!N11/Frota!$L11)*Frota!$L11,N(VLOOKUP(Frota!$B11,Premissas!$A$39:$E$43,5,0)))=0,"B",IF(N(VLOOKUP(Frota!$B11,Premissas!$A$39:$E$43,4,0))&gt;0,IF(MOD(INT(Cron_Uso!N11/Frota!$L11)*Frota!$L11,N(VLOOKUP(Frota!$B11,Premissas!$A$39:$E$43,4,0)))=0,"A","S"),"S")),IF(N(VLOOKUP(Frota!$B11,Premissas!$A$39:$E$43,4,0))&gt;0,IF(MOD(INT(Cron_Uso!N11/Frota!$L11)*Frota!$L11,N(VLOOKUP(Frota!$B11,Premissas!$A$39:$E$43,4,0)))=0,"A","S"),"S")),""))</f>
        <v/>
      </c>
      <c r="O11" s="16" t="str">
        <f aca="false">IF(Cron_Uso!O11="","",IF(INT(Cron_Uso!O11/Frota!$L11)&gt;INT(Cron_Uso!N11/Frota!$L11),IF(N(VLOOKUP(Frota!$B11,Premissas!$A$39:$E$43,5,0))&gt;0,IF(MOD(INT(Cron_Uso!O11/Frota!$L11)*Frota!$L11,N(VLOOKUP(Frota!$B11,Premissas!$A$39:$E$43,5,0)))=0,"B",IF(N(VLOOKUP(Frota!$B11,Premissas!$A$39:$E$43,4,0))&gt;0,IF(MOD(INT(Cron_Uso!O11/Frota!$L11)*Frota!$L11,N(VLOOKUP(Frota!$B11,Premissas!$A$39:$E$43,4,0)))=0,"A","S"),"S")),IF(N(VLOOKUP(Frota!$B11,Premissas!$A$39:$E$43,4,0))&gt;0,IF(MOD(INT(Cron_Uso!O11/Frota!$L11)*Frota!$L11,N(VLOOKUP(Frota!$B11,Premissas!$A$39:$E$43,4,0)))=0,"A","S"),"S")),""))</f>
        <v/>
      </c>
      <c r="P11" s="16" t="str">
        <f aca="false">IF(Cron_Uso!P11="","",IF(INT(Cron_Uso!P11/Frota!$L11)&gt;INT(Cron_Uso!O11/Frota!$L11),IF(N(VLOOKUP(Frota!$B11,Premissas!$A$39:$E$43,5,0))&gt;0,IF(MOD(INT(Cron_Uso!P11/Frota!$L11)*Frota!$L11,N(VLOOKUP(Frota!$B11,Premissas!$A$39:$E$43,5,0)))=0,"B",IF(N(VLOOKUP(Frota!$B11,Premissas!$A$39:$E$43,4,0))&gt;0,IF(MOD(INT(Cron_Uso!P11/Frota!$L11)*Frota!$L11,N(VLOOKUP(Frota!$B11,Premissas!$A$39:$E$43,4,0)))=0,"A","S"),"S")),IF(N(VLOOKUP(Frota!$B11,Premissas!$A$39:$E$43,4,0))&gt;0,IF(MOD(INT(Cron_Uso!P11/Frota!$L11)*Frota!$L11,N(VLOOKUP(Frota!$B11,Premissas!$A$39:$E$43,4,0)))=0,"A","S"),"S")),""))</f>
        <v>S</v>
      </c>
      <c r="Q11" s="16" t="str">
        <f aca="false">IF(Cron_Uso!Q11="","",IF(INT(Cron_Uso!Q11/Frota!$L11)&gt;INT(Cron_Uso!P11/Frota!$L11),IF(N(VLOOKUP(Frota!$B11,Premissas!$A$39:$E$43,5,0))&gt;0,IF(MOD(INT(Cron_Uso!Q11/Frota!$L11)*Frota!$L11,N(VLOOKUP(Frota!$B11,Premissas!$A$39:$E$43,5,0)))=0,"B",IF(N(VLOOKUP(Frota!$B11,Premissas!$A$39:$E$43,4,0))&gt;0,IF(MOD(INT(Cron_Uso!Q11/Frota!$L11)*Frota!$L11,N(VLOOKUP(Frota!$B11,Premissas!$A$39:$E$43,4,0)))=0,"A","S"),"S")),IF(N(VLOOKUP(Frota!$B11,Premissas!$A$39:$E$43,4,0))&gt;0,IF(MOD(INT(Cron_Uso!Q11/Frota!$L11)*Frota!$L11,N(VLOOKUP(Frota!$B11,Premissas!$A$39:$E$43,4,0)))=0,"A","S"),"S")),""))</f>
        <v/>
      </c>
      <c r="R11" s="16" t="str">
        <f aca="false">IF(Cron_Uso!R11="","",IF(INT(Cron_Uso!R11/Frota!$L11)&gt;INT(Cron_Uso!Q11/Frota!$L11),IF(N(VLOOKUP(Frota!$B11,Premissas!$A$39:$E$43,5,0))&gt;0,IF(MOD(INT(Cron_Uso!R11/Frota!$L11)*Frota!$L11,N(VLOOKUP(Frota!$B11,Premissas!$A$39:$E$43,5,0)))=0,"B",IF(N(VLOOKUP(Frota!$B11,Premissas!$A$39:$E$43,4,0))&gt;0,IF(MOD(INT(Cron_Uso!R11/Frota!$L11)*Frota!$L11,N(VLOOKUP(Frota!$B11,Premissas!$A$39:$E$43,4,0)))=0,"A","S"),"S")),IF(N(VLOOKUP(Frota!$B11,Premissas!$A$39:$E$43,4,0))&gt;0,IF(MOD(INT(Cron_Uso!R11/Frota!$L11)*Frota!$L11,N(VLOOKUP(Frota!$B11,Premissas!$A$39:$E$43,4,0)))=0,"A","S"),"S")),""))</f>
        <v/>
      </c>
      <c r="S11" s="16" t="str">
        <f aca="false">IF(Cron_Uso!S11="","",IF(INT(Cron_Uso!S11/Frota!$L11)&gt;INT(Cron_Uso!R11/Frota!$L11),IF(N(VLOOKUP(Frota!$B11,Premissas!$A$39:$E$43,5,0))&gt;0,IF(MOD(INT(Cron_Uso!S11/Frota!$L11)*Frota!$L11,N(VLOOKUP(Frota!$B11,Premissas!$A$39:$E$43,5,0)))=0,"B",IF(N(VLOOKUP(Frota!$B11,Premissas!$A$39:$E$43,4,0))&gt;0,IF(MOD(INT(Cron_Uso!S11/Frota!$L11)*Frota!$L11,N(VLOOKUP(Frota!$B11,Premissas!$A$39:$E$43,4,0)))=0,"A","S"),"S")),IF(N(VLOOKUP(Frota!$B11,Premissas!$A$39:$E$43,4,0))&gt;0,IF(MOD(INT(Cron_Uso!S11/Frota!$L11)*Frota!$L11,N(VLOOKUP(Frota!$B11,Premissas!$A$39:$E$43,4,0)))=0,"A","S"),"S")),""))</f>
        <v/>
      </c>
      <c r="T11" s="16" t="str">
        <f aca="false">IF(Cron_Uso!T11="","",IF(INT(Cron_Uso!T11/Frota!$L11)&gt;INT(Cron_Uso!S11/Frota!$L11),IF(N(VLOOKUP(Frota!$B11,Premissas!$A$39:$E$43,5,0))&gt;0,IF(MOD(INT(Cron_Uso!T11/Frota!$L11)*Frota!$L11,N(VLOOKUP(Frota!$B11,Premissas!$A$39:$E$43,5,0)))=0,"B",IF(N(VLOOKUP(Frota!$B11,Premissas!$A$39:$E$43,4,0))&gt;0,IF(MOD(INT(Cron_Uso!T11/Frota!$L11)*Frota!$L11,N(VLOOKUP(Frota!$B11,Premissas!$A$39:$E$43,4,0)))=0,"A","S"),"S")),IF(N(VLOOKUP(Frota!$B11,Premissas!$A$39:$E$43,4,0))&gt;0,IF(MOD(INT(Cron_Uso!T11/Frota!$L11)*Frota!$L11,N(VLOOKUP(Frota!$B11,Premissas!$A$39:$E$43,4,0)))=0,"A","S"),"S")),""))</f>
        <v/>
      </c>
      <c r="U11" s="16" t="str">
        <f aca="false">IF(Cron_Uso!U11="","",IF(INT(Cron_Uso!U11/Frota!$L11)&gt;INT(Cron_Uso!T11/Frota!$L11),IF(N(VLOOKUP(Frota!$B11,Premissas!$A$39:$E$43,5,0))&gt;0,IF(MOD(INT(Cron_Uso!U11/Frota!$L11)*Frota!$L11,N(VLOOKUP(Frota!$B11,Premissas!$A$39:$E$43,5,0)))=0,"B",IF(N(VLOOKUP(Frota!$B11,Premissas!$A$39:$E$43,4,0))&gt;0,IF(MOD(INT(Cron_Uso!U11/Frota!$L11)*Frota!$L11,N(VLOOKUP(Frota!$B11,Premissas!$A$39:$E$43,4,0)))=0,"A","S"),"S")),IF(N(VLOOKUP(Frota!$B11,Premissas!$A$39:$E$43,4,0))&gt;0,IF(MOD(INT(Cron_Uso!U11/Frota!$L11)*Frota!$L11,N(VLOOKUP(Frota!$B11,Premissas!$A$39:$E$43,4,0)))=0,"A","S"),"S")),""))</f>
        <v>B</v>
      </c>
      <c r="V11" s="16" t="str">
        <f aca="false">IF(Cron_Uso!V11="","",IF(INT(Cron_Uso!V11/Frota!$L11)&gt;INT(Cron_Uso!U11/Frota!$L11),IF(N(VLOOKUP(Frota!$B11,Premissas!$A$39:$E$43,5,0))&gt;0,IF(MOD(INT(Cron_Uso!V11/Frota!$L11)*Frota!$L11,N(VLOOKUP(Frota!$B11,Premissas!$A$39:$E$43,5,0)))=0,"B",IF(N(VLOOKUP(Frota!$B11,Premissas!$A$39:$E$43,4,0))&gt;0,IF(MOD(INT(Cron_Uso!V11/Frota!$L11)*Frota!$L11,N(VLOOKUP(Frota!$B11,Premissas!$A$39:$E$43,4,0)))=0,"A","S"),"S")),IF(N(VLOOKUP(Frota!$B11,Premissas!$A$39:$E$43,4,0))&gt;0,IF(MOD(INT(Cron_Uso!V11/Frota!$L11)*Frota!$L11,N(VLOOKUP(Frota!$B11,Premissas!$A$39:$E$43,4,0)))=0,"A","S"),"S")),""))</f>
        <v/>
      </c>
      <c r="W11" s="16" t="str">
        <f aca="false">IF(Cron_Uso!W11="","",IF(INT(Cron_Uso!W11/Frota!$L11)&gt;INT(Cron_Uso!V11/Frota!$L11),IF(N(VLOOKUP(Frota!$B11,Premissas!$A$39:$E$43,5,0))&gt;0,IF(MOD(INT(Cron_Uso!W11/Frota!$L11)*Frota!$L11,N(VLOOKUP(Frota!$B11,Premissas!$A$39:$E$43,5,0)))=0,"B",IF(N(VLOOKUP(Frota!$B11,Premissas!$A$39:$E$43,4,0))&gt;0,IF(MOD(INT(Cron_Uso!W11/Frota!$L11)*Frota!$L11,N(VLOOKUP(Frota!$B11,Premissas!$A$39:$E$43,4,0)))=0,"A","S"),"S")),IF(N(VLOOKUP(Frota!$B11,Premissas!$A$39:$E$43,4,0))&gt;0,IF(MOD(INT(Cron_Uso!W11/Frota!$L11)*Frota!$L11,N(VLOOKUP(Frota!$B11,Premissas!$A$39:$E$43,4,0)))=0,"A","S"),"S")),""))</f>
        <v/>
      </c>
      <c r="X11" s="16" t="str">
        <f aca="false">IF(Cron_Uso!X11="","",IF(INT(Cron_Uso!X11/Frota!$L11)&gt;INT(Cron_Uso!W11/Frota!$L11),IF(N(VLOOKUP(Frota!$B11,Premissas!$A$39:$E$43,5,0))&gt;0,IF(MOD(INT(Cron_Uso!X11/Frota!$L11)*Frota!$L11,N(VLOOKUP(Frota!$B11,Premissas!$A$39:$E$43,5,0)))=0,"B",IF(N(VLOOKUP(Frota!$B11,Premissas!$A$39:$E$43,4,0))&gt;0,IF(MOD(INT(Cron_Uso!X11/Frota!$L11)*Frota!$L11,N(VLOOKUP(Frota!$B11,Premissas!$A$39:$E$43,4,0)))=0,"A","S"),"S")),IF(N(VLOOKUP(Frota!$B11,Premissas!$A$39:$E$43,4,0))&gt;0,IF(MOD(INT(Cron_Uso!X11/Frota!$L11)*Frota!$L11,N(VLOOKUP(Frota!$B11,Premissas!$A$39:$E$43,4,0)))=0,"A","S"),"S")),""))</f>
        <v/>
      </c>
      <c r="Y11" s="16" t="str">
        <f aca="false">IF(Cron_Uso!Y11="","",IF(INT(Cron_Uso!Y11/Frota!$L11)&gt;INT(Cron_Uso!X11/Frota!$L11),IF(N(VLOOKUP(Frota!$B11,Premissas!$A$39:$E$43,5,0))&gt;0,IF(MOD(INT(Cron_Uso!Y11/Frota!$L11)*Frota!$L11,N(VLOOKUP(Frota!$B11,Premissas!$A$39:$E$43,5,0)))=0,"B",IF(N(VLOOKUP(Frota!$B11,Premissas!$A$39:$E$43,4,0))&gt;0,IF(MOD(INT(Cron_Uso!Y11/Frota!$L11)*Frota!$L11,N(VLOOKUP(Frota!$B11,Premissas!$A$39:$E$43,4,0)))=0,"A","S"),"S")),IF(N(VLOOKUP(Frota!$B11,Premissas!$A$39:$E$43,4,0))&gt;0,IF(MOD(INT(Cron_Uso!Y11/Frota!$L11)*Frota!$L11,N(VLOOKUP(Frota!$B11,Premissas!$A$39:$E$43,4,0)))=0,"A","S"),"S")),""))</f>
        <v/>
      </c>
      <c r="Z11" s="16" t="str">
        <f aca="false">IF(Cron_Uso!Z11="","",IF(INT(Cron_Uso!Z11/Frota!$L11)&gt;INT(Cron_Uso!Y11/Frota!$L11),IF(N(VLOOKUP(Frota!$B11,Premissas!$A$39:$E$43,5,0))&gt;0,IF(MOD(INT(Cron_Uso!Z11/Frota!$L11)*Frota!$L11,N(VLOOKUP(Frota!$B11,Premissas!$A$39:$E$43,5,0)))=0,"B",IF(N(VLOOKUP(Frota!$B11,Premissas!$A$39:$E$43,4,0))&gt;0,IF(MOD(INT(Cron_Uso!Z11/Frota!$L11)*Frota!$L11,N(VLOOKUP(Frota!$B11,Premissas!$A$39:$E$43,4,0)))=0,"A","S"),"S")),IF(N(VLOOKUP(Frota!$B11,Premissas!$A$39:$E$43,4,0))&gt;0,IF(MOD(INT(Cron_Uso!Z11/Frota!$L11)*Frota!$L11,N(VLOOKUP(Frota!$B11,Premissas!$A$39:$E$43,4,0)))=0,"A","S"),"S")),""))</f>
        <v>S</v>
      </c>
      <c r="AA11" s="16" t="str">
        <f aca="false">IF(Cron_Uso!AA11="","",IF(INT(Cron_Uso!AA11/Frota!$L11)&gt;INT(Cron_Uso!Z11/Frota!$L11),IF(N(VLOOKUP(Frota!$B11,Premissas!$A$39:$E$43,5,0))&gt;0,IF(MOD(INT(Cron_Uso!AA11/Frota!$L11)*Frota!$L11,N(VLOOKUP(Frota!$B11,Premissas!$A$39:$E$43,5,0)))=0,"B",IF(N(VLOOKUP(Frota!$B11,Premissas!$A$39:$E$43,4,0))&gt;0,IF(MOD(INT(Cron_Uso!AA11/Frota!$L11)*Frota!$L11,N(VLOOKUP(Frota!$B11,Premissas!$A$39:$E$43,4,0)))=0,"A","S"),"S")),IF(N(VLOOKUP(Frota!$B11,Premissas!$A$39:$E$43,4,0))&gt;0,IF(MOD(INT(Cron_Uso!AA11/Frota!$L11)*Frota!$L11,N(VLOOKUP(Frota!$B11,Premissas!$A$39:$E$43,4,0)))=0,"A","S"),"S")),""))</f>
        <v/>
      </c>
      <c r="AB11" s="16" t="str">
        <f aca="false">IF(Cron_Uso!AB11="","",IF(INT(Cron_Uso!AB11/Frota!$L11)&gt;INT(Cron_Uso!AA11/Frota!$L11),IF(N(VLOOKUP(Frota!$B11,Premissas!$A$39:$E$43,5,0))&gt;0,IF(MOD(INT(Cron_Uso!AB11/Frota!$L11)*Frota!$L11,N(VLOOKUP(Frota!$B11,Premissas!$A$39:$E$43,5,0)))=0,"B",IF(N(VLOOKUP(Frota!$B11,Premissas!$A$39:$E$43,4,0))&gt;0,IF(MOD(INT(Cron_Uso!AB11/Frota!$L11)*Frota!$L11,N(VLOOKUP(Frota!$B11,Premissas!$A$39:$E$43,4,0)))=0,"A","S"),"S")),IF(N(VLOOKUP(Frota!$B11,Premissas!$A$39:$E$43,4,0))&gt;0,IF(MOD(INT(Cron_Uso!AB11/Frota!$L11)*Frota!$L11,N(VLOOKUP(Frota!$B11,Premissas!$A$39:$E$43,4,0)))=0,"A","S"),"S")),""))</f>
        <v/>
      </c>
      <c r="AC11" s="16" t="str">
        <f aca="false">IF(Cron_Uso!AC11="","",IF(INT(Cron_Uso!AC11/Frota!$L11)&gt;INT(Cron_Uso!AB11/Frota!$L11),IF(N(VLOOKUP(Frota!$B11,Premissas!$A$39:$E$43,5,0))&gt;0,IF(MOD(INT(Cron_Uso!AC11/Frota!$L11)*Frota!$L11,N(VLOOKUP(Frota!$B11,Premissas!$A$39:$E$43,5,0)))=0,"B",IF(N(VLOOKUP(Frota!$B11,Premissas!$A$39:$E$43,4,0))&gt;0,IF(MOD(INT(Cron_Uso!AC11/Frota!$L11)*Frota!$L11,N(VLOOKUP(Frota!$B11,Premissas!$A$39:$E$43,4,0)))=0,"A","S"),"S")),IF(N(VLOOKUP(Frota!$B11,Premissas!$A$39:$E$43,4,0))&gt;0,IF(MOD(INT(Cron_Uso!AC11/Frota!$L11)*Frota!$L11,N(VLOOKUP(Frota!$B11,Premissas!$A$39:$E$43,4,0)))=0,"A","S"),"S")),""))</f>
        <v/>
      </c>
      <c r="AD11" s="16" t="str">
        <f aca="false">IF(Cron_Uso!AD11="","",IF(INT(Cron_Uso!AD11/Frota!$L11)&gt;INT(Cron_Uso!AC11/Frota!$L11),IF(N(VLOOKUP(Frota!$B11,Premissas!$A$39:$E$43,5,0))&gt;0,IF(MOD(INT(Cron_Uso!AD11/Frota!$L11)*Frota!$L11,N(VLOOKUP(Frota!$B11,Premissas!$A$39:$E$43,5,0)))=0,"B",IF(N(VLOOKUP(Frota!$B11,Premissas!$A$39:$E$43,4,0))&gt;0,IF(MOD(INT(Cron_Uso!AD11/Frota!$L11)*Frota!$L11,N(VLOOKUP(Frota!$B11,Premissas!$A$39:$E$43,4,0)))=0,"A","S"),"S")),IF(N(VLOOKUP(Frota!$B11,Premissas!$A$39:$E$43,4,0))&gt;0,IF(MOD(INT(Cron_Uso!AD11/Frota!$L11)*Frota!$L11,N(VLOOKUP(Frota!$B11,Premissas!$A$39:$E$43,4,0)))=0,"A","S"),"S")),""))</f>
        <v/>
      </c>
      <c r="AE11" s="16" t="str">
        <f aca="false">IF(Cron_Uso!AE11="","",IF(INT(Cron_Uso!AE11/Frota!$L11)&gt;INT(Cron_Uso!AD11/Frota!$L11),IF(N(VLOOKUP(Frota!$B11,Premissas!$A$39:$E$43,5,0))&gt;0,IF(MOD(INT(Cron_Uso!AE11/Frota!$L11)*Frota!$L11,N(VLOOKUP(Frota!$B11,Premissas!$A$39:$E$43,5,0)))=0,"B",IF(N(VLOOKUP(Frota!$B11,Premissas!$A$39:$E$43,4,0))&gt;0,IF(MOD(INT(Cron_Uso!AE11/Frota!$L11)*Frota!$L11,N(VLOOKUP(Frota!$B11,Premissas!$A$39:$E$43,4,0)))=0,"A","S"),"S")),IF(N(VLOOKUP(Frota!$B11,Premissas!$A$39:$E$43,4,0))&gt;0,IF(MOD(INT(Cron_Uso!AE11/Frota!$L11)*Frota!$L11,N(VLOOKUP(Frota!$B11,Premissas!$A$39:$E$43,4,0)))=0,"A","S"),"S")),""))</f>
        <v/>
      </c>
      <c r="AF11" s="16" t="str">
        <f aca="false">IF(Cron_Uso!AF11="","",IF(INT(Cron_Uso!AF11/Frota!$L11)&gt;INT(Cron_Uso!AE11/Frota!$L11),IF(N(VLOOKUP(Frota!$B11,Premissas!$A$39:$E$43,5,0))&gt;0,IF(MOD(INT(Cron_Uso!AF11/Frota!$L11)*Frota!$L11,N(VLOOKUP(Frota!$B11,Premissas!$A$39:$E$43,5,0)))=0,"B",IF(N(VLOOKUP(Frota!$B11,Premissas!$A$39:$E$43,4,0))&gt;0,IF(MOD(INT(Cron_Uso!AF11/Frota!$L11)*Frota!$L11,N(VLOOKUP(Frota!$B11,Premissas!$A$39:$E$43,4,0)))=0,"A","S"),"S")),IF(N(VLOOKUP(Frota!$B11,Premissas!$A$39:$E$43,4,0))&gt;0,IF(MOD(INT(Cron_Uso!AF11/Frota!$L11)*Frota!$L11,N(VLOOKUP(Frota!$B11,Premissas!$A$39:$E$43,4,0)))=0,"A","S"),"S")),""))</f>
        <v>A</v>
      </c>
      <c r="AG11" s="16" t="str">
        <f aca="false">IF(Cron_Uso!AG11="","",IF(INT(Cron_Uso!AG11/Frota!$L11)&gt;INT(Cron_Uso!AF11/Frota!$L11),IF(N(VLOOKUP(Frota!$B11,Premissas!$A$39:$E$43,5,0))&gt;0,IF(MOD(INT(Cron_Uso!AG11/Frota!$L11)*Frota!$L11,N(VLOOKUP(Frota!$B11,Premissas!$A$39:$E$43,5,0)))=0,"B",IF(N(VLOOKUP(Frota!$B11,Premissas!$A$39:$E$43,4,0))&gt;0,IF(MOD(INT(Cron_Uso!AG11/Frota!$L11)*Frota!$L11,N(VLOOKUP(Frota!$B11,Premissas!$A$39:$E$43,4,0)))=0,"A","S"),"S")),IF(N(VLOOKUP(Frota!$B11,Premissas!$A$39:$E$43,4,0))&gt;0,IF(MOD(INT(Cron_Uso!AG11/Frota!$L11)*Frota!$L11,N(VLOOKUP(Frota!$B11,Premissas!$A$39:$E$43,4,0)))=0,"A","S"),"S")),""))</f>
        <v/>
      </c>
      <c r="AH11" s="16" t="str">
        <f aca="false">IF(Cron_Uso!AH11="","",IF(INT(Cron_Uso!AH11/Frota!$L11)&gt;INT(Cron_Uso!AG11/Frota!$L11),IF(N(VLOOKUP(Frota!$B11,Premissas!$A$39:$E$43,5,0))&gt;0,IF(MOD(INT(Cron_Uso!AH11/Frota!$L11)*Frota!$L11,N(VLOOKUP(Frota!$B11,Premissas!$A$39:$E$43,5,0)))=0,"B",IF(N(VLOOKUP(Frota!$B11,Premissas!$A$39:$E$43,4,0))&gt;0,IF(MOD(INT(Cron_Uso!AH11/Frota!$L11)*Frota!$L11,N(VLOOKUP(Frota!$B11,Premissas!$A$39:$E$43,4,0)))=0,"A","S"),"S")),IF(N(VLOOKUP(Frota!$B11,Premissas!$A$39:$E$43,4,0))&gt;0,IF(MOD(INT(Cron_Uso!AH11/Frota!$L11)*Frota!$L11,N(VLOOKUP(Frota!$B11,Premissas!$A$39:$E$43,4,0)))=0,"A","S"),"S")),""))</f>
        <v/>
      </c>
      <c r="AI11" s="16" t="str">
        <f aca="false">IF(Cron_Uso!AI11="","",IF(INT(Cron_Uso!AI11/Frota!$L11)&gt;INT(Cron_Uso!AH11/Frota!$L11),IF(N(VLOOKUP(Frota!$B11,Premissas!$A$39:$E$43,5,0))&gt;0,IF(MOD(INT(Cron_Uso!AI11/Frota!$L11)*Frota!$L11,N(VLOOKUP(Frota!$B11,Premissas!$A$39:$E$43,5,0)))=0,"B",IF(N(VLOOKUP(Frota!$B11,Premissas!$A$39:$E$43,4,0))&gt;0,IF(MOD(INT(Cron_Uso!AI11/Frota!$L11)*Frota!$L11,N(VLOOKUP(Frota!$B11,Premissas!$A$39:$E$43,4,0)))=0,"A","S"),"S")),IF(N(VLOOKUP(Frota!$B11,Premissas!$A$39:$E$43,4,0))&gt;0,IF(MOD(INT(Cron_Uso!AI11/Frota!$L11)*Frota!$L11,N(VLOOKUP(Frota!$B11,Premissas!$A$39:$E$43,4,0)))=0,"A","S"),"S")),""))</f>
        <v/>
      </c>
      <c r="AJ11" s="16" t="str">
        <f aca="false">IF(Cron_Uso!AJ11="","",IF(INT(Cron_Uso!AJ11/Frota!$L11)&gt;INT(Cron_Uso!AI11/Frota!$L11),IF(N(VLOOKUP(Frota!$B11,Premissas!$A$39:$E$43,5,0))&gt;0,IF(MOD(INT(Cron_Uso!AJ11/Frota!$L11)*Frota!$L11,N(VLOOKUP(Frota!$B11,Premissas!$A$39:$E$43,5,0)))=0,"B",IF(N(VLOOKUP(Frota!$B11,Premissas!$A$39:$E$43,4,0))&gt;0,IF(MOD(INT(Cron_Uso!AJ11/Frota!$L11)*Frota!$L11,N(VLOOKUP(Frota!$B11,Premissas!$A$39:$E$43,4,0)))=0,"A","S"),"S")),IF(N(VLOOKUP(Frota!$B11,Premissas!$A$39:$E$43,4,0))&gt;0,IF(MOD(INT(Cron_Uso!AJ11/Frota!$L11)*Frota!$L11,N(VLOOKUP(Frota!$B11,Premissas!$A$39:$E$43,4,0)))=0,"A","S"),"S")),""))</f>
        <v/>
      </c>
      <c r="AK11" s="16" t="str">
        <f aca="false">IF(Cron_Uso!AK11="","",IF(INT(Cron_Uso!AK11/Frota!$L11)&gt;INT(Cron_Uso!AJ11/Frota!$L11),IF(N(VLOOKUP(Frota!$B11,Premissas!$A$39:$E$43,5,0))&gt;0,IF(MOD(INT(Cron_Uso!AK11/Frota!$L11)*Frota!$L11,N(VLOOKUP(Frota!$B11,Premissas!$A$39:$E$43,5,0)))=0,"B",IF(N(VLOOKUP(Frota!$B11,Premissas!$A$39:$E$43,4,0))&gt;0,IF(MOD(INT(Cron_Uso!AK11/Frota!$L11)*Frota!$L11,N(VLOOKUP(Frota!$B11,Premissas!$A$39:$E$43,4,0)))=0,"A","S"),"S")),IF(N(VLOOKUP(Frota!$B11,Premissas!$A$39:$E$43,4,0))&gt;0,IF(MOD(INT(Cron_Uso!AK11/Frota!$L11)*Frota!$L11,N(VLOOKUP(Frota!$B11,Premissas!$A$39:$E$43,4,0)))=0,"A","S"),"S")),""))</f>
        <v/>
      </c>
      <c r="AL11" s="16" t="str">
        <f aca="false">IF(Cron_Uso!AL11="","",IF(INT(Cron_Uso!AL11/Frota!$L11)&gt;INT(Cron_Uso!AK11/Frota!$L11),IF(N(VLOOKUP(Frota!$B11,Premissas!$A$39:$E$43,5,0))&gt;0,IF(MOD(INT(Cron_Uso!AL11/Frota!$L11)*Frota!$L11,N(VLOOKUP(Frota!$B11,Premissas!$A$39:$E$43,5,0)))=0,"B",IF(N(VLOOKUP(Frota!$B11,Premissas!$A$39:$E$43,4,0))&gt;0,IF(MOD(INT(Cron_Uso!AL11/Frota!$L11)*Frota!$L11,N(VLOOKUP(Frota!$B11,Premissas!$A$39:$E$43,4,0)))=0,"A","S"),"S")),IF(N(VLOOKUP(Frota!$B11,Premissas!$A$39:$E$43,4,0))&gt;0,IF(MOD(INT(Cron_Uso!AL11/Frota!$L11)*Frota!$L11,N(VLOOKUP(Frota!$B11,Premissas!$A$39:$E$43,4,0)))=0,"A","S"),"S")),""))</f>
        <v/>
      </c>
      <c r="AM11" s="16" t="str">
        <f aca="false">IF(Cron_Uso!AM11="","",IF(INT(Cron_Uso!AM11/Frota!$L11)&gt;INT(Cron_Uso!AL11/Frota!$L11),IF(N(VLOOKUP(Frota!$B11,Premissas!$A$39:$E$43,5,0))&gt;0,IF(MOD(INT(Cron_Uso!AM11/Frota!$L11)*Frota!$L11,N(VLOOKUP(Frota!$B11,Premissas!$A$39:$E$43,5,0)))=0,"B",IF(N(VLOOKUP(Frota!$B11,Premissas!$A$39:$E$43,4,0))&gt;0,IF(MOD(INT(Cron_Uso!AM11/Frota!$L11)*Frota!$L11,N(VLOOKUP(Frota!$B11,Premissas!$A$39:$E$43,4,0)))=0,"A","S"),"S")),IF(N(VLOOKUP(Frota!$B11,Premissas!$A$39:$E$43,4,0))&gt;0,IF(MOD(INT(Cron_Uso!AM11/Frota!$L11)*Frota!$L11,N(VLOOKUP(Frota!$B11,Premissas!$A$39:$E$43,4,0)))=0,"A","S"),"S")),""))</f>
        <v/>
      </c>
      <c r="AN11" s="16" t="str">
        <f aca="false">IF(Cron_Uso!AN11="","",IF(INT(Cron_Uso!AN11/Frota!$L11)&gt;INT(Cron_Uso!AM11/Frota!$L11),IF(N(VLOOKUP(Frota!$B11,Premissas!$A$39:$E$43,5,0))&gt;0,IF(MOD(INT(Cron_Uso!AN11/Frota!$L11)*Frota!$L11,N(VLOOKUP(Frota!$B11,Premissas!$A$39:$E$43,5,0)))=0,"B",IF(N(VLOOKUP(Frota!$B11,Premissas!$A$39:$E$43,4,0))&gt;0,IF(MOD(INT(Cron_Uso!AN11/Frota!$L11)*Frota!$L11,N(VLOOKUP(Frota!$B11,Premissas!$A$39:$E$43,4,0)))=0,"A","S"),"S")),IF(N(VLOOKUP(Frota!$B11,Premissas!$A$39:$E$43,4,0))&gt;0,IF(MOD(INT(Cron_Uso!AN11/Frota!$L11)*Frota!$L11,N(VLOOKUP(Frota!$B11,Premissas!$A$39:$E$43,4,0)))=0,"A","S"),"S")),""))</f>
        <v>S</v>
      </c>
      <c r="AO11" s="16" t="str">
        <f aca="false">IF(Cron_Uso!AO11="","",IF(INT(Cron_Uso!AO11/Frota!$L11)&gt;INT(Cron_Uso!AN11/Frota!$L11),IF(N(VLOOKUP(Frota!$B11,Premissas!$A$39:$E$43,5,0))&gt;0,IF(MOD(INT(Cron_Uso!AO11/Frota!$L11)*Frota!$L11,N(VLOOKUP(Frota!$B11,Premissas!$A$39:$E$43,5,0)))=0,"B",IF(N(VLOOKUP(Frota!$B11,Premissas!$A$39:$E$43,4,0))&gt;0,IF(MOD(INT(Cron_Uso!AO11/Frota!$L11)*Frota!$L11,N(VLOOKUP(Frota!$B11,Premissas!$A$39:$E$43,4,0)))=0,"A","S"),"S")),IF(N(VLOOKUP(Frota!$B11,Premissas!$A$39:$E$43,4,0))&gt;0,IF(MOD(INT(Cron_Uso!AO11/Frota!$L11)*Frota!$L11,N(VLOOKUP(Frota!$B11,Premissas!$A$39:$E$43,4,0)))=0,"A","S"),"S")),""))</f>
        <v/>
      </c>
      <c r="AP11" s="16" t="str">
        <f aca="false">IF(Cron_Uso!AP11="","",IF(INT(Cron_Uso!AP11/Frota!$L11)&gt;INT(Cron_Uso!AO11/Frota!$L11),IF(N(VLOOKUP(Frota!$B11,Premissas!$A$39:$E$43,5,0))&gt;0,IF(MOD(INT(Cron_Uso!AP11/Frota!$L11)*Frota!$L11,N(VLOOKUP(Frota!$B11,Premissas!$A$39:$E$43,5,0)))=0,"B",IF(N(VLOOKUP(Frota!$B11,Premissas!$A$39:$E$43,4,0))&gt;0,IF(MOD(INT(Cron_Uso!AP11/Frota!$L11)*Frota!$L11,N(VLOOKUP(Frota!$B11,Premissas!$A$39:$E$43,4,0)))=0,"A","S"),"S")),IF(N(VLOOKUP(Frota!$B11,Premissas!$A$39:$E$43,4,0))&gt;0,IF(MOD(INT(Cron_Uso!AP11/Frota!$L11)*Frota!$L11,N(VLOOKUP(Frota!$B11,Premissas!$A$39:$E$43,4,0)))=0,"A","S"),"S")),""))</f>
        <v/>
      </c>
      <c r="AQ11" s="16" t="str">
        <f aca="false">IF(Cron_Uso!AQ11="","",IF(INT(Cron_Uso!AQ11/Frota!$L11)&gt;INT(Cron_Uso!AP11/Frota!$L11),IF(N(VLOOKUP(Frota!$B11,Premissas!$A$39:$E$43,5,0))&gt;0,IF(MOD(INT(Cron_Uso!AQ11/Frota!$L11)*Frota!$L11,N(VLOOKUP(Frota!$B11,Premissas!$A$39:$E$43,5,0)))=0,"B",IF(N(VLOOKUP(Frota!$B11,Premissas!$A$39:$E$43,4,0))&gt;0,IF(MOD(INT(Cron_Uso!AQ11/Frota!$L11)*Frota!$L11,N(VLOOKUP(Frota!$B11,Premissas!$A$39:$E$43,4,0)))=0,"A","S"),"S")),IF(N(VLOOKUP(Frota!$B11,Premissas!$A$39:$E$43,4,0))&gt;0,IF(MOD(INT(Cron_Uso!AQ11/Frota!$L11)*Frota!$L11,N(VLOOKUP(Frota!$B11,Premissas!$A$39:$E$43,4,0)))=0,"A","S"),"S")),""))</f>
        <v/>
      </c>
      <c r="AR11" s="16" t="str">
        <f aca="false">IF(Cron_Uso!AR11="","",IF(INT(Cron_Uso!AR11/Frota!$L11)&gt;INT(Cron_Uso!AQ11/Frota!$L11),IF(N(VLOOKUP(Frota!$B11,Premissas!$A$39:$E$43,5,0))&gt;0,IF(MOD(INT(Cron_Uso!AR11/Frota!$L11)*Frota!$L11,N(VLOOKUP(Frota!$B11,Premissas!$A$39:$E$43,5,0)))=0,"B",IF(N(VLOOKUP(Frota!$B11,Premissas!$A$39:$E$43,4,0))&gt;0,IF(MOD(INT(Cron_Uso!AR11/Frota!$L11)*Frota!$L11,N(VLOOKUP(Frota!$B11,Premissas!$A$39:$E$43,4,0)))=0,"A","S"),"S")),IF(N(VLOOKUP(Frota!$B11,Premissas!$A$39:$E$43,4,0))&gt;0,IF(MOD(INT(Cron_Uso!AR11/Frota!$L11)*Frota!$L11,N(VLOOKUP(Frota!$B11,Premissas!$A$39:$E$43,4,0)))=0,"A","S"),"S")),""))</f>
        <v/>
      </c>
      <c r="AS11" s="16" t="str">
        <f aca="false">IF(Cron_Uso!AS11="","",IF(INT(Cron_Uso!AS11/Frota!$L11)&gt;INT(Cron_Uso!AR11/Frota!$L11),IF(N(VLOOKUP(Frota!$B11,Premissas!$A$39:$E$43,5,0))&gt;0,IF(MOD(INT(Cron_Uso!AS11/Frota!$L11)*Frota!$L11,N(VLOOKUP(Frota!$B11,Premissas!$A$39:$E$43,5,0)))=0,"B",IF(N(VLOOKUP(Frota!$B11,Premissas!$A$39:$E$43,4,0))&gt;0,IF(MOD(INT(Cron_Uso!AS11/Frota!$L11)*Frota!$L11,N(VLOOKUP(Frota!$B11,Premissas!$A$39:$E$43,4,0)))=0,"A","S"),"S")),IF(N(VLOOKUP(Frota!$B11,Premissas!$A$39:$E$43,4,0))&gt;0,IF(MOD(INT(Cron_Uso!AS11/Frota!$L11)*Frota!$L11,N(VLOOKUP(Frota!$B11,Premissas!$A$39:$E$43,4,0)))=0,"A","S"),"S")),""))</f>
        <v/>
      </c>
      <c r="AT11" s="16" t="str">
        <f aca="false">IF(Cron_Uso!AT11="","",IF(INT(Cron_Uso!AT11/Frota!$L11)&gt;INT(Cron_Uso!AS11/Frota!$L11),IF(N(VLOOKUP(Frota!$B11,Premissas!$A$39:$E$43,5,0))&gt;0,IF(MOD(INT(Cron_Uso!AT11/Frota!$L11)*Frota!$L11,N(VLOOKUP(Frota!$B11,Premissas!$A$39:$E$43,5,0)))=0,"B",IF(N(VLOOKUP(Frota!$B11,Premissas!$A$39:$E$43,4,0))&gt;0,IF(MOD(INT(Cron_Uso!AT11/Frota!$L11)*Frota!$L11,N(VLOOKUP(Frota!$B11,Premissas!$A$39:$E$43,4,0)))=0,"A","S"),"S")),IF(N(VLOOKUP(Frota!$B11,Premissas!$A$39:$E$43,4,0))&gt;0,IF(MOD(INT(Cron_Uso!AT11/Frota!$L11)*Frota!$L11,N(VLOOKUP(Frota!$B11,Premissas!$A$39:$E$43,4,0)))=0,"A","S"),"S")),""))</f>
        <v/>
      </c>
      <c r="AU11" s="16" t="str">
        <f aca="false">IF(Cron_Uso!AU11="","",IF(INT(Cron_Uso!AU11/Frota!$L11)&gt;INT(Cron_Uso!AT11/Frota!$L11),IF(N(VLOOKUP(Frota!$B11,Premissas!$A$39:$E$43,5,0))&gt;0,IF(MOD(INT(Cron_Uso!AU11/Frota!$L11)*Frota!$L11,N(VLOOKUP(Frota!$B11,Premissas!$A$39:$E$43,5,0)))=0,"B",IF(N(VLOOKUP(Frota!$B11,Premissas!$A$39:$E$43,4,0))&gt;0,IF(MOD(INT(Cron_Uso!AU11/Frota!$L11)*Frota!$L11,N(VLOOKUP(Frota!$B11,Premissas!$A$39:$E$43,4,0)))=0,"A","S"),"S")),IF(N(VLOOKUP(Frota!$B11,Premissas!$A$39:$E$43,4,0))&gt;0,IF(MOD(INT(Cron_Uso!AU11/Frota!$L11)*Frota!$L11,N(VLOOKUP(Frota!$B11,Premissas!$A$39:$E$43,4,0)))=0,"A","S"),"S")),""))</f>
        <v/>
      </c>
      <c r="AV11" s="16" t="str">
        <f aca="false">IF(Cron_Uso!AV11="","",IF(INT(Cron_Uso!AV11/Frota!$L11)&gt;INT(Cron_Uso!AU11/Frota!$L11),IF(N(VLOOKUP(Frota!$B11,Premissas!$A$39:$E$43,5,0))&gt;0,IF(MOD(INT(Cron_Uso!AV11/Frota!$L11)*Frota!$L11,N(VLOOKUP(Frota!$B11,Premissas!$A$39:$E$43,5,0)))=0,"B",IF(N(VLOOKUP(Frota!$B11,Premissas!$A$39:$E$43,4,0))&gt;0,IF(MOD(INT(Cron_Uso!AV11/Frota!$L11)*Frota!$L11,N(VLOOKUP(Frota!$B11,Premissas!$A$39:$E$43,4,0)))=0,"A","S"),"S")),IF(N(VLOOKUP(Frota!$B11,Premissas!$A$39:$E$43,4,0))&gt;0,IF(MOD(INT(Cron_Uso!AV11/Frota!$L11)*Frota!$L11,N(VLOOKUP(Frota!$B11,Premissas!$A$39:$E$43,4,0)))=0,"A","S"),"S")),""))</f>
        <v/>
      </c>
      <c r="AW11" s="16" t="str">
        <f aca="false">IF(Cron_Uso!AW11="","",IF(INT(Cron_Uso!AW11/Frota!$L11)&gt;INT(Cron_Uso!AV11/Frota!$L11),IF(N(VLOOKUP(Frota!$B11,Premissas!$A$39:$E$43,5,0))&gt;0,IF(MOD(INT(Cron_Uso!AW11/Frota!$L11)*Frota!$L11,N(VLOOKUP(Frota!$B11,Premissas!$A$39:$E$43,5,0)))=0,"B",IF(N(VLOOKUP(Frota!$B11,Premissas!$A$39:$E$43,4,0))&gt;0,IF(MOD(INT(Cron_Uso!AW11/Frota!$L11)*Frota!$L11,N(VLOOKUP(Frota!$B11,Premissas!$A$39:$E$43,4,0)))=0,"A","S"),"S")),IF(N(VLOOKUP(Frota!$B11,Premissas!$A$39:$E$43,4,0))&gt;0,IF(MOD(INT(Cron_Uso!AW11/Frota!$L11)*Frota!$L11,N(VLOOKUP(Frota!$B11,Premissas!$A$39:$E$43,4,0)))=0,"A","S"),"S")),""))</f>
        <v/>
      </c>
      <c r="AX11" s="16" t="str">
        <f aca="false">IF(Cron_Uso!AX11="","",IF(INT(Cron_Uso!AX11/Frota!$L11)&gt;INT(Cron_Uso!AW11/Frota!$L11),IF(N(VLOOKUP(Frota!$B11,Premissas!$A$39:$E$43,5,0))&gt;0,IF(MOD(INT(Cron_Uso!AX11/Frota!$L11)*Frota!$L11,N(VLOOKUP(Frota!$B11,Premissas!$A$39:$E$43,5,0)))=0,"B",IF(N(VLOOKUP(Frota!$B11,Premissas!$A$39:$E$43,4,0))&gt;0,IF(MOD(INT(Cron_Uso!AX11/Frota!$L11)*Frota!$L11,N(VLOOKUP(Frota!$B11,Premissas!$A$39:$E$43,4,0)))=0,"A","S"),"S")),IF(N(VLOOKUP(Frota!$B11,Premissas!$A$39:$E$43,4,0))&gt;0,IF(MOD(INT(Cron_Uso!AX11/Frota!$L11)*Frota!$L11,N(VLOOKUP(Frota!$B11,Premissas!$A$39:$E$43,4,0)))=0,"A","S"),"S")),""))</f>
        <v/>
      </c>
      <c r="AY11" s="16" t="str">
        <f aca="false">IF(Cron_Uso!AY11="","",IF(INT(Cron_Uso!AY11/Frota!$L11)&gt;INT(Cron_Uso!AX11/Frota!$L11),IF(N(VLOOKUP(Frota!$B11,Premissas!$A$39:$E$43,5,0))&gt;0,IF(MOD(INT(Cron_Uso!AY11/Frota!$L11)*Frota!$L11,N(VLOOKUP(Frota!$B11,Premissas!$A$39:$E$43,5,0)))=0,"B",IF(N(VLOOKUP(Frota!$B11,Premissas!$A$39:$E$43,4,0))&gt;0,IF(MOD(INT(Cron_Uso!AY11/Frota!$L11)*Frota!$L11,N(VLOOKUP(Frota!$B11,Premissas!$A$39:$E$43,4,0)))=0,"A","S"),"S")),IF(N(VLOOKUP(Frota!$B11,Premissas!$A$39:$E$43,4,0))&gt;0,IF(MOD(INT(Cron_Uso!AY11/Frota!$L11)*Frota!$L11,N(VLOOKUP(Frota!$B11,Premissas!$A$39:$E$43,4,0)))=0,"A","S"),"S")),""))</f>
        <v/>
      </c>
      <c r="AZ11" s="16" t="str">
        <f aca="false">IF(Cron_Uso!AZ11="","",IF(INT(Cron_Uso!AZ11/Frota!$L11)&gt;INT(Cron_Uso!AY11/Frota!$L11),IF(N(VLOOKUP(Frota!$B11,Premissas!$A$39:$E$43,5,0))&gt;0,IF(MOD(INT(Cron_Uso!AZ11/Frota!$L11)*Frota!$L11,N(VLOOKUP(Frota!$B11,Premissas!$A$39:$E$43,5,0)))=0,"B",IF(N(VLOOKUP(Frota!$B11,Premissas!$A$39:$E$43,4,0))&gt;0,IF(MOD(INT(Cron_Uso!AZ11/Frota!$L11)*Frota!$L11,N(VLOOKUP(Frota!$B11,Premissas!$A$39:$E$43,4,0)))=0,"A","S"),"S")),IF(N(VLOOKUP(Frota!$B11,Premissas!$A$39:$E$43,4,0))&gt;0,IF(MOD(INT(Cron_Uso!AZ11/Frota!$L11)*Frota!$L11,N(VLOOKUP(Frota!$B11,Premissas!$A$39:$E$43,4,0)))=0,"A","S"),"S")),""))</f>
        <v/>
      </c>
      <c r="BA11" s="16" t="str">
        <f aca="false">IF(Cron_Uso!BA11="","",IF(INT(Cron_Uso!BA11/Frota!$L11)&gt;INT(Cron_Uso!AZ11/Frota!$L11),IF(N(VLOOKUP(Frota!$B11,Premissas!$A$39:$E$43,5,0))&gt;0,IF(MOD(INT(Cron_Uso!BA11/Frota!$L11)*Frota!$L11,N(VLOOKUP(Frota!$B11,Premissas!$A$39:$E$43,5,0)))=0,"B",IF(N(VLOOKUP(Frota!$B11,Premissas!$A$39:$E$43,4,0))&gt;0,IF(MOD(INT(Cron_Uso!BA11/Frota!$L11)*Frota!$L11,N(VLOOKUP(Frota!$B11,Premissas!$A$39:$E$43,4,0)))=0,"A","S"),"S")),IF(N(VLOOKUP(Frota!$B11,Premissas!$A$39:$E$43,4,0))&gt;0,IF(MOD(INT(Cron_Uso!BA11/Frota!$L11)*Frota!$L11,N(VLOOKUP(Frota!$B11,Premissas!$A$39:$E$43,4,0)))=0,"A","S"),"S")),""))</f>
        <v/>
      </c>
    </row>
    <row r="12" customFormat="false" ht="15" hidden="false" customHeight="false" outlineLevel="0" collapsed="false">
      <c r="A12" s="6" t="str">
        <f aca="false">IF(Frota!$A12="","",Frota!$A12)</f>
        <v>Caminhão Scania G480 — 2748</v>
      </c>
      <c r="B12" s="16" t="str">
        <f aca="false">IF(Cron_Uso!B12="","",IF(INT(Cron_Uso!B12/Frota!$L12)&gt;INT(Frota!$I12/Frota!$L12),IF(N(VLOOKUP(Frota!$B12,Premissas!$A$39:$E$43,5,0))&gt;0,IF(MOD(INT(Cron_Uso!B12/Frota!$L12)*Frota!$L12,N(VLOOKUP(Frota!$B12,Premissas!$A$39:$E$43,5,0)))=0,"B",IF(N(VLOOKUP(Frota!$B12,Premissas!$A$39:$E$43,4,0))&gt;0,IF(MOD(INT(Cron_Uso!B12/Frota!$L12)*Frota!$L12,N(VLOOKUP(Frota!$B12,Premissas!$A$39:$E$43,4,0)))=0,"A","S"),"S")),IF(N(VLOOKUP(Frota!$B12,Premissas!$A$39:$E$43,4,0))&gt;0,IF(MOD(INT(Cron_Uso!B12/Frota!$L12)*Frota!$L12,N(VLOOKUP(Frota!$B12,Premissas!$A$39:$E$43,4,0)))=0,"A","S"),"S")),""))</f>
        <v/>
      </c>
      <c r="C12" s="16" t="str">
        <f aca="false">IF(Cron_Uso!C12="","",IF(INT(Cron_Uso!C12/Frota!$L12)&gt;INT(Cron_Uso!B12/Frota!$L12),IF(N(VLOOKUP(Frota!$B12,Premissas!$A$39:$E$43,5,0))&gt;0,IF(MOD(INT(Cron_Uso!C12/Frota!$L12)*Frota!$L12,N(VLOOKUP(Frota!$B12,Premissas!$A$39:$E$43,5,0)))=0,"B",IF(N(VLOOKUP(Frota!$B12,Premissas!$A$39:$E$43,4,0))&gt;0,IF(MOD(INT(Cron_Uso!C12/Frota!$L12)*Frota!$L12,N(VLOOKUP(Frota!$B12,Premissas!$A$39:$E$43,4,0)))=0,"A","S"),"S")),IF(N(VLOOKUP(Frota!$B12,Premissas!$A$39:$E$43,4,0))&gt;0,IF(MOD(INT(Cron_Uso!C12/Frota!$L12)*Frota!$L12,N(VLOOKUP(Frota!$B12,Premissas!$A$39:$E$43,4,0)))=0,"A","S"),"S")),""))</f>
        <v/>
      </c>
      <c r="D12" s="16" t="str">
        <f aca="false">IF(Cron_Uso!D12="","",IF(INT(Cron_Uso!D12/Frota!$L12)&gt;INT(Cron_Uso!C12/Frota!$L12),IF(N(VLOOKUP(Frota!$B12,Premissas!$A$39:$E$43,5,0))&gt;0,IF(MOD(INT(Cron_Uso!D12/Frota!$L12)*Frota!$L12,N(VLOOKUP(Frota!$B12,Premissas!$A$39:$E$43,5,0)))=0,"B",IF(N(VLOOKUP(Frota!$B12,Premissas!$A$39:$E$43,4,0))&gt;0,IF(MOD(INT(Cron_Uso!D12/Frota!$L12)*Frota!$L12,N(VLOOKUP(Frota!$B12,Premissas!$A$39:$E$43,4,0)))=0,"A","S"),"S")),IF(N(VLOOKUP(Frota!$B12,Premissas!$A$39:$E$43,4,0))&gt;0,IF(MOD(INT(Cron_Uso!D12/Frota!$L12)*Frota!$L12,N(VLOOKUP(Frota!$B12,Premissas!$A$39:$E$43,4,0)))=0,"A","S"),"S")),""))</f>
        <v/>
      </c>
      <c r="E12" s="16" t="str">
        <f aca="false">IF(Cron_Uso!E12="","",IF(INT(Cron_Uso!E12/Frota!$L12)&gt;INT(Cron_Uso!D12/Frota!$L12),IF(N(VLOOKUP(Frota!$B12,Premissas!$A$39:$E$43,5,0))&gt;0,IF(MOD(INT(Cron_Uso!E12/Frota!$L12)*Frota!$L12,N(VLOOKUP(Frota!$B12,Premissas!$A$39:$E$43,5,0)))=0,"B",IF(N(VLOOKUP(Frota!$B12,Premissas!$A$39:$E$43,4,0))&gt;0,IF(MOD(INT(Cron_Uso!E12/Frota!$L12)*Frota!$L12,N(VLOOKUP(Frota!$B12,Premissas!$A$39:$E$43,4,0)))=0,"A","S"),"S")),IF(N(VLOOKUP(Frota!$B12,Premissas!$A$39:$E$43,4,0))&gt;0,IF(MOD(INT(Cron_Uso!E12/Frota!$L12)*Frota!$L12,N(VLOOKUP(Frota!$B12,Premissas!$A$39:$E$43,4,0)))=0,"A","S"),"S")),""))</f>
        <v/>
      </c>
      <c r="F12" s="16" t="str">
        <f aca="false">IF(Cron_Uso!F12="","",IF(INT(Cron_Uso!F12/Frota!$L12)&gt;INT(Cron_Uso!E12/Frota!$L12),IF(N(VLOOKUP(Frota!$B12,Premissas!$A$39:$E$43,5,0))&gt;0,IF(MOD(INT(Cron_Uso!F12/Frota!$L12)*Frota!$L12,N(VLOOKUP(Frota!$B12,Premissas!$A$39:$E$43,5,0)))=0,"B",IF(N(VLOOKUP(Frota!$B12,Premissas!$A$39:$E$43,4,0))&gt;0,IF(MOD(INT(Cron_Uso!F12/Frota!$L12)*Frota!$L12,N(VLOOKUP(Frota!$B12,Premissas!$A$39:$E$43,4,0)))=0,"A","S"),"S")),IF(N(VLOOKUP(Frota!$B12,Premissas!$A$39:$E$43,4,0))&gt;0,IF(MOD(INT(Cron_Uso!F12/Frota!$L12)*Frota!$L12,N(VLOOKUP(Frota!$B12,Premissas!$A$39:$E$43,4,0)))=0,"A","S"),"S")),""))</f>
        <v>S</v>
      </c>
      <c r="G12" s="16" t="str">
        <f aca="false">IF(Cron_Uso!G12="","",IF(INT(Cron_Uso!G12/Frota!$L12)&gt;INT(Cron_Uso!F12/Frota!$L12),IF(N(VLOOKUP(Frota!$B12,Premissas!$A$39:$E$43,5,0))&gt;0,IF(MOD(INT(Cron_Uso!G12/Frota!$L12)*Frota!$L12,N(VLOOKUP(Frota!$B12,Premissas!$A$39:$E$43,5,0)))=0,"B",IF(N(VLOOKUP(Frota!$B12,Premissas!$A$39:$E$43,4,0))&gt;0,IF(MOD(INT(Cron_Uso!G12/Frota!$L12)*Frota!$L12,N(VLOOKUP(Frota!$B12,Premissas!$A$39:$E$43,4,0)))=0,"A","S"),"S")),IF(N(VLOOKUP(Frota!$B12,Premissas!$A$39:$E$43,4,0))&gt;0,IF(MOD(INT(Cron_Uso!G12/Frota!$L12)*Frota!$L12,N(VLOOKUP(Frota!$B12,Premissas!$A$39:$E$43,4,0)))=0,"A","S"),"S")),""))</f>
        <v/>
      </c>
      <c r="H12" s="16" t="str">
        <f aca="false">IF(Cron_Uso!H12="","",IF(INT(Cron_Uso!H12/Frota!$L12)&gt;INT(Cron_Uso!G12/Frota!$L12),IF(N(VLOOKUP(Frota!$B12,Premissas!$A$39:$E$43,5,0))&gt;0,IF(MOD(INT(Cron_Uso!H12/Frota!$L12)*Frota!$L12,N(VLOOKUP(Frota!$B12,Premissas!$A$39:$E$43,5,0)))=0,"B",IF(N(VLOOKUP(Frota!$B12,Premissas!$A$39:$E$43,4,0))&gt;0,IF(MOD(INT(Cron_Uso!H12/Frota!$L12)*Frota!$L12,N(VLOOKUP(Frota!$B12,Premissas!$A$39:$E$43,4,0)))=0,"A","S"),"S")),IF(N(VLOOKUP(Frota!$B12,Premissas!$A$39:$E$43,4,0))&gt;0,IF(MOD(INT(Cron_Uso!H12/Frota!$L12)*Frota!$L12,N(VLOOKUP(Frota!$B12,Premissas!$A$39:$E$43,4,0)))=0,"A","S"),"S")),""))</f>
        <v/>
      </c>
      <c r="I12" s="16" t="str">
        <f aca="false">IF(Cron_Uso!I12="","",IF(INT(Cron_Uso!I12/Frota!$L12)&gt;INT(Cron_Uso!H12/Frota!$L12),IF(N(VLOOKUP(Frota!$B12,Premissas!$A$39:$E$43,5,0))&gt;0,IF(MOD(INT(Cron_Uso!I12/Frota!$L12)*Frota!$L12,N(VLOOKUP(Frota!$B12,Premissas!$A$39:$E$43,5,0)))=0,"B",IF(N(VLOOKUP(Frota!$B12,Premissas!$A$39:$E$43,4,0))&gt;0,IF(MOD(INT(Cron_Uso!I12/Frota!$L12)*Frota!$L12,N(VLOOKUP(Frota!$B12,Premissas!$A$39:$E$43,4,0)))=0,"A","S"),"S")),IF(N(VLOOKUP(Frota!$B12,Premissas!$A$39:$E$43,4,0))&gt;0,IF(MOD(INT(Cron_Uso!I12/Frota!$L12)*Frota!$L12,N(VLOOKUP(Frota!$B12,Premissas!$A$39:$E$43,4,0)))=0,"A","S"),"S")),""))</f>
        <v/>
      </c>
      <c r="J12" s="16" t="str">
        <f aca="false">IF(Cron_Uso!J12="","",IF(INT(Cron_Uso!J12/Frota!$L12)&gt;INT(Cron_Uso!I12/Frota!$L12),IF(N(VLOOKUP(Frota!$B12,Premissas!$A$39:$E$43,5,0))&gt;0,IF(MOD(INT(Cron_Uso!J12/Frota!$L12)*Frota!$L12,N(VLOOKUP(Frota!$B12,Premissas!$A$39:$E$43,5,0)))=0,"B",IF(N(VLOOKUP(Frota!$B12,Premissas!$A$39:$E$43,4,0))&gt;0,IF(MOD(INT(Cron_Uso!J12/Frota!$L12)*Frota!$L12,N(VLOOKUP(Frota!$B12,Premissas!$A$39:$E$43,4,0)))=0,"A","S"),"S")),IF(N(VLOOKUP(Frota!$B12,Premissas!$A$39:$E$43,4,0))&gt;0,IF(MOD(INT(Cron_Uso!J12/Frota!$L12)*Frota!$L12,N(VLOOKUP(Frota!$B12,Premissas!$A$39:$E$43,4,0)))=0,"A","S"),"S")),""))</f>
        <v/>
      </c>
      <c r="K12" s="16" t="str">
        <f aca="false">IF(Cron_Uso!K12="","",IF(INT(Cron_Uso!K12/Frota!$L12)&gt;INT(Cron_Uso!J12/Frota!$L12),IF(N(VLOOKUP(Frota!$B12,Premissas!$A$39:$E$43,5,0))&gt;0,IF(MOD(INT(Cron_Uso!K12/Frota!$L12)*Frota!$L12,N(VLOOKUP(Frota!$B12,Premissas!$A$39:$E$43,5,0)))=0,"B",IF(N(VLOOKUP(Frota!$B12,Premissas!$A$39:$E$43,4,0))&gt;0,IF(MOD(INT(Cron_Uso!K12/Frota!$L12)*Frota!$L12,N(VLOOKUP(Frota!$B12,Premissas!$A$39:$E$43,4,0)))=0,"A","S"),"S")),IF(N(VLOOKUP(Frota!$B12,Premissas!$A$39:$E$43,4,0))&gt;0,IF(MOD(INT(Cron_Uso!K12/Frota!$L12)*Frota!$L12,N(VLOOKUP(Frota!$B12,Premissas!$A$39:$E$43,4,0)))=0,"A","S"),"S")),""))</f>
        <v/>
      </c>
      <c r="L12" s="16" t="str">
        <f aca="false">IF(Cron_Uso!L12="","",IF(INT(Cron_Uso!L12/Frota!$L12)&gt;INT(Cron_Uso!K12/Frota!$L12),IF(N(VLOOKUP(Frota!$B12,Premissas!$A$39:$E$43,5,0))&gt;0,IF(MOD(INT(Cron_Uso!L12/Frota!$L12)*Frota!$L12,N(VLOOKUP(Frota!$B12,Premissas!$A$39:$E$43,5,0)))=0,"B",IF(N(VLOOKUP(Frota!$B12,Premissas!$A$39:$E$43,4,0))&gt;0,IF(MOD(INT(Cron_Uso!L12/Frota!$L12)*Frota!$L12,N(VLOOKUP(Frota!$B12,Premissas!$A$39:$E$43,4,0)))=0,"A","S"),"S")),IF(N(VLOOKUP(Frota!$B12,Premissas!$A$39:$E$43,4,0))&gt;0,IF(MOD(INT(Cron_Uso!L12/Frota!$L12)*Frota!$L12,N(VLOOKUP(Frota!$B12,Premissas!$A$39:$E$43,4,0)))=0,"A","S"),"S")),""))</f>
        <v/>
      </c>
      <c r="M12" s="16" t="str">
        <f aca="false">IF(Cron_Uso!M12="","",IF(INT(Cron_Uso!M12/Frota!$L12)&gt;INT(Cron_Uso!L12/Frota!$L12),IF(N(VLOOKUP(Frota!$B12,Premissas!$A$39:$E$43,5,0))&gt;0,IF(MOD(INT(Cron_Uso!M12/Frota!$L12)*Frota!$L12,N(VLOOKUP(Frota!$B12,Premissas!$A$39:$E$43,5,0)))=0,"B",IF(N(VLOOKUP(Frota!$B12,Premissas!$A$39:$E$43,4,0))&gt;0,IF(MOD(INT(Cron_Uso!M12/Frota!$L12)*Frota!$L12,N(VLOOKUP(Frota!$B12,Premissas!$A$39:$E$43,4,0)))=0,"A","S"),"S")),IF(N(VLOOKUP(Frota!$B12,Premissas!$A$39:$E$43,4,0))&gt;0,IF(MOD(INT(Cron_Uso!M12/Frota!$L12)*Frota!$L12,N(VLOOKUP(Frota!$B12,Premissas!$A$39:$E$43,4,0)))=0,"A","S"),"S")),""))</f>
        <v>B</v>
      </c>
      <c r="N12" s="16" t="str">
        <f aca="false">IF(Cron_Uso!N12="","",IF(INT(Cron_Uso!N12/Frota!$L12)&gt;INT(Cron_Uso!M12/Frota!$L12),IF(N(VLOOKUP(Frota!$B12,Premissas!$A$39:$E$43,5,0))&gt;0,IF(MOD(INT(Cron_Uso!N12/Frota!$L12)*Frota!$L12,N(VLOOKUP(Frota!$B12,Premissas!$A$39:$E$43,5,0)))=0,"B",IF(N(VLOOKUP(Frota!$B12,Premissas!$A$39:$E$43,4,0))&gt;0,IF(MOD(INT(Cron_Uso!N12/Frota!$L12)*Frota!$L12,N(VLOOKUP(Frota!$B12,Premissas!$A$39:$E$43,4,0)))=0,"A","S"),"S")),IF(N(VLOOKUP(Frota!$B12,Premissas!$A$39:$E$43,4,0))&gt;0,IF(MOD(INT(Cron_Uso!N12/Frota!$L12)*Frota!$L12,N(VLOOKUP(Frota!$B12,Premissas!$A$39:$E$43,4,0)))=0,"A","S"),"S")),""))</f>
        <v/>
      </c>
      <c r="O12" s="16" t="str">
        <f aca="false">IF(Cron_Uso!O12="","",IF(INT(Cron_Uso!O12/Frota!$L12)&gt;INT(Cron_Uso!N12/Frota!$L12),IF(N(VLOOKUP(Frota!$B12,Premissas!$A$39:$E$43,5,0))&gt;0,IF(MOD(INT(Cron_Uso!O12/Frota!$L12)*Frota!$L12,N(VLOOKUP(Frota!$B12,Premissas!$A$39:$E$43,5,0)))=0,"B",IF(N(VLOOKUP(Frota!$B12,Premissas!$A$39:$E$43,4,0))&gt;0,IF(MOD(INT(Cron_Uso!O12/Frota!$L12)*Frota!$L12,N(VLOOKUP(Frota!$B12,Premissas!$A$39:$E$43,4,0)))=0,"A","S"),"S")),IF(N(VLOOKUP(Frota!$B12,Premissas!$A$39:$E$43,4,0))&gt;0,IF(MOD(INT(Cron_Uso!O12/Frota!$L12)*Frota!$L12,N(VLOOKUP(Frota!$B12,Premissas!$A$39:$E$43,4,0)))=0,"A","S"),"S")),""))</f>
        <v/>
      </c>
      <c r="P12" s="16" t="str">
        <f aca="false">IF(Cron_Uso!P12="","",IF(INT(Cron_Uso!P12/Frota!$L12)&gt;INT(Cron_Uso!O12/Frota!$L12),IF(N(VLOOKUP(Frota!$B12,Premissas!$A$39:$E$43,5,0))&gt;0,IF(MOD(INT(Cron_Uso!P12/Frota!$L12)*Frota!$L12,N(VLOOKUP(Frota!$B12,Premissas!$A$39:$E$43,5,0)))=0,"B",IF(N(VLOOKUP(Frota!$B12,Premissas!$A$39:$E$43,4,0))&gt;0,IF(MOD(INT(Cron_Uso!P12/Frota!$L12)*Frota!$L12,N(VLOOKUP(Frota!$B12,Premissas!$A$39:$E$43,4,0)))=0,"A","S"),"S")),IF(N(VLOOKUP(Frota!$B12,Premissas!$A$39:$E$43,4,0))&gt;0,IF(MOD(INT(Cron_Uso!P12/Frota!$L12)*Frota!$L12,N(VLOOKUP(Frota!$B12,Premissas!$A$39:$E$43,4,0)))=0,"A","S"),"S")),""))</f>
        <v/>
      </c>
      <c r="Q12" s="16" t="str">
        <f aca="false">IF(Cron_Uso!Q12="","",IF(INT(Cron_Uso!Q12/Frota!$L12)&gt;INT(Cron_Uso!P12/Frota!$L12),IF(N(VLOOKUP(Frota!$B12,Premissas!$A$39:$E$43,5,0))&gt;0,IF(MOD(INT(Cron_Uso!Q12/Frota!$L12)*Frota!$L12,N(VLOOKUP(Frota!$B12,Premissas!$A$39:$E$43,5,0)))=0,"B",IF(N(VLOOKUP(Frota!$B12,Premissas!$A$39:$E$43,4,0))&gt;0,IF(MOD(INT(Cron_Uso!Q12/Frota!$L12)*Frota!$L12,N(VLOOKUP(Frota!$B12,Premissas!$A$39:$E$43,4,0)))=0,"A","S"),"S")),IF(N(VLOOKUP(Frota!$B12,Premissas!$A$39:$E$43,4,0))&gt;0,IF(MOD(INT(Cron_Uso!Q12/Frota!$L12)*Frota!$L12,N(VLOOKUP(Frota!$B12,Premissas!$A$39:$E$43,4,0)))=0,"A","S"),"S")),""))</f>
        <v/>
      </c>
      <c r="R12" s="16" t="str">
        <f aca="false">IF(Cron_Uso!R12="","",IF(INT(Cron_Uso!R12/Frota!$L12)&gt;INT(Cron_Uso!Q12/Frota!$L12),IF(N(VLOOKUP(Frota!$B12,Premissas!$A$39:$E$43,5,0))&gt;0,IF(MOD(INT(Cron_Uso!R12/Frota!$L12)*Frota!$L12,N(VLOOKUP(Frota!$B12,Premissas!$A$39:$E$43,5,0)))=0,"B",IF(N(VLOOKUP(Frota!$B12,Premissas!$A$39:$E$43,4,0))&gt;0,IF(MOD(INT(Cron_Uso!R12/Frota!$L12)*Frota!$L12,N(VLOOKUP(Frota!$B12,Premissas!$A$39:$E$43,4,0)))=0,"A","S"),"S")),IF(N(VLOOKUP(Frota!$B12,Premissas!$A$39:$E$43,4,0))&gt;0,IF(MOD(INT(Cron_Uso!R12/Frota!$L12)*Frota!$L12,N(VLOOKUP(Frota!$B12,Premissas!$A$39:$E$43,4,0)))=0,"A","S"),"S")),""))</f>
        <v/>
      </c>
      <c r="S12" s="16" t="str">
        <f aca="false">IF(Cron_Uso!S12="","",IF(INT(Cron_Uso!S12/Frota!$L12)&gt;INT(Cron_Uso!R12/Frota!$L12),IF(N(VLOOKUP(Frota!$B12,Premissas!$A$39:$E$43,5,0))&gt;0,IF(MOD(INT(Cron_Uso!S12/Frota!$L12)*Frota!$L12,N(VLOOKUP(Frota!$B12,Premissas!$A$39:$E$43,5,0)))=0,"B",IF(N(VLOOKUP(Frota!$B12,Premissas!$A$39:$E$43,4,0))&gt;0,IF(MOD(INT(Cron_Uso!S12/Frota!$L12)*Frota!$L12,N(VLOOKUP(Frota!$B12,Premissas!$A$39:$E$43,4,0)))=0,"A","S"),"S")),IF(N(VLOOKUP(Frota!$B12,Premissas!$A$39:$E$43,4,0))&gt;0,IF(MOD(INT(Cron_Uso!S12/Frota!$L12)*Frota!$L12,N(VLOOKUP(Frota!$B12,Premissas!$A$39:$E$43,4,0)))=0,"A","S"),"S")),""))</f>
        <v/>
      </c>
      <c r="T12" s="16" t="str">
        <f aca="false">IF(Cron_Uso!T12="","",IF(INT(Cron_Uso!T12/Frota!$L12)&gt;INT(Cron_Uso!S12/Frota!$L12),IF(N(VLOOKUP(Frota!$B12,Premissas!$A$39:$E$43,5,0))&gt;0,IF(MOD(INT(Cron_Uso!T12/Frota!$L12)*Frota!$L12,N(VLOOKUP(Frota!$B12,Premissas!$A$39:$E$43,5,0)))=0,"B",IF(N(VLOOKUP(Frota!$B12,Premissas!$A$39:$E$43,4,0))&gt;0,IF(MOD(INT(Cron_Uso!T12/Frota!$L12)*Frota!$L12,N(VLOOKUP(Frota!$B12,Premissas!$A$39:$E$43,4,0)))=0,"A","S"),"S")),IF(N(VLOOKUP(Frota!$B12,Premissas!$A$39:$E$43,4,0))&gt;0,IF(MOD(INT(Cron_Uso!T12/Frota!$L12)*Frota!$L12,N(VLOOKUP(Frota!$B12,Premissas!$A$39:$E$43,4,0)))=0,"A","S"),"S")),""))</f>
        <v>S</v>
      </c>
      <c r="U12" s="16" t="str">
        <f aca="false">IF(Cron_Uso!U12="","",IF(INT(Cron_Uso!U12/Frota!$L12)&gt;INT(Cron_Uso!T12/Frota!$L12),IF(N(VLOOKUP(Frota!$B12,Premissas!$A$39:$E$43,5,0))&gt;0,IF(MOD(INT(Cron_Uso!U12/Frota!$L12)*Frota!$L12,N(VLOOKUP(Frota!$B12,Premissas!$A$39:$E$43,5,0)))=0,"B",IF(N(VLOOKUP(Frota!$B12,Premissas!$A$39:$E$43,4,0))&gt;0,IF(MOD(INT(Cron_Uso!U12/Frota!$L12)*Frota!$L12,N(VLOOKUP(Frota!$B12,Premissas!$A$39:$E$43,4,0)))=0,"A","S"),"S")),IF(N(VLOOKUP(Frota!$B12,Premissas!$A$39:$E$43,4,0))&gt;0,IF(MOD(INT(Cron_Uso!U12/Frota!$L12)*Frota!$L12,N(VLOOKUP(Frota!$B12,Premissas!$A$39:$E$43,4,0)))=0,"A","S"),"S")),""))</f>
        <v/>
      </c>
      <c r="V12" s="16" t="str">
        <f aca="false">IF(Cron_Uso!V12="","",IF(INT(Cron_Uso!V12/Frota!$L12)&gt;INT(Cron_Uso!U12/Frota!$L12),IF(N(VLOOKUP(Frota!$B12,Premissas!$A$39:$E$43,5,0))&gt;0,IF(MOD(INT(Cron_Uso!V12/Frota!$L12)*Frota!$L12,N(VLOOKUP(Frota!$B12,Premissas!$A$39:$E$43,5,0)))=0,"B",IF(N(VLOOKUP(Frota!$B12,Premissas!$A$39:$E$43,4,0))&gt;0,IF(MOD(INT(Cron_Uso!V12/Frota!$L12)*Frota!$L12,N(VLOOKUP(Frota!$B12,Premissas!$A$39:$E$43,4,0)))=0,"A","S"),"S")),IF(N(VLOOKUP(Frota!$B12,Premissas!$A$39:$E$43,4,0))&gt;0,IF(MOD(INT(Cron_Uso!V12/Frota!$L12)*Frota!$L12,N(VLOOKUP(Frota!$B12,Premissas!$A$39:$E$43,4,0)))=0,"A","S"),"S")),""))</f>
        <v/>
      </c>
      <c r="W12" s="16" t="str">
        <f aca="false">IF(Cron_Uso!W12="","",IF(INT(Cron_Uso!W12/Frota!$L12)&gt;INT(Cron_Uso!V12/Frota!$L12),IF(N(VLOOKUP(Frota!$B12,Premissas!$A$39:$E$43,5,0))&gt;0,IF(MOD(INT(Cron_Uso!W12/Frota!$L12)*Frota!$L12,N(VLOOKUP(Frota!$B12,Premissas!$A$39:$E$43,5,0)))=0,"B",IF(N(VLOOKUP(Frota!$B12,Premissas!$A$39:$E$43,4,0))&gt;0,IF(MOD(INT(Cron_Uso!W12/Frota!$L12)*Frota!$L12,N(VLOOKUP(Frota!$B12,Premissas!$A$39:$E$43,4,0)))=0,"A","S"),"S")),IF(N(VLOOKUP(Frota!$B12,Premissas!$A$39:$E$43,4,0))&gt;0,IF(MOD(INT(Cron_Uso!W12/Frota!$L12)*Frota!$L12,N(VLOOKUP(Frota!$B12,Premissas!$A$39:$E$43,4,0)))=0,"A","S"),"S")),""))</f>
        <v/>
      </c>
      <c r="X12" s="16" t="str">
        <f aca="false">IF(Cron_Uso!X12="","",IF(INT(Cron_Uso!X12/Frota!$L12)&gt;INT(Cron_Uso!W12/Frota!$L12),IF(N(VLOOKUP(Frota!$B12,Premissas!$A$39:$E$43,5,0))&gt;0,IF(MOD(INT(Cron_Uso!X12/Frota!$L12)*Frota!$L12,N(VLOOKUP(Frota!$B12,Premissas!$A$39:$E$43,5,0)))=0,"B",IF(N(VLOOKUP(Frota!$B12,Premissas!$A$39:$E$43,4,0))&gt;0,IF(MOD(INT(Cron_Uso!X12/Frota!$L12)*Frota!$L12,N(VLOOKUP(Frota!$B12,Premissas!$A$39:$E$43,4,0)))=0,"A","S"),"S")),IF(N(VLOOKUP(Frota!$B12,Premissas!$A$39:$E$43,4,0))&gt;0,IF(MOD(INT(Cron_Uso!X12/Frota!$L12)*Frota!$L12,N(VLOOKUP(Frota!$B12,Premissas!$A$39:$E$43,4,0)))=0,"A","S"),"S")),""))</f>
        <v/>
      </c>
      <c r="Y12" s="16" t="str">
        <f aca="false">IF(Cron_Uso!Y12="","",IF(INT(Cron_Uso!Y12/Frota!$L12)&gt;INT(Cron_Uso!X12/Frota!$L12),IF(N(VLOOKUP(Frota!$B12,Premissas!$A$39:$E$43,5,0))&gt;0,IF(MOD(INT(Cron_Uso!Y12/Frota!$L12)*Frota!$L12,N(VLOOKUP(Frota!$B12,Premissas!$A$39:$E$43,5,0)))=0,"B",IF(N(VLOOKUP(Frota!$B12,Premissas!$A$39:$E$43,4,0))&gt;0,IF(MOD(INT(Cron_Uso!Y12/Frota!$L12)*Frota!$L12,N(VLOOKUP(Frota!$B12,Premissas!$A$39:$E$43,4,0)))=0,"A","S"),"S")),IF(N(VLOOKUP(Frota!$B12,Premissas!$A$39:$E$43,4,0))&gt;0,IF(MOD(INT(Cron_Uso!Y12/Frota!$L12)*Frota!$L12,N(VLOOKUP(Frota!$B12,Premissas!$A$39:$E$43,4,0)))=0,"A","S"),"S")),""))</f>
        <v/>
      </c>
      <c r="Z12" s="16" t="str">
        <f aca="false">IF(Cron_Uso!Z12="","",IF(INT(Cron_Uso!Z12/Frota!$L12)&gt;INT(Cron_Uso!Y12/Frota!$L12),IF(N(VLOOKUP(Frota!$B12,Premissas!$A$39:$E$43,5,0))&gt;0,IF(MOD(INT(Cron_Uso!Z12/Frota!$L12)*Frota!$L12,N(VLOOKUP(Frota!$B12,Premissas!$A$39:$E$43,5,0)))=0,"B",IF(N(VLOOKUP(Frota!$B12,Premissas!$A$39:$E$43,4,0))&gt;0,IF(MOD(INT(Cron_Uso!Z12/Frota!$L12)*Frota!$L12,N(VLOOKUP(Frota!$B12,Premissas!$A$39:$E$43,4,0)))=0,"A","S"),"S")),IF(N(VLOOKUP(Frota!$B12,Premissas!$A$39:$E$43,4,0))&gt;0,IF(MOD(INT(Cron_Uso!Z12/Frota!$L12)*Frota!$L12,N(VLOOKUP(Frota!$B12,Premissas!$A$39:$E$43,4,0)))=0,"A","S"),"S")),""))</f>
        <v/>
      </c>
      <c r="AA12" s="16" t="str">
        <f aca="false">IF(Cron_Uso!AA12="","",IF(INT(Cron_Uso!AA12/Frota!$L12)&gt;INT(Cron_Uso!Z12/Frota!$L12),IF(N(VLOOKUP(Frota!$B12,Premissas!$A$39:$E$43,5,0))&gt;0,IF(MOD(INT(Cron_Uso!AA12/Frota!$L12)*Frota!$L12,N(VLOOKUP(Frota!$B12,Premissas!$A$39:$E$43,5,0)))=0,"B",IF(N(VLOOKUP(Frota!$B12,Premissas!$A$39:$E$43,4,0))&gt;0,IF(MOD(INT(Cron_Uso!AA12/Frota!$L12)*Frota!$L12,N(VLOOKUP(Frota!$B12,Premissas!$A$39:$E$43,4,0)))=0,"A","S"),"S")),IF(N(VLOOKUP(Frota!$B12,Premissas!$A$39:$E$43,4,0))&gt;0,IF(MOD(INT(Cron_Uso!AA12/Frota!$L12)*Frota!$L12,N(VLOOKUP(Frota!$B12,Premissas!$A$39:$E$43,4,0)))=0,"A","S"),"S")),""))</f>
        <v>A</v>
      </c>
      <c r="AB12" s="16" t="str">
        <f aca="false">IF(Cron_Uso!AB12="","",IF(INT(Cron_Uso!AB12/Frota!$L12)&gt;INT(Cron_Uso!AA12/Frota!$L12),IF(N(VLOOKUP(Frota!$B12,Premissas!$A$39:$E$43,5,0))&gt;0,IF(MOD(INT(Cron_Uso!AB12/Frota!$L12)*Frota!$L12,N(VLOOKUP(Frota!$B12,Premissas!$A$39:$E$43,5,0)))=0,"B",IF(N(VLOOKUP(Frota!$B12,Premissas!$A$39:$E$43,4,0))&gt;0,IF(MOD(INT(Cron_Uso!AB12/Frota!$L12)*Frota!$L12,N(VLOOKUP(Frota!$B12,Premissas!$A$39:$E$43,4,0)))=0,"A","S"),"S")),IF(N(VLOOKUP(Frota!$B12,Premissas!$A$39:$E$43,4,0))&gt;0,IF(MOD(INT(Cron_Uso!AB12/Frota!$L12)*Frota!$L12,N(VLOOKUP(Frota!$B12,Premissas!$A$39:$E$43,4,0)))=0,"A","S"),"S")),""))</f>
        <v/>
      </c>
      <c r="AC12" s="16" t="str">
        <f aca="false">IF(Cron_Uso!AC12="","",IF(INT(Cron_Uso!AC12/Frota!$L12)&gt;INT(Cron_Uso!AB12/Frota!$L12),IF(N(VLOOKUP(Frota!$B12,Premissas!$A$39:$E$43,5,0))&gt;0,IF(MOD(INT(Cron_Uso!AC12/Frota!$L12)*Frota!$L12,N(VLOOKUP(Frota!$B12,Premissas!$A$39:$E$43,5,0)))=0,"B",IF(N(VLOOKUP(Frota!$B12,Premissas!$A$39:$E$43,4,0))&gt;0,IF(MOD(INT(Cron_Uso!AC12/Frota!$L12)*Frota!$L12,N(VLOOKUP(Frota!$B12,Premissas!$A$39:$E$43,4,0)))=0,"A","S"),"S")),IF(N(VLOOKUP(Frota!$B12,Premissas!$A$39:$E$43,4,0))&gt;0,IF(MOD(INT(Cron_Uso!AC12/Frota!$L12)*Frota!$L12,N(VLOOKUP(Frota!$B12,Premissas!$A$39:$E$43,4,0)))=0,"A","S"),"S")),""))</f>
        <v/>
      </c>
      <c r="AD12" s="16" t="str">
        <f aca="false">IF(Cron_Uso!AD12="","",IF(INT(Cron_Uso!AD12/Frota!$L12)&gt;INT(Cron_Uso!AC12/Frota!$L12),IF(N(VLOOKUP(Frota!$B12,Premissas!$A$39:$E$43,5,0))&gt;0,IF(MOD(INT(Cron_Uso!AD12/Frota!$L12)*Frota!$L12,N(VLOOKUP(Frota!$B12,Premissas!$A$39:$E$43,5,0)))=0,"B",IF(N(VLOOKUP(Frota!$B12,Premissas!$A$39:$E$43,4,0))&gt;0,IF(MOD(INT(Cron_Uso!AD12/Frota!$L12)*Frota!$L12,N(VLOOKUP(Frota!$B12,Premissas!$A$39:$E$43,4,0)))=0,"A","S"),"S")),IF(N(VLOOKUP(Frota!$B12,Premissas!$A$39:$E$43,4,0))&gt;0,IF(MOD(INT(Cron_Uso!AD12/Frota!$L12)*Frota!$L12,N(VLOOKUP(Frota!$B12,Premissas!$A$39:$E$43,4,0)))=0,"A","S"),"S")),""))</f>
        <v/>
      </c>
      <c r="AE12" s="16" t="str">
        <f aca="false">IF(Cron_Uso!AE12="","",IF(INT(Cron_Uso!AE12/Frota!$L12)&gt;INT(Cron_Uso!AD12/Frota!$L12),IF(N(VLOOKUP(Frota!$B12,Premissas!$A$39:$E$43,5,0))&gt;0,IF(MOD(INT(Cron_Uso!AE12/Frota!$L12)*Frota!$L12,N(VLOOKUP(Frota!$B12,Premissas!$A$39:$E$43,5,0)))=0,"B",IF(N(VLOOKUP(Frota!$B12,Premissas!$A$39:$E$43,4,0))&gt;0,IF(MOD(INT(Cron_Uso!AE12/Frota!$L12)*Frota!$L12,N(VLOOKUP(Frota!$B12,Premissas!$A$39:$E$43,4,0)))=0,"A","S"),"S")),IF(N(VLOOKUP(Frota!$B12,Premissas!$A$39:$E$43,4,0))&gt;0,IF(MOD(INT(Cron_Uso!AE12/Frota!$L12)*Frota!$L12,N(VLOOKUP(Frota!$B12,Premissas!$A$39:$E$43,4,0)))=0,"A","S"),"S")),""))</f>
        <v/>
      </c>
      <c r="AF12" s="16" t="str">
        <f aca="false">IF(Cron_Uso!AF12="","",IF(INT(Cron_Uso!AF12/Frota!$L12)&gt;INT(Cron_Uso!AE12/Frota!$L12),IF(N(VLOOKUP(Frota!$B12,Premissas!$A$39:$E$43,5,0))&gt;0,IF(MOD(INT(Cron_Uso!AF12/Frota!$L12)*Frota!$L12,N(VLOOKUP(Frota!$B12,Premissas!$A$39:$E$43,5,0)))=0,"B",IF(N(VLOOKUP(Frota!$B12,Premissas!$A$39:$E$43,4,0))&gt;0,IF(MOD(INT(Cron_Uso!AF12/Frota!$L12)*Frota!$L12,N(VLOOKUP(Frota!$B12,Premissas!$A$39:$E$43,4,0)))=0,"A","S"),"S")),IF(N(VLOOKUP(Frota!$B12,Premissas!$A$39:$E$43,4,0))&gt;0,IF(MOD(INT(Cron_Uso!AF12/Frota!$L12)*Frota!$L12,N(VLOOKUP(Frota!$B12,Premissas!$A$39:$E$43,4,0)))=0,"A","S"),"S")),""))</f>
        <v/>
      </c>
      <c r="AG12" s="16" t="str">
        <f aca="false">IF(Cron_Uso!AG12="","",IF(INT(Cron_Uso!AG12/Frota!$L12)&gt;INT(Cron_Uso!AF12/Frota!$L12),IF(N(VLOOKUP(Frota!$B12,Premissas!$A$39:$E$43,5,0))&gt;0,IF(MOD(INT(Cron_Uso!AG12/Frota!$L12)*Frota!$L12,N(VLOOKUP(Frota!$B12,Premissas!$A$39:$E$43,5,0)))=0,"B",IF(N(VLOOKUP(Frota!$B12,Premissas!$A$39:$E$43,4,0))&gt;0,IF(MOD(INT(Cron_Uso!AG12/Frota!$L12)*Frota!$L12,N(VLOOKUP(Frota!$B12,Premissas!$A$39:$E$43,4,0)))=0,"A","S"),"S")),IF(N(VLOOKUP(Frota!$B12,Premissas!$A$39:$E$43,4,0))&gt;0,IF(MOD(INT(Cron_Uso!AG12/Frota!$L12)*Frota!$L12,N(VLOOKUP(Frota!$B12,Premissas!$A$39:$E$43,4,0)))=0,"A","S"),"S")),""))</f>
        <v/>
      </c>
      <c r="AH12" s="16" t="str">
        <f aca="false">IF(Cron_Uso!AH12="","",IF(INT(Cron_Uso!AH12/Frota!$L12)&gt;INT(Cron_Uso!AG12/Frota!$L12),IF(N(VLOOKUP(Frota!$B12,Premissas!$A$39:$E$43,5,0))&gt;0,IF(MOD(INT(Cron_Uso!AH12/Frota!$L12)*Frota!$L12,N(VLOOKUP(Frota!$B12,Premissas!$A$39:$E$43,5,0)))=0,"B",IF(N(VLOOKUP(Frota!$B12,Premissas!$A$39:$E$43,4,0))&gt;0,IF(MOD(INT(Cron_Uso!AH12/Frota!$L12)*Frota!$L12,N(VLOOKUP(Frota!$B12,Premissas!$A$39:$E$43,4,0)))=0,"A","S"),"S")),IF(N(VLOOKUP(Frota!$B12,Premissas!$A$39:$E$43,4,0))&gt;0,IF(MOD(INT(Cron_Uso!AH12/Frota!$L12)*Frota!$L12,N(VLOOKUP(Frota!$B12,Premissas!$A$39:$E$43,4,0)))=0,"A","S"),"S")),""))</f>
        <v>S</v>
      </c>
      <c r="AI12" s="16" t="str">
        <f aca="false">IF(Cron_Uso!AI12="","",IF(INT(Cron_Uso!AI12/Frota!$L12)&gt;INT(Cron_Uso!AH12/Frota!$L12),IF(N(VLOOKUP(Frota!$B12,Premissas!$A$39:$E$43,5,0))&gt;0,IF(MOD(INT(Cron_Uso!AI12/Frota!$L12)*Frota!$L12,N(VLOOKUP(Frota!$B12,Premissas!$A$39:$E$43,5,0)))=0,"B",IF(N(VLOOKUP(Frota!$B12,Premissas!$A$39:$E$43,4,0))&gt;0,IF(MOD(INT(Cron_Uso!AI12/Frota!$L12)*Frota!$L12,N(VLOOKUP(Frota!$B12,Premissas!$A$39:$E$43,4,0)))=0,"A","S"),"S")),IF(N(VLOOKUP(Frota!$B12,Premissas!$A$39:$E$43,4,0))&gt;0,IF(MOD(INT(Cron_Uso!AI12/Frota!$L12)*Frota!$L12,N(VLOOKUP(Frota!$B12,Premissas!$A$39:$E$43,4,0)))=0,"A","S"),"S")),""))</f>
        <v/>
      </c>
      <c r="AJ12" s="16" t="str">
        <f aca="false">IF(Cron_Uso!AJ12="","",IF(INT(Cron_Uso!AJ12/Frota!$L12)&gt;INT(Cron_Uso!AI12/Frota!$L12),IF(N(VLOOKUP(Frota!$B12,Premissas!$A$39:$E$43,5,0))&gt;0,IF(MOD(INT(Cron_Uso!AJ12/Frota!$L12)*Frota!$L12,N(VLOOKUP(Frota!$B12,Premissas!$A$39:$E$43,5,0)))=0,"B",IF(N(VLOOKUP(Frota!$B12,Premissas!$A$39:$E$43,4,0))&gt;0,IF(MOD(INT(Cron_Uso!AJ12/Frota!$L12)*Frota!$L12,N(VLOOKUP(Frota!$B12,Premissas!$A$39:$E$43,4,0)))=0,"A","S"),"S")),IF(N(VLOOKUP(Frota!$B12,Premissas!$A$39:$E$43,4,0))&gt;0,IF(MOD(INT(Cron_Uso!AJ12/Frota!$L12)*Frota!$L12,N(VLOOKUP(Frota!$B12,Premissas!$A$39:$E$43,4,0)))=0,"A","S"),"S")),""))</f>
        <v/>
      </c>
      <c r="AK12" s="16" t="str">
        <f aca="false">IF(Cron_Uso!AK12="","",IF(INT(Cron_Uso!AK12/Frota!$L12)&gt;INT(Cron_Uso!AJ12/Frota!$L12),IF(N(VLOOKUP(Frota!$B12,Premissas!$A$39:$E$43,5,0))&gt;0,IF(MOD(INT(Cron_Uso!AK12/Frota!$L12)*Frota!$L12,N(VLOOKUP(Frota!$B12,Premissas!$A$39:$E$43,5,0)))=0,"B",IF(N(VLOOKUP(Frota!$B12,Premissas!$A$39:$E$43,4,0))&gt;0,IF(MOD(INT(Cron_Uso!AK12/Frota!$L12)*Frota!$L12,N(VLOOKUP(Frota!$B12,Premissas!$A$39:$E$43,4,0)))=0,"A","S"),"S")),IF(N(VLOOKUP(Frota!$B12,Premissas!$A$39:$E$43,4,0))&gt;0,IF(MOD(INT(Cron_Uso!AK12/Frota!$L12)*Frota!$L12,N(VLOOKUP(Frota!$B12,Premissas!$A$39:$E$43,4,0)))=0,"A","S"),"S")),""))</f>
        <v/>
      </c>
      <c r="AL12" s="16" t="str">
        <f aca="false">IF(Cron_Uso!AL12="","",IF(INT(Cron_Uso!AL12/Frota!$L12)&gt;INT(Cron_Uso!AK12/Frota!$L12),IF(N(VLOOKUP(Frota!$B12,Premissas!$A$39:$E$43,5,0))&gt;0,IF(MOD(INT(Cron_Uso!AL12/Frota!$L12)*Frota!$L12,N(VLOOKUP(Frota!$B12,Premissas!$A$39:$E$43,5,0)))=0,"B",IF(N(VLOOKUP(Frota!$B12,Premissas!$A$39:$E$43,4,0))&gt;0,IF(MOD(INT(Cron_Uso!AL12/Frota!$L12)*Frota!$L12,N(VLOOKUP(Frota!$B12,Premissas!$A$39:$E$43,4,0)))=0,"A","S"),"S")),IF(N(VLOOKUP(Frota!$B12,Premissas!$A$39:$E$43,4,0))&gt;0,IF(MOD(INT(Cron_Uso!AL12/Frota!$L12)*Frota!$L12,N(VLOOKUP(Frota!$B12,Premissas!$A$39:$E$43,4,0)))=0,"A","S"),"S")),""))</f>
        <v/>
      </c>
      <c r="AM12" s="16" t="str">
        <f aca="false">IF(Cron_Uso!AM12="","",IF(INT(Cron_Uso!AM12/Frota!$L12)&gt;INT(Cron_Uso!AL12/Frota!$L12),IF(N(VLOOKUP(Frota!$B12,Premissas!$A$39:$E$43,5,0))&gt;0,IF(MOD(INT(Cron_Uso!AM12/Frota!$L12)*Frota!$L12,N(VLOOKUP(Frota!$B12,Premissas!$A$39:$E$43,5,0)))=0,"B",IF(N(VLOOKUP(Frota!$B12,Premissas!$A$39:$E$43,4,0))&gt;0,IF(MOD(INT(Cron_Uso!AM12/Frota!$L12)*Frota!$L12,N(VLOOKUP(Frota!$B12,Premissas!$A$39:$E$43,4,0)))=0,"A","S"),"S")),IF(N(VLOOKUP(Frota!$B12,Premissas!$A$39:$E$43,4,0))&gt;0,IF(MOD(INT(Cron_Uso!AM12/Frota!$L12)*Frota!$L12,N(VLOOKUP(Frota!$B12,Premissas!$A$39:$E$43,4,0)))=0,"A","S"),"S")),""))</f>
        <v/>
      </c>
      <c r="AN12" s="16" t="str">
        <f aca="false">IF(Cron_Uso!AN12="","",IF(INT(Cron_Uso!AN12/Frota!$L12)&gt;INT(Cron_Uso!AM12/Frota!$L12),IF(N(VLOOKUP(Frota!$B12,Premissas!$A$39:$E$43,5,0))&gt;0,IF(MOD(INT(Cron_Uso!AN12/Frota!$L12)*Frota!$L12,N(VLOOKUP(Frota!$B12,Premissas!$A$39:$E$43,5,0)))=0,"B",IF(N(VLOOKUP(Frota!$B12,Premissas!$A$39:$E$43,4,0))&gt;0,IF(MOD(INT(Cron_Uso!AN12/Frota!$L12)*Frota!$L12,N(VLOOKUP(Frota!$B12,Premissas!$A$39:$E$43,4,0)))=0,"A","S"),"S")),IF(N(VLOOKUP(Frota!$B12,Premissas!$A$39:$E$43,4,0))&gt;0,IF(MOD(INT(Cron_Uso!AN12/Frota!$L12)*Frota!$L12,N(VLOOKUP(Frota!$B12,Premissas!$A$39:$E$43,4,0)))=0,"A","S"),"S")),""))</f>
        <v/>
      </c>
      <c r="AO12" s="16" t="str">
        <f aca="false">IF(Cron_Uso!AO12="","",IF(INT(Cron_Uso!AO12/Frota!$L12)&gt;INT(Cron_Uso!AN12/Frota!$L12),IF(N(VLOOKUP(Frota!$B12,Premissas!$A$39:$E$43,5,0))&gt;0,IF(MOD(INT(Cron_Uso!AO12/Frota!$L12)*Frota!$L12,N(VLOOKUP(Frota!$B12,Premissas!$A$39:$E$43,5,0)))=0,"B",IF(N(VLOOKUP(Frota!$B12,Premissas!$A$39:$E$43,4,0))&gt;0,IF(MOD(INT(Cron_Uso!AO12/Frota!$L12)*Frota!$L12,N(VLOOKUP(Frota!$B12,Premissas!$A$39:$E$43,4,0)))=0,"A","S"),"S")),IF(N(VLOOKUP(Frota!$B12,Premissas!$A$39:$E$43,4,0))&gt;0,IF(MOD(INT(Cron_Uso!AO12/Frota!$L12)*Frota!$L12,N(VLOOKUP(Frota!$B12,Premissas!$A$39:$E$43,4,0)))=0,"A","S"),"S")),""))</f>
        <v/>
      </c>
      <c r="AP12" s="16" t="str">
        <f aca="false">IF(Cron_Uso!AP12="","",IF(INT(Cron_Uso!AP12/Frota!$L12)&gt;INT(Cron_Uso!AO12/Frota!$L12),IF(N(VLOOKUP(Frota!$B12,Premissas!$A$39:$E$43,5,0))&gt;0,IF(MOD(INT(Cron_Uso!AP12/Frota!$L12)*Frota!$L12,N(VLOOKUP(Frota!$B12,Premissas!$A$39:$E$43,5,0)))=0,"B",IF(N(VLOOKUP(Frota!$B12,Premissas!$A$39:$E$43,4,0))&gt;0,IF(MOD(INT(Cron_Uso!AP12/Frota!$L12)*Frota!$L12,N(VLOOKUP(Frota!$B12,Premissas!$A$39:$E$43,4,0)))=0,"A","S"),"S")),IF(N(VLOOKUP(Frota!$B12,Premissas!$A$39:$E$43,4,0))&gt;0,IF(MOD(INT(Cron_Uso!AP12/Frota!$L12)*Frota!$L12,N(VLOOKUP(Frota!$B12,Premissas!$A$39:$E$43,4,0)))=0,"A","S"),"S")),""))</f>
        <v/>
      </c>
      <c r="AQ12" s="16" t="str">
        <f aca="false">IF(Cron_Uso!AQ12="","",IF(INT(Cron_Uso!AQ12/Frota!$L12)&gt;INT(Cron_Uso!AP12/Frota!$L12),IF(N(VLOOKUP(Frota!$B12,Premissas!$A$39:$E$43,5,0))&gt;0,IF(MOD(INT(Cron_Uso!AQ12/Frota!$L12)*Frota!$L12,N(VLOOKUP(Frota!$B12,Premissas!$A$39:$E$43,5,0)))=0,"B",IF(N(VLOOKUP(Frota!$B12,Premissas!$A$39:$E$43,4,0))&gt;0,IF(MOD(INT(Cron_Uso!AQ12/Frota!$L12)*Frota!$L12,N(VLOOKUP(Frota!$B12,Premissas!$A$39:$E$43,4,0)))=0,"A","S"),"S")),IF(N(VLOOKUP(Frota!$B12,Premissas!$A$39:$E$43,4,0))&gt;0,IF(MOD(INT(Cron_Uso!AQ12/Frota!$L12)*Frota!$L12,N(VLOOKUP(Frota!$B12,Premissas!$A$39:$E$43,4,0)))=0,"A","S"),"S")),""))</f>
        <v/>
      </c>
      <c r="AR12" s="16" t="str">
        <f aca="false">IF(Cron_Uso!AR12="","",IF(INT(Cron_Uso!AR12/Frota!$L12)&gt;INT(Cron_Uso!AQ12/Frota!$L12),IF(N(VLOOKUP(Frota!$B12,Premissas!$A$39:$E$43,5,0))&gt;0,IF(MOD(INT(Cron_Uso!AR12/Frota!$L12)*Frota!$L12,N(VLOOKUP(Frota!$B12,Premissas!$A$39:$E$43,5,0)))=0,"B",IF(N(VLOOKUP(Frota!$B12,Premissas!$A$39:$E$43,4,0))&gt;0,IF(MOD(INT(Cron_Uso!AR12/Frota!$L12)*Frota!$L12,N(VLOOKUP(Frota!$B12,Premissas!$A$39:$E$43,4,0)))=0,"A","S"),"S")),IF(N(VLOOKUP(Frota!$B12,Premissas!$A$39:$E$43,4,0))&gt;0,IF(MOD(INT(Cron_Uso!AR12/Frota!$L12)*Frota!$L12,N(VLOOKUP(Frota!$B12,Premissas!$A$39:$E$43,4,0)))=0,"A","S"),"S")),""))</f>
        <v/>
      </c>
      <c r="AS12" s="16" t="str">
        <f aca="false">IF(Cron_Uso!AS12="","",IF(INT(Cron_Uso!AS12/Frota!$L12)&gt;INT(Cron_Uso!AR12/Frota!$L12),IF(N(VLOOKUP(Frota!$B12,Premissas!$A$39:$E$43,5,0))&gt;0,IF(MOD(INT(Cron_Uso!AS12/Frota!$L12)*Frota!$L12,N(VLOOKUP(Frota!$B12,Premissas!$A$39:$E$43,5,0)))=0,"B",IF(N(VLOOKUP(Frota!$B12,Premissas!$A$39:$E$43,4,0))&gt;0,IF(MOD(INT(Cron_Uso!AS12/Frota!$L12)*Frota!$L12,N(VLOOKUP(Frota!$B12,Premissas!$A$39:$E$43,4,0)))=0,"A","S"),"S")),IF(N(VLOOKUP(Frota!$B12,Premissas!$A$39:$E$43,4,0))&gt;0,IF(MOD(INT(Cron_Uso!AS12/Frota!$L12)*Frota!$L12,N(VLOOKUP(Frota!$B12,Premissas!$A$39:$E$43,4,0)))=0,"A","S"),"S")),""))</f>
        <v/>
      </c>
      <c r="AT12" s="16" t="str">
        <f aca="false">IF(Cron_Uso!AT12="","",IF(INT(Cron_Uso!AT12/Frota!$L12)&gt;INT(Cron_Uso!AS12/Frota!$L12),IF(N(VLOOKUP(Frota!$B12,Premissas!$A$39:$E$43,5,0))&gt;0,IF(MOD(INT(Cron_Uso!AT12/Frota!$L12)*Frota!$L12,N(VLOOKUP(Frota!$B12,Premissas!$A$39:$E$43,5,0)))=0,"B",IF(N(VLOOKUP(Frota!$B12,Premissas!$A$39:$E$43,4,0))&gt;0,IF(MOD(INT(Cron_Uso!AT12/Frota!$L12)*Frota!$L12,N(VLOOKUP(Frota!$B12,Premissas!$A$39:$E$43,4,0)))=0,"A","S"),"S")),IF(N(VLOOKUP(Frota!$B12,Premissas!$A$39:$E$43,4,0))&gt;0,IF(MOD(INT(Cron_Uso!AT12/Frota!$L12)*Frota!$L12,N(VLOOKUP(Frota!$B12,Premissas!$A$39:$E$43,4,0)))=0,"A","S"),"S")),""))</f>
        <v/>
      </c>
      <c r="AU12" s="16" t="str">
        <f aca="false">IF(Cron_Uso!AU12="","",IF(INT(Cron_Uso!AU12/Frota!$L12)&gt;INT(Cron_Uso!AT12/Frota!$L12),IF(N(VLOOKUP(Frota!$B12,Premissas!$A$39:$E$43,5,0))&gt;0,IF(MOD(INT(Cron_Uso!AU12/Frota!$L12)*Frota!$L12,N(VLOOKUP(Frota!$B12,Premissas!$A$39:$E$43,5,0)))=0,"B",IF(N(VLOOKUP(Frota!$B12,Premissas!$A$39:$E$43,4,0))&gt;0,IF(MOD(INT(Cron_Uso!AU12/Frota!$L12)*Frota!$L12,N(VLOOKUP(Frota!$B12,Premissas!$A$39:$E$43,4,0)))=0,"A","S"),"S")),IF(N(VLOOKUP(Frota!$B12,Premissas!$A$39:$E$43,4,0))&gt;0,IF(MOD(INT(Cron_Uso!AU12/Frota!$L12)*Frota!$L12,N(VLOOKUP(Frota!$B12,Premissas!$A$39:$E$43,4,0)))=0,"A","S"),"S")),""))</f>
        <v/>
      </c>
      <c r="AV12" s="16" t="str">
        <f aca="false">IF(Cron_Uso!AV12="","",IF(INT(Cron_Uso!AV12/Frota!$L12)&gt;INT(Cron_Uso!AU12/Frota!$L12),IF(N(VLOOKUP(Frota!$B12,Premissas!$A$39:$E$43,5,0))&gt;0,IF(MOD(INT(Cron_Uso!AV12/Frota!$L12)*Frota!$L12,N(VLOOKUP(Frota!$B12,Premissas!$A$39:$E$43,5,0)))=0,"B",IF(N(VLOOKUP(Frota!$B12,Premissas!$A$39:$E$43,4,0))&gt;0,IF(MOD(INT(Cron_Uso!AV12/Frota!$L12)*Frota!$L12,N(VLOOKUP(Frota!$B12,Premissas!$A$39:$E$43,4,0)))=0,"A","S"),"S")),IF(N(VLOOKUP(Frota!$B12,Premissas!$A$39:$E$43,4,0))&gt;0,IF(MOD(INT(Cron_Uso!AV12/Frota!$L12)*Frota!$L12,N(VLOOKUP(Frota!$B12,Premissas!$A$39:$E$43,4,0)))=0,"A","S"),"S")),""))</f>
        <v/>
      </c>
      <c r="AW12" s="16" t="str">
        <f aca="false">IF(Cron_Uso!AW12="","",IF(INT(Cron_Uso!AW12/Frota!$L12)&gt;INT(Cron_Uso!AV12/Frota!$L12),IF(N(VLOOKUP(Frota!$B12,Premissas!$A$39:$E$43,5,0))&gt;0,IF(MOD(INT(Cron_Uso!AW12/Frota!$L12)*Frota!$L12,N(VLOOKUP(Frota!$B12,Premissas!$A$39:$E$43,5,0)))=0,"B",IF(N(VLOOKUP(Frota!$B12,Premissas!$A$39:$E$43,4,0))&gt;0,IF(MOD(INT(Cron_Uso!AW12/Frota!$L12)*Frota!$L12,N(VLOOKUP(Frota!$B12,Premissas!$A$39:$E$43,4,0)))=0,"A","S"),"S")),IF(N(VLOOKUP(Frota!$B12,Premissas!$A$39:$E$43,4,0))&gt;0,IF(MOD(INT(Cron_Uso!AW12/Frota!$L12)*Frota!$L12,N(VLOOKUP(Frota!$B12,Premissas!$A$39:$E$43,4,0)))=0,"A","S"),"S")),""))</f>
        <v/>
      </c>
      <c r="AX12" s="16" t="str">
        <f aca="false">IF(Cron_Uso!AX12="","",IF(INT(Cron_Uso!AX12/Frota!$L12)&gt;INT(Cron_Uso!AW12/Frota!$L12),IF(N(VLOOKUP(Frota!$B12,Premissas!$A$39:$E$43,5,0))&gt;0,IF(MOD(INT(Cron_Uso!AX12/Frota!$L12)*Frota!$L12,N(VLOOKUP(Frota!$B12,Premissas!$A$39:$E$43,5,0)))=0,"B",IF(N(VLOOKUP(Frota!$B12,Premissas!$A$39:$E$43,4,0))&gt;0,IF(MOD(INT(Cron_Uso!AX12/Frota!$L12)*Frota!$L12,N(VLOOKUP(Frota!$B12,Premissas!$A$39:$E$43,4,0)))=0,"A","S"),"S")),IF(N(VLOOKUP(Frota!$B12,Premissas!$A$39:$E$43,4,0))&gt;0,IF(MOD(INT(Cron_Uso!AX12/Frota!$L12)*Frota!$L12,N(VLOOKUP(Frota!$B12,Premissas!$A$39:$E$43,4,0)))=0,"A","S"),"S")),""))</f>
        <v>B</v>
      </c>
      <c r="AY12" s="16" t="str">
        <f aca="false">IF(Cron_Uso!AY12="","",IF(INT(Cron_Uso!AY12/Frota!$L12)&gt;INT(Cron_Uso!AX12/Frota!$L12),IF(N(VLOOKUP(Frota!$B12,Premissas!$A$39:$E$43,5,0))&gt;0,IF(MOD(INT(Cron_Uso!AY12/Frota!$L12)*Frota!$L12,N(VLOOKUP(Frota!$B12,Premissas!$A$39:$E$43,5,0)))=0,"B",IF(N(VLOOKUP(Frota!$B12,Premissas!$A$39:$E$43,4,0))&gt;0,IF(MOD(INT(Cron_Uso!AY12/Frota!$L12)*Frota!$L12,N(VLOOKUP(Frota!$B12,Premissas!$A$39:$E$43,4,0)))=0,"A","S"),"S")),IF(N(VLOOKUP(Frota!$B12,Premissas!$A$39:$E$43,4,0))&gt;0,IF(MOD(INT(Cron_Uso!AY12/Frota!$L12)*Frota!$L12,N(VLOOKUP(Frota!$B12,Premissas!$A$39:$E$43,4,0)))=0,"A","S"),"S")),""))</f>
        <v/>
      </c>
      <c r="AZ12" s="16" t="str">
        <f aca="false">IF(Cron_Uso!AZ12="","",IF(INT(Cron_Uso!AZ12/Frota!$L12)&gt;INT(Cron_Uso!AY12/Frota!$L12),IF(N(VLOOKUP(Frota!$B12,Premissas!$A$39:$E$43,5,0))&gt;0,IF(MOD(INT(Cron_Uso!AZ12/Frota!$L12)*Frota!$L12,N(VLOOKUP(Frota!$B12,Premissas!$A$39:$E$43,5,0)))=0,"B",IF(N(VLOOKUP(Frota!$B12,Premissas!$A$39:$E$43,4,0))&gt;0,IF(MOD(INT(Cron_Uso!AZ12/Frota!$L12)*Frota!$L12,N(VLOOKUP(Frota!$B12,Premissas!$A$39:$E$43,4,0)))=0,"A","S"),"S")),IF(N(VLOOKUP(Frota!$B12,Premissas!$A$39:$E$43,4,0))&gt;0,IF(MOD(INT(Cron_Uso!AZ12/Frota!$L12)*Frota!$L12,N(VLOOKUP(Frota!$B12,Premissas!$A$39:$E$43,4,0)))=0,"A","S"),"S")),""))</f>
        <v/>
      </c>
      <c r="BA12" s="16" t="str">
        <f aca="false">IF(Cron_Uso!BA12="","",IF(INT(Cron_Uso!BA12/Frota!$L12)&gt;INT(Cron_Uso!AZ12/Frota!$L12),IF(N(VLOOKUP(Frota!$B12,Premissas!$A$39:$E$43,5,0))&gt;0,IF(MOD(INT(Cron_Uso!BA12/Frota!$L12)*Frota!$L12,N(VLOOKUP(Frota!$B12,Premissas!$A$39:$E$43,5,0)))=0,"B",IF(N(VLOOKUP(Frota!$B12,Premissas!$A$39:$E$43,4,0))&gt;0,IF(MOD(INT(Cron_Uso!BA12/Frota!$L12)*Frota!$L12,N(VLOOKUP(Frota!$B12,Premissas!$A$39:$E$43,4,0)))=0,"A","S"),"S")),IF(N(VLOOKUP(Frota!$B12,Premissas!$A$39:$E$43,4,0))&gt;0,IF(MOD(INT(Cron_Uso!BA12/Frota!$L12)*Frota!$L12,N(VLOOKUP(Frota!$B12,Premissas!$A$39:$E$43,4,0)))=0,"A","S"),"S")),""))</f>
        <v/>
      </c>
    </row>
    <row r="13" customFormat="false" ht="15" hidden="false" customHeight="false" outlineLevel="0" collapsed="false">
      <c r="A13" s="6" t="str">
        <f aca="false">IF(Frota!$A13="","",Frota!$A13)</f>
        <v>Caminhão Scania G540 — 2763</v>
      </c>
      <c r="B13" s="16" t="str">
        <f aca="false">IF(Cron_Uso!B13="","",IF(INT(Cron_Uso!B13/Frota!$L13)&gt;INT(Frota!$I13/Frota!$L13),IF(N(VLOOKUP(Frota!$B13,Premissas!$A$39:$E$43,5,0))&gt;0,IF(MOD(INT(Cron_Uso!B13/Frota!$L13)*Frota!$L13,N(VLOOKUP(Frota!$B13,Premissas!$A$39:$E$43,5,0)))=0,"B",IF(N(VLOOKUP(Frota!$B13,Premissas!$A$39:$E$43,4,0))&gt;0,IF(MOD(INT(Cron_Uso!B13/Frota!$L13)*Frota!$L13,N(VLOOKUP(Frota!$B13,Premissas!$A$39:$E$43,4,0)))=0,"A","S"),"S")),IF(N(VLOOKUP(Frota!$B13,Premissas!$A$39:$E$43,4,0))&gt;0,IF(MOD(INT(Cron_Uso!B13/Frota!$L13)*Frota!$L13,N(VLOOKUP(Frota!$B13,Premissas!$A$39:$E$43,4,0)))=0,"A","S"),"S")),""))</f>
        <v/>
      </c>
      <c r="C13" s="16" t="str">
        <f aca="false">IF(Cron_Uso!C13="","",IF(INT(Cron_Uso!C13/Frota!$L13)&gt;INT(Cron_Uso!B13/Frota!$L13),IF(N(VLOOKUP(Frota!$B13,Premissas!$A$39:$E$43,5,0))&gt;0,IF(MOD(INT(Cron_Uso!C13/Frota!$L13)*Frota!$L13,N(VLOOKUP(Frota!$B13,Premissas!$A$39:$E$43,5,0)))=0,"B",IF(N(VLOOKUP(Frota!$B13,Premissas!$A$39:$E$43,4,0))&gt;0,IF(MOD(INT(Cron_Uso!C13/Frota!$L13)*Frota!$L13,N(VLOOKUP(Frota!$B13,Premissas!$A$39:$E$43,4,0)))=0,"A","S"),"S")),IF(N(VLOOKUP(Frota!$B13,Premissas!$A$39:$E$43,4,0))&gt;0,IF(MOD(INT(Cron_Uso!C13/Frota!$L13)*Frota!$L13,N(VLOOKUP(Frota!$B13,Premissas!$A$39:$E$43,4,0)))=0,"A","S"),"S")),""))</f>
        <v/>
      </c>
      <c r="D13" s="16" t="str">
        <f aca="false">IF(Cron_Uso!D13="","",IF(INT(Cron_Uso!D13/Frota!$L13)&gt;INT(Cron_Uso!C13/Frota!$L13),IF(N(VLOOKUP(Frota!$B13,Premissas!$A$39:$E$43,5,0))&gt;0,IF(MOD(INT(Cron_Uso!D13/Frota!$L13)*Frota!$L13,N(VLOOKUP(Frota!$B13,Premissas!$A$39:$E$43,5,0)))=0,"B",IF(N(VLOOKUP(Frota!$B13,Premissas!$A$39:$E$43,4,0))&gt;0,IF(MOD(INT(Cron_Uso!D13/Frota!$L13)*Frota!$L13,N(VLOOKUP(Frota!$B13,Premissas!$A$39:$E$43,4,0)))=0,"A","S"),"S")),IF(N(VLOOKUP(Frota!$B13,Premissas!$A$39:$E$43,4,0))&gt;0,IF(MOD(INT(Cron_Uso!D13/Frota!$L13)*Frota!$L13,N(VLOOKUP(Frota!$B13,Premissas!$A$39:$E$43,4,0)))=0,"A","S"),"S")),""))</f>
        <v/>
      </c>
      <c r="E13" s="16" t="str">
        <f aca="false">IF(Cron_Uso!E13="","",IF(INT(Cron_Uso!E13/Frota!$L13)&gt;INT(Cron_Uso!D13/Frota!$L13),IF(N(VLOOKUP(Frota!$B13,Premissas!$A$39:$E$43,5,0))&gt;0,IF(MOD(INT(Cron_Uso!E13/Frota!$L13)*Frota!$L13,N(VLOOKUP(Frota!$B13,Premissas!$A$39:$E$43,5,0)))=0,"B",IF(N(VLOOKUP(Frota!$B13,Premissas!$A$39:$E$43,4,0))&gt;0,IF(MOD(INT(Cron_Uso!E13/Frota!$L13)*Frota!$L13,N(VLOOKUP(Frota!$B13,Premissas!$A$39:$E$43,4,0)))=0,"A","S"),"S")),IF(N(VLOOKUP(Frota!$B13,Premissas!$A$39:$E$43,4,0))&gt;0,IF(MOD(INT(Cron_Uso!E13/Frota!$L13)*Frota!$L13,N(VLOOKUP(Frota!$B13,Premissas!$A$39:$E$43,4,0)))=0,"A","S"),"S")),""))</f>
        <v>S</v>
      </c>
      <c r="F13" s="16" t="str">
        <f aca="false">IF(Cron_Uso!F13="","",IF(INT(Cron_Uso!F13/Frota!$L13)&gt;INT(Cron_Uso!E13/Frota!$L13),IF(N(VLOOKUP(Frota!$B13,Premissas!$A$39:$E$43,5,0))&gt;0,IF(MOD(INT(Cron_Uso!F13/Frota!$L13)*Frota!$L13,N(VLOOKUP(Frota!$B13,Premissas!$A$39:$E$43,5,0)))=0,"B",IF(N(VLOOKUP(Frota!$B13,Premissas!$A$39:$E$43,4,0))&gt;0,IF(MOD(INT(Cron_Uso!F13/Frota!$L13)*Frota!$L13,N(VLOOKUP(Frota!$B13,Premissas!$A$39:$E$43,4,0)))=0,"A","S"),"S")),IF(N(VLOOKUP(Frota!$B13,Premissas!$A$39:$E$43,4,0))&gt;0,IF(MOD(INT(Cron_Uso!F13/Frota!$L13)*Frota!$L13,N(VLOOKUP(Frota!$B13,Premissas!$A$39:$E$43,4,0)))=0,"A","S"),"S")),""))</f>
        <v/>
      </c>
      <c r="G13" s="16" t="str">
        <f aca="false">IF(Cron_Uso!G13="","",IF(INT(Cron_Uso!G13/Frota!$L13)&gt;INT(Cron_Uso!F13/Frota!$L13),IF(N(VLOOKUP(Frota!$B13,Premissas!$A$39:$E$43,5,0))&gt;0,IF(MOD(INT(Cron_Uso!G13/Frota!$L13)*Frota!$L13,N(VLOOKUP(Frota!$B13,Premissas!$A$39:$E$43,5,0)))=0,"B",IF(N(VLOOKUP(Frota!$B13,Premissas!$A$39:$E$43,4,0))&gt;0,IF(MOD(INT(Cron_Uso!G13/Frota!$L13)*Frota!$L13,N(VLOOKUP(Frota!$B13,Premissas!$A$39:$E$43,4,0)))=0,"A","S"),"S")),IF(N(VLOOKUP(Frota!$B13,Premissas!$A$39:$E$43,4,0))&gt;0,IF(MOD(INT(Cron_Uso!G13/Frota!$L13)*Frota!$L13,N(VLOOKUP(Frota!$B13,Premissas!$A$39:$E$43,4,0)))=0,"A","S"),"S")),""))</f>
        <v/>
      </c>
      <c r="H13" s="16" t="str">
        <f aca="false">IF(Cron_Uso!H13="","",IF(INT(Cron_Uso!H13/Frota!$L13)&gt;INT(Cron_Uso!G13/Frota!$L13),IF(N(VLOOKUP(Frota!$B13,Premissas!$A$39:$E$43,5,0))&gt;0,IF(MOD(INT(Cron_Uso!H13/Frota!$L13)*Frota!$L13,N(VLOOKUP(Frota!$B13,Premissas!$A$39:$E$43,5,0)))=0,"B",IF(N(VLOOKUP(Frota!$B13,Premissas!$A$39:$E$43,4,0))&gt;0,IF(MOD(INT(Cron_Uso!H13/Frota!$L13)*Frota!$L13,N(VLOOKUP(Frota!$B13,Premissas!$A$39:$E$43,4,0)))=0,"A","S"),"S")),IF(N(VLOOKUP(Frota!$B13,Premissas!$A$39:$E$43,4,0))&gt;0,IF(MOD(INT(Cron_Uso!H13/Frota!$L13)*Frota!$L13,N(VLOOKUP(Frota!$B13,Premissas!$A$39:$E$43,4,0)))=0,"A","S"),"S")),""))</f>
        <v/>
      </c>
      <c r="I13" s="16" t="str">
        <f aca="false">IF(Cron_Uso!I13="","",IF(INT(Cron_Uso!I13/Frota!$L13)&gt;INT(Cron_Uso!H13/Frota!$L13),IF(N(VLOOKUP(Frota!$B13,Premissas!$A$39:$E$43,5,0))&gt;0,IF(MOD(INT(Cron_Uso!I13/Frota!$L13)*Frota!$L13,N(VLOOKUP(Frota!$B13,Premissas!$A$39:$E$43,5,0)))=0,"B",IF(N(VLOOKUP(Frota!$B13,Premissas!$A$39:$E$43,4,0))&gt;0,IF(MOD(INT(Cron_Uso!I13/Frota!$L13)*Frota!$L13,N(VLOOKUP(Frota!$B13,Premissas!$A$39:$E$43,4,0)))=0,"A","S"),"S")),IF(N(VLOOKUP(Frota!$B13,Premissas!$A$39:$E$43,4,0))&gt;0,IF(MOD(INT(Cron_Uso!I13/Frota!$L13)*Frota!$L13,N(VLOOKUP(Frota!$B13,Premissas!$A$39:$E$43,4,0)))=0,"A","S"),"S")),""))</f>
        <v/>
      </c>
      <c r="J13" s="16" t="str">
        <f aca="false">IF(Cron_Uso!J13="","",IF(INT(Cron_Uso!J13/Frota!$L13)&gt;INT(Cron_Uso!I13/Frota!$L13),IF(N(VLOOKUP(Frota!$B13,Premissas!$A$39:$E$43,5,0))&gt;0,IF(MOD(INT(Cron_Uso!J13/Frota!$L13)*Frota!$L13,N(VLOOKUP(Frota!$B13,Premissas!$A$39:$E$43,5,0)))=0,"B",IF(N(VLOOKUP(Frota!$B13,Premissas!$A$39:$E$43,4,0))&gt;0,IF(MOD(INT(Cron_Uso!J13/Frota!$L13)*Frota!$L13,N(VLOOKUP(Frota!$B13,Premissas!$A$39:$E$43,4,0)))=0,"A","S"),"S")),IF(N(VLOOKUP(Frota!$B13,Premissas!$A$39:$E$43,4,0))&gt;0,IF(MOD(INT(Cron_Uso!J13/Frota!$L13)*Frota!$L13,N(VLOOKUP(Frota!$B13,Premissas!$A$39:$E$43,4,0)))=0,"A","S"),"S")),""))</f>
        <v/>
      </c>
      <c r="K13" s="16" t="str">
        <f aca="false">IF(Cron_Uso!K13="","",IF(INT(Cron_Uso!K13/Frota!$L13)&gt;INT(Cron_Uso!J13/Frota!$L13),IF(N(VLOOKUP(Frota!$B13,Premissas!$A$39:$E$43,5,0))&gt;0,IF(MOD(INT(Cron_Uso!K13/Frota!$L13)*Frota!$L13,N(VLOOKUP(Frota!$B13,Premissas!$A$39:$E$43,5,0)))=0,"B",IF(N(VLOOKUP(Frota!$B13,Premissas!$A$39:$E$43,4,0))&gt;0,IF(MOD(INT(Cron_Uso!K13/Frota!$L13)*Frota!$L13,N(VLOOKUP(Frota!$B13,Premissas!$A$39:$E$43,4,0)))=0,"A","S"),"S")),IF(N(VLOOKUP(Frota!$B13,Premissas!$A$39:$E$43,4,0))&gt;0,IF(MOD(INT(Cron_Uso!K13/Frota!$L13)*Frota!$L13,N(VLOOKUP(Frota!$B13,Premissas!$A$39:$E$43,4,0)))=0,"A","S"),"S")),""))</f>
        <v/>
      </c>
      <c r="L13" s="16" t="str">
        <f aca="false">IF(Cron_Uso!L13="","",IF(INT(Cron_Uso!L13/Frota!$L13)&gt;INT(Cron_Uso!K13/Frota!$L13),IF(N(VLOOKUP(Frota!$B13,Premissas!$A$39:$E$43,5,0))&gt;0,IF(MOD(INT(Cron_Uso!L13/Frota!$L13)*Frota!$L13,N(VLOOKUP(Frota!$B13,Premissas!$A$39:$E$43,5,0)))=0,"B",IF(N(VLOOKUP(Frota!$B13,Premissas!$A$39:$E$43,4,0))&gt;0,IF(MOD(INT(Cron_Uso!L13/Frota!$L13)*Frota!$L13,N(VLOOKUP(Frota!$B13,Premissas!$A$39:$E$43,4,0)))=0,"A","S"),"S")),IF(N(VLOOKUP(Frota!$B13,Premissas!$A$39:$E$43,4,0))&gt;0,IF(MOD(INT(Cron_Uso!L13/Frota!$L13)*Frota!$L13,N(VLOOKUP(Frota!$B13,Premissas!$A$39:$E$43,4,0)))=0,"A","S"),"S")),""))</f>
        <v/>
      </c>
      <c r="M13" s="16" t="str">
        <f aca="false">IF(Cron_Uso!M13="","",IF(INT(Cron_Uso!M13/Frota!$L13)&gt;INT(Cron_Uso!L13/Frota!$L13),IF(N(VLOOKUP(Frota!$B13,Premissas!$A$39:$E$43,5,0))&gt;0,IF(MOD(INT(Cron_Uso!M13/Frota!$L13)*Frota!$L13,N(VLOOKUP(Frota!$B13,Premissas!$A$39:$E$43,5,0)))=0,"B",IF(N(VLOOKUP(Frota!$B13,Premissas!$A$39:$E$43,4,0))&gt;0,IF(MOD(INT(Cron_Uso!M13/Frota!$L13)*Frota!$L13,N(VLOOKUP(Frota!$B13,Premissas!$A$39:$E$43,4,0)))=0,"A","S"),"S")),IF(N(VLOOKUP(Frota!$B13,Premissas!$A$39:$E$43,4,0))&gt;0,IF(MOD(INT(Cron_Uso!M13/Frota!$L13)*Frota!$L13,N(VLOOKUP(Frota!$B13,Premissas!$A$39:$E$43,4,0)))=0,"A","S"),"S")),""))</f>
        <v>A</v>
      </c>
      <c r="N13" s="16" t="str">
        <f aca="false">IF(Cron_Uso!N13="","",IF(INT(Cron_Uso!N13/Frota!$L13)&gt;INT(Cron_Uso!M13/Frota!$L13),IF(N(VLOOKUP(Frota!$B13,Premissas!$A$39:$E$43,5,0))&gt;0,IF(MOD(INT(Cron_Uso!N13/Frota!$L13)*Frota!$L13,N(VLOOKUP(Frota!$B13,Premissas!$A$39:$E$43,5,0)))=0,"B",IF(N(VLOOKUP(Frota!$B13,Premissas!$A$39:$E$43,4,0))&gt;0,IF(MOD(INT(Cron_Uso!N13/Frota!$L13)*Frota!$L13,N(VLOOKUP(Frota!$B13,Premissas!$A$39:$E$43,4,0)))=0,"A","S"),"S")),IF(N(VLOOKUP(Frota!$B13,Premissas!$A$39:$E$43,4,0))&gt;0,IF(MOD(INT(Cron_Uso!N13/Frota!$L13)*Frota!$L13,N(VLOOKUP(Frota!$B13,Premissas!$A$39:$E$43,4,0)))=0,"A","S"),"S")),""))</f>
        <v/>
      </c>
      <c r="O13" s="16" t="str">
        <f aca="false">IF(Cron_Uso!O13="","",IF(INT(Cron_Uso!O13/Frota!$L13)&gt;INT(Cron_Uso!N13/Frota!$L13),IF(N(VLOOKUP(Frota!$B13,Premissas!$A$39:$E$43,5,0))&gt;0,IF(MOD(INT(Cron_Uso!O13/Frota!$L13)*Frota!$L13,N(VLOOKUP(Frota!$B13,Premissas!$A$39:$E$43,5,0)))=0,"B",IF(N(VLOOKUP(Frota!$B13,Premissas!$A$39:$E$43,4,0))&gt;0,IF(MOD(INT(Cron_Uso!O13/Frota!$L13)*Frota!$L13,N(VLOOKUP(Frota!$B13,Premissas!$A$39:$E$43,4,0)))=0,"A","S"),"S")),IF(N(VLOOKUP(Frota!$B13,Premissas!$A$39:$E$43,4,0))&gt;0,IF(MOD(INT(Cron_Uso!O13/Frota!$L13)*Frota!$L13,N(VLOOKUP(Frota!$B13,Premissas!$A$39:$E$43,4,0)))=0,"A","S"),"S")),""))</f>
        <v/>
      </c>
      <c r="P13" s="16" t="str">
        <f aca="false">IF(Cron_Uso!P13="","",IF(INT(Cron_Uso!P13/Frota!$L13)&gt;INT(Cron_Uso!O13/Frota!$L13),IF(N(VLOOKUP(Frota!$B13,Premissas!$A$39:$E$43,5,0))&gt;0,IF(MOD(INT(Cron_Uso!P13/Frota!$L13)*Frota!$L13,N(VLOOKUP(Frota!$B13,Premissas!$A$39:$E$43,5,0)))=0,"B",IF(N(VLOOKUP(Frota!$B13,Premissas!$A$39:$E$43,4,0))&gt;0,IF(MOD(INT(Cron_Uso!P13/Frota!$L13)*Frota!$L13,N(VLOOKUP(Frota!$B13,Premissas!$A$39:$E$43,4,0)))=0,"A","S"),"S")),IF(N(VLOOKUP(Frota!$B13,Premissas!$A$39:$E$43,4,0))&gt;0,IF(MOD(INT(Cron_Uso!P13/Frota!$L13)*Frota!$L13,N(VLOOKUP(Frota!$B13,Premissas!$A$39:$E$43,4,0)))=0,"A","S"),"S")),""))</f>
        <v/>
      </c>
      <c r="Q13" s="16" t="str">
        <f aca="false">IF(Cron_Uso!Q13="","",IF(INT(Cron_Uso!Q13/Frota!$L13)&gt;INT(Cron_Uso!P13/Frota!$L13),IF(N(VLOOKUP(Frota!$B13,Premissas!$A$39:$E$43,5,0))&gt;0,IF(MOD(INT(Cron_Uso!Q13/Frota!$L13)*Frota!$L13,N(VLOOKUP(Frota!$B13,Premissas!$A$39:$E$43,5,0)))=0,"B",IF(N(VLOOKUP(Frota!$B13,Premissas!$A$39:$E$43,4,0))&gt;0,IF(MOD(INT(Cron_Uso!Q13/Frota!$L13)*Frota!$L13,N(VLOOKUP(Frota!$B13,Premissas!$A$39:$E$43,4,0)))=0,"A","S"),"S")),IF(N(VLOOKUP(Frota!$B13,Premissas!$A$39:$E$43,4,0))&gt;0,IF(MOD(INT(Cron_Uso!Q13/Frota!$L13)*Frota!$L13,N(VLOOKUP(Frota!$B13,Premissas!$A$39:$E$43,4,0)))=0,"A","S"),"S")),""))</f>
        <v/>
      </c>
      <c r="R13" s="16" t="str">
        <f aca="false">IF(Cron_Uso!R13="","",IF(INT(Cron_Uso!R13/Frota!$L13)&gt;INT(Cron_Uso!Q13/Frota!$L13),IF(N(VLOOKUP(Frota!$B13,Premissas!$A$39:$E$43,5,0))&gt;0,IF(MOD(INT(Cron_Uso!R13/Frota!$L13)*Frota!$L13,N(VLOOKUP(Frota!$B13,Premissas!$A$39:$E$43,5,0)))=0,"B",IF(N(VLOOKUP(Frota!$B13,Premissas!$A$39:$E$43,4,0))&gt;0,IF(MOD(INT(Cron_Uso!R13/Frota!$L13)*Frota!$L13,N(VLOOKUP(Frota!$B13,Premissas!$A$39:$E$43,4,0)))=0,"A","S"),"S")),IF(N(VLOOKUP(Frota!$B13,Premissas!$A$39:$E$43,4,0))&gt;0,IF(MOD(INT(Cron_Uso!R13/Frota!$L13)*Frota!$L13,N(VLOOKUP(Frota!$B13,Premissas!$A$39:$E$43,4,0)))=0,"A","S"),"S")),""))</f>
        <v/>
      </c>
      <c r="S13" s="16" t="str">
        <f aca="false">IF(Cron_Uso!S13="","",IF(INT(Cron_Uso!S13/Frota!$L13)&gt;INT(Cron_Uso!R13/Frota!$L13),IF(N(VLOOKUP(Frota!$B13,Premissas!$A$39:$E$43,5,0))&gt;0,IF(MOD(INT(Cron_Uso!S13/Frota!$L13)*Frota!$L13,N(VLOOKUP(Frota!$B13,Premissas!$A$39:$E$43,5,0)))=0,"B",IF(N(VLOOKUP(Frota!$B13,Premissas!$A$39:$E$43,4,0))&gt;0,IF(MOD(INT(Cron_Uso!S13/Frota!$L13)*Frota!$L13,N(VLOOKUP(Frota!$B13,Premissas!$A$39:$E$43,4,0)))=0,"A","S"),"S")),IF(N(VLOOKUP(Frota!$B13,Premissas!$A$39:$E$43,4,0))&gt;0,IF(MOD(INT(Cron_Uso!S13/Frota!$L13)*Frota!$L13,N(VLOOKUP(Frota!$B13,Premissas!$A$39:$E$43,4,0)))=0,"A","S"),"S")),""))</f>
        <v/>
      </c>
      <c r="T13" s="16" t="str">
        <f aca="false">IF(Cron_Uso!T13="","",IF(INT(Cron_Uso!T13/Frota!$L13)&gt;INT(Cron_Uso!S13/Frota!$L13),IF(N(VLOOKUP(Frota!$B13,Premissas!$A$39:$E$43,5,0))&gt;0,IF(MOD(INT(Cron_Uso!T13/Frota!$L13)*Frota!$L13,N(VLOOKUP(Frota!$B13,Premissas!$A$39:$E$43,5,0)))=0,"B",IF(N(VLOOKUP(Frota!$B13,Premissas!$A$39:$E$43,4,0))&gt;0,IF(MOD(INT(Cron_Uso!T13/Frota!$L13)*Frota!$L13,N(VLOOKUP(Frota!$B13,Premissas!$A$39:$E$43,4,0)))=0,"A","S"),"S")),IF(N(VLOOKUP(Frota!$B13,Premissas!$A$39:$E$43,4,0))&gt;0,IF(MOD(INT(Cron_Uso!T13/Frota!$L13)*Frota!$L13,N(VLOOKUP(Frota!$B13,Premissas!$A$39:$E$43,4,0)))=0,"A","S"),"S")),""))</f>
        <v>S</v>
      </c>
      <c r="U13" s="16" t="str">
        <f aca="false">IF(Cron_Uso!U13="","",IF(INT(Cron_Uso!U13/Frota!$L13)&gt;INT(Cron_Uso!T13/Frota!$L13),IF(N(VLOOKUP(Frota!$B13,Premissas!$A$39:$E$43,5,0))&gt;0,IF(MOD(INT(Cron_Uso!U13/Frota!$L13)*Frota!$L13,N(VLOOKUP(Frota!$B13,Premissas!$A$39:$E$43,5,0)))=0,"B",IF(N(VLOOKUP(Frota!$B13,Premissas!$A$39:$E$43,4,0))&gt;0,IF(MOD(INT(Cron_Uso!U13/Frota!$L13)*Frota!$L13,N(VLOOKUP(Frota!$B13,Premissas!$A$39:$E$43,4,0)))=0,"A","S"),"S")),IF(N(VLOOKUP(Frota!$B13,Premissas!$A$39:$E$43,4,0))&gt;0,IF(MOD(INT(Cron_Uso!U13/Frota!$L13)*Frota!$L13,N(VLOOKUP(Frota!$B13,Premissas!$A$39:$E$43,4,0)))=0,"A","S"),"S")),""))</f>
        <v/>
      </c>
      <c r="V13" s="16" t="str">
        <f aca="false">IF(Cron_Uso!V13="","",IF(INT(Cron_Uso!V13/Frota!$L13)&gt;INT(Cron_Uso!U13/Frota!$L13),IF(N(VLOOKUP(Frota!$B13,Premissas!$A$39:$E$43,5,0))&gt;0,IF(MOD(INT(Cron_Uso!V13/Frota!$L13)*Frota!$L13,N(VLOOKUP(Frota!$B13,Premissas!$A$39:$E$43,5,0)))=0,"B",IF(N(VLOOKUP(Frota!$B13,Premissas!$A$39:$E$43,4,0))&gt;0,IF(MOD(INT(Cron_Uso!V13/Frota!$L13)*Frota!$L13,N(VLOOKUP(Frota!$B13,Premissas!$A$39:$E$43,4,0)))=0,"A","S"),"S")),IF(N(VLOOKUP(Frota!$B13,Premissas!$A$39:$E$43,4,0))&gt;0,IF(MOD(INT(Cron_Uso!V13/Frota!$L13)*Frota!$L13,N(VLOOKUP(Frota!$B13,Premissas!$A$39:$E$43,4,0)))=0,"A","S"),"S")),""))</f>
        <v/>
      </c>
      <c r="W13" s="16" t="str">
        <f aca="false">IF(Cron_Uso!W13="","",IF(INT(Cron_Uso!W13/Frota!$L13)&gt;INT(Cron_Uso!V13/Frota!$L13),IF(N(VLOOKUP(Frota!$B13,Premissas!$A$39:$E$43,5,0))&gt;0,IF(MOD(INT(Cron_Uso!W13/Frota!$L13)*Frota!$L13,N(VLOOKUP(Frota!$B13,Premissas!$A$39:$E$43,5,0)))=0,"B",IF(N(VLOOKUP(Frota!$B13,Premissas!$A$39:$E$43,4,0))&gt;0,IF(MOD(INT(Cron_Uso!W13/Frota!$L13)*Frota!$L13,N(VLOOKUP(Frota!$B13,Premissas!$A$39:$E$43,4,0)))=0,"A","S"),"S")),IF(N(VLOOKUP(Frota!$B13,Premissas!$A$39:$E$43,4,0))&gt;0,IF(MOD(INT(Cron_Uso!W13/Frota!$L13)*Frota!$L13,N(VLOOKUP(Frota!$B13,Premissas!$A$39:$E$43,4,0)))=0,"A","S"),"S")),""))</f>
        <v/>
      </c>
      <c r="X13" s="16" t="str">
        <f aca="false">IF(Cron_Uso!X13="","",IF(INT(Cron_Uso!X13/Frota!$L13)&gt;INT(Cron_Uso!W13/Frota!$L13),IF(N(VLOOKUP(Frota!$B13,Premissas!$A$39:$E$43,5,0))&gt;0,IF(MOD(INT(Cron_Uso!X13/Frota!$L13)*Frota!$L13,N(VLOOKUP(Frota!$B13,Premissas!$A$39:$E$43,5,0)))=0,"B",IF(N(VLOOKUP(Frota!$B13,Premissas!$A$39:$E$43,4,0))&gt;0,IF(MOD(INT(Cron_Uso!X13/Frota!$L13)*Frota!$L13,N(VLOOKUP(Frota!$B13,Premissas!$A$39:$E$43,4,0)))=0,"A","S"),"S")),IF(N(VLOOKUP(Frota!$B13,Premissas!$A$39:$E$43,4,0))&gt;0,IF(MOD(INT(Cron_Uso!X13/Frota!$L13)*Frota!$L13,N(VLOOKUP(Frota!$B13,Premissas!$A$39:$E$43,4,0)))=0,"A","S"),"S")),""))</f>
        <v/>
      </c>
      <c r="Y13" s="16" t="str">
        <f aca="false">IF(Cron_Uso!Y13="","",IF(INT(Cron_Uso!Y13/Frota!$L13)&gt;INT(Cron_Uso!X13/Frota!$L13),IF(N(VLOOKUP(Frota!$B13,Premissas!$A$39:$E$43,5,0))&gt;0,IF(MOD(INT(Cron_Uso!Y13/Frota!$L13)*Frota!$L13,N(VLOOKUP(Frota!$B13,Premissas!$A$39:$E$43,5,0)))=0,"B",IF(N(VLOOKUP(Frota!$B13,Premissas!$A$39:$E$43,4,0))&gt;0,IF(MOD(INT(Cron_Uso!Y13/Frota!$L13)*Frota!$L13,N(VLOOKUP(Frota!$B13,Premissas!$A$39:$E$43,4,0)))=0,"A","S"),"S")),IF(N(VLOOKUP(Frota!$B13,Premissas!$A$39:$E$43,4,0))&gt;0,IF(MOD(INT(Cron_Uso!Y13/Frota!$L13)*Frota!$L13,N(VLOOKUP(Frota!$B13,Premissas!$A$39:$E$43,4,0)))=0,"A","S"),"S")),""))</f>
        <v/>
      </c>
      <c r="Z13" s="16" t="str">
        <f aca="false">IF(Cron_Uso!Z13="","",IF(INT(Cron_Uso!Z13/Frota!$L13)&gt;INT(Cron_Uso!Y13/Frota!$L13),IF(N(VLOOKUP(Frota!$B13,Premissas!$A$39:$E$43,5,0))&gt;0,IF(MOD(INT(Cron_Uso!Z13/Frota!$L13)*Frota!$L13,N(VLOOKUP(Frota!$B13,Premissas!$A$39:$E$43,5,0)))=0,"B",IF(N(VLOOKUP(Frota!$B13,Premissas!$A$39:$E$43,4,0))&gt;0,IF(MOD(INT(Cron_Uso!Z13/Frota!$L13)*Frota!$L13,N(VLOOKUP(Frota!$B13,Premissas!$A$39:$E$43,4,0)))=0,"A","S"),"S")),IF(N(VLOOKUP(Frota!$B13,Premissas!$A$39:$E$43,4,0))&gt;0,IF(MOD(INT(Cron_Uso!Z13/Frota!$L13)*Frota!$L13,N(VLOOKUP(Frota!$B13,Premissas!$A$39:$E$43,4,0)))=0,"A","S"),"S")),""))</f>
        <v/>
      </c>
      <c r="AA13" s="16" t="str">
        <f aca="false">IF(Cron_Uso!AA13="","",IF(INT(Cron_Uso!AA13/Frota!$L13)&gt;INT(Cron_Uso!Z13/Frota!$L13),IF(N(VLOOKUP(Frota!$B13,Premissas!$A$39:$E$43,5,0))&gt;0,IF(MOD(INT(Cron_Uso!AA13/Frota!$L13)*Frota!$L13,N(VLOOKUP(Frota!$B13,Premissas!$A$39:$E$43,5,0)))=0,"B",IF(N(VLOOKUP(Frota!$B13,Premissas!$A$39:$E$43,4,0))&gt;0,IF(MOD(INT(Cron_Uso!AA13/Frota!$L13)*Frota!$L13,N(VLOOKUP(Frota!$B13,Premissas!$A$39:$E$43,4,0)))=0,"A","S"),"S")),IF(N(VLOOKUP(Frota!$B13,Premissas!$A$39:$E$43,4,0))&gt;0,IF(MOD(INT(Cron_Uso!AA13/Frota!$L13)*Frota!$L13,N(VLOOKUP(Frota!$B13,Premissas!$A$39:$E$43,4,0)))=0,"A","S"),"S")),""))</f>
        <v>B</v>
      </c>
      <c r="AB13" s="16" t="str">
        <f aca="false">IF(Cron_Uso!AB13="","",IF(INT(Cron_Uso!AB13/Frota!$L13)&gt;INT(Cron_Uso!AA13/Frota!$L13),IF(N(VLOOKUP(Frota!$B13,Premissas!$A$39:$E$43,5,0))&gt;0,IF(MOD(INT(Cron_Uso!AB13/Frota!$L13)*Frota!$L13,N(VLOOKUP(Frota!$B13,Premissas!$A$39:$E$43,5,0)))=0,"B",IF(N(VLOOKUP(Frota!$B13,Premissas!$A$39:$E$43,4,0))&gt;0,IF(MOD(INT(Cron_Uso!AB13/Frota!$L13)*Frota!$L13,N(VLOOKUP(Frota!$B13,Premissas!$A$39:$E$43,4,0)))=0,"A","S"),"S")),IF(N(VLOOKUP(Frota!$B13,Premissas!$A$39:$E$43,4,0))&gt;0,IF(MOD(INT(Cron_Uso!AB13/Frota!$L13)*Frota!$L13,N(VLOOKUP(Frota!$B13,Premissas!$A$39:$E$43,4,0)))=0,"A","S"),"S")),""))</f>
        <v/>
      </c>
      <c r="AC13" s="16" t="str">
        <f aca="false">IF(Cron_Uso!AC13="","",IF(INT(Cron_Uso!AC13/Frota!$L13)&gt;INT(Cron_Uso!AB13/Frota!$L13),IF(N(VLOOKUP(Frota!$B13,Premissas!$A$39:$E$43,5,0))&gt;0,IF(MOD(INT(Cron_Uso!AC13/Frota!$L13)*Frota!$L13,N(VLOOKUP(Frota!$B13,Premissas!$A$39:$E$43,5,0)))=0,"B",IF(N(VLOOKUP(Frota!$B13,Premissas!$A$39:$E$43,4,0))&gt;0,IF(MOD(INT(Cron_Uso!AC13/Frota!$L13)*Frota!$L13,N(VLOOKUP(Frota!$B13,Premissas!$A$39:$E$43,4,0)))=0,"A","S"),"S")),IF(N(VLOOKUP(Frota!$B13,Premissas!$A$39:$E$43,4,0))&gt;0,IF(MOD(INT(Cron_Uso!AC13/Frota!$L13)*Frota!$L13,N(VLOOKUP(Frota!$B13,Premissas!$A$39:$E$43,4,0)))=0,"A","S"),"S")),""))</f>
        <v/>
      </c>
      <c r="AD13" s="16" t="str">
        <f aca="false">IF(Cron_Uso!AD13="","",IF(INT(Cron_Uso!AD13/Frota!$L13)&gt;INT(Cron_Uso!AC13/Frota!$L13),IF(N(VLOOKUP(Frota!$B13,Premissas!$A$39:$E$43,5,0))&gt;0,IF(MOD(INT(Cron_Uso!AD13/Frota!$L13)*Frota!$L13,N(VLOOKUP(Frota!$B13,Premissas!$A$39:$E$43,5,0)))=0,"B",IF(N(VLOOKUP(Frota!$B13,Premissas!$A$39:$E$43,4,0))&gt;0,IF(MOD(INT(Cron_Uso!AD13/Frota!$L13)*Frota!$L13,N(VLOOKUP(Frota!$B13,Premissas!$A$39:$E$43,4,0)))=0,"A","S"),"S")),IF(N(VLOOKUP(Frota!$B13,Premissas!$A$39:$E$43,4,0))&gt;0,IF(MOD(INT(Cron_Uso!AD13/Frota!$L13)*Frota!$L13,N(VLOOKUP(Frota!$B13,Premissas!$A$39:$E$43,4,0)))=0,"A","S"),"S")),""))</f>
        <v/>
      </c>
      <c r="AE13" s="16" t="str">
        <f aca="false">IF(Cron_Uso!AE13="","",IF(INT(Cron_Uso!AE13/Frota!$L13)&gt;INT(Cron_Uso!AD13/Frota!$L13),IF(N(VLOOKUP(Frota!$B13,Premissas!$A$39:$E$43,5,0))&gt;0,IF(MOD(INT(Cron_Uso!AE13/Frota!$L13)*Frota!$L13,N(VLOOKUP(Frota!$B13,Premissas!$A$39:$E$43,5,0)))=0,"B",IF(N(VLOOKUP(Frota!$B13,Premissas!$A$39:$E$43,4,0))&gt;0,IF(MOD(INT(Cron_Uso!AE13/Frota!$L13)*Frota!$L13,N(VLOOKUP(Frota!$B13,Premissas!$A$39:$E$43,4,0)))=0,"A","S"),"S")),IF(N(VLOOKUP(Frota!$B13,Premissas!$A$39:$E$43,4,0))&gt;0,IF(MOD(INT(Cron_Uso!AE13/Frota!$L13)*Frota!$L13,N(VLOOKUP(Frota!$B13,Premissas!$A$39:$E$43,4,0)))=0,"A","S"),"S")),""))</f>
        <v/>
      </c>
      <c r="AF13" s="16" t="str">
        <f aca="false">IF(Cron_Uso!AF13="","",IF(INT(Cron_Uso!AF13/Frota!$L13)&gt;INT(Cron_Uso!AE13/Frota!$L13),IF(N(VLOOKUP(Frota!$B13,Premissas!$A$39:$E$43,5,0))&gt;0,IF(MOD(INT(Cron_Uso!AF13/Frota!$L13)*Frota!$L13,N(VLOOKUP(Frota!$B13,Premissas!$A$39:$E$43,5,0)))=0,"B",IF(N(VLOOKUP(Frota!$B13,Premissas!$A$39:$E$43,4,0))&gt;0,IF(MOD(INT(Cron_Uso!AF13/Frota!$L13)*Frota!$L13,N(VLOOKUP(Frota!$B13,Premissas!$A$39:$E$43,4,0)))=0,"A","S"),"S")),IF(N(VLOOKUP(Frota!$B13,Premissas!$A$39:$E$43,4,0))&gt;0,IF(MOD(INT(Cron_Uso!AF13/Frota!$L13)*Frota!$L13,N(VLOOKUP(Frota!$B13,Premissas!$A$39:$E$43,4,0)))=0,"A","S"),"S")),""))</f>
        <v/>
      </c>
      <c r="AG13" s="16" t="str">
        <f aca="false">IF(Cron_Uso!AG13="","",IF(INT(Cron_Uso!AG13/Frota!$L13)&gt;INT(Cron_Uso!AF13/Frota!$L13),IF(N(VLOOKUP(Frota!$B13,Premissas!$A$39:$E$43,5,0))&gt;0,IF(MOD(INT(Cron_Uso!AG13/Frota!$L13)*Frota!$L13,N(VLOOKUP(Frota!$B13,Premissas!$A$39:$E$43,5,0)))=0,"B",IF(N(VLOOKUP(Frota!$B13,Premissas!$A$39:$E$43,4,0))&gt;0,IF(MOD(INT(Cron_Uso!AG13/Frota!$L13)*Frota!$L13,N(VLOOKUP(Frota!$B13,Premissas!$A$39:$E$43,4,0)))=0,"A","S"),"S")),IF(N(VLOOKUP(Frota!$B13,Premissas!$A$39:$E$43,4,0))&gt;0,IF(MOD(INT(Cron_Uso!AG13/Frota!$L13)*Frota!$L13,N(VLOOKUP(Frota!$B13,Premissas!$A$39:$E$43,4,0)))=0,"A","S"),"S")),""))</f>
        <v/>
      </c>
      <c r="AH13" s="16" t="str">
        <f aca="false">IF(Cron_Uso!AH13="","",IF(INT(Cron_Uso!AH13/Frota!$L13)&gt;INT(Cron_Uso!AG13/Frota!$L13),IF(N(VLOOKUP(Frota!$B13,Premissas!$A$39:$E$43,5,0))&gt;0,IF(MOD(INT(Cron_Uso!AH13/Frota!$L13)*Frota!$L13,N(VLOOKUP(Frota!$B13,Premissas!$A$39:$E$43,5,0)))=0,"B",IF(N(VLOOKUP(Frota!$B13,Premissas!$A$39:$E$43,4,0))&gt;0,IF(MOD(INT(Cron_Uso!AH13/Frota!$L13)*Frota!$L13,N(VLOOKUP(Frota!$B13,Premissas!$A$39:$E$43,4,0)))=0,"A","S"),"S")),IF(N(VLOOKUP(Frota!$B13,Premissas!$A$39:$E$43,4,0))&gt;0,IF(MOD(INT(Cron_Uso!AH13/Frota!$L13)*Frota!$L13,N(VLOOKUP(Frota!$B13,Premissas!$A$39:$E$43,4,0)))=0,"A","S"),"S")),""))</f>
        <v/>
      </c>
      <c r="AI13" s="16" t="str">
        <f aca="false">IF(Cron_Uso!AI13="","",IF(INT(Cron_Uso!AI13/Frota!$L13)&gt;INT(Cron_Uso!AH13/Frota!$L13),IF(N(VLOOKUP(Frota!$B13,Premissas!$A$39:$E$43,5,0))&gt;0,IF(MOD(INT(Cron_Uso!AI13/Frota!$L13)*Frota!$L13,N(VLOOKUP(Frota!$B13,Premissas!$A$39:$E$43,5,0)))=0,"B",IF(N(VLOOKUP(Frota!$B13,Premissas!$A$39:$E$43,4,0))&gt;0,IF(MOD(INT(Cron_Uso!AI13/Frota!$L13)*Frota!$L13,N(VLOOKUP(Frota!$B13,Premissas!$A$39:$E$43,4,0)))=0,"A","S"),"S")),IF(N(VLOOKUP(Frota!$B13,Premissas!$A$39:$E$43,4,0))&gt;0,IF(MOD(INT(Cron_Uso!AI13/Frota!$L13)*Frota!$L13,N(VLOOKUP(Frota!$B13,Premissas!$A$39:$E$43,4,0)))=0,"A","S"),"S")),""))</f>
        <v>S</v>
      </c>
      <c r="AJ13" s="16" t="str">
        <f aca="false">IF(Cron_Uso!AJ13="","",IF(INT(Cron_Uso!AJ13/Frota!$L13)&gt;INT(Cron_Uso!AI13/Frota!$L13),IF(N(VLOOKUP(Frota!$B13,Premissas!$A$39:$E$43,5,0))&gt;0,IF(MOD(INT(Cron_Uso!AJ13/Frota!$L13)*Frota!$L13,N(VLOOKUP(Frota!$B13,Premissas!$A$39:$E$43,5,0)))=0,"B",IF(N(VLOOKUP(Frota!$B13,Premissas!$A$39:$E$43,4,0))&gt;0,IF(MOD(INT(Cron_Uso!AJ13/Frota!$L13)*Frota!$L13,N(VLOOKUP(Frota!$B13,Premissas!$A$39:$E$43,4,0)))=0,"A","S"),"S")),IF(N(VLOOKUP(Frota!$B13,Premissas!$A$39:$E$43,4,0))&gt;0,IF(MOD(INT(Cron_Uso!AJ13/Frota!$L13)*Frota!$L13,N(VLOOKUP(Frota!$B13,Premissas!$A$39:$E$43,4,0)))=0,"A","S"),"S")),""))</f>
        <v/>
      </c>
      <c r="AK13" s="16" t="str">
        <f aca="false">IF(Cron_Uso!AK13="","",IF(INT(Cron_Uso!AK13/Frota!$L13)&gt;INT(Cron_Uso!AJ13/Frota!$L13),IF(N(VLOOKUP(Frota!$B13,Premissas!$A$39:$E$43,5,0))&gt;0,IF(MOD(INT(Cron_Uso!AK13/Frota!$L13)*Frota!$L13,N(VLOOKUP(Frota!$B13,Premissas!$A$39:$E$43,5,0)))=0,"B",IF(N(VLOOKUP(Frota!$B13,Premissas!$A$39:$E$43,4,0))&gt;0,IF(MOD(INT(Cron_Uso!AK13/Frota!$L13)*Frota!$L13,N(VLOOKUP(Frota!$B13,Premissas!$A$39:$E$43,4,0)))=0,"A","S"),"S")),IF(N(VLOOKUP(Frota!$B13,Premissas!$A$39:$E$43,4,0))&gt;0,IF(MOD(INT(Cron_Uso!AK13/Frota!$L13)*Frota!$L13,N(VLOOKUP(Frota!$B13,Premissas!$A$39:$E$43,4,0)))=0,"A","S"),"S")),""))</f>
        <v/>
      </c>
      <c r="AL13" s="16" t="str">
        <f aca="false">IF(Cron_Uso!AL13="","",IF(INT(Cron_Uso!AL13/Frota!$L13)&gt;INT(Cron_Uso!AK13/Frota!$L13),IF(N(VLOOKUP(Frota!$B13,Premissas!$A$39:$E$43,5,0))&gt;0,IF(MOD(INT(Cron_Uso!AL13/Frota!$L13)*Frota!$L13,N(VLOOKUP(Frota!$B13,Premissas!$A$39:$E$43,5,0)))=0,"B",IF(N(VLOOKUP(Frota!$B13,Premissas!$A$39:$E$43,4,0))&gt;0,IF(MOD(INT(Cron_Uso!AL13/Frota!$L13)*Frota!$L13,N(VLOOKUP(Frota!$B13,Premissas!$A$39:$E$43,4,0)))=0,"A","S"),"S")),IF(N(VLOOKUP(Frota!$B13,Premissas!$A$39:$E$43,4,0))&gt;0,IF(MOD(INT(Cron_Uso!AL13/Frota!$L13)*Frota!$L13,N(VLOOKUP(Frota!$B13,Premissas!$A$39:$E$43,4,0)))=0,"A","S"),"S")),""))</f>
        <v/>
      </c>
      <c r="AM13" s="16" t="str">
        <f aca="false">IF(Cron_Uso!AM13="","",IF(INT(Cron_Uso!AM13/Frota!$L13)&gt;INT(Cron_Uso!AL13/Frota!$L13),IF(N(VLOOKUP(Frota!$B13,Premissas!$A$39:$E$43,5,0))&gt;0,IF(MOD(INT(Cron_Uso!AM13/Frota!$L13)*Frota!$L13,N(VLOOKUP(Frota!$B13,Premissas!$A$39:$E$43,5,0)))=0,"B",IF(N(VLOOKUP(Frota!$B13,Premissas!$A$39:$E$43,4,0))&gt;0,IF(MOD(INT(Cron_Uso!AM13/Frota!$L13)*Frota!$L13,N(VLOOKUP(Frota!$B13,Premissas!$A$39:$E$43,4,0)))=0,"A","S"),"S")),IF(N(VLOOKUP(Frota!$B13,Premissas!$A$39:$E$43,4,0))&gt;0,IF(MOD(INT(Cron_Uso!AM13/Frota!$L13)*Frota!$L13,N(VLOOKUP(Frota!$B13,Premissas!$A$39:$E$43,4,0)))=0,"A","S"),"S")),""))</f>
        <v/>
      </c>
      <c r="AN13" s="16" t="str">
        <f aca="false">IF(Cron_Uso!AN13="","",IF(INT(Cron_Uso!AN13/Frota!$L13)&gt;INT(Cron_Uso!AM13/Frota!$L13),IF(N(VLOOKUP(Frota!$B13,Premissas!$A$39:$E$43,5,0))&gt;0,IF(MOD(INT(Cron_Uso!AN13/Frota!$L13)*Frota!$L13,N(VLOOKUP(Frota!$B13,Premissas!$A$39:$E$43,5,0)))=0,"B",IF(N(VLOOKUP(Frota!$B13,Premissas!$A$39:$E$43,4,0))&gt;0,IF(MOD(INT(Cron_Uso!AN13/Frota!$L13)*Frota!$L13,N(VLOOKUP(Frota!$B13,Premissas!$A$39:$E$43,4,0)))=0,"A","S"),"S")),IF(N(VLOOKUP(Frota!$B13,Premissas!$A$39:$E$43,4,0))&gt;0,IF(MOD(INT(Cron_Uso!AN13/Frota!$L13)*Frota!$L13,N(VLOOKUP(Frota!$B13,Premissas!$A$39:$E$43,4,0)))=0,"A","S"),"S")),""))</f>
        <v/>
      </c>
      <c r="AO13" s="16" t="str">
        <f aca="false">IF(Cron_Uso!AO13="","",IF(INT(Cron_Uso!AO13/Frota!$L13)&gt;INT(Cron_Uso!AN13/Frota!$L13),IF(N(VLOOKUP(Frota!$B13,Premissas!$A$39:$E$43,5,0))&gt;0,IF(MOD(INT(Cron_Uso!AO13/Frota!$L13)*Frota!$L13,N(VLOOKUP(Frota!$B13,Premissas!$A$39:$E$43,5,0)))=0,"B",IF(N(VLOOKUP(Frota!$B13,Premissas!$A$39:$E$43,4,0))&gt;0,IF(MOD(INT(Cron_Uso!AO13/Frota!$L13)*Frota!$L13,N(VLOOKUP(Frota!$B13,Premissas!$A$39:$E$43,4,0)))=0,"A","S"),"S")),IF(N(VLOOKUP(Frota!$B13,Premissas!$A$39:$E$43,4,0))&gt;0,IF(MOD(INT(Cron_Uso!AO13/Frota!$L13)*Frota!$L13,N(VLOOKUP(Frota!$B13,Premissas!$A$39:$E$43,4,0)))=0,"A","S"),"S")),""))</f>
        <v/>
      </c>
      <c r="AP13" s="16" t="str">
        <f aca="false">IF(Cron_Uso!AP13="","",IF(INT(Cron_Uso!AP13/Frota!$L13)&gt;INT(Cron_Uso!AO13/Frota!$L13),IF(N(VLOOKUP(Frota!$B13,Premissas!$A$39:$E$43,5,0))&gt;0,IF(MOD(INT(Cron_Uso!AP13/Frota!$L13)*Frota!$L13,N(VLOOKUP(Frota!$B13,Premissas!$A$39:$E$43,5,0)))=0,"B",IF(N(VLOOKUP(Frota!$B13,Premissas!$A$39:$E$43,4,0))&gt;0,IF(MOD(INT(Cron_Uso!AP13/Frota!$L13)*Frota!$L13,N(VLOOKUP(Frota!$B13,Premissas!$A$39:$E$43,4,0)))=0,"A","S"),"S")),IF(N(VLOOKUP(Frota!$B13,Premissas!$A$39:$E$43,4,0))&gt;0,IF(MOD(INT(Cron_Uso!AP13/Frota!$L13)*Frota!$L13,N(VLOOKUP(Frota!$B13,Premissas!$A$39:$E$43,4,0)))=0,"A","S"),"S")),""))</f>
        <v/>
      </c>
      <c r="AQ13" s="16" t="str">
        <f aca="false">IF(Cron_Uso!AQ13="","",IF(INT(Cron_Uso!AQ13/Frota!$L13)&gt;INT(Cron_Uso!AP13/Frota!$L13),IF(N(VLOOKUP(Frota!$B13,Premissas!$A$39:$E$43,5,0))&gt;0,IF(MOD(INT(Cron_Uso!AQ13/Frota!$L13)*Frota!$L13,N(VLOOKUP(Frota!$B13,Premissas!$A$39:$E$43,5,0)))=0,"B",IF(N(VLOOKUP(Frota!$B13,Premissas!$A$39:$E$43,4,0))&gt;0,IF(MOD(INT(Cron_Uso!AQ13/Frota!$L13)*Frota!$L13,N(VLOOKUP(Frota!$B13,Premissas!$A$39:$E$43,4,0)))=0,"A","S"),"S")),IF(N(VLOOKUP(Frota!$B13,Premissas!$A$39:$E$43,4,0))&gt;0,IF(MOD(INT(Cron_Uso!AQ13/Frota!$L13)*Frota!$L13,N(VLOOKUP(Frota!$B13,Premissas!$A$39:$E$43,4,0)))=0,"A","S"),"S")),""))</f>
        <v/>
      </c>
      <c r="AR13" s="16" t="str">
        <f aca="false">IF(Cron_Uso!AR13="","",IF(INT(Cron_Uso!AR13/Frota!$L13)&gt;INT(Cron_Uso!AQ13/Frota!$L13),IF(N(VLOOKUP(Frota!$B13,Premissas!$A$39:$E$43,5,0))&gt;0,IF(MOD(INT(Cron_Uso!AR13/Frota!$L13)*Frota!$L13,N(VLOOKUP(Frota!$B13,Premissas!$A$39:$E$43,5,0)))=0,"B",IF(N(VLOOKUP(Frota!$B13,Premissas!$A$39:$E$43,4,0))&gt;0,IF(MOD(INT(Cron_Uso!AR13/Frota!$L13)*Frota!$L13,N(VLOOKUP(Frota!$B13,Premissas!$A$39:$E$43,4,0)))=0,"A","S"),"S")),IF(N(VLOOKUP(Frota!$B13,Premissas!$A$39:$E$43,4,0))&gt;0,IF(MOD(INT(Cron_Uso!AR13/Frota!$L13)*Frota!$L13,N(VLOOKUP(Frota!$B13,Premissas!$A$39:$E$43,4,0)))=0,"A","S"),"S")),""))</f>
        <v/>
      </c>
      <c r="AS13" s="16" t="str">
        <f aca="false">IF(Cron_Uso!AS13="","",IF(INT(Cron_Uso!AS13/Frota!$L13)&gt;INT(Cron_Uso!AR13/Frota!$L13),IF(N(VLOOKUP(Frota!$B13,Premissas!$A$39:$E$43,5,0))&gt;0,IF(MOD(INT(Cron_Uso!AS13/Frota!$L13)*Frota!$L13,N(VLOOKUP(Frota!$B13,Premissas!$A$39:$E$43,5,0)))=0,"B",IF(N(VLOOKUP(Frota!$B13,Premissas!$A$39:$E$43,4,0))&gt;0,IF(MOD(INT(Cron_Uso!AS13/Frota!$L13)*Frota!$L13,N(VLOOKUP(Frota!$B13,Premissas!$A$39:$E$43,4,0)))=0,"A","S"),"S")),IF(N(VLOOKUP(Frota!$B13,Premissas!$A$39:$E$43,4,0))&gt;0,IF(MOD(INT(Cron_Uso!AS13/Frota!$L13)*Frota!$L13,N(VLOOKUP(Frota!$B13,Premissas!$A$39:$E$43,4,0)))=0,"A","S"),"S")),""))</f>
        <v/>
      </c>
      <c r="AT13" s="16" t="str">
        <f aca="false">IF(Cron_Uso!AT13="","",IF(INT(Cron_Uso!AT13/Frota!$L13)&gt;INT(Cron_Uso!AS13/Frota!$L13),IF(N(VLOOKUP(Frota!$B13,Premissas!$A$39:$E$43,5,0))&gt;0,IF(MOD(INT(Cron_Uso!AT13/Frota!$L13)*Frota!$L13,N(VLOOKUP(Frota!$B13,Premissas!$A$39:$E$43,5,0)))=0,"B",IF(N(VLOOKUP(Frota!$B13,Premissas!$A$39:$E$43,4,0))&gt;0,IF(MOD(INT(Cron_Uso!AT13/Frota!$L13)*Frota!$L13,N(VLOOKUP(Frota!$B13,Premissas!$A$39:$E$43,4,0)))=0,"A","S"),"S")),IF(N(VLOOKUP(Frota!$B13,Premissas!$A$39:$E$43,4,0))&gt;0,IF(MOD(INT(Cron_Uso!AT13/Frota!$L13)*Frota!$L13,N(VLOOKUP(Frota!$B13,Premissas!$A$39:$E$43,4,0)))=0,"A","S"),"S")),""))</f>
        <v/>
      </c>
      <c r="AU13" s="16" t="str">
        <f aca="false">IF(Cron_Uso!AU13="","",IF(INT(Cron_Uso!AU13/Frota!$L13)&gt;INT(Cron_Uso!AT13/Frota!$L13),IF(N(VLOOKUP(Frota!$B13,Premissas!$A$39:$E$43,5,0))&gt;0,IF(MOD(INT(Cron_Uso!AU13/Frota!$L13)*Frota!$L13,N(VLOOKUP(Frota!$B13,Premissas!$A$39:$E$43,5,0)))=0,"B",IF(N(VLOOKUP(Frota!$B13,Premissas!$A$39:$E$43,4,0))&gt;0,IF(MOD(INT(Cron_Uso!AU13/Frota!$L13)*Frota!$L13,N(VLOOKUP(Frota!$B13,Premissas!$A$39:$E$43,4,0)))=0,"A","S"),"S")),IF(N(VLOOKUP(Frota!$B13,Premissas!$A$39:$E$43,4,0))&gt;0,IF(MOD(INT(Cron_Uso!AU13/Frota!$L13)*Frota!$L13,N(VLOOKUP(Frota!$B13,Premissas!$A$39:$E$43,4,0)))=0,"A","S"),"S")),""))</f>
        <v/>
      </c>
      <c r="AV13" s="16" t="str">
        <f aca="false">IF(Cron_Uso!AV13="","",IF(INT(Cron_Uso!AV13/Frota!$L13)&gt;INT(Cron_Uso!AU13/Frota!$L13),IF(N(VLOOKUP(Frota!$B13,Premissas!$A$39:$E$43,5,0))&gt;0,IF(MOD(INT(Cron_Uso!AV13/Frota!$L13)*Frota!$L13,N(VLOOKUP(Frota!$B13,Premissas!$A$39:$E$43,5,0)))=0,"B",IF(N(VLOOKUP(Frota!$B13,Premissas!$A$39:$E$43,4,0))&gt;0,IF(MOD(INT(Cron_Uso!AV13/Frota!$L13)*Frota!$L13,N(VLOOKUP(Frota!$B13,Premissas!$A$39:$E$43,4,0)))=0,"A","S"),"S")),IF(N(VLOOKUP(Frota!$B13,Premissas!$A$39:$E$43,4,0))&gt;0,IF(MOD(INT(Cron_Uso!AV13/Frota!$L13)*Frota!$L13,N(VLOOKUP(Frota!$B13,Premissas!$A$39:$E$43,4,0)))=0,"A","S"),"S")),""))</f>
        <v/>
      </c>
      <c r="AW13" s="16" t="str">
        <f aca="false">IF(Cron_Uso!AW13="","",IF(INT(Cron_Uso!AW13/Frota!$L13)&gt;INT(Cron_Uso!AV13/Frota!$L13),IF(N(VLOOKUP(Frota!$B13,Premissas!$A$39:$E$43,5,0))&gt;0,IF(MOD(INT(Cron_Uso!AW13/Frota!$L13)*Frota!$L13,N(VLOOKUP(Frota!$B13,Premissas!$A$39:$E$43,5,0)))=0,"B",IF(N(VLOOKUP(Frota!$B13,Premissas!$A$39:$E$43,4,0))&gt;0,IF(MOD(INT(Cron_Uso!AW13/Frota!$L13)*Frota!$L13,N(VLOOKUP(Frota!$B13,Premissas!$A$39:$E$43,4,0)))=0,"A","S"),"S")),IF(N(VLOOKUP(Frota!$B13,Premissas!$A$39:$E$43,4,0))&gt;0,IF(MOD(INT(Cron_Uso!AW13/Frota!$L13)*Frota!$L13,N(VLOOKUP(Frota!$B13,Premissas!$A$39:$E$43,4,0)))=0,"A","S"),"S")),""))</f>
        <v/>
      </c>
      <c r="AX13" s="16" t="str">
        <f aca="false">IF(Cron_Uso!AX13="","",IF(INT(Cron_Uso!AX13/Frota!$L13)&gt;INT(Cron_Uso!AW13/Frota!$L13),IF(N(VLOOKUP(Frota!$B13,Premissas!$A$39:$E$43,5,0))&gt;0,IF(MOD(INT(Cron_Uso!AX13/Frota!$L13)*Frota!$L13,N(VLOOKUP(Frota!$B13,Premissas!$A$39:$E$43,5,0)))=0,"B",IF(N(VLOOKUP(Frota!$B13,Premissas!$A$39:$E$43,4,0))&gt;0,IF(MOD(INT(Cron_Uso!AX13/Frota!$L13)*Frota!$L13,N(VLOOKUP(Frota!$B13,Premissas!$A$39:$E$43,4,0)))=0,"A","S"),"S")),IF(N(VLOOKUP(Frota!$B13,Premissas!$A$39:$E$43,4,0))&gt;0,IF(MOD(INT(Cron_Uso!AX13/Frota!$L13)*Frota!$L13,N(VLOOKUP(Frota!$B13,Premissas!$A$39:$E$43,4,0)))=0,"A","S"),"S")),""))</f>
        <v/>
      </c>
      <c r="AY13" s="16" t="str">
        <f aca="false">IF(Cron_Uso!AY13="","",IF(INT(Cron_Uso!AY13/Frota!$L13)&gt;INT(Cron_Uso!AX13/Frota!$L13),IF(N(VLOOKUP(Frota!$B13,Premissas!$A$39:$E$43,5,0))&gt;0,IF(MOD(INT(Cron_Uso!AY13/Frota!$L13)*Frota!$L13,N(VLOOKUP(Frota!$B13,Premissas!$A$39:$E$43,5,0)))=0,"B",IF(N(VLOOKUP(Frota!$B13,Premissas!$A$39:$E$43,4,0))&gt;0,IF(MOD(INT(Cron_Uso!AY13/Frota!$L13)*Frota!$L13,N(VLOOKUP(Frota!$B13,Premissas!$A$39:$E$43,4,0)))=0,"A","S"),"S")),IF(N(VLOOKUP(Frota!$B13,Premissas!$A$39:$E$43,4,0))&gt;0,IF(MOD(INT(Cron_Uso!AY13/Frota!$L13)*Frota!$L13,N(VLOOKUP(Frota!$B13,Premissas!$A$39:$E$43,4,0)))=0,"A","S"),"S")),""))</f>
        <v/>
      </c>
      <c r="AZ13" s="16" t="str">
        <f aca="false">IF(Cron_Uso!AZ13="","",IF(INT(Cron_Uso!AZ13/Frota!$L13)&gt;INT(Cron_Uso!AY13/Frota!$L13),IF(N(VLOOKUP(Frota!$B13,Premissas!$A$39:$E$43,5,0))&gt;0,IF(MOD(INT(Cron_Uso!AZ13/Frota!$L13)*Frota!$L13,N(VLOOKUP(Frota!$B13,Premissas!$A$39:$E$43,5,0)))=0,"B",IF(N(VLOOKUP(Frota!$B13,Premissas!$A$39:$E$43,4,0))&gt;0,IF(MOD(INT(Cron_Uso!AZ13/Frota!$L13)*Frota!$L13,N(VLOOKUP(Frota!$B13,Premissas!$A$39:$E$43,4,0)))=0,"A","S"),"S")),IF(N(VLOOKUP(Frota!$B13,Premissas!$A$39:$E$43,4,0))&gt;0,IF(MOD(INT(Cron_Uso!AZ13/Frota!$L13)*Frota!$L13,N(VLOOKUP(Frota!$B13,Premissas!$A$39:$E$43,4,0)))=0,"A","S"),"S")),""))</f>
        <v/>
      </c>
      <c r="BA13" s="16" t="str">
        <f aca="false">IF(Cron_Uso!BA13="","",IF(INT(Cron_Uso!BA13/Frota!$L13)&gt;INT(Cron_Uso!AZ13/Frota!$L13),IF(N(VLOOKUP(Frota!$B13,Premissas!$A$39:$E$43,5,0))&gt;0,IF(MOD(INT(Cron_Uso!BA13/Frota!$L13)*Frota!$L13,N(VLOOKUP(Frota!$B13,Premissas!$A$39:$E$43,5,0)))=0,"B",IF(N(VLOOKUP(Frota!$B13,Premissas!$A$39:$E$43,4,0))&gt;0,IF(MOD(INT(Cron_Uso!BA13/Frota!$L13)*Frota!$L13,N(VLOOKUP(Frota!$B13,Premissas!$A$39:$E$43,4,0)))=0,"A","S"),"S")),IF(N(VLOOKUP(Frota!$B13,Premissas!$A$39:$E$43,4,0))&gt;0,IF(MOD(INT(Cron_Uso!BA13/Frota!$L13)*Frota!$L13,N(VLOOKUP(Frota!$B13,Premissas!$A$39:$E$43,4,0)))=0,"A","S"),"S")),""))</f>
        <v>A</v>
      </c>
    </row>
    <row r="14" customFormat="false" ht="15" hidden="false" customHeight="false" outlineLevel="0" collapsed="false">
      <c r="A14" s="6" t="str">
        <f aca="false">IF(Frota!$A14="","",Frota!$A14)</f>
        <v>Transbordo Mambra 20t — 801</v>
      </c>
      <c r="B14" s="16" t="str">
        <f aca="false">IF(Cron_Uso!B14="","",IF(INT(Cron_Uso!B14/Frota!$L14)&gt;INT(Frota!$I14/Frota!$L14),IF(N(VLOOKUP(Frota!$B14,Premissas!$A$39:$E$43,5,0))&gt;0,IF(MOD(INT(Cron_Uso!B14/Frota!$L14)*Frota!$L14,N(VLOOKUP(Frota!$B14,Premissas!$A$39:$E$43,5,0)))=0,"B",IF(N(VLOOKUP(Frota!$B14,Premissas!$A$39:$E$43,4,0))&gt;0,IF(MOD(INT(Cron_Uso!B14/Frota!$L14)*Frota!$L14,N(VLOOKUP(Frota!$B14,Premissas!$A$39:$E$43,4,0)))=0,"A","S"),"S")),IF(N(VLOOKUP(Frota!$B14,Premissas!$A$39:$E$43,4,0))&gt;0,IF(MOD(INT(Cron_Uso!B14/Frota!$L14)*Frota!$L14,N(VLOOKUP(Frota!$B14,Premissas!$A$39:$E$43,4,0)))=0,"A","S"),"S")),""))</f>
        <v/>
      </c>
      <c r="C14" s="16" t="str">
        <f aca="false">IF(Cron_Uso!C14="","",IF(INT(Cron_Uso!C14/Frota!$L14)&gt;INT(Cron_Uso!B14/Frota!$L14),IF(N(VLOOKUP(Frota!$B14,Premissas!$A$39:$E$43,5,0))&gt;0,IF(MOD(INT(Cron_Uso!C14/Frota!$L14)*Frota!$L14,N(VLOOKUP(Frota!$B14,Premissas!$A$39:$E$43,5,0)))=0,"B",IF(N(VLOOKUP(Frota!$B14,Premissas!$A$39:$E$43,4,0))&gt;0,IF(MOD(INT(Cron_Uso!C14/Frota!$L14)*Frota!$L14,N(VLOOKUP(Frota!$B14,Premissas!$A$39:$E$43,4,0)))=0,"A","S"),"S")),IF(N(VLOOKUP(Frota!$B14,Premissas!$A$39:$E$43,4,0))&gt;0,IF(MOD(INT(Cron_Uso!C14/Frota!$L14)*Frota!$L14,N(VLOOKUP(Frota!$B14,Premissas!$A$39:$E$43,4,0)))=0,"A","S"),"S")),""))</f>
        <v/>
      </c>
      <c r="D14" s="16" t="str">
        <f aca="false">IF(Cron_Uso!D14="","",IF(INT(Cron_Uso!D14/Frota!$L14)&gt;INT(Cron_Uso!C14/Frota!$L14),IF(N(VLOOKUP(Frota!$B14,Premissas!$A$39:$E$43,5,0))&gt;0,IF(MOD(INT(Cron_Uso!D14/Frota!$L14)*Frota!$L14,N(VLOOKUP(Frota!$B14,Premissas!$A$39:$E$43,5,0)))=0,"B",IF(N(VLOOKUP(Frota!$B14,Premissas!$A$39:$E$43,4,0))&gt;0,IF(MOD(INT(Cron_Uso!D14/Frota!$L14)*Frota!$L14,N(VLOOKUP(Frota!$B14,Premissas!$A$39:$E$43,4,0)))=0,"A","S"),"S")),IF(N(VLOOKUP(Frota!$B14,Premissas!$A$39:$E$43,4,0))&gt;0,IF(MOD(INT(Cron_Uso!D14/Frota!$L14)*Frota!$L14,N(VLOOKUP(Frota!$B14,Premissas!$A$39:$E$43,4,0)))=0,"A","S"),"S")),""))</f>
        <v/>
      </c>
      <c r="E14" s="16" t="str">
        <f aca="false">IF(Cron_Uso!E14="","",IF(INT(Cron_Uso!E14/Frota!$L14)&gt;INT(Cron_Uso!D14/Frota!$L14),IF(N(VLOOKUP(Frota!$B14,Premissas!$A$39:$E$43,5,0))&gt;0,IF(MOD(INT(Cron_Uso!E14/Frota!$L14)*Frota!$L14,N(VLOOKUP(Frota!$B14,Premissas!$A$39:$E$43,5,0)))=0,"B",IF(N(VLOOKUP(Frota!$B14,Premissas!$A$39:$E$43,4,0))&gt;0,IF(MOD(INT(Cron_Uso!E14/Frota!$L14)*Frota!$L14,N(VLOOKUP(Frota!$B14,Premissas!$A$39:$E$43,4,0)))=0,"A","S"),"S")),IF(N(VLOOKUP(Frota!$B14,Premissas!$A$39:$E$43,4,0))&gt;0,IF(MOD(INT(Cron_Uso!E14/Frota!$L14)*Frota!$L14,N(VLOOKUP(Frota!$B14,Premissas!$A$39:$E$43,4,0)))=0,"A","S"),"S")),""))</f>
        <v/>
      </c>
      <c r="F14" s="16" t="str">
        <f aca="false">IF(Cron_Uso!F14="","",IF(INT(Cron_Uso!F14/Frota!$L14)&gt;INT(Cron_Uso!E14/Frota!$L14),IF(N(VLOOKUP(Frota!$B14,Premissas!$A$39:$E$43,5,0))&gt;0,IF(MOD(INT(Cron_Uso!F14/Frota!$L14)*Frota!$L14,N(VLOOKUP(Frota!$B14,Premissas!$A$39:$E$43,5,0)))=0,"B",IF(N(VLOOKUP(Frota!$B14,Premissas!$A$39:$E$43,4,0))&gt;0,IF(MOD(INT(Cron_Uso!F14/Frota!$L14)*Frota!$L14,N(VLOOKUP(Frota!$B14,Premissas!$A$39:$E$43,4,0)))=0,"A","S"),"S")),IF(N(VLOOKUP(Frota!$B14,Premissas!$A$39:$E$43,4,0))&gt;0,IF(MOD(INT(Cron_Uso!F14/Frota!$L14)*Frota!$L14,N(VLOOKUP(Frota!$B14,Premissas!$A$39:$E$43,4,0)))=0,"A","S"),"S")),""))</f>
        <v/>
      </c>
      <c r="G14" s="16" t="str">
        <f aca="false">IF(Cron_Uso!G14="","",IF(INT(Cron_Uso!G14/Frota!$L14)&gt;INT(Cron_Uso!F14/Frota!$L14),IF(N(VLOOKUP(Frota!$B14,Premissas!$A$39:$E$43,5,0))&gt;0,IF(MOD(INT(Cron_Uso!G14/Frota!$L14)*Frota!$L14,N(VLOOKUP(Frota!$B14,Premissas!$A$39:$E$43,5,0)))=0,"B",IF(N(VLOOKUP(Frota!$B14,Premissas!$A$39:$E$43,4,0))&gt;0,IF(MOD(INT(Cron_Uso!G14/Frota!$L14)*Frota!$L14,N(VLOOKUP(Frota!$B14,Premissas!$A$39:$E$43,4,0)))=0,"A","S"),"S")),IF(N(VLOOKUP(Frota!$B14,Premissas!$A$39:$E$43,4,0))&gt;0,IF(MOD(INT(Cron_Uso!G14/Frota!$L14)*Frota!$L14,N(VLOOKUP(Frota!$B14,Premissas!$A$39:$E$43,4,0)))=0,"A","S"),"S")),""))</f>
        <v/>
      </c>
      <c r="H14" s="16" t="str">
        <f aca="false">IF(Cron_Uso!H14="","",IF(INT(Cron_Uso!H14/Frota!$L14)&gt;INT(Cron_Uso!G14/Frota!$L14),IF(N(VLOOKUP(Frota!$B14,Premissas!$A$39:$E$43,5,0))&gt;0,IF(MOD(INT(Cron_Uso!H14/Frota!$L14)*Frota!$L14,N(VLOOKUP(Frota!$B14,Premissas!$A$39:$E$43,5,0)))=0,"B",IF(N(VLOOKUP(Frota!$B14,Premissas!$A$39:$E$43,4,0))&gt;0,IF(MOD(INT(Cron_Uso!H14/Frota!$L14)*Frota!$L14,N(VLOOKUP(Frota!$B14,Premissas!$A$39:$E$43,4,0)))=0,"A","S"),"S")),IF(N(VLOOKUP(Frota!$B14,Premissas!$A$39:$E$43,4,0))&gt;0,IF(MOD(INT(Cron_Uso!H14/Frota!$L14)*Frota!$L14,N(VLOOKUP(Frota!$B14,Premissas!$A$39:$E$43,4,0)))=0,"A","S"),"S")),""))</f>
        <v/>
      </c>
      <c r="I14" s="16" t="str">
        <f aca="false">IF(Cron_Uso!I14="","",IF(INT(Cron_Uso!I14/Frota!$L14)&gt;INT(Cron_Uso!H14/Frota!$L14),IF(N(VLOOKUP(Frota!$B14,Premissas!$A$39:$E$43,5,0))&gt;0,IF(MOD(INT(Cron_Uso!I14/Frota!$L14)*Frota!$L14,N(VLOOKUP(Frota!$B14,Premissas!$A$39:$E$43,5,0)))=0,"B",IF(N(VLOOKUP(Frota!$B14,Premissas!$A$39:$E$43,4,0))&gt;0,IF(MOD(INT(Cron_Uso!I14/Frota!$L14)*Frota!$L14,N(VLOOKUP(Frota!$B14,Premissas!$A$39:$E$43,4,0)))=0,"A","S"),"S")),IF(N(VLOOKUP(Frota!$B14,Premissas!$A$39:$E$43,4,0))&gt;0,IF(MOD(INT(Cron_Uso!I14/Frota!$L14)*Frota!$L14,N(VLOOKUP(Frota!$B14,Premissas!$A$39:$E$43,4,0)))=0,"A","S"),"S")),""))</f>
        <v>S</v>
      </c>
      <c r="J14" s="16" t="str">
        <f aca="false">IF(Cron_Uso!J14="","",IF(INT(Cron_Uso!J14/Frota!$L14)&gt;INT(Cron_Uso!I14/Frota!$L14),IF(N(VLOOKUP(Frota!$B14,Premissas!$A$39:$E$43,5,0))&gt;0,IF(MOD(INT(Cron_Uso!J14/Frota!$L14)*Frota!$L14,N(VLOOKUP(Frota!$B14,Premissas!$A$39:$E$43,5,0)))=0,"B",IF(N(VLOOKUP(Frota!$B14,Premissas!$A$39:$E$43,4,0))&gt;0,IF(MOD(INT(Cron_Uso!J14/Frota!$L14)*Frota!$L14,N(VLOOKUP(Frota!$B14,Premissas!$A$39:$E$43,4,0)))=0,"A","S"),"S")),IF(N(VLOOKUP(Frota!$B14,Premissas!$A$39:$E$43,4,0))&gt;0,IF(MOD(INT(Cron_Uso!J14/Frota!$L14)*Frota!$L14,N(VLOOKUP(Frota!$B14,Premissas!$A$39:$E$43,4,0)))=0,"A","S"),"S")),""))</f>
        <v/>
      </c>
      <c r="K14" s="16" t="str">
        <f aca="false">IF(Cron_Uso!K14="","",IF(INT(Cron_Uso!K14/Frota!$L14)&gt;INT(Cron_Uso!J14/Frota!$L14),IF(N(VLOOKUP(Frota!$B14,Premissas!$A$39:$E$43,5,0))&gt;0,IF(MOD(INT(Cron_Uso!K14/Frota!$L14)*Frota!$L14,N(VLOOKUP(Frota!$B14,Premissas!$A$39:$E$43,5,0)))=0,"B",IF(N(VLOOKUP(Frota!$B14,Premissas!$A$39:$E$43,4,0))&gt;0,IF(MOD(INT(Cron_Uso!K14/Frota!$L14)*Frota!$L14,N(VLOOKUP(Frota!$B14,Premissas!$A$39:$E$43,4,0)))=0,"A","S"),"S")),IF(N(VLOOKUP(Frota!$B14,Premissas!$A$39:$E$43,4,0))&gt;0,IF(MOD(INT(Cron_Uso!K14/Frota!$L14)*Frota!$L14,N(VLOOKUP(Frota!$B14,Premissas!$A$39:$E$43,4,0)))=0,"A","S"),"S")),""))</f>
        <v/>
      </c>
      <c r="L14" s="16" t="str">
        <f aca="false">IF(Cron_Uso!L14="","",IF(INT(Cron_Uso!L14/Frota!$L14)&gt;INT(Cron_Uso!K14/Frota!$L14),IF(N(VLOOKUP(Frota!$B14,Premissas!$A$39:$E$43,5,0))&gt;0,IF(MOD(INT(Cron_Uso!L14/Frota!$L14)*Frota!$L14,N(VLOOKUP(Frota!$B14,Premissas!$A$39:$E$43,5,0)))=0,"B",IF(N(VLOOKUP(Frota!$B14,Premissas!$A$39:$E$43,4,0))&gt;0,IF(MOD(INT(Cron_Uso!L14/Frota!$L14)*Frota!$L14,N(VLOOKUP(Frota!$B14,Premissas!$A$39:$E$43,4,0)))=0,"A","S"),"S")),IF(N(VLOOKUP(Frota!$B14,Premissas!$A$39:$E$43,4,0))&gt;0,IF(MOD(INT(Cron_Uso!L14/Frota!$L14)*Frota!$L14,N(VLOOKUP(Frota!$B14,Premissas!$A$39:$E$43,4,0)))=0,"A","S"),"S")),""))</f>
        <v/>
      </c>
      <c r="M14" s="16" t="str">
        <f aca="false">IF(Cron_Uso!M14="","",IF(INT(Cron_Uso!M14/Frota!$L14)&gt;INT(Cron_Uso!L14/Frota!$L14),IF(N(VLOOKUP(Frota!$B14,Premissas!$A$39:$E$43,5,0))&gt;0,IF(MOD(INT(Cron_Uso!M14/Frota!$L14)*Frota!$L14,N(VLOOKUP(Frota!$B14,Premissas!$A$39:$E$43,5,0)))=0,"B",IF(N(VLOOKUP(Frota!$B14,Premissas!$A$39:$E$43,4,0))&gt;0,IF(MOD(INT(Cron_Uso!M14/Frota!$L14)*Frota!$L14,N(VLOOKUP(Frota!$B14,Premissas!$A$39:$E$43,4,0)))=0,"A","S"),"S")),IF(N(VLOOKUP(Frota!$B14,Premissas!$A$39:$E$43,4,0))&gt;0,IF(MOD(INT(Cron_Uso!M14/Frota!$L14)*Frota!$L14,N(VLOOKUP(Frota!$B14,Premissas!$A$39:$E$43,4,0)))=0,"A","S"),"S")),""))</f>
        <v/>
      </c>
      <c r="N14" s="16" t="str">
        <f aca="false">IF(Cron_Uso!N14="","",IF(INT(Cron_Uso!N14/Frota!$L14)&gt;INT(Cron_Uso!M14/Frota!$L14),IF(N(VLOOKUP(Frota!$B14,Premissas!$A$39:$E$43,5,0))&gt;0,IF(MOD(INT(Cron_Uso!N14/Frota!$L14)*Frota!$L14,N(VLOOKUP(Frota!$B14,Premissas!$A$39:$E$43,5,0)))=0,"B",IF(N(VLOOKUP(Frota!$B14,Premissas!$A$39:$E$43,4,0))&gt;0,IF(MOD(INT(Cron_Uso!N14/Frota!$L14)*Frota!$L14,N(VLOOKUP(Frota!$B14,Premissas!$A$39:$E$43,4,0)))=0,"A","S"),"S")),IF(N(VLOOKUP(Frota!$B14,Premissas!$A$39:$E$43,4,0))&gt;0,IF(MOD(INT(Cron_Uso!N14/Frota!$L14)*Frota!$L14,N(VLOOKUP(Frota!$B14,Premissas!$A$39:$E$43,4,0)))=0,"A","S"),"S")),""))</f>
        <v/>
      </c>
      <c r="O14" s="16" t="str">
        <f aca="false">IF(Cron_Uso!O14="","",IF(INT(Cron_Uso!O14/Frota!$L14)&gt;INT(Cron_Uso!N14/Frota!$L14),IF(N(VLOOKUP(Frota!$B14,Premissas!$A$39:$E$43,5,0))&gt;0,IF(MOD(INT(Cron_Uso!O14/Frota!$L14)*Frota!$L14,N(VLOOKUP(Frota!$B14,Premissas!$A$39:$E$43,5,0)))=0,"B",IF(N(VLOOKUP(Frota!$B14,Premissas!$A$39:$E$43,4,0))&gt;0,IF(MOD(INT(Cron_Uso!O14/Frota!$L14)*Frota!$L14,N(VLOOKUP(Frota!$B14,Premissas!$A$39:$E$43,4,0)))=0,"A","S"),"S")),IF(N(VLOOKUP(Frota!$B14,Premissas!$A$39:$E$43,4,0))&gt;0,IF(MOD(INT(Cron_Uso!O14/Frota!$L14)*Frota!$L14,N(VLOOKUP(Frota!$B14,Premissas!$A$39:$E$43,4,0)))=0,"A","S"),"S")),""))</f>
        <v/>
      </c>
      <c r="P14" s="16" t="str">
        <f aca="false">IF(Cron_Uso!P14="","",IF(INT(Cron_Uso!P14/Frota!$L14)&gt;INT(Cron_Uso!O14/Frota!$L14),IF(N(VLOOKUP(Frota!$B14,Premissas!$A$39:$E$43,5,0))&gt;0,IF(MOD(INT(Cron_Uso!P14/Frota!$L14)*Frota!$L14,N(VLOOKUP(Frota!$B14,Premissas!$A$39:$E$43,5,0)))=0,"B",IF(N(VLOOKUP(Frota!$B14,Premissas!$A$39:$E$43,4,0))&gt;0,IF(MOD(INT(Cron_Uso!P14/Frota!$L14)*Frota!$L14,N(VLOOKUP(Frota!$B14,Premissas!$A$39:$E$43,4,0)))=0,"A","S"),"S")),IF(N(VLOOKUP(Frota!$B14,Premissas!$A$39:$E$43,4,0))&gt;0,IF(MOD(INT(Cron_Uso!P14/Frota!$L14)*Frota!$L14,N(VLOOKUP(Frota!$B14,Premissas!$A$39:$E$43,4,0)))=0,"A","S"),"S")),""))</f>
        <v>A</v>
      </c>
      <c r="Q14" s="16" t="str">
        <f aca="false">IF(Cron_Uso!Q14="","",IF(INT(Cron_Uso!Q14/Frota!$L14)&gt;INT(Cron_Uso!P14/Frota!$L14),IF(N(VLOOKUP(Frota!$B14,Premissas!$A$39:$E$43,5,0))&gt;0,IF(MOD(INT(Cron_Uso!Q14/Frota!$L14)*Frota!$L14,N(VLOOKUP(Frota!$B14,Premissas!$A$39:$E$43,5,0)))=0,"B",IF(N(VLOOKUP(Frota!$B14,Premissas!$A$39:$E$43,4,0))&gt;0,IF(MOD(INT(Cron_Uso!Q14/Frota!$L14)*Frota!$L14,N(VLOOKUP(Frota!$B14,Premissas!$A$39:$E$43,4,0)))=0,"A","S"),"S")),IF(N(VLOOKUP(Frota!$B14,Premissas!$A$39:$E$43,4,0))&gt;0,IF(MOD(INT(Cron_Uso!Q14/Frota!$L14)*Frota!$L14,N(VLOOKUP(Frota!$B14,Premissas!$A$39:$E$43,4,0)))=0,"A","S"),"S")),""))</f>
        <v/>
      </c>
      <c r="R14" s="16" t="str">
        <f aca="false">IF(Cron_Uso!R14="","",IF(INT(Cron_Uso!R14/Frota!$L14)&gt;INT(Cron_Uso!Q14/Frota!$L14),IF(N(VLOOKUP(Frota!$B14,Premissas!$A$39:$E$43,5,0))&gt;0,IF(MOD(INT(Cron_Uso!R14/Frota!$L14)*Frota!$L14,N(VLOOKUP(Frota!$B14,Premissas!$A$39:$E$43,5,0)))=0,"B",IF(N(VLOOKUP(Frota!$B14,Premissas!$A$39:$E$43,4,0))&gt;0,IF(MOD(INT(Cron_Uso!R14/Frota!$L14)*Frota!$L14,N(VLOOKUP(Frota!$B14,Premissas!$A$39:$E$43,4,0)))=0,"A","S"),"S")),IF(N(VLOOKUP(Frota!$B14,Premissas!$A$39:$E$43,4,0))&gt;0,IF(MOD(INT(Cron_Uso!R14/Frota!$L14)*Frota!$L14,N(VLOOKUP(Frota!$B14,Premissas!$A$39:$E$43,4,0)))=0,"A","S"),"S")),""))</f>
        <v/>
      </c>
      <c r="S14" s="16" t="str">
        <f aca="false">IF(Cron_Uso!S14="","",IF(INT(Cron_Uso!S14/Frota!$L14)&gt;INT(Cron_Uso!R14/Frota!$L14),IF(N(VLOOKUP(Frota!$B14,Premissas!$A$39:$E$43,5,0))&gt;0,IF(MOD(INT(Cron_Uso!S14/Frota!$L14)*Frota!$L14,N(VLOOKUP(Frota!$B14,Premissas!$A$39:$E$43,5,0)))=0,"B",IF(N(VLOOKUP(Frota!$B14,Premissas!$A$39:$E$43,4,0))&gt;0,IF(MOD(INT(Cron_Uso!S14/Frota!$L14)*Frota!$L14,N(VLOOKUP(Frota!$B14,Premissas!$A$39:$E$43,4,0)))=0,"A","S"),"S")),IF(N(VLOOKUP(Frota!$B14,Premissas!$A$39:$E$43,4,0))&gt;0,IF(MOD(INT(Cron_Uso!S14/Frota!$L14)*Frota!$L14,N(VLOOKUP(Frota!$B14,Premissas!$A$39:$E$43,4,0)))=0,"A","S"),"S")),""))</f>
        <v/>
      </c>
      <c r="T14" s="16" t="str">
        <f aca="false">IF(Cron_Uso!T14="","",IF(INT(Cron_Uso!T14/Frota!$L14)&gt;INT(Cron_Uso!S14/Frota!$L14),IF(N(VLOOKUP(Frota!$B14,Premissas!$A$39:$E$43,5,0))&gt;0,IF(MOD(INT(Cron_Uso!T14/Frota!$L14)*Frota!$L14,N(VLOOKUP(Frota!$B14,Premissas!$A$39:$E$43,5,0)))=0,"B",IF(N(VLOOKUP(Frota!$B14,Premissas!$A$39:$E$43,4,0))&gt;0,IF(MOD(INT(Cron_Uso!T14/Frota!$L14)*Frota!$L14,N(VLOOKUP(Frota!$B14,Premissas!$A$39:$E$43,4,0)))=0,"A","S"),"S")),IF(N(VLOOKUP(Frota!$B14,Premissas!$A$39:$E$43,4,0))&gt;0,IF(MOD(INT(Cron_Uso!T14/Frota!$L14)*Frota!$L14,N(VLOOKUP(Frota!$B14,Premissas!$A$39:$E$43,4,0)))=0,"A","S"),"S")),""))</f>
        <v/>
      </c>
      <c r="U14" s="16" t="str">
        <f aca="false">IF(Cron_Uso!U14="","",IF(INT(Cron_Uso!U14/Frota!$L14)&gt;INT(Cron_Uso!T14/Frota!$L14),IF(N(VLOOKUP(Frota!$B14,Premissas!$A$39:$E$43,5,0))&gt;0,IF(MOD(INT(Cron_Uso!U14/Frota!$L14)*Frota!$L14,N(VLOOKUP(Frota!$B14,Premissas!$A$39:$E$43,5,0)))=0,"B",IF(N(VLOOKUP(Frota!$B14,Premissas!$A$39:$E$43,4,0))&gt;0,IF(MOD(INT(Cron_Uso!U14/Frota!$L14)*Frota!$L14,N(VLOOKUP(Frota!$B14,Premissas!$A$39:$E$43,4,0)))=0,"A","S"),"S")),IF(N(VLOOKUP(Frota!$B14,Premissas!$A$39:$E$43,4,0))&gt;0,IF(MOD(INT(Cron_Uso!U14/Frota!$L14)*Frota!$L14,N(VLOOKUP(Frota!$B14,Premissas!$A$39:$E$43,4,0)))=0,"A","S"),"S")),""))</f>
        <v/>
      </c>
      <c r="V14" s="16" t="str">
        <f aca="false">IF(Cron_Uso!V14="","",IF(INT(Cron_Uso!V14/Frota!$L14)&gt;INT(Cron_Uso!U14/Frota!$L14),IF(N(VLOOKUP(Frota!$B14,Premissas!$A$39:$E$43,5,0))&gt;0,IF(MOD(INT(Cron_Uso!V14/Frota!$L14)*Frota!$L14,N(VLOOKUP(Frota!$B14,Premissas!$A$39:$E$43,5,0)))=0,"B",IF(N(VLOOKUP(Frota!$B14,Premissas!$A$39:$E$43,4,0))&gt;0,IF(MOD(INT(Cron_Uso!V14/Frota!$L14)*Frota!$L14,N(VLOOKUP(Frota!$B14,Premissas!$A$39:$E$43,4,0)))=0,"A","S"),"S")),IF(N(VLOOKUP(Frota!$B14,Premissas!$A$39:$E$43,4,0))&gt;0,IF(MOD(INT(Cron_Uso!V14/Frota!$L14)*Frota!$L14,N(VLOOKUP(Frota!$B14,Premissas!$A$39:$E$43,4,0)))=0,"A","S"),"S")),""))</f>
        <v/>
      </c>
      <c r="W14" s="16" t="str">
        <f aca="false">IF(Cron_Uso!W14="","",IF(INT(Cron_Uso!W14/Frota!$L14)&gt;INT(Cron_Uso!V14/Frota!$L14),IF(N(VLOOKUP(Frota!$B14,Premissas!$A$39:$E$43,5,0))&gt;0,IF(MOD(INT(Cron_Uso!W14/Frota!$L14)*Frota!$L14,N(VLOOKUP(Frota!$B14,Premissas!$A$39:$E$43,5,0)))=0,"B",IF(N(VLOOKUP(Frota!$B14,Premissas!$A$39:$E$43,4,0))&gt;0,IF(MOD(INT(Cron_Uso!W14/Frota!$L14)*Frota!$L14,N(VLOOKUP(Frota!$B14,Premissas!$A$39:$E$43,4,0)))=0,"A","S"),"S")),IF(N(VLOOKUP(Frota!$B14,Premissas!$A$39:$E$43,4,0))&gt;0,IF(MOD(INT(Cron_Uso!W14/Frota!$L14)*Frota!$L14,N(VLOOKUP(Frota!$B14,Premissas!$A$39:$E$43,4,0)))=0,"A","S"),"S")),""))</f>
        <v/>
      </c>
      <c r="X14" s="16" t="str">
        <f aca="false">IF(Cron_Uso!X14="","",IF(INT(Cron_Uso!X14/Frota!$L14)&gt;INT(Cron_Uso!W14/Frota!$L14),IF(N(VLOOKUP(Frota!$B14,Premissas!$A$39:$E$43,5,0))&gt;0,IF(MOD(INT(Cron_Uso!X14/Frota!$L14)*Frota!$L14,N(VLOOKUP(Frota!$B14,Premissas!$A$39:$E$43,5,0)))=0,"B",IF(N(VLOOKUP(Frota!$B14,Premissas!$A$39:$E$43,4,0))&gt;0,IF(MOD(INT(Cron_Uso!X14/Frota!$L14)*Frota!$L14,N(VLOOKUP(Frota!$B14,Premissas!$A$39:$E$43,4,0)))=0,"A","S"),"S")),IF(N(VLOOKUP(Frota!$B14,Premissas!$A$39:$E$43,4,0))&gt;0,IF(MOD(INT(Cron_Uso!X14/Frota!$L14)*Frota!$L14,N(VLOOKUP(Frota!$B14,Premissas!$A$39:$E$43,4,0)))=0,"A","S"),"S")),""))</f>
        <v>S</v>
      </c>
      <c r="Y14" s="16" t="str">
        <f aca="false">IF(Cron_Uso!Y14="","",IF(INT(Cron_Uso!Y14/Frota!$L14)&gt;INT(Cron_Uso!X14/Frota!$L14),IF(N(VLOOKUP(Frota!$B14,Premissas!$A$39:$E$43,5,0))&gt;0,IF(MOD(INT(Cron_Uso!Y14/Frota!$L14)*Frota!$L14,N(VLOOKUP(Frota!$B14,Premissas!$A$39:$E$43,5,0)))=0,"B",IF(N(VLOOKUP(Frota!$B14,Premissas!$A$39:$E$43,4,0))&gt;0,IF(MOD(INT(Cron_Uso!Y14/Frota!$L14)*Frota!$L14,N(VLOOKUP(Frota!$B14,Premissas!$A$39:$E$43,4,0)))=0,"A","S"),"S")),IF(N(VLOOKUP(Frota!$B14,Premissas!$A$39:$E$43,4,0))&gt;0,IF(MOD(INT(Cron_Uso!Y14/Frota!$L14)*Frota!$L14,N(VLOOKUP(Frota!$B14,Premissas!$A$39:$E$43,4,0)))=0,"A","S"),"S")),""))</f>
        <v/>
      </c>
      <c r="Z14" s="16" t="str">
        <f aca="false">IF(Cron_Uso!Z14="","",IF(INT(Cron_Uso!Z14/Frota!$L14)&gt;INT(Cron_Uso!Y14/Frota!$L14),IF(N(VLOOKUP(Frota!$B14,Premissas!$A$39:$E$43,5,0))&gt;0,IF(MOD(INT(Cron_Uso!Z14/Frota!$L14)*Frota!$L14,N(VLOOKUP(Frota!$B14,Premissas!$A$39:$E$43,5,0)))=0,"B",IF(N(VLOOKUP(Frota!$B14,Premissas!$A$39:$E$43,4,0))&gt;0,IF(MOD(INT(Cron_Uso!Z14/Frota!$L14)*Frota!$L14,N(VLOOKUP(Frota!$B14,Premissas!$A$39:$E$43,4,0)))=0,"A","S"),"S")),IF(N(VLOOKUP(Frota!$B14,Premissas!$A$39:$E$43,4,0))&gt;0,IF(MOD(INT(Cron_Uso!Z14/Frota!$L14)*Frota!$L14,N(VLOOKUP(Frota!$B14,Premissas!$A$39:$E$43,4,0)))=0,"A","S"),"S")),""))</f>
        <v/>
      </c>
      <c r="AA14" s="16" t="str">
        <f aca="false">IF(Cron_Uso!AA14="","",IF(INT(Cron_Uso!AA14/Frota!$L14)&gt;INT(Cron_Uso!Z14/Frota!$L14),IF(N(VLOOKUP(Frota!$B14,Premissas!$A$39:$E$43,5,0))&gt;0,IF(MOD(INT(Cron_Uso!AA14/Frota!$L14)*Frota!$L14,N(VLOOKUP(Frota!$B14,Premissas!$A$39:$E$43,5,0)))=0,"B",IF(N(VLOOKUP(Frota!$B14,Premissas!$A$39:$E$43,4,0))&gt;0,IF(MOD(INT(Cron_Uso!AA14/Frota!$L14)*Frota!$L14,N(VLOOKUP(Frota!$B14,Premissas!$A$39:$E$43,4,0)))=0,"A","S"),"S")),IF(N(VLOOKUP(Frota!$B14,Premissas!$A$39:$E$43,4,0))&gt;0,IF(MOD(INT(Cron_Uso!AA14/Frota!$L14)*Frota!$L14,N(VLOOKUP(Frota!$B14,Premissas!$A$39:$E$43,4,0)))=0,"A","S"),"S")),""))</f>
        <v/>
      </c>
      <c r="AB14" s="16" t="str">
        <f aca="false">IF(Cron_Uso!AB14="","",IF(INT(Cron_Uso!AB14/Frota!$L14)&gt;INT(Cron_Uso!AA14/Frota!$L14),IF(N(VLOOKUP(Frota!$B14,Premissas!$A$39:$E$43,5,0))&gt;0,IF(MOD(INT(Cron_Uso!AB14/Frota!$L14)*Frota!$L14,N(VLOOKUP(Frota!$B14,Premissas!$A$39:$E$43,5,0)))=0,"B",IF(N(VLOOKUP(Frota!$B14,Premissas!$A$39:$E$43,4,0))&gt;0,IF(MOD(INT(Cron_Uso!AB14/Frota!$L14)*Frota!$L14,N(VLOOKUP(Frota!$B14,Premissas!$A$39:$E$43,4,0)))=0,"A","S"),"S")),IF(N(VLOOKUP(Frota!$B14,Premissas!$A$39:$E$43,4,0))&gt;0,IF(MOD(INT(Cron_Uso!AB14/Frota!$L14)*Frota!$L14,N(VLOOKUP(Frota!$B14,Premissas!$A$39:$E$43,4,0)))=0,"A","S"),"S")),""))</f>
        <v/>
      </c>
      <c r="AC14" s="16" t="str">
        <f aca="false">IF(Cron_Uso!AC14="","",IF(INT(Cron_Uso!AC14/Frota!$L14)&gt;INT(Cron_Uso!AB14/Frota!$L14),IF(N(VLOOKUP(Frota!$B14,Premissas!$A$39:$E$43,5,0))&gt;0,IF(MOD(INT(Cron_Uso!AC14/Frota!$L14)*Frota!$L14,N(VLOOKUP(Frota!$B14,Premissas!$A$39:$E$43,5,0)))=0,"B",IF(N(VLOOKUP(Frota!$B14,Premissas!$A$39:$E$43,4,0))&gt;0,IF(MOD(INT(Cron_Uso!AC14/Frota!$L14)*Frota!$L14,N(VLOOKUP(Frota!$B14,Premissas!$A$39:$E$43,4,0)))=0,"A","S"),"S")),IF(N(VLOOKUP(Frota!$B14,Premissas!$A$39:$E$43,4,0))&gt;0,IF(MOD(INT(Cron_Uso!AC14/Frota!$L14)*Frota!$L14,N(VLOOKUP(Frota!$B14,Premissas!$A$39:$E$43,4,0)))=0,"A","S"),"S")),""))</f>
        <v/>
      </c>
      <c r="AD14" s="16" t="str">
        <f aca="false">IF(Cron_Uso!AD14="","",IF(INT(Cron_Uso!AD14/Frota!$L14)&gt;INT(Cron_Uso!AC14/Frota!$L14),IF(N(VLOOKUP(Frota!$B14,Premissas!$A$39:$E$43,5,0))&gt;0,IF(MOD(INT(Cron_Uso!AD14/Frota!$L14)*Frota!$L14,N(VLOOKUP(Frota!$B14,Premissas!$A$39:$E$43,5,0)))=0,"B",IF(N(VLOOKUP(Frota!$B14,Premissas!$A$39:$E$43,4,0))&gt;0,IF(MOD(INT(Cron_Uso!AD14/Frota!$L14)*Frota!$L14,N(VLOOKUP(Frota!$B14,Premissas!$A$39:$E$43,4,0)))=0,"A","S"),"S")),IF(N(VLOOKUP(Frota!$B14,Premissas!$A$39:$E$43,4,0))&gt;0,IF(MOD(INT(Cron_Uso!AD14/Frota!$L14)*Frota!$L14,N(VLOOKUP(Frota!$B14,Premissas!$A$39:$E$43,4,0)))=0,"A","S"),"S")),""))</f>
        <v/>
      </c>
      <c r="AE14" s="16" t="str">
        <f aca="false">IF(Cron_Uso!AE14="","",IF(INT(Cron_Uso!AE14/Frota!$L14)&gt;INT(Cron_Uso!AD14/Frota!$L14),IF(N(VLOOKUP(Frota!$B14,Premissas!$A$39:$E$43,5,0))&gt;0,IF(MOD(INT(Cron_Uso!AE14/Frota!$L14)*Frota!$L14,N(VLOOKUP(Frota!$B14,Premissas!$A$39:$E$43,5,0)))=0,"B",IF(N(VLOOKUP(Frota!$B14,Premissas!$A$39:$E$43,4,0))&gt;0,IF(MOD(INT(Cron_Uso!AE14/Frota!$L14)*Frota!$L14,N(VLOOKUP(Frota!$B14,Premissas!$A$39:$E$43,4,0)))=0,"A","S"),"S")),IF(N(VLOOKUP(Frota!$B14,Premissas!$A$39:$E$43,4,0))&gt;0,IF(MOD(INT(Cron_Uso!AE14/Frota!$L14)*Frota!$L14,N(VLOOKUP(Frota!$B14,Premissas!$A$39:$E$43,4,0)))=0,"A","S"),"S")),""))</f>
        <v>A</v>
      </c>
      <c r="AF14" s="16" t="str">
        <f aca="false">IF(Cron_Uso!AF14="","",IF(INT(Cron_Uso!AF14/Frota!$L14)&gt;INT(Cron_Uso!AE14/Frota!$L14),IF(N(VLOOKUP(Frota!$B14,Premissas!$A$39:$E$43,5,0))&gt;0,IF(MOD(INT(Cron_Uso!AF14/Frota!$L14)*Frota!$L14,N(VLOOKUP(Frota!$B14,Premissas!$A$39:$E$43,5,0)))=0,"B",IF(N(VLOOKUP(Frota!$B14,Premissas!$A$39:$E$43,4,0))&gt;0,IF(MOD(INT(Cron_Uso!AF14/Frota!$L14)*Frota!$L14,N(VLOOKUP(Frota!$B14,Premissas!$A$39:$E$43,4,0)))=0,"A","S"),"S")),IF(N(VLOOKUP(Frota!$B14,Premissas!$A$39:$E$43,4,0))&gt;0,IF(MOD(INT(Cron_Uso!AF14/Frota!$L14)*Frota!$L14,N(VLOOKUP(Frota!$B14,Premissas!$A$39:$E$43,4,0)))=0,"A","S"),"S")),""))</f>
        <v/>
      </c>
      <c r="AG14" s="16" t="str">
        <f aca="false">IF(Cron_Uso!AG14="","",IF(INT(Cron_Uso!AG14/Frota!$L14)&gt;INT(Cron_Uso!AF14/Frota!$L14),IF(N(VLOOKUP(Frota!$B14,Premissas!$A$39:$E$43,5,0))&gt;0,IF(MOD(INT(Cron_Uso!AG14/Frota!$L14)*Frota!$L14,N(VLOOKUP(Frota!$B14,Premissas!$A$39:$E$43,5,0)))=0,"B",IF(N(VLOOKUP(Frota!$B14,Premissas!$A$39:$E$43,4,0))&gt;0,IF(MOD(INT(Cron_Uso!AG14/Frota!$L14)*Frota!$L14,N(VLOOKUP(Frota!$B14,Premissas!$A$39:$E$43,4,0)))=0,"A","S"),"S")),IF(N(VLOOKUP(Frota!$B14,Premissas!$A$39:$E$43,4,0))&gt;0,IF(MOD(INT(Cron_Uso!AG14/Frota!$L14)*Frota!$L14,N(VLOOKUP(Frota!$B14,Premissas!$A$39:$E$43,4,0)))=0,"A","S"),"S")),""))</f>
        <v/>
      </c>
      <c r="AH14" s="16" t="str">
        <f aca="false">IF(Cron_Uso!AH14="","",IF(INT(Cron_Uso!AH14/Frota!$L14)&gt;INT(Cron_Uso!AG14/Frota!$L14),IF(N(VLOOKUP(Frota!$B14,Premissas!$A$39:$E$43,5,0))&gt;0,IF(MOD(INT(Cron_Uso!AH14/Frota!$L14)*Frota!$L14,N(VLOOKUP(Frota!$B14,Premissas!$A$39:$E$43,5,0)))=0,"B",IF(N(VLOOKUP(Frota!$B14,Premissas!$A$39:$E$43,4,0))&gt;0,IF(MOD(INT(Cron_Uso!AH14/Frota!$L14)*Frota!$L14,N(VLOOKUP(Frota!$B14,Premissas!$A$39:$E$43,4,0)))=0,"A","S"),"S")),IF(N(VLOOKUP(Frota!$B14,Premissas!$A$39:$E$43,4,0))&gt;0,IF(MOD(INT(Cron_Uso!AH14/Frota!$L14)*Frota!$L14,N(VLOOKUP(Frota!$B14,Premissas!$A$39:$E$43,4,0)))=0,"A","S"),"S")),""))</f>
        <v/>
      </c>
      <c r="AI14" s="16" t="str">
        <f aca="false">IF(Cron_Uso!AI14="","",IF(INT(Cron_Uso!AI14/Frota!$L14)&gt;INT(Cron_Uso!AH14/Frota!$L14),IF(N(VLOOKUP(Frota!$B14,Premissas!$A$39:$E$43,5,0))&gt;0,IF(MOD(INT(Cron_Uso!AI14/Frota!$L14)*Frota!$L14,N(VLOOKUP(Frota!$B14,Premissas!$A$39:$E$43,5,0)))=0,"B",IF(N(VLOOKUP(Frota!$B14,Premissas!$A$39:$E$43,4,0))&gt;0,IF(MOD(INT(Cron_Uso!AI14/Frota!$L14)*Frota!$L14,N(VLOOKUP(Frota!$B14,Premissas!$A$39:$E$43,4,0)))=0,"A","S"),"S")),IF(N(VLOOKUP(Frota!$B14,Premissas!$A$39:$E$43,4,0))&gt;0,IF(MOD(INT(Cron_Uso!AI14/Frota!$L14)*Frota!$L14,N(VLOOKUP(Frota!$B14,Premissas!$A$39:$E$43,4,0)))=0,"A","S"),"S")),""))</f>
        <v/>
      </c>
      <c r="AJ14" s="16" t="str">
        <f aca="false">IF(Cron_Uso!AJ14="","",IF(INT(Cron_Uso!AJ14/Frota!$L14)&gt;INT(Cron_Uso!AI14/Frota!$L14),IF(N(VLOOKUP(Frota!$B14,Premissas!$A$39:$E$43,5,0))&gt;0,IF(MOD(INT(Cron_Uso!AJ14/Frota!$L14)*Frota!$L14,N(VLOOKUP(Frota!$B14,Premissas!$A$39:$E$43,5,0)))=0,"B",IF(N(VLOOKUP(Frota!$B14,Premissas!$A$39:$E$43,4,0))&gt;0,IF(MOD(INT(Cron_Uso!AJ14/Frota!$L14)*Frota!$L14,N(VLOOKUP(Frota!$B14,Premissas!$A$39:$E$43,4,0)))=0,"A","S"),"S")),IF(N(VLOOKUP(Frota!$B14,Premissas!$A$39:$E$43,4,0))&gt;0,IF(MOD(INT(Cron_Uso!AJ14/Frota!$L14)*Frota!$L14,N(VLOOKUP(Frota!$B14,Premissas!$A$39:$E$43,4,0)))=0,"A","S"),"S")),""))</f>
        <v/>
      </c>
      <c r="AK14" s="16" t="str">
        <f aca="false">IF(Cron_Uso!AK14="","",IF(INT(Cron_Uso!AK14/Frota!$L14)&gt;INT(Cron_Uso!AJ14/Frota!$L14),IF(N(VLOOKUP(Frota!$B14,Premissas!$A$39:$E$43,5,0))&gt;0,IF(MOD(INT(Cron_Uso!AK14/Frota!$L14)*Frota!$L14,N(VLOOKUP(Frota!$B14,Premissas!$A$39:$E$43,5,0)))=0,"B",IF(N(VLOOKUP(Frota!$B14,Premissas!$A$39:$E$43,4,0))&gt;0,IF(MOD(INT(Cron_Uso!AK14/Frota!$L14)*Frota!$L14,N(VLOOKUP(Frota!$B14,Premissas!$A$39:$E$43,4,0)))=0,"A","S"),"S")),IF(N(VLOOKUP(Frota!$B14,Premissas!$A$39:$E$43,4,0))&gt;0,IF(MOD(INT(Cron_Uso!AK14/Frota!$L14)*Frota!$L14,N(VLOOKUP(Frota!$B14,Premissas!$A$39:$E$43,4,0)))=0,"A","S"),"S")),""))</f>
        <v/>
      </c>
      <c r="AL14" s="16" t="str">
        <f aca="false">IF(Cron_Uso!AL14="","",IF(INT(Cron_Uso!AL14/Frota!$L14)&gt;INT(Cron_Uso!AK14/Frota!$L14),IF(N(VLOOKUP(Frota!$B14,Premissas!$A$39:$E$43,5,0))&gt;0,IF(MOD(INT(Cron_Uso!AL14/Frota!$L14)*Frota!$L14,N(VLOOKUP(Frota!$B14,Premissas!$A$39:$E$43,5,0)))=0,"B",IF(N(VLOOKUP(Frota!$B14,Premissas!$A$39:$E$43,4,0))&gt;0,IF(MOD(INT(Cron_Uso!AL14/Frota!$L14)*Frota!$L14,N(VLOOKUP(Frota!$B14,Premissas!$A$39:$E$43,4,0)))=0,"A","S"),"S")),IF(N(VLOOKUP(Frota!$B14,Premissas!$A$39:$E$43,4,0))&gt;0,IF(MOD(INT(Cron_Uso!AL14/Frota!$L14)*Frota!$L14,N(VLOOKUP(Frota!$B14,Premissas!$A$39:$E$43,4,0)))=0,"A","S"),"S")),""))</f>
        <v/>
      </c>
      <c r="AM14" s="16" t="str">
        <f aca="false">IF(Cron_Uso!AM14="","",IF(INT(Cron_Uso!AM14/Frota!$L14)&gt;INT(Cron_Uso!AL14/Frota!$L14),IF(N(VLOOKUP(Frota!$B14,Premissas!$A$39:$E$43,5,0))&gt;0,IF(MOD(INT(Cron_Uso!AM14/Frota!$L14)*Frota!$L14,N(VLOOKUP(Frota!$B14,Premissas!$A$39:$E$43,5,0)))=0,"B",IF(N(VLOOKUP(Frota!$B14,Premissas!$A$39:$E$43,4,0))&gt;0,IF(MOD(INT(Cron_Uso!AM14/Frota!$L14)*Frota!$L14,N(VLOOKUP(Frota!$B14,Premissas!$A$39:$E$43,4,0)))=0,"A","S"),"S")),IF(N(VLOOKUP(Frota!$B14,Premissas!$A$39:$E$43,4,0))&gt;0,IF(MOD(INT(Cron_Uso!AM14/Frota!$L14)*Frota!$L14,N(VLOOKUP(Frota!$B14,Premissas!$A$39:$E$43,4,0)))=0,"A","S"),"S")),""))</f>
        <v/>
      </c>
      <c r="AN14" s="16" t="str">
        <f aca="false">IF(Cron_Uso!AN14="","",IF(INT(Cron_Uso!AN14/Frota!$L14)&gt;INT(Cron_Uso!AM14/Frota!$L14),IF(N(VLOOKUP(Frota!$B14,Premissas!$A$39:$E$43,5,0))&gt;0,IF(MOD(INT(Cron_Uso!AN14/Frota!$L14)*Frota!$L14,N(VLOOKUP(Frota!$B14,Premissas!$A$39:$E$43,5,0)))=0,"B",IF(N(VLOOKUP(Frota!$B14,Premissas!$A$39:$E$43,4,0))&gt;0,IF(MOD(INT(Cron_Uso!AN14/Frota!$L14)*Frota!$L14,N(VLOOKUP(Frota!$B14,Premissas!$A$39:$E$43,4,0)))=0,"A","S"),"S")),IF(N(VLOOKUP(Frota!$B14,Premissas!$A$39:$E$43,4,0))&gt;0,IF(MOD(INT(Cron_Uso!AN14/Frota!$L14)*Frota!$L14,N(VLOOKUP(Frota!$B14,Premissas!$A$39:$E$43,4,0)))=0,"A","S"),"S")),""))</f>
        <v/>
      </c>
      <c r="AO14" s="16" t="str">
        <f aca="false">IF(Cron_Uso!AO14="","",IF(INT(Cron_Uso!AO14/Frota!$L14)&gt;INT(Cron_Uso!AN14/Frota!$L14),IF(N(VLOOKUP(Frota!$B14,Premissas!$A$39:$E$43,5,0))&gt;0,IF(MOD(INT(Cron_Uso!AO14/Frota!$L14)*Frota!$L14,N(VLOOKUP(Frota!$B14,Premissas!$A$39:$E$43,5,0)))=0,"B",IF(N(VLOOKUP(Frota!$B14,Premissas!$A$39:$E$43,4,0))&gt;0,IF(MOD(INT(Cron_Uso!AO14/Frota!$L14)*Frota!$L14,N(VLOOKUP(Frota!$B14,Premissas!$A$39:$E$43,4,0)))=0,"A","S"),"S")),IF(N(VLOOKUP(Frota!$B14,Premissas!$A$39:$E$43,4,0))&gt;0,IF(MOD(INT(Cron_Uso!AO14/Frota!$L14)*Frota!$L14,N(VLOOKUP(Frota!$B14,Premissas!$A$39:$E$43,4,0)))=0,"A","S"),"S")),""))</f>
        <v/>
      </c>
      <c r="AP14" s="16" t="str">
        <f aca="false">IF(Cron_Uso!AP14="","",IF(INT(Cron_Uso!AP14/Frota!$L14)&gt;INT(Cron_Uso!AO14/Frota!$L14),IF(N(VLOOKUP(Frota!$B14,Premissas!$A$39:$E$43,5,0))&gt;0,IF(MOD(INT(Cron_Uso!AP14/Frota!$L14)*Frota!$L14,N(VLOOKUP(Frota!$B14,Premissas!$A$39:$E$43,5,0)))=0,"B",IF(N(VLOOKUP(Frota!$B14,Premissas!$A$39:$E$43,4,0))&gt;0,IF(MOD(INT(Cron_Uso!AP14/Frota!$L14)*Frota!$L14,N(VLOOKUP(Frota!$B14,Premissas!$A$39:$E$43,4,0)))=0,"A","S"),"S")),IF(N(VLOOKUP(Frota!$B14,Premissas!$A$39:$E$43,4,0))&gt;0,IF(MOD(INT(Cron_Uso!AP14/Frota!$L14)*Frota!$L14,N(VLOOKUP(Frota!$B14,Premissas!$A$39:$E$43,4,0)))=0,"A","S"),"S")),""))</f>
        <v/>
      </c>
      <c r="AQ14" s="16" t="str">
        <f aca="false">IF(Cron_Uso!AQ14="","",IF(INT(Cron_Uso!AQ14/Frota!$L14)&gt;INT(Cron_Uso!AP14/Frota!$L14),IF(N(VLOOKUP(Frota!$B14,Premissas!$A$39:$E$43,5,0))&gt;0,IF(MOD(INT(Cron_Uso!AQ14/Frota!$L14)*Frota!$L14,N(VLOOKUP(Frota!$B14,Premissas!$A$39:$E$43,5,0)))=0,"B",IF(N(VLOOKUP(Frota!$B14,Premissas!$A$39:$E$43,4,0))&gt;0,IF(MOD(INT(Cron_Uso!AQ14/Frota!$L14)*Frota!$L14,N(VLOOKUP(Frota!$B14,Premissas!$A$39:$E$43,4,0)))=0,"A","S"),"S")),IF(N(VLOOKUP(Frota!$B14,Premissas!$A$39:$E$43,4,0))&gt;0,IF(MOD(INT(Cron_Uso!AQ14/Frota!$L14)*Frota!$L14,N(VLOOKUP(Frota!$B14,Premissas!$A$39:$E$43,4,0)))=0,"A","S"),"S")),""))</f>
        <v/>
      </c>
      <c r="AR14" s="16" t="str">
        <f aca="false">IF(Cron_Uso!AR14="","",IF(INT(Cron_Uso!AR14/Frota!$L14)&gt;INT(Cron_Uso!AQ14/Frota!$L14),IF(N(VLOOKUP(Frota!$B14,Premissas!$A$39:$E$43,5,0))&gt;0,IF(MOD(INT(Cron_Uso!AR14/Frota!$L14)*Frota!$L14,N(VLOOKUP(Frota!$B14,Premissas!$A$39:$E$43,5,0)))=0,"B",IF(N(VLOOKUP(Frota!$B14,Premissas!$A$39:$E$43,4,0))&gt;0,IF(MOD(INT(Cron_Uso!AR14/Frota!$L14)*Frota!$L14,N(VLOOKUP(Frota!$B14,Premissas!$A$39:$E$43,4,0)))=0,"A","S"),"S")),IF(N(VLOOKUP(Frota!$B14,Premissas!$A$39:$E$43,4,0))&gt;0,IF(MOD(INT(Cron_Uso!AR14/Frota!$L14)*Frota!$L14,N(VLOOKUP(Frota!$B14,Premissas!$A$39:$E$43,4,0)))=0,"A","S"),"S")),""))</f>
        <v/>
      </c>
      <c r="AS14" s="16" t="str">
        <f aca="false">IF(Cron_Uso!AS14="","",IF(INT(Cron_Uso!AS14/Frota!$L14)&gt;INT(Cron_Uso!AR14/Frota!$L14),IF(N(VLOOKUP(Frota!$B14,Premissas!$A$39:$E$43,5,0))&gt;0,IF(MOD(INT(Cron_Uso!AS14/Frota!$L14)*Frota!$L14,N(VLOOKUP(Frota!$B14,Premissas!$A$39:$E$43,5,0)))=0,"B",IF(N(VLOOKUP(Frota!$B14,Premissas!$A$39:$E$43,4,0))&gt;0,IF(MOD(INT(Cron_Uso!AS14/Frota!$L14)*Frota!$L14,N(VLOOKUP(Frota!$B14,Premissas!$A$39:$E$43,4,0)))=0,"A","S"),"S")),IF(N(VLOOKUP(Frota!$B14,Premissas!$A$39:$E$43,4,0))&gt;0,IF(MOD(INT(Cron_Uso!AS14/Frota!$L14)*Frota!$L14,N(VLOOKUP(Frota!$B14,Premissas!$A$39:$E$43,4,0)))=0,"A","S"),"S")),""))</f>
        <v/>
      </c>
      <c r="AT14" s="16" t="str">
        <f aca="false">IF(Cron_Uso!AT14="","",IF(INT(Cron_Uso!AT14/Frota!$L14)&gt;INT(Cron_Uso!AS14/Frota!$L14),IF(N(VLOOKUP(Frota!$B14,Premissas!$A$39:$E$43,5,0))&gt;0,IF(MOD(INT(Cron_Uso!AT14/Frota!$L14)*Frota!$L14,N(VLOOKUP(Frota!$B14,Premissas!$A$39:$E$43,5,0)))=0,"B",IF(N(VLOOKUP(Frota!$B14,Premissas!$A$39:$E$43,4,0))&gt;0,IF(MOD(INT(Cron_Uso!AT14/Frota!$L14)*Frota!$L14,N(VLOOKUP(Frota!$B14,Premissas!$A$39:$E$43,4,0)))=0,"A","S"),"S")),IF(N(VLOOKUP(Frota!$B14,Premissas!$A$39:$E$43,4,0))&gt;0,IF(MOD(INT(Cron_Uso!AT14/Frota!$L14)*Frota!$L14,N(VLOOKUP(Frota!$B14,Premissas!$A$39:$E$43,4,0)))=0,"A","S"),"S")),""))</f>
        <v/>
      </c>
      <c r="AU14" s="16" t="str">
        <f aca="false">IF(Cron_Uso!AU14="","",IF(INT(Cron_Uso!AU14/Frota!$L14)&gt;INT(Cron_Uso!AT14/Frota!$L14),IF(N(VLOOKUP(Frota!$B14,Premissas!$A$39:$E$43,5,0))&gt;0,IF(MOD(INT(Cron_Uso!AU14/Frota!$L14)*Frota!$L14,N(VLOOKUP(Frota!$B14,Premissas!$A$39:$E$43,5,0)))=0,"B",IF(N(VLOOKUP(Frota!$B14,Premissas!$A$39:$E$43,4,0))&gt;0,IF(MOD(INT(Cron_Uso!AU14/Frota!$L14)*Frota!$L14,N(VLOOKUP(Frota!$B14,Premissas!$A$39:$E$43,4,0)))=0,"A","S"),"S")),IF(N(VLOOKUP(Frota!$B14,Premissas!$A$39:$E$43,4,0))&gt;0,IF(MOD(INT(Cron_Uso!AU14/Frota!$L14)*Frota!$L14,N(VLOOKUP(Frota!$B14,Premissas!$A$39:$E$43,4,0)))=0,"A","S"),"S")),""))</f>
        <v/>
      </c>
      <c r="AV14" s="16" t="str">
        <f aca="false">IF(Cron_Uso!AV14="","",IF(INT(Cron_Uso!AV14/Frota!$L14)&gt;INT(Cron_Uso!AU14/Frota!$L14),IF(N(VLOOKUP(Frota!$B14,Premissas!$A$39:$E$43,5,0))&gt;0,IF(MOD(INT(Cron_Uso!AV14/Frota!$L14)*Frota!$L14,N(VLOOKUP(Frota!$B14,Premissas!$A$39:$E$43,5,0)))=0,"B",IF(N(VLOOKUP(Frota!$B14,Premissas!$A$39:$E$43,4,0))&gt;0,IF(MOD(INT(Cron_Uso!AV14/Frota!$L14)*Frota!$L14,N(VLOOKUP(Frota!$B14,Premissas!$A$39:$E$43,4,0)))=0,"A","S"),"S")),IF(N(VLOOKUP(Frota!$B14,Premissas!$A$39:$E$43,4,0))&gt;0,IF(MOD(INT(Cron_Uso!AV14/Frota!$L14)*Frota!$L14,N(VLOOKUP(Frota!$B14,Premissas!$A$39:$E$43,4,0)))=0,"A","S"),"S")),""))</f>
        <v/>
      </c>
      <c r="AW14" s="16" t="str">
        <f aca="false">IF(Cron_Uso!AW14="","",IF(INT(Cron_Uso!AW14/Frota!$L14)&gt;INT(Cron_Uso!AV14/Frota!$L14),IF(N(VLOOKUP(Frota!$B14,Premissas!$A$39:$E$43,5,0))&gt;0,IF(MOD(INT(Cron_Uso!AW14/Frota!$L14)*Frota!$L14,N(VLOOKUP(Frota!$B14,Premissas!$A$39:$E$43,5,0)))=0,"B",IF(N(VLOOKUP(Frota!$B14,Premissas!$A$39:$E$43,4,0))&gt;0,IF(MOD(INT(Cron_Uso!AW14/Frota!$L14)*Frota!$L14,N(VLOOKUP(Frota!$B14,Premissas!$A$39:$E$43,4,0)))=0,"A","S"),"S")),IF(N(VLOOKUP(Frota!$B14,Premissas!$A$39:$E$43,4,0))&gt;0,IF(MOD(INT(Cron_Uso!AW14/Frota!$L14)*Frota!$L14,N(VLOOKUP(Frota!$B14,Premissas!$A$39:$E$43,4,0)))=0,"A","S"),"S")),""))</f>
        <v>S</v>
      </c>
      <c r="AX14" s="16" t="str">
        <f aca="false">IF(Cron_Uso!AX14="","",IF(INT(Cron_Uso!AX14/Frota!$L14)&gt;INT(Cron_Uso!AW14/Frota!$L14),IF(N(VLOOKUP(Frota!$B14,Premissas!$A$39:$E$43,5,0))&gt;0,IF(MOD(INT(Cron_Uso!AX14/Frota!$L14)*Frota!$L14,N(VLOOKUP(Frota!$B14,Premissas!$A$39:$E$43,5,0)))=0,"B",IF(N(VLOOKUP(Frota!$B14,Premissas!$A$39:$E$43,4,0))&gt;0,IF(MOD(INT(Cron_Uso!AX14/Frota!$L14)*Frota!$L14,N(VLOOKUP(Frota!$B14,Premissas!$A$39:$E$43,4,0)))=0,"A","S"),"S")),IF(N(VLOOKUP(Frota!$B14,Premissas!$A$39:$E$43,4,0))&gt;0,IF(MOD(INT(Cron_Uso!AX14/Frota!$L14)*Frota!$L14,N(VLOOKUP(Frota!$B14,Premissas!$A$39:$E$43,4,0)))=0,"A","S"),"S")),""))</f>
        <v/>
      </c>
      <c r="AY14" s="16" t="str">
        <f aca="false">IF(Cron_Uso!AY14="","",IF(INT(Cron_Uso!AY14/Frota!$L14)&gt;INT(Cron_Uso!AX14/Frota!$L14),IF(N(VLOOKUP(Frota!$B14,Premissas!$A$39:$E$43,5,0))&gt;0,IF(MOD(INT(Cron_Uso!AY14/Frota!$L14)*Frota!$L14,N(VLOOKUP(Frota!$B14,Premissas!$A$39:$E$43,5,0)))=0,"B",IF(N(VLOOKUP(Frota!$B14,Premissas!$A$39:$E$43,4,0))&gt;0,IF(MOD(INT(Cron_Uso!AY14/Frota!$L14)*Frota!$L14,N(VLOOKUP(Frota!$B14,Premissas!$A$39:$E$43,4,0)))=0,"A","S"),"S")),IF(N(VLOOKUP(Frota!$B14,Premissas!$A$39:$E$43,4,0))&gt;0,IF(MOD(INT(Cron_Uso!AY14/Frota!$L14)*Frota!$L14,N(VLOOKUP(Frota!$B14,Premissas!$A$39:$E$43,4,0)))=0,"A","S"),"S")),""))</f>
        <v/>
      </c>
      <c r="AZ14" s="16" t="str">
        <f aca="false">IF(Cron_Uso!AZ14="","",IF(INT(Cron_Uso!AZ14/Frota!$L14)&gt;INT(Cron_Uso!AY14/Frota!$L14),IF(N(VLOOKUP(Frota!$B14,Premissas!$A$39:$E$43,5,0))&gt;0,IF(MOD(INT(Cron_Uso!AZ14/Frota!$L14)*Frota!$L14,N(VLOOKUP(Frota!$B14,Premissas!$A$39:$E$43,5,0)))=0,"B",IF(N(VLOOKUP(Frota!$B14,Premissas!$A$39:$E$43,4,0))&gt;0,IF(MOD(INT(Cron_Uso!AZ14/Frota!$L14)*Frota!$L14,N(VLOOKUP(Frota!$B14,Premissas!$A$39:$E$43,4,0)))=0,"A","S"),"S")),IF(N(VLOOKUP(Frota!$B14,Premissas!$A$39:$E$43,4,0))&gt;0,IF(MOD(INT(Cron_Uso!AZ14/Frota!$L14)*Frota!$L14,N(VLOOKUP(Frota!$B14,Premissas!$A$39:$E$43,4,0)))=0,"A","S"),"S")),""))</f>
        <v/>
      </c>
      <c r="BA14" s="16" t="str">
        <f aca="false">IF(Cron_Uso!BA14="","",IF(INT(Cron_Uso!BA14/Frota!$L14)&gt;INT(Cron_Uso!AZ14/Frota!$L14),IF(N(VLOOKUP(Frota!$B14,Premissas!$A$39:$E$43,5,0))&gt;0,IF(MOD(INT(Cron_Uso!BA14/Frota!$L14)*Frota!$L14,N(VLOOKUP(Frota!$B14,Premissas!$A$39:$E$43,5,0)))=0,"B",IF(N(VLOOKUP(Frota!$B14,Premissas!$A$39:$E$43,4,0))&gt;0,IF(MOD(INT(Cron_Uso!BA14/Frota!$L14)*Frota!$L14,N(VLOOKUP(Frota!$B14,Premissas!$A$39:$E$43,4,0)))=0,"A","S"),"S")),IF(N(VLOOKUP(Frota!$B14,Premissas!$A$39:$E$43,4,0))&gt;0,IF(MOD(INT(Cron_Uso!BA14/Frota!$L14)*Frota!$L14,N(VLOOKUP(Frota!$B14,Premissas!$A$39:$E$43,4,0)))=0,"A","S"),"S")),""))</f>
        <v/>
      </c>
    </row>
    <row r="15" customFormat="false" ht="15" hidden="false" customHeight="false" outlineLevel="0" collapsed="false">
      <c r="A15" s="6" t="str">
        <f aca="false">IF(Frota!$A15="","",Frota!$A15)</f>
        <v>Implemento Distribuidor — 802</v>
      </c>
      <c r="B15" s="16" t="str">
        <f aca="false">IF(Cron_Uso!B15="","",IF(INT(Cron_Uso!B15/Frota!$L15)&gt;INT(Frota!$I15/Frota!$L15),IF(N(VLOOKUP(Frota!$B15,Premissas!$A$39:$E$43,5,0))&gt;0,IF(MOD(INT(Cron_Uso!B15/Frota!$L15)*Frota!$L15,N(VLOOKUP(Frota!$B15,Premissas!$A$39:$E$43,5,0)))=0,"B",IF(N(VLOOKUP(Frota!$B15,Premissas!$A$39:$E$43,4,0))&gt;0,IF(MOD(INT(Cron_Uso!B15/Frota!$L15)*Frota!$L15,N(VLOOKUP(Frota!$B15,Premissas!$A$39:$E$43,4,0)))=0,"A","S"),"S")),IF(N(VLOOKUP(Frota!$B15,Premissas!$A$39:$E$43,4,0))&gt;0,IF(MOD(INT(Cron_Uso!B15/Frota!$L15)*Frota!$L15,N(VLOOKUP(Frota!$B15,Premissas!$A$39:$E$43,4,0)))=0,"A","S"),"S")),""))</f>
        <v/>
      </c>
      <c r="C15" s="16" t="str">
        <f aca="false">IF(Cron_Uso!C15="","",IF(INT(Cron_Uso!C15/Frota!$L15)&gt;INT(Cron_Uso!B15/Frota!$L15),IF(N(VLOOKUP(Frota!$B15,Premissas!$A$39:$E$43,5,0))&gt;0,IF(MOD(INT(Cron_Uso!C15/Frota!$L15)*Frota!$L15,N(VLOOKUP(Frota!$B15,Premissas!$A$39:$E$43,5,0)))=0,"B",IF(N(VLOOKUP(Frota!$B15,Premissas!$A$39:$E$43,4,0))&gt;0,IF(MOD(INT(Cron_Uso!C15/Frota!$L15)*Frota!$L15,N(VLOOKUP(Frota!$B15,Premissas!$A$39:$E$43,4,0)))=0,"A","S"),"S")),IF(N(VLOOKUP(Frota!$B15,Premissas!$A$39:$E$43,4,0))&gt;0,IF(MOD(INT(Cron_Uso!C15/Frota!$L15)*Frota!$L15,N(VLOOKUP(Frota!$B15,Premissas!$A$39:$E$43,4,0)))=0,"A","S"),"S")),""))</f>
        <v/>
      </c>
      <c r="D15" s="16" t="str">
        <f aca="false">IF(Cron_Uso!D15="","",IF(INT(Cron_Uso!D15/Frota!$L15)&gt;INT(Cron_Uso!C15/Frota!$L15),IF(N(VLOOKUP(Frota!$B15,Premissas!$A$39:$E$43,5,0))&gt;0,IF(MOD(INT(Cron_Uso!D15/Frota!$L15)*Frota!$L15,N(VLOOKUP(Frota!$B15,Premissas!$A$39:$E$43,5,0)))=0,"B",IF(N(VLOOKUP(Frota!$B15,Premissas!$A$39:$E$43,4,0))&gt;0,IF(MOD(INT(Cron_Uso!D15/Frota!$L15)*Frota!$L15,N(VLOOKUP(Frota!$B15,Premissas!$A$39:$E$43,4,0)))=0,"A","S"),"S")),IF(N(VLOOKUP(Frota!$B15,Premissas!$A$39:$E$43,4,0))&gt;0,IF(MOD(INT(Cron_Uso!D15/Frota!$L15)*Frota!$L15,N(VLOOKUP(Frota!$B15,Premissas!$A$39:$E$43,4,0)))=0,"A","S"),"S")),""))</f>
        <v/>
      </c>
      <c r="E15" s="16" t="str">
        <f aca="false">IF(Cron_Uso!E15="","",IF(INT(Cron_Uso!E15/Frota!$L15)&gt;INT(Cron_Uso!D15/Frota!$L15),IF(N(VLOOKUP(Frota!$B15,Premissas!$A$39:$E$43,5,0))&gt;0,IF(MOD(INT(Cron_Uso!E15/Frota!$L15)*Frota!$L15,N(VLOOKUP(Frota!$B15,Premissas!$A$39:$E$43,5,0)))=0,"B",IF(N(VLOOKUP(Frota!$B15,Premissas!$A$39:$E$43,4,0))&gt;0,IF(MOD(INT(Cron_Uso!E15/Frota!$L15)*Frota!$L15,N(VLOOKUP(Frota!$B15,Premissas!$A$39:$E$43,4,0)))=0,"A","S"),"S")),IF(N(VLOOKUP(Frota!$B15,Premissas!$A$39:$E$43,4,0))&gt;0,IF(MOD(INT(Cron_Uso!E15/Frota!$L15)*Frota!$L15,N(VLOOKUP(Frota!$B15,Premissas!$A$39:$E$43,4,0)))=0,"A","S"),"S")),""))</f>
        <v/>
      </c>
      <c r="F15" s="16" t="str">
        <f aca="false">IF(Cron_Uso!F15="","",IF(INT(Cron_Uso!F15/Frota!$L15)&gt;INT(Cron_Uso!E15/Frota!$L15),IF(N(VLOOKUP(Frota!$B15,Premissas!$A$39:$E$43,5,0))&gt;0,IF(MOD(INT(Cron_Uso!F15/Frota!$L15)*Frota!$L15,N(VLOOKUP(Frota!$B15,Premissas!$A$39:$E$43,5,0)))=0,"B",IF(N(VLOOKUP(Frota!$B15,Premissas!$A$39:$E$43,4,0))&gt;0,IF(MOD(INT(Cron_Uso!F15/Frota!$L15)*Frota!$L15,N(VLOOKUP(Frota!$B15,Premissas!$A$39:$E$43,4,0)))=0,"A","S"),"S")),IF(N(VLOOKUP(Frota!$B15,Premissas!$A$39:$E$43,4,0))&gt;0,IF(MOD(INT(Cron_Uso!F15/Frota!$L15)*Frota!$L15,N(VLOOKUP(Frota!$B15,Premissas!$A$39:$E$43,4,0)))=0,"A","S"),"S")),""))</f>
        <v/>
      </c>
      <c r="G15" s="16" t="str">
        <f aca="false">IF(Cron_Uso!G15="","",IF(INT(Cron_Uso!G15/Frota!$L15)&gt;INT(Cron_Uso!F15/Frota!$L15),IF(N(VLOOKUP(Frota!$B15,Premissas!$A$39:$E$43,5,0))&gt;0,IF(MOD(INT(Cron_Uso!G15/Frota!$L15)*Frota!$L15,N(VLOOKUP(Frota!$B15,Premissas!$A$39:$E$43,5,0)))=0,"B",IF(N(VLOOKUP(Frota!$B15,Premissas!$A$39:$E$43,4,0))&gt;0,IF(MOD(INT(Cron_Uso!G15/Frota!$L15)*Frota!$L15,N(VLOOKUP(Frota!$B15,Premissas!$A$39:$E$43,4,0)))=0,"A","S"),"S")),IF(N(VLOOKUP(Frota!$B15,Premissas!$A$39:$E$43,4,0))&gt;0,IF(MOD(INT(Cron_Uso!G15/Frota!$L15)*Frota!$L15,N(VLOOKUP(Frota!$B15,Premissas!$A$39:$E$43,4,0)))=0,"A","S"),"S")),""))</f>
        <v/>
      </c>
      <c r="H15" s="16" t="str">
        <f aca="false">IF(Cron_Uso!H15="","",IF(INT(Cron_Uso!H15/Frota!$L15)&gt;INT(Cron_Uso!G15/Frota!$L15),IF(N(VLOOKUP(Frota!$B15,Premissas!$A$39:$E$43,5,0))&gt;0,IF(MOD(INT(Cron_Uso!H15/Frota!$L15)*Frota!$L15,N(VLOOKUP(Frota!$B15,Premissas!$A$39:$E$43,5,0)))=0,"B",IF(N(VLOOKUP(Frota!$B15,Premissas!$A$39:$E$43,4,0))&gt;0,IF(MOD(INT(Cron_Uso!H15/Frota!$L15)*Frota!$L15,N(VLOOKUP(Frota!$B15,Premissas!$A$39:$E$43,4,0)))=0,"A","S"),"S")),IF(N(VLOOKUP(Frota!$B15,Premissas!$A$39:$E$43,4,0))&gt;0,IF(MOD(INT(Cron_Uso!H15/Frota!$L15)*Frota!$L15,N(VLOOKUP(Frota!$B15,Premissas!$A$39:$E$43,4,0)))=0,"A","S"),"S")),""))</f>
        <v>A</v>
      </c>
      <c r="I15" s="16" t="str">
        <f aca="false">IF(Cron_Uso!I15="","",IF(INT(Cron_Uso!I15/Frota!$L15)&gt;INT(Cron_Uso!H15/Frota!$L15),IF(N(VLOOKUP(Frota!$B15,Premissas!$A$39:$E$43,5,0))&gt;0,IF(MOD(INT(Cron_Uso!I15/Frota!$L15)*Frota!$L15,N(VLOOKUP(Frota!$B15,Premissas!$A$39:$E$43,5,0)))=0,"B",IF(N(VLOOKUP(Frota!$B15,Premissas!$A$39:$E$43,4,0))&gt;0,IF(MOD(INT(Cron_Uso!I15/Frota!$L15)*Frota!$L15,N(VLOOKUP(Frota!$B15,Premissas!$A$39:$E$43,4,0)))=0,"A","S"),"S")),IF(N(VLOOKUP(Frota!$B15,Premissas!$A$39:$E$43,4,0))&gt;0,IF(MOD(INT(Cron_Uso!I15/Frota!$L15)*Frota!$L15,N(VLOOKUP(Frota!$B15,Premissas!$A$39:$E$43,4,0)))=0,"A","S"),"S")),""))</f>
        <v/>
      </c>
      <c r="J15" s="16" t="str">
        <f aca="false">IF(Cron_Uso!J15="","",IF(INT(Cron_Uso!J15/Frota!$L15)&gt;INT(Cron_Uso!I15/Frota!$L15),IF(N(VLOOKUP(Frota!$B15,Premissas!$A$39:$E$43,5,0))&gt;0,IF(MOD(INT(Cron_Uso!J15/Frota!$L15)*Frota!$L15,N(VLOOKUP(Frota!$B15,Premissas!$A$39:$E$43,5,0)))=0,"B",IF(N(VLOOKUP(Frota!$B15,Premissas!$A$39:$E$43,4,0))&gt;0,IF(MOD(INT(Cron_Uso!J15/Frota!$L15)*Frota!$L15,N(VLOOKUP(Frota!$B15,Premissas!$A$39:$E$43,4,0)))=0,"A","S"),"S")),IF(N(VLOOKUP(Frota!$B15,Premissas!$A$39:$E$43,4,0))&gt;0,IF(MOD(INT(Cron_Uso!J15/Frota!$L15)*Frota!$L15,N(VLOOKUP(Frota!$B15,Premissas!$A$39:$E$43,4,0)))=0,"A","S"),"S")),""))</f>
        <v/>
      </c>
      <c r="K15" s="16" t="str">
        <f aca="false">IF(Cron_Uso!K15="","",IF(INT(Cron_Uso!K15/Frota!$L15)&gt;INT(Cron_Uso!J15/Frota!$L15),IF(N(VLOOKUP(Frota!$B15,Premissas!$A$39:$E$43,5,0))&gt;0,IF(MOD(INT(Cron_Uso!K15/Frota!$L15)*Frota!$L15,N(VLOOKUP(Frota!$B15,Premissas!$A$39:$E$43,5,0)))=0,"B",IF(N(VLOOKUP(Frota!$B15,Premissas!$A$39:$E$43,4,0))&gt;0,IF(MOD(INT(Cron_Uso!K15/Frota!$L15)*Frota!$L15,N(VLOOKUP(Frota!$B15,Premissas!$A$39:$E$43,4,0)))=0,"A","S"),"S")),IF(N(VLOOKUP(Frota!$B15,Premissas!$A$39:$E$43,4,0))&gt;0,IF(MOD(INT(Cron_Uso!K15/Frota!$L15)*Frota!$L15,N(VLOOKUP(Frota!$B15,Premissas!$A$39:$E$43,4,0)))=0,"A","S"),"S")),""))</f>
        <v/>
      </c>
      <c r="L15" s="16" t="str">
        <f aca="false">IF(Cron_Uso!L15="","",IF(INT(Cron_Uso!L15/Frota!$L15)&gt;INT(Cron_Uso!K15/Frota!$L15),IF(N(VLOOKUP(Frota!$B15,Premissas!$A$39:$E$43,5,0))&gt;0,IF(MOD(INT(Cron_Uso!L15/Frota!$L15)*Frota!$L15,N(VLOOKUP(Frota!$B15,Premissas!$A$39:$E$43,5,0)))=0,"B",IF(N(VLOOKUP(Frota!$B15,Premissas!$A$39:$E$43,4,0))&gt;0,IF(MOD(INT(Cron_Uso!L15/Frota!$L15)*Frota!$L15,N(VLOOKUP(Frota!$B15,Premissas!$A$39:$E$43,4,0)))=0,"A","S"),"S")),IF(N(VLOOKUP(Frota!$B15,Premissas!$A$39:$E$43,4,0))&gt;0,IF(MOD(INT(Cron_Uso!L15/Frota!$L15)*Frota!$L15,N(VLOOKUP(Frota!$B15,Premissas!$A$39:$E$43,4,0)))=0,"A","S"),"S")),""))</f>
        <v/>
      </c>
      <c r="M15" s="16" t="str">
        <f aca="false">IF(Cron_Uso!M15="","",IF(INT(Cron_Uso!M15/Frota!$L15)&gt;INT(Cron_Uso!L15/Frota!$L15),IF(N(VLOOKUP(Frota!$B15,Premissas!$A$39:$E$43,5,0))&gt;0,IF(MOD(INT(Cron_Uso!M15/Frota!$L15)*Frota!$L15,N(VLOOKUP(Frota!$B15,Premissas!$A$39:$E$43,5,0)))=0,"B",IF(N(VLOOKUP(Frota!$B15,Premissas!$A$39:$E$43,4,0))&gt;0,IF(MOD(INT(Cron_Uso!M15/Frota!$L15)*Frota!$L15,N(VLOOKUP(Frota!$B15,Premissas!$A$39:$E$43,4,0)))=0,"A","S"),"S")),IF(N(VLOOKUP(Frota!$B15,Premissas!$A$39:$E$43,4,0))&gt;0,IF(MOD(INT(Cron_Uso!M15/Frota!$L15)*Frota!$L15,N(VLOOKUP(Frota!$B15,Premissas!$A$39:$E$43,4,0)))=0,"A","S"),"S")),""))</f>
        <v/>
      </c>
      <c r="N15" s="16" t="str">
        <f aca="false">IF(Cron_Uso!N15="","",IF(INT(Cron_Uso!N15/Frota!$L15)&gt;INT(Cron_Uso!M15/Frota!$L15),IF(N(VLOOKUP(Frota!$B15,Premissas!$A$39:$E$43,5,0))&gt;0,IF(MOD(INT(Cron_Uso!N15/Frota!$L15)*Frota!$L15,N(VLOOKUP(Frota!$B15,Premissas!$A$39:$E$43,5,0)))=0,"B",IF(N(VLOOKUP(Frota!$B15,Premissas!$A$39:$E$43,4,0))&gt;0,IF(MOD(INT(Cron_Uso!N15/Frota!$L15)*Frota!$L15,N(VLOOKUP(Frota!$B15,Premissas!$A$39:$E$43,4,0)))=0,"A","S"),"S")),IF(N(VLOOKUP(Frota!$B15,Premissas!$A$39:$E$43,4,0))&gt;0,IF(MOD(INT(Cron_Uso!N15/Frota!$L15)*Frota!$L15,N(VLOOKUP(Frota!$B15,Premissas!$A$39:$E$43,4,0)))=0,"A","S"),"S")),""))</f>
        <v/>
      </c>
      <c r="O15" s="16" t="str">
        <f aca="false">IF(Cron_Uso!O15="","",IF(INT(Cron_Uso!O15/Frota!$L15)&gt;INT(Cron_Uso!N15/Frota!$L15),IF(N(VLOOKUP(Frota!$B15,Premissas!$A$39:$E$43,5,0))&gt;0,IF(MOD(INT(Cron_Uso!O15/Frota!$L15)*Frota!$L15,N(VLOOKUP(Frota!$B15,Premissas!$A$39:$E$43,5,0)))=0,"B",IF(N(VLOOKUP(Frota!$B15,Premissas!$A$39:$E$43,4,0))&gt;0,IF(MOD(INT(Cron_Uso!O15/Frota!$L15)*Frota!$L15,N(VLOOKUP(Frota!$B15,Premissas!$A$39:$E$43,4,0)))=0,"A","S"),"S")),IF(N(VLOOKUP(Frota!$B15,Premissas!$A$39:$E$43,4,0))&gt;0,IF(MOD(INT(Cron_Uso!O15/Frota!$L15)*Frota!$L15,N(VLOOKUP(Frota!$B15,Premissas!$A$39:$E$43,4,0)))=0,"A","S"),"S")),""))</f>
        <v/>
      </c>
      <c r="P15" s="16" t="str">
        <f aca="false">IF(Cron_Uso!P15="","",IF(INT(Cron_Uso!P15/Frota!$L15)&gt;INT(Cron_Uso!O15/Frota!$L15),IF(N(VLOOKUP(Frota!$B15,Premissas!$A$39:$E$43,5,0))&gt;0,IF(MOD(INT(Cron_Uso!P15/Frota!$L15)*Frota!$L15,N(VLOOKUP(Frota!$B15,Premissas!$A$39:$E$43,5,0)))=0,"B",IF(N(VLOOKUP(Frota!$B15,Premissas!$A$39:$E$43,4,0))&gt;0,IF(MOD(INT(Cron_Uso!P15/Frota!$L15)*Frota!$L15,N(VLOOKUP(Frota!$B15,Premissas!$A$39:$E$43,4,0)))=0,"A","S"),"S")),IF(N(VLOOKUP(Frota!$B15,Premissas!$A$39:$E$43,4,0))&gt;0,IF(MOD(INT(Cron_Uso!P15/Frota!$L15)*Frota!$L15,N(VLOOKUP(Frota!$B15,Premissas!$A$39:$E$43,4,0)))=0,"A","S"),"S")),""))</f>
        <v/>
      </c>
      <c r="Q15" s="16" t="str">
        <f aca="false">IF(Cron_Uso!Q15="","",IF(INT(Cron_Uso!Q15/Frota!$L15)&gt;INT(Cron_Uso!P15/Frota!$L15),IF(N(VLOOKUP(Frota!$B15,Premissas!$A$39:$E$43,5,0))&gt;0,IF(MOD(INT(Cron_Uso!Q15/Frota!$L15)*Frota!$L15,N(VLOOKUP(Frota!$B15,Premissas!$A$39:$E$43,5,0)))=0,"B",IF(N(VLOOKUP(Frota!$B15,Premissas!$A$39:$E$43,4,0))&gt;0,IF(MOD(INT(Cron_Uso!Q15/Frota!$L15)*Frota!$L15,N(VLOOKUP(Frota!$B15,Premissas!$A$39:$E$43,4,0)))=0,"A","S"),"S")),IF(N(VLOOKUP(Frota!$B15,Premissas!$A$39:$E$43,4,0))&gt;0,IF(MOD(INT(Cron_Uso!Q15/Frota!$L15)*Frota!$L15,N(VLOOKUP(Frota!$B15,Premissas!$A$39:$E$43,4,0)))=0,"A","S"),"S")),""))</f>
        <v>S</v>
      </c>
      <c r="R15" s="16" t="str">
        <f aca="false">IF(Cron_Uso!R15="","",IF(INT(Cron_Uso!R15/Frota!$L15)&gt;INT(Cron_Uso!Q15/Frota!$L15),IF(N(VLOOKUP(Frota!$B15,Premissas!$A$39:$E$43,5,0))&gt;0,IF(MOD(INT(Cron_Uso!R15/Frota!$L15)*Frota!$L15,N(VLOOKUP(Frota!$B15,Premissas!$A$39:$E$43,5,0)))=0,"B",IF(N(VLOOKUP(Frota!$B15,Premissas!$A$39:$E$43,4,0))&gt;0,IF(MOD(INT(Cron_Uso!R15/Frota!$L15)*Frota!$L15,N(VLOOKUP(Frota!$B15,Premissas!$A$39:$E$43,4,0)))=0,"A","S"),"S")),IF(N(VLOOKUP(Frota!$B15,Premissas!$A$39:$E$43,4,0))&gt;0,IF(MOD(INT(Cron_Uso!R15/Frota!$L15)*Frota!$L15,N(VLOOKUP(Frota!$B15,Premissas!$A$39:$E$43,4,0)))=0,"A","S"),"S")),""))</f>
        <v/>
      </c>
      <c r="S15" s="16" t="str">
        <f aca="false">IF(Cron_Uso!S15="","",IF(INT(Cron_Uso!S15/Frota!$L15)&gt;INT(Cron_Uso!R15/Frota!$L15),IF(N(VLOOKUP(Frota!$B15,Premissas!$A$39:$E$43,5,0))&gt;0,IF(MOD(INT(Cron_Uso!S15/Frota!$L15)*Frota!$L15,N(VLOOKUP(Frota!$B15,Premissas!$A$39:$E$43,5,0)))=0,"B",IF(N(VLOOKUP(Frota!$B15,Premissas!$A$39:$E$43,4,0))&gt;0,IF(MOD(INT(Cron_Uso!S15/Frota!$L15)*Frota!$L15,N(VLOOKUP(Frota!$B15,Premissas!$A$39:$E$43,4,0)))=0,"A","S"),"S")),IF(N(VLOOKUP(Frota!$B15,Premissas!$A$39:$E$43,4,0))&gt;0,IF(MOD(INT(Cron_Uso!S15/Frota!$L15)*Frota!$L15,N(VLOOKUP(Frota!$B15,Premissas!$A$39:$E$43,4,0)))=0,"A","S"),"S")),""))</f>
        <v/>
      </c>
      <c r="T15" s="16" t="str">
        <f aca="false">IF(Cron_Uso!T15="","",IF(INT(Cron_Uso!T15/Frota!$L15)&gt;INT(Cron_Uso!S15/Frota!$L15),IF(N(VLOOKUP(Frota!$B15,Premissas!$A$39:$E$43,5,0))&gt;0,IF(MOD(INT(Cron_Uso!T15/Frota!$L15)*Frota!$L15,N(VLOOKUP(Frota!$B15,Premissas!$A$39:$E$43,5,0)))=0,"B",IF(N(VLOOKUP(Frota!$B15,Premissas!$A$39:$E$43,4,0))&gt;0,IF(MOD(INT(Cron_Uso!T15/Frota!$L15)*Frota!$L15,N(VLOOKUP(Frota!$B15,Premissas!$A$39:$E$43,4,0)))=0,"A","S"),"S")),IF(N(VLOOKUP(Frota!$B15,Premissas!$A$39:$E$43,4,0))&gt;0,IF(MOD(INT(Cron_Uso!T15/Frota!$L15)*Frota!$L15,N(VLOOKUP(Frota!$B15,Premissas!$A$39:$E$43,4,0)))=0,"A","S"),"S")),""))</f>
        <v/>
      </c>
      <c r="U15" s="16" t="str">
        <f aca="false">IF(Cron_Uso!U15="","",IF(INT(Cron_Uso!U15/Frota!$L15)&gt;INT(Cron_Uso!T15/Frota!$L15),IF(N(VLOOKUP(Frota!$B15,Premissas!$A$39:$E$43,5,0))&gt;0,IF(MOD(INT(Cron_Uso!U15/Frota!$L15)*Frota!$L15,N(VLOOKUP(Frota!$B15,Premissas!$A$39:$E$43,5,0)))=0,"B",IF(N(VLOOKUP(Frota!$B15,Premissas!$A$39:$E$43,4,0))&gt;0,IF(MOD(INT(Cron_Uso!U15/Frota!$L15)*Frota!$L15,N(VLOOKUP(Frota!$B15,Premissas!$A$39:$E$43,4,0)))=0,"A","S"),"S")),IF(N(VLOOKUP(Frota!$B15,Premissas!$A$39:$E$43,4,0))&gt;0,IF(MOD(INT(Cron_Uso!U15/Frota!$L15)*Frota!$L15,N(VLOOKUP(Frota!$B15,Premissas!$A$39:$E$43,4,0)))=0,"A","S"),"S")),""))</f>
        <v/>
      </c>
      <c r="V15" s="16" t="str">
        <f aca="false">IF(Cron_Uso!V15="","",IF(INT(Cron_Uso!V15/Frota!$L15)&gt;INT(Cron_Uso!U15/Frota!$L15),IF(N(VLOOKUP(Frota!$B15,Premissas!$A$39:$E$43,5,0))&gt;0,IF(MOD(INT(Cron_Uso!V15/Frota!$L15)*Frota!$L15,N(VLOOKUP(Frota!$B15,Premissas!$A$39:$E$43,5,0)))=0,"B",IF(N(VLOOKUP(Frota!$B15,Premissas!$A$39:$E$43,4,0))&gt;0,IF(MOD(INT(Cron_Uso!V15/Frota!$L15)*Frota!$L15,N(VLOOKUP(Frota!$B15,Premissas!$A$39:$E$43,4,0)))=0,"A","S"),"S")),IF(N(VLOOKUP(Frota!$B15,Premissas!$A$39:$E$43,4,0))&gt;0,IF(MOD(INT(Cron_Uso!V15/Frota!$L15)*Frota!$L15,N(VLOOKUP(Frota!$B15,Premissas!$A$39:$E$43,4,0)))=0,"A","S"),"S")),""))</f>
        <v/>
      </c>
      <c r="W15" s="16" t="str">
        <f aca="false">IF(Cron_Uso!W15="","",IF(INT(Cron_Uso!W15/Frota!$L15)&gt;INT(Cron_Uso!V15/Frota!$L15),IF(N(VLOOKUP(Frota!$B15,Premissas!$A$39:$E$43,5,0))&gt;0,IF(MOD(INT(Cron_Uso!W15/Frota!$L15)*Frota!$L15,N(VLOOKUP(Frota!$B15,Premissas!$A$39:$E$43,5,0)))=0,"B",IF(N(VLOOKUP(Frota!$B15,Premissas!$A$39:$E$43,4,0))&gt;0,IF(MOD(INT(Cron_Uso!W15/Frota!$L15)*Frota!$L15,N(VLOOKUP(Frota!$B15,Premissas!$A$39:$E$43,4,0)))=0,"A","S"),"S")),IF(N(VLOOKUP(Frota!$B15,Premissas!$A$39:$E$43,4,0))&gt;0,IF(MOD(INT(Cron_Uso!W15/Frota!$L15)*Frota!$L15,N(VLOOKUP(Frota!$B15,Premissas!$A$39:$E$43,4,0)))=0,"A","S"),"S")),""))</f>
        <v/>
      </c>
      <c r="X15" s="16" t="str">
        <f aca="false">IF(Cron_Uso!X15="","",IF(INT(Cron_Uso!X15/Frota!$L15)&gt;INT(Cron_Uso!W15/Frota!$L15),IF(N(VLOOKUP(Frota!$B15,Premissas!$A$39:$E$43,5,0))&gt;0,IF(MOD(INT(Cron_Uso!X15/Frota!$L15)*Frota!$L15,N(VLOOKUP(Frota!$B15,Premissas!$A$39:$E$43,5,0)))=0,"B",IF(N(VLOOKUP(Frota!$B15,Premissas!$A$39:$E$43,4,0))&gt;0,IF(MOD(INT(Cron_Uso!X15/Frota!$L15)*Frota!$L15,N(VLOOKUP(Frota!$B15,Premissas!$A$39:$E$43,4,0)))=0,"A","S"),"S")),IF(N(VLOOKUP(Frota!$B15,Premissas!$A$39:$E$43,4,0))&gt;0,IF(MOD(INT(Cron_Uso!X15/Frota!$L15)*Frota!$L15,N(VLOOKUP(Frota!$B15,Premissas!$A$39:$E$43,4,0)))=0,"A","S"),"S")),""))</f>
        <v/>
      </c>
      <c r="Y15" s="16" t="str">
        <f aca="false">IF(Cron_Uso!Y15="","",IF(INT(Cron_Uso!Y15/Frota!$L15)&gt;INT(Cron_Uso!X15/Frota!$L15),IF(N(VLOOKUP(Frota!$B15,Premissas!$A$39:$E$43,5,0))&gt;0,IF(MOD(INT(Cron_Uso!Y15/Frota!$L15)*Frota!$L15,N(VLOOKUP(Frota!$B15,Premissas!$A$39:$E$43,5,0)))=0,"B",IF(N(VLOOKUP(Frota!$B15,Premissas!$A$39:$E$43,4,0))&gt;0,IF(MOD(INT(Cron_Uso!Y15/Frota!$L15)*Frota!$L15,N(VLOOKUP(Frota!$B15,Premissas!$A$39:$E$43,4,0)))=0,"A","S"),"S")),IF(N(VLOOKUP(Frota!$B15,Premissas!$A$39:$E$43,4,0))&gt;0,IF(MOD(INT(Cron_Uso!Y15/Frota!$L15)*Frota!$L15,N(VLOOKUP(Frota!$B15,Premissas!$A$39:$E$43,4,0)))=0,"A","S"),"S")),""))</f>
        <v/>
      </c>
      <c r="Z15" s="16" t="str">
        <f aca="false">IF(Cron_Uso!Z15="","",IF(INT(Cron_Uso!Z15/Frota!$L15)&gt;INT(Cron_Uso!Y15/Frota!$L15),IF(N(VLOOKUP(Frota!$B15,Premissas!$A$39:$E$43,5,0))&gt;0,IF(MOD(INT(Cron_Uso!Z15/Frota!$L15)*Frota!$L15,N(VLOOKUP(Frota!$B15,Premissas!$A$39:$E$43,5,0)))=0,"B",IF(N(VLOOKUP(Frota!$B15,Premissas!$A$39:$E$43,4,0))&gt;0,IF(MOD(INT(Cron_Uso!Z15/Frota!$L15)*Frota!$L15,N(VLOOKUP(Frota!$B15,Premissas!$A$39:$E$43,4,0)))=0,"A","S"),"S")),IF(N(VLOOKUP(Frota!$B15,Premissas!$A$39:$E$43,4,0))&gt;0,IF(MOD(INT(Cron_Uso!Z15/Frota!$L15)*Frota!$L15,N(VLOOKUP(Frota!$B15,Premissas!$A$39:$E$43,4,0)))=0,"A","S"),"S")),""))</f>
        <v>A</v>
      </c>
      <c r="AA15" s="16" t="str">
        <f aca="false">IF(Cron_Uso!AA15="","",IF(INT(Cron_Uso!AA15/Frota!$L15)&gt;INT(Cron_Uso!Z15/Frota!$L15),IF(N(VLOOKUP(Frota!$B15,Premissas!$A$39:$E$43,5,0))&gt;0,IF(MOD(INT(Cron_Uso!AA15/Frota!$L15)*Frota!$L15,N(VLOOKUP(Frota!$B15,Premissas!$A$39:$E$43,5,0)))=0,"B",IF(N(VLOOKUP(Frota!$B15,Premissas!$A$39:$E$43,4,0))&gt;0,IF(MOD(INT(Cron_Uso!AA15/Frota!$L15)*Frota!$L15,N(VLOOKUP(Frota!$B15,Premissas!$A$39:$E$43,4,0)))=0,"A","S"),"S")),IF(N(VLOOKUP(Frota!$B15,Premissas!$A$39:$E$43,4,0))&gt;0,IF(MOD(INT(Cron_Uso!AA15/Frota!$L15)*Frota!$L15,N(VLOOKUP(Frota!$B15,Premissas!$A$39:$E$43,4,0)))=0,"A","S"),"S")),""))</f>
        <v/>
      </c>
      <c r="AB15" s="16" t="str">
        <f aca="false">IF(Cron_Uso!AB15="","",IF(INT(Cron_Uso!AB15/Frota!$L15)&gt;INT(Cron_Uso!AA15/Frota!$L15),IF(N(VLOOKUP(Frota!$B15,Premissas!$A$39:$E$43,5,0))&gt;0,IF(MOD(INT(Cron_Uso!AB15/Frota!$L15)*Frota!$L15,N(VLOOKUP(Frota!$B15,Premissas!$A$39:$E$43,5,0)))=0,"B",IF(N(VLOOKUP(Frota!$B15,Premissas!$A$39:$E$43,4,0))&gt;0,IF(MOD(INT(Cron_Uso!AB15/Frota!$L15)*Frota!$L15,N(VLOOKUP(Frota!$B15,Premissas!$A$39:$E$43,4,0)))=0,"A","S"),"S")),IF(N(VLOOKUP(Frota!$B15,Premissas!$A$39:$E$43,4,0))&gt;0,IF(MOD(INT(Cron_Uso!AB15/Frota!$L15)*Frota!$L15,N(VLOOKUP(Frota!$B15,Premissas!$A$39:$E$43,4,0)))=0,"A","S"),"S")),""))</f>
        <v/>
      </c>
      <c r="AC15" s="16" t="str">
        <f aca="false">IF(Cron_Uso!AC15="","",IF(INT(Cron_Uso!AC15/Frota!$L15)&gt;INT(Cron_Uso!AB15/Frota!$L15),IF(N(VLOOKUP(Frota!$B15,Premissas!$A$39:$E$43,5,0))&gt;0,IF(MOD(INT(Cron_Uso!AC15/Frota!$L15)*Frota!$L15,N(VLOOKUP(Frota!$B15,Premissas!$A$39:$E$43,5,0)))=0,"B",IF(N(VLOOKUP(Frota!$B15,Premissas!$A$39:$E$43,4,0))&gt;0,IF(MOD(INT(Cron_Uso!AC15/Frota!$L15)*Frota!$L15,N(VLOOKUP(Frota!$B15,Premissas!$A$39:$E$43,4,0)))=0,"A","S"),"S")),IF(N(VLOOKUP(Frota!$B15,Premissas!$A$39:$E$43,4,0))&gt;0,IF(MOD(INT(Cron_Uso!AC15/Frota!$L15)*Frota!$L15,N(VLOOKUP(Frota!$B15,Premissas!$A$39:$E$43,4,0)))=0,"A","S"),"S")),""))</f>
        <v/>
      </c>
      <c r="AD15" s="16" t="str">
        <f aca="false">IF(Cron_Uso!AD15="","",IF(INT(Cron_Uso!AD15/Frota!$L15)&gt;INT(Cron_Uso!AC15/Frota!$L15),IF(N(VLOOKUP(Frota!$B15,Premissas!$A$39:$E$43,5,0))&gt;0,IF(MOD(INT(Cron_Uso!AD15/Frota!$L15)*Frota!$L15,N(VLOOKUP(Frota!$B15,Premissas!$A$39:$E$43,5,0)))=0,"B",IF(N(VLOOKUP(Frota!$B15,Premissas!$A$39:$E$43,4,0))&gt;0,IF(MOD(INT(Cron_Uso!AD15/Frota!$L15)*Frota!$L15,N(VLOOKUP(Frota!$B15,Premissas!$A$39:$E$43,4,0)))=0,"A","S"),"S")),IF(N(VLOOKUP(Frota!$B15,Premissas!$A$39:$E$43,4,0))&gt;0,IF(MOD(INT(Cron_Uso!AD15/Frota!$L15)*Frota!$L15,N(VLOOKUP(Frota!$B15,Premissas!$A$39:$E$43,4,0)))=0,"A","S"),"S")),""))</f>
        <v/>
      </c>
      <c r="AE15" s="16" t="str">
        <f aca="false">IF(Cron_Uso!AE15="","",IF(INT(Cron_Uso!AE15/Frota!$L15)&gt;INT(Cron_Uso!AD15/Frota!$L15),IF(N(VLOOKUP(Frota!$B15,Premissas!$A$39:$E$43,5,0))&gt;0,IF(MOD(INT(Cron_Uso!AE15/Frota!$L15)*Frota!$L15,N(VLOOKUP(Frota!$B15,Premissas!$A$39:$E$43,5,0)))=0,"B",IF(N(VLOOKUP(Frota!$B15,Premissas!$A$39:$E$43,4,0))&gt;0,IF(MOD(INT(Cron_Uso!AE15/Frota!$L15)*Frota!$L15,N(VLOOKUP(Frota!$B15,Premissas!$A$39:$E$43,4,0)))=0,"A","S"),"S")),IF(N(VLOOKUP(Frota!$B15,Premissas!$A$39:$E$43,4,0))&gt;0,IF(MOD(INT(Cron_Uso!AE15/Frota!$L15)*Frota!$L15,N(VLOOKUP(Frota!$B15,Premissas!$A$39:$E$43,4,0)))=0,"A","S"),"S")),""))</f>
        <v/>
      </c>
      <c r="AF15" s="16" t="str">
        <f aca="false">IF(Cron_Uso!AF15="","",IF(INT(Cron_Uso!AF15/Frota!$L15)&gt;INT(Cron_Uso!AE15/Frota!$L15),IF(N(VLOOKUP(Frota!$B15,Premissas!$A$39:$E$43,5,0))&gt;0,IF(MOD(INT(Cron_Uso!AF15/Frota!$L15)*Frota!$L15,N(VLOOKUP(Frota!$B15,Premissas!$A$39:$E$43,5,0)))=0,"B",IF(N(VLOOKUP(Frota!$B15,Premissas!$A$39:$E$43,4,0))&gt;0,IF(MOD(INT(Cron_Uso!AF15/Frota!$L15)*Frota!$L15,N(VLOOKUP(Frota!$B15,Premissas!$A$39:$E$43,4,0)))=0,"A","S"),"S")),IF(N(VLOOKUP(Frota!$B15,Premissas!$A$39:$E$43,4,0))&gt;0,IF(MOD(INT(Cron_Uso!AF15/Frota!$L15)*Frota!$L15,N(VLOOKUP(Frota!$B15,Premissas!$A$39:$E$43,4,0)))=0,"A","S"),"S")),""))</f>
        <v/>
      </c>
      <c r="AG15" s="16" t="str">
        <f aca="false">IF(Cron_Uso!AG15="","",IF(INT(Cron_Uso!AG15/Frota!$L15)&gt;INT(Cron_Uso!AF15/Frota!$L15),IF(N(VLOOKUP(Frota!$B15,Premissas!$A$39:$E$43,5,0))&gt;0,IF(MOD(INT(Cron_Uso!AG15/Frota!$L15)*Frota!$L15,N(VLOOKUP(Frota!$B15,Premissas!$A$39:$E$43,5,0)))=0,"B",IF(N(VLOOKUP(Frota!$B15,Premissas!$A$39:$E$43,4,0))&gt;0,IF(MOD(INT(Cron_Uso!AG15/Frota!$L15)*Frota!$L15,N(VLOOKUP(Frota!$B15,Premissas!$A$39:$E$43,4,0)))=0,"A","S"),"S")),IF(N(VLOOKUP(Frota!$B15,Premissas!$A$39:$E$43,4,0))&gt;0,IF(MOD(INT(Cron_Uso!AG15/Frota!$L15)*Frota!$L15,N(VLOOKUP(Frota!$B15,Premissas!$A$39:$E$43,4,0)))=0,"A","S"),"S")),""))</f>
        <v/>
      </c>
      <c r="AH15" s="16" t="str">
        <f aca="false">IF(Cron_Uso!AH15="","",IF(INT(Cron_Uso!AH15/Frota!$L15)&gt;INT(Cron_Uso!AG15/Frota!$L15),IF(N(VLOOKUP(Frota!$B15,Premissas!$A$39:$E$43,5,0))&gt;0,IF(MOD(INT(Cron_Uso!AH15/Frota!$L15)*Frota!$L15,N(VLOOKUP(Frota!$B15,Premissas!$A$39:$E$43,5,0)))=0,"B",IF(N(VLOOKUP(Frota!$B15,Premissas!$A$39:$E$43,4,0))&gt;0,IF(MOD(INT(Cron_Uso!AH15/Frota!$L15)*Frota!$L15,N(VLOOKUP(Frota!$B15,Premissas!$A$39:$E$43,4,0)))=0,"A","S"),"S")),IF(N(VLOOKUP(Frota!$B15,Premissas!$A$39:$E$43,4,0))&gt;0,IF(MOD(INT(Cron_Uso!AH15/Frota!$L15)*Frota!$L15,N(VLOOKUP(Frota!$B15,Premissas!$A$39:$E$43,4,0)))=0,"A","S"),"S")),""))</f>
        <v/>
      </c>
      <c r="AI15" s="16" t="str">
        <f aca="false">IF(Cron_Uso!AI15="","",IF(INT(Cron_Uso!AI15/Frota!$L15)&gt;INT(Cron_Uso!AH15/Frota!$L15),IF(N(VLOOKUP(Frota!$B15,Premissas!$A$39:$E$43,5,0))&gt;0,IF(MOD(INT(Cron_Uso!AI15/Frota!$L15)*Frota!$L15,N(VLOOKUP(Frota!$B15,Premissas!$A$39:$E$43,5,0)))=0,"B",IF(N(VLOOKUP(Frota!$B15,Premissas!$A$39:$E$43,4,0))&gt;0,IF(MOD(INT(Cron_Uso!AI15/Frota!$L15)*Frota!$L15,N(VLOOKUP(Frota!$B15,Premissas!$A$39:$E$43,4,0)))=0,"A","S"),"S")),IF(N(VLOOKUP(Frota!$B15,Premissas!$A$39:$E$43,4,0))&gt;0,IF(MOD(INT(Cron_Uso!AI15/Frota!$L15)*Frota!$L15,N(VLOOKUP(Frota!$B15,Premissas!$A$39:$E$43,4,0)))=0,"A","S"),"S")),""))</f>
        <v/>
      </c>
      <c r="AJ15" s="16" t="str">
        <f aca="false">IF(Cron_Uso!AJ15="","",IF(INT(Cron_Uso!AJ15/Frota!$L15)&gt;INT(Cron_Uso!AI15/Frota!$L15),IF(N(VLOOKUP(Frota!$B15,Premissas!$A$39:$E$43,5,0))&gt;0,IF(MOD(INT(Cron_Uso!AJ15/Frota!$L15)*Frota!$L15,N(VLOOKUP(Frota!$B15,Premissas!$A$39:$E$43,5,0)))=0,"B",IF(N(VLOOKUP(Frota!$B15,Premissas!$A$39:$E$43,4,0))&gt;0,IF(MOD(INT(Cron_Uso!AJ15/Frota!$L15)*Frota!$L15,N(VLOOKUP(Frota!$B15,Premissas!$A$39:$E$43,4,0)))=0,"A","S"),"S")),IF(N(VLOOKUP(Frota!$B15,Premissas!$A$39:$E$43,4,0))&gt;0,IF(MOD(INT(Cron_Uso!AJ15/Frota!$L15)*Frota!$L15,N(VLOOKUP(Frota!$B15,Premissas!$A$39:$E$43,4,0)))=0,"A","S"),"S")),""))</f>
        <v>S</v>
      </c>
      <c r="AK15" s="16" t="str">
        <f aca="false">IF(Cron_Uso!AK15="","",IF(INT(Cron_Uso!AK15/Frota!$L15)&gt;INT(Cron_Uso!AJ15/Frota!$L15),IF(N(VLOOKUP(Frota!$B15,Premissas!$A$39:$E$43,5,0))&gt;0,IF(MOD(INT(Cron_Uso!AK15/Frota!$L15)*Frota!$L15,N(VLOOKUP(Frota!$B15,Premissas!$A$39:$E$43,5,0)))=0,"B",IF(N(VLOOKUP(Frota!$B15,Premissas!$A$39:$E$43,4,0))&gt;0,IF(MOD(INT(Cron_Uso!AK15/Frota!$L15)*Frota!$L15,N(VLOOKUP(Frota!$B15,Premissas!$A$39:$E$43,4,0)))=0,"A","S"),"S")),IF(N(VLOOKUP(Frota!$B15,Premissas!$A$39:$E$43,4,0))&gt;0,IF(MOD(INT(Cron_Uso!AK15/Frota!$L15)*Frota!$L15,N(VLOOKUP(Frota!$B15,Premissas!$A$39:$E$43,4,0)))=0,"A","S"),"S")),""))</f>
        <v/>
      </c>
      <c r="AL15" s="16" t="str">
        <f aca="false">IF(Cron_Uso!AL15="","",IF(INT(Cron_Uso!AL15/Frota!$L15)&gt;INT(Cron_Uso!AK15/Frota!$L15),IF(N(VLOOKUP(Frota!$B15,Premissas!$A$39:$E$43,5,0))&gt;0,IF(MOD(INT(Cron_Uso!AL15/Frota!$L15)*Frota!$L15,N(VLOOKUP(Frota!$B15,Premissas!$A$39:$E$43,5,0)))=0,"B",IF(N(VLOOKUP(Frota!$B15,Premissas!$A$39:$E$43,4,0))&gt;0,IF(MOD(INT(Cron_Uso!AL15/Frota!$L15)*Frota!$L15,N(VLOOKUP(Frota!$B15,Premissas!$A$39:$E$43,4,0)))=0,"A","S"),"S")),IF(N(VLOOKUP(Frota!$B15,Premissas!$A$39:$E$43,4,0))&gt;0,IF(MOD(INT(Cron_Uso!AL15/Frota!$L15)*Frota!$L15,N(VLOOKUP(Frota!$B15,Premissas!$A$39:$E$43,4,0)))=0,"A","S"),"S")),""))</f>
        <v/>
      </c>
      <c r="AM15" s="16" t="str">
        <f aca="false">IF(Cron_Uso!AM15="","",IF(INT(Cron_Uso!AM15/Frota!$L15)&gt;INT(Cron_Uso!AL15/Frota!$L15),IF(N(VLOOKUP(Frota!$B15,Premissas!$A$39:$E$43,5,0))&gt;0,IF(MOD(INT(Cron_Uso!AM15/Frota!$L15)*Frota!$L15,N(VLOOKUP(Frota!$B15,Premissas!$A$39:$E$43,5,0)))=0,"B",IF(N(VLOOKUP(Frota!$B15,Premissas!$A$39:$E$43,4,0))&gt;0,IF(MOD(INT(Cron_Uso!AM15/Frota!$L15)*Frota!$L15,N(VLOOKUP(Frota!$B15,Premissas!$A$39:$E$43,4,0)))=0,"A","S"),"S")),IF(N(VLOOKUP(Frota!$B15,Premissas!$A$39:$E$43,4,0))&gt;0,IF(MOD(INT(Cron_Uso!AM15/Frota!$L15)*Frota!$L15,N(VLOOKUP(Frota!$B15,Premissas!$A$39:$E$43,4,0)))=0,"A","S"),"S")),""))</f>
        <v/>
      </c>
      <c r="AN15" s="16" t="str">
        <f aca="false">IF(Cron_Uso!AN15="","",IF(INT(Cron_Uso!AN15/Frota!$L15)&gt;INT(Cron_Uso!AM15/Frota!$L15),IF(N(VLOOKUP(Frota!$B15,Premissas!$A$39:$E$43,5,0))&gt;0,IF(MOD(INT(Cron_Uso!AN15/Frota!$L15)*Frota!$L15,N(VLOOKUP(Frota!$B15,Premissas!$A$39:$E$43,5,0)))=0,"B",IF(N(VLOOKUP(Frota!$B15,Premissas!$A$39:$E$43,4,0))&gt;0,IF(MOD(INT(Cron_Uso!AN15/Frota!$L15)*Frota!$L15,N(VLOOKUP(Frota!$B15,Premissas!$A$39:$E$43,4,0)))=0,"A","S"),"S")),IF(N(VLOOKUP(Frota!$B15,Premissas!$A$39:$E$43,4,0))&gt;0,IF(MOD(INT(Cron_Uso!AN15/Frota!$L15)*Frota!$L15,N(VLOOKUP(Frota!$B15,Premissas!$A$39:$E$43,4,0)))=0,"A","S"),"S")),""))</f>
        <v/>
      </c>
      <c r="AO15" s="16" t="str">
        <f aca="false">IF(Cron_Uso!AO15="","",IF(INT(Cron_Uso!AO15/Frota!$L15)&gt;INT(Cron_Uso!AN15/Frota!$L15),IF(N(VLOOKUP(Frota!$B15,Premissas!$A$39:$E$43,5,0))&gt;0,IF(MOD(INT(Cron_Uso!AO15/Frota!$L15)*Frota!$L15,N(VLOOKUP(Frota!$B15,Premissas!$A$39:$E$43,5,0)))=0,"B",IF(N(VLOOKUP(Frota!$B15,Premissas!$A$39:$E$43,4,0))&gt;0,IF(MOD(INT(Cron_Uso!AO15/Frota!$L15)*Frota!$L15,N(VLOOKUP(Frota!$B15,Premissas!$A$39:$E$43,4,0)))=0,"A","S"),"S")),IF(N(VLOOKUP(Frota!$B15,Premissas!$A$39:$E$43,4,0))&gt;0,IF(MOD(INT(Cron_Uso!AO15/Frota!$L15)*Frota!$L15,N(VLOOKUP(Frota!$B15,Premissas!$A$39:$E$43,4,0)))=0,"A","S"),"S")),""))</f>
        <v/>
      </c>
      <c r="AP15" s="16" t="str">
        <f aca="false">IF(Cron_Uso!AP15="","",IF(INT(Cron_Uso!AP15/Frota!$L15)&gt;INT(Cron_Uso!AO15/Frota!$L15),IF(N(VLOOKUP(Frota!$B15,Premissas!$A$39:$E$43,5,0))&gt;0,IF(MOD(INT(Cron_Uso!AP15/Frota!$L15)*Frota!$L15,N(VLOOKUP(Frota!$B15,Premissas!$A$39:$E$43,5,0)))=0,"B",IF(N(VLOOKUP(Frota!$B15,Premissas!$A$39:$E$43,4,0))&gt;0,IF(MOD(INT(Cron_Uso!AP15/Frota!$L15)*Frota!$L15,N(VLOOKUP(Frota!$B15,Premissas!$A$39:$E$43,4,0)))=0,"A","S"),"S")),IF(N(VLOOKUP(Frota!$B15,Premissas!$A$39:$E$43,4,0))&gt;0,IF(MOD(INT(Cron_Uso!AP15/Frota!$L15)*Frota!$L15,N(VLOOKUP(Frota!$B15,Premissas!$A$39:$E$43,4,0)))=0,"A","S"),"S")),""))</f>
        <v/>
      </c>
      <c r="AQ15" s="16" t="str">
        <f aca="false">IF(Cron_Uso!AQ15="","",IF(INT(Cron_Uso!AQ15/Frota!$L15)&gt;INT(Cron_Uso!AP15/Frota!$L15),IF(N(VLOOKUP(Frota!$B15,Premissas!$A$39:$E$43,5,0))&gt;0,IF(MOD(INT(Cron_Uso!AQ15/Frota!$L15)*Frota!$L15,N(VLOOKUP(Frota!$B15,Premissas!$A$39:$E$43,5,0)))=0,"B",IF(N(VLOOKUP(Frota!$B15,Premissas!$A$39:$E$43,4,0))&gt;0,IF(MOD(INT(Cron_Uso!AQ15/Frota!$L15)*Frota!$L15,N(VLOOKUP(Frota!$B15,Premissas!$A$39:$E$43,4,0)))=0,"A","S"),"S")),IF(N(VLOOKUP(Frota!$B15,Premissas!$A$39:$E$43,4,0))&gt;0,IF(MOD(INT(Cron_Uso!AQ15/Frota!$L15)*Frota!$L15,N(VLOOKUP(Frota!$B15,Premissas!$A$39:$E$43,4,0)))=0,"A","S"),"S")),""))</f>
        <v/>
      </c>
      <c r="AR15" s="16" t="str">
        <f aca="false">IF(Cron_Uso!AR15="","",IF(INT(Cron_Uso!AR15/Frota!$L15)&gt;INT(Cron_Uso!AQ15/Frota!$L15),IF(N(VLOOKUP(Frota!$B15,Premissas!$A$39:$E$43,5,0))&gt;0,IF(MOD(INT(Cron_Uso!AR15/Frota!$L15)*Frota!$L15,N(VLOOKUP(Frota!$B15,Premissas!$A$39:$E$43,5,0)))=0,"B",IF(N(VLOOKUP(Frota!$B15,Premissas!$A$39:$E$43,4,0))&gt;0,IF(MOD(INT(Cron_Uso!AR15/Frota!$L15)*Frota!$L15,N(VLOOKUP(Frota!$B15,Premissas!$A$39:$E$43,4,0)))=0,"A","S"),"S")),IF(N(VLOOKUP(Frota!$B15,Premissas!$A$39:$E$43,4,0))&gt;0,IF(MOD(INT(Cron_Uso!AR15/Frota!$L15)*Frota!$L15,N(VLOOKUP(Frota!$B15,Premissas!$A$39:$E$43,4,0)))=0,"A","S"),"S")),""))</f>
        <v/>
      </c>
      <c r="AS15" s="16" t="str">
        <f aca="false">IF(Cron_Uso!AS15="","",IF(INT(Cron_Uso!AS15/Frota!$L15)&gt;INT(Cron_Uso!AR15/Frota!$L15),IF(N(VLOOKUP(Frota!$B15,Premissas!$A$39:$E$43,5,0))&gt;0,IF(MOD(INT(Cron_Uso!AS15/Frota!$L15)*Frota!$L15,N(VLOOKUP(Frota!$B15,Premissas!$A$39:$E$43,5,0)))=0,"B",IF(N(VLOOKUP(Frota!$B15,Premissas!$A$39:$E$43,4,0))&gt;0,IF(MOD(INT(Cron_Uso!AS15/Frota!$L15)*Frota!$L15,N(VLOOKUP(Frota!$B15,Premissas!$A$39:$E$43,4,0)))=0,"A","S"),"S")),IF(N(VLOOKUP(Frota!$B15,Premissas!$A$39:$E$43,4,0))&gt;0,IF(MOD(INT(Cron_Uso!AS15/Frota!$L15)*Frota!$L15,N(VLOOKUP(Frota!$B15,Premissas!$A$39:$E$43,4,0)))=0,"A","S"),"S")),""))</f>
        <v/>
      </c>
      <c r="AT15" s="16" t="str">
        <f aca="false">IF(Cron_Uso!AT15="","",IF(INT(Cron_Uso!AT15/Frota!$L15)&gt;INT(Cron_Uso!AS15/Frota!$L15),IF(N(VLOOKUP(Frota!$B15,Premissas!$A$39:$E$43,5,0))&gt;0,IF(MOD(INT(Cron_Uso!AT15/Frota!$L15)*Frota!$L15,N(VLOOKUP(Frota!$B15,Premissas!$A$39:$E$43,5,0)))=0,"B",IF(N(VLOOKUP(Frota!$B15,Premissas!$A$39:$E$43,4,0))&gt;0,IF(MOD(INT(Cron_Uso!AT15/Frota!$L15)*Frota!$L15,N(VLOOKUP(Frota!$B15,Premissas!$A$39:$E$43,4,0)))=0,"A","S"),"S")),IF(N(VLOOKUP(Frota!$B15,Premissas!$A$39:$E$43,4,0))&gt;0,IF(MOD(INT(Cron_Uso!AT15/Frota!$L15)*Frota!$L15,N(VLOOKUP(Frota!$B15,Premissas!$A$39:$E$43,4,0)))=0,"A","S"),"S")),""))</f>
        <v/>
      </c>
      <c r="AU15" s="16" t="str">
        <f aca="false">IF(Cron_Uso!AU15="","",IF(INT(Cron_Uso!AU15/Frota!$L15)&gt;INT(Cron_Uso!AT15/Frota!$L15),IF(N(VLOOKUP(Frota!$B15,Premissas!$A$39:$E$43,5,0))&gt;0,IF(MOD(INT(Cron_Uso!AU15/Frota!$L15)*Frota!$L15,N(VLOOKUP(Frota!$B15,Premissas!$A$39:$E$43,5,0)))=0,"B",IF(N(VLOOKUP(Frota!$B15,Premissas!$A$39:$E$43,4,0))&gt;0,IF(MOD(INT(Cron_Uso!AU15/Frota!$L15)*Frota!$L15,N(VLOOKUP(Frota!$B15,Premissas!$A$39:$E$43,4,0)))=0,"A","S"),"S")),IF(N(VLOOKUP(Frota!$B15,Premissas!$A$39:$E$43,4,0))&gt;0,IF(MOD(INT(Cron_Uso!AU15/Frota!$L15)*Frota!$L15,N(VLOOKUP(Frota!$B15,Premissas!$A$39:$E$43,4,0)))=0,"A","S"),"S")),""))</f>
        <v/>
      </c>
      <c r="AV15" s="16" t="str">
        <f aca="false">IF(Cron_Uso!AV15="","",IF(INT(Cron_Uso!AV15/Frota!$L15)&gt;INT(Cron_Uso!AU15/Frota!$L15),IF(N(VLOOKUP(Frota!$B15,Premissas!$A$39:$E$43,5,0))&gt;0,IF(MOD(INT(Cron_Uso!AV15/Frota!$L15)*Frota!$L15,N(VLOOKUP(Frota!$B15,Premissas!$A$39:$E$43,5,0)))=0,"B",IF(N(VLOOKUP(Frota!$B15,Premissas!$A$39:$E$43,4,0))&gt;0,IF(MOD(INT(Cron_Uso!AV15/Frota!$L15)*Frota!$L15,N(VLOOKUP(Frota!$B15,Premissas!$A$39:$E$43,4,0)))=0,"A","S"),"S")),IF(N(VLOOKUP(Frota!$B15,Premissas!$A$39:$E$43,4,0))&gt;0,IF(MOD(INT(Cron_Uso!AV15/Frota!$L15)*Frota!$L15,N(VLOOKUP(Frota!$B15,Premissas!$A$39:$E$43,4,0)))=0,"A","S"),"S")),""))</f>
        <v/>
      </c>
      <c r="AW15" s="16" t="str">
        <f aca="false">IF(Cron_Uso!AW15="","",IF(INT(Cron_Uso!AW15/Frota!$L15)&gt;INT(Cron_Uso!AV15/Frota!$L15),IF(N(VLOOKUP(Frota!$B15,Premissas!$A$39:$E$43,5,0))&gt;0,IF(MOD(INT(Cron_Uso!AW15/Frota!$L15)*Frota!$L15,N(VLOOKUP(Frota!$B15,Premissas!$A$39:$E$43,5,0)))=0,"B",IF(N(VLOOKUP(Frota!$B15,Premissas!$A$39:$E$43,4,0))&gt;0,IF(MOD(INT(Cron_Uso!AW15/Frota!$L15)*Frota!$L15,N(VLOOKUP(Frota!$B15,Premissas!$A$39:$E$43,4,0)))=0,"A","S"),"S")),IF(N(VLOOKUP(Frota!$B15,Premissas!$A$39:$E$43,4,0))&gt;0,IF(MOD(INT(Cron_Uso!AW15/Frota!$L15)*Frota!$L15,N(VLOOKUP(Frota!$B15,Premissas!$A$39:$E$43,4,0)))=0,"A","S"),"S")),""))</f>
        <v/>
      </c>
      <c r="AX15" s="16" t="str">
        <f aca="false">IF(Cron_Uso!AX15="","",IF(INT(Cron_Uso!AX15/Frota!$L15)&gt;INT(Cron_Uso!AW15/Frota!$L15),IF(N(VLOOKUP(Frota!$B15,Premissas!$A$39:$E$43,5,0))&gt;0,IF(MOD(INT(Cron_Uso!AX15/Frota!$L15)*Frota!$L15,N(VLOOKUP(Frota!$B15,Premissas!$A$39:$E$43,5,0)))=0,"B",IF(N(VLOOKUP(Frota!$B15,Premissas!$A$39:$E$43,4,0))&gt;0,IF(MOD(INT(Cron_Uso!AX15/Frota!$L15)*Frota!$L15,N(VLOOKUP(Frota!$B15,Premissas!$A$39:$E$43,4,0)))=0,"A","S"),"S")),IF(N(VLOOKUP(Frota!$B15,Premissas!$A$39:$E$43,4,0))&gt;0,IF(MOD(INT(Cron_Uso!AX15/Frota!$L15)*Frota!$L15,N(VLOOKUP(Frota!$B15,Premissas!$A$39:$E$43,4,0)))=0,"A","S"),"S")),""))</f>
        <v/>
      </c>
      <c r="AY15" s="16" t="str">
        <f aca="false">IF(Cron_Uso!AY15="","",IF(INT(Cron_Uso!AY15/Frota!$L15)&gt;INT(Cron_Uso!AX15/Frota!$L15),IF(N(VLOOKUP(Frota!$B15,Premissas!$A$39:$E$43,5,0))&gt;0,IF(MOD(INT(Cron_Uso!AY15/Frota!$L15)*Frota!$L15,N(VLOOKUP(Frota!$B15,Premissas!$A$39:$E$43,5,0)))=0,"B",IF(N(VLOOKUP(Frota!$B15,Premissas!$A$39:$E$43,4,0))&gt;0,IF(MOD(INT(Cron_Uso!AY15/Frota!$L15)*Frota!$L15,N(VLOOKUP(Frota!$B15,Premissas!$A$39:$E$43,4,0)))=0,"A","S"),"S")),IF(N(VLOOKUP(Frota!$B15,Premissas!$A$39:$E$43,4,0))&gt;0,IF(MOD(INT(Cron_Uso!AY15/Frota!$L15)*Frota!$L15,N(VLOOKUP(Frota!$B15,Premissas!$A$39:$E$43,4,0)))=0,"A","S"),"S")),""))</f>
        <v/>
      </c>
      <c r="AZ15" s="16" t="str">
        <f aca="false">IF(Cron_Uso!AZ15="","",IF(INT(Cron_Uso!AZ15/Frota!$L15)&gt;INT(Cron_Uso!AY15/Frota!$L15),IF(N(VLOOKUP(Frota!$B15,Premissas!$A$39:$E$43,5,0))&gt;0,IF(MOD(INT(Cron_Uso!AZ15/Frota!$L15)*Frota!$L15,N(VLOOKUP(Frota!$B15,Premissas!$A$39:$E$43,5,0)))=0,"B",IF(N(VLOOKUP(Frota!$B15,Premissas!$A$39:$E$43,4,0))&gt;0,IF(MOD(INT(Cron_Uso!AZ15/Frota!$L15)*Frota!$L15,N(VLOOKUP(Frota!$B15,Premissas!$A$39:$E$43,4,0)))=0,"A","S"),"S")),IF(N(VLOOKUP(Frota!$B15,Premissas!$A$39:$E$43,4,0))&gt;0,IF(MOD(INT(Cron_Uso!AZ15/Frota!$L15)*Frota!$L15,N(VLOOKUP(Frota!$B15,Premissas!$A$39:$E$43,4,0)))=0,"A","S"),"S")),""))</f>
        <v/>
      </c>
      <c r="BA15" s="16" t="str">
        <f aca="false">IF(Cron_Uso!BA15="","",IF(INT(Cron_Uso!BA15/Frota!$L15)&gt;INT(Cron_Uso!AZ15/Frota!$L15),IF(N(VLOOKUP(Frota!$B15,Premissas!$A$39:$E$43,5,0))&gt;0,IF(MOD(INT(Cron_Uso!BA15/Frota!$L15)*Frota!$L15,N(VLOOKUP(Frota!$B15,Premissas!$A$39:$E$43,5,0)))=0,"B",IF(N(VLOOKUP(Frota!$B15,Premissas!$A$39:$E$43,4,0))&gt;0,IF(MOD(INT(Cron_Uso!BA15/Frota!$L15)*Frota!$L15,N(VLOOKUP(Frota!$B15,Premissas!$A$39:$E$43,4,0)))=0,"A","S"),"S")),IF(N(VLOOKUP(Frota!$B15,Premissas!$A$39:$E$43,4,0))&gt;0,IF(MOD(INT(Cron_Uso!BA15/Frota!$L15)*Frota!$L15,N(VLOOKUP(Frota!$B15,Premissas!$A$39:$E$43,4,0)))=0,"A","S"),"S")),""))</f>
        <v/>
      </c>
    </row>
    <row r="16" customFormat="false" ht="15" hidden="false" customHeight="false" outlineLevel="0" collapsed="false">
      <c r="A16" s="6" t="str">
        <f aca="false">IF(Frota!$A16="","",Frota!$A16)</f>
        <v>Fiat Toro — 5001</v>
      </c>
      <c r="B16" s="16" t="str">
        <f aca="false">IF(Cron_Uso!B16="","",IF(INT(Cron_Uso!B16/Frota!$L16)&gt;INT(Frota!$I16/Frota!$L16),IF(N(VLOOKUP(Frota!$B16,Premissas!$A$39:$E$43,5,0))&gt;0,IF(MOD(INT(Cron_Uso!B16/Frota!$L16)*Frota!$L16,N(VLOOKUP(Frota!$B16,Premissas!$A$39:$E$43,5,0)))=0,"B",IF(N(VLOOKUP(Frota!$B16,Premissas!$A$39:$E$43,4,0))&gt;0,IF(MOD(INT(Cron_Uso!B16/Frota!$L16)*Frota!$L16,N(VLOOKUP(Frota!$B16,Premissas!$A$39:$E$43,4,0)))=0,"A","S"),"S")),IF(N(VLOOKUP(Frota!$B16,Premissas!$A$39:$E$43,4,0))&gt;0,IF(MOD(INT(Cron_Uso!B16/Frota!$L16)*Frota!$L16,N(VLOOKUP(Frota!$B16,Premissas!$A$39:$E$43,4,0)))=0,"A","S"),"S")),""))</f>
        <v/>
      </c>
      <c r="C16" s="16" t="str">
        <f aca="false">IF(Cron_Uso!C16="","",IF(INT(Cron_Uso!C16/Frota!$L16)&gt;INT(Cron_Uso!B16/Frota!$L16),IF(N(VLOOKUP(Frota!$B16,Premissas!$A$39:$E$43,5,0))&gt;0,IF(MOD(INT(Cron_Uso!C16/Frota!$L16)*Frota!$L16,N(VLOOKUP(Frota!$B16,Premissas!$A$39:$E$43,5,0)))=0,"B",IF(N(VLOOKUP(Frota!$B16,Premissas!$A$39:$E$43,4,0))&gt;0,IF(MOD(INT(Cron_Uso!C16/Frota!$L16)*Frota!$L16,N(VLOOKUP(Frota!$B16,Premissas!$A$39:$E$43,4,0)))=0,"A","S"),"S")),IF(N(VLOOKUP(Frota!$B16,Premissas!$A$39:$E$43,4,0))&gt;0,IF(MOD(INT(Cron_Uso!C16/Frota!$L16)*Frota!$L16,N(VLOOKUP(Frota!$B16,Premissas!$A$39:$E$43,4,0)))=0,"A","S"),"S")),""))</f>
        <v/>
      </c>
      <c r="D16" s="16" t="str">
        <f aca="false">IF(Cron_Uso!D16="","",IF(INT(Cron_Uso!D16/Frota!$L16)&gt;INT(Cron_Uso!C16/Frota!$L16),IF(N(VLOOKUP(Frota!$B16,Premissas!$A$39:$E$43,5,0))&gt;0,IF(MOD(INT(Cron_Uso!D16/Frota!$L16)*Frota!$L16,N(VLOOKUP(Frota!$B16,Premissas!$A$39:$E$43,5,0)))=0,"B",IF(N(VLOOKUP(Frota!$B16,Premissas!$A$39:$E$43,4,0))&gt;0,IF(MOD(INT(Cron_Uso!D16/Frota!$L16)*Frota!$L16,N(VLOOKUP(Frota!$B16,Premissas!$A$39:$E$43,4,0)))=0,"A","S"),"S")),IF(N(VLOOKUP(Frota!$B16,Premissas!$A$39:$E$43,4,0))&gt;0,IF(MOD(INT(Cron_Uso!D16/Frota!$L16)*Frota!$L16,N(VLOOKUP(Frota!$B16,Premissas!$A$39:$E$43,4,0)))=0,"A","S"),"S")),""))</f>
        <v/>
      </c>
      <c r="E16" s="16" t="str">
        <f aca="false">IF(Cron_Uso!E16="","",IF(INT(Cron_Uso!E16/Frota!$L16)&gt;INT(Cron_Uso!D16/Frota!$L16),IF(N(VLOOKUP(Frota!$B16,Premissas!$A$39:$E$43,5,0))&gt;0,IF(MOD(INT(Cron_Uso!E16/Frota!$L16)*Frota!$L16,N(VLOOKUP(Frota!$B16,Premissas!$A$39:$E$43,5,0)))=0,"B",IF(N(VLOOKUP(Frota!$B16,Premissas!$A$39:$E$43,4,0))&gt;0,IF(MOD(INT(Cron_Uso!E16/Frota!$L16)*Frota!$L16,N(VLOOKUP(Frota!$B16,Premissas!$A$39:$E$43,4,0)))=0,"A","S"),"S")),IF(N(VLOOKUP(Frota!$B16,Premissas!$A$39:$E$43,4,0))&gt;0,IF(MOD(INT(Cron_Uso!E16/Frota!$L16)*Frota!$L16,N(VLOOKUP(Frota!$B16,Premissas!$A$39:$E$43,4,0)))=0,"A","S"),"S")),""))</f>
        <v/>
      </c>
      <c r="F16" s="16" t="str">
        <f aca="false">IF(Cron_Uso!F16="","",IF(INT(Cron_Uso!F16/Frota!$L16)&gt;INT(Cron_Uso!E16/Frota!$L16),IF(N(VLOOKUP(Frota!$B16,Premissas!$A$39:$E$43,5,0))&gt;0,IF(MOD(INT(Cron_Uso!F16/Frota!$L16)*Frota!$L16,N(VLOOKUP(Frota!$B16,Premissas!$A$39:$E$43,5,0)))=0,"B",IF(N(VLOOKUP(Frota!$B16,Premissas!$A$39:$E$43,4,0))&gt;0,IF(MOD(INT(Cron_Uso!F16/Frota!$L16)*Frota!$L16,N(VLOOKUP(Frota!$B16,Premissas!$A$39:$E$43,4,0)))=0,"A","S"),"S")),IF(N(VLOOKUP(Frota!$B16,Premissas!$A$39:$E$43,4,0))&gt;0,IF(MOD(INT(Cron_Uso!F16/Frota!$L16)*Frota!$L16,N(VLOOKUP(Frota!$B16,Premissas!$A$39:$E$43,4,0)))=0,"A","S"),"S")),""))</f>
        <v/>
      </c>
      <c r="G16" s="16" t="str">
        <f aca="false">IF(Cron_Uso!G16="","",IF(INT(Cron_Uso!G16/Frota!$L16)&gt;INT(Cron_Uso!F16/Frota!$L16),IF(N(VLOOKUP(Frota!$B16,Premissas!$A$39:$E$43,5,0))&gt;0,IF(MOD(INT(Cron_Uso!G16/Frota!$L16)*Frota!$L16,N(VLOOKUP(Frota!$B16,Premissas!$A$39:$E$43,5,0)))=0,"B",IF(N(VLOOKUP(Frota!$B16,Premissas!$A$39:$E$43,4,0))&gt;0,IF(MOD(INT(Cron_Uso!G16/Frota!$L16)*Frota!$L16,N(VLOOKUP(Frota!$B16,Premissas!$A$39:$E$43,4,0)))=0,"A","S"),"S")),IF(N(VLOOKUP(Frota!$B16,Premissas!$A$39:$E$43,4,0))&gt;0,IF(MOD(INT(Cron_Uso!G16/Frota!$L16)*Frota!$L16,N(VLOOKUP(Frota!$B16,Premissas!$A$39:$E$43,4,0)))=0,"A","S"),"S")),""))</f>
        <v/>
      </c>
      <c r="H16" s="16" t="str">
        <f aca="false">IF(Cron_Uso!H16="","",IF(INT(Cron_Uso!H16/Frota!$L16)&gt;INT(Cron_Uso!G16/Frota!$L16),IF(N(VLOOKUP(Frota!$B16,Premissas!$A$39:$E$43,5,0))&gt;0,IF(MOD(INT(Cron_Uso!H16/Frota!$L16)*Frota!$L16,N(VLOOKUP(Frota!$B16,Premissas!$A$39:$E$43,5,0)))=0,"B",IF(N(VLOOKUP(Frota!$B16,Premissas!$A$39:$E$43,4,0))&gt;0,IF(MOD(INT(Cron_Uso!H16/Frota!$L16)*Frota!$L16,N(VLOOKUP(Frota!$B16,Premissas!$A$39:$E$43,4,0)))=0,"A","S"),"S")),IF(N(VLOOKUP(Frota!$B16,Premissas!$A$39:$E$43,4,0))&gt;0,IF(MOD(INT(Cron_Uso!H16/Frota!$L16)*Frota!$L16,N(VLOOKUP(Frota!$B16,Premissas!$A$39:$E$43,4,0)))=0,"A","S"),"S")),""))</f>
        <v/>
      </c>
      <c r="I16" s="16" t="str">
        <f aca="false">IF(Cron_Uso!I16="","",IF(INT(Cron_Uso!I16/Frota!$L16)&gt;INT(Cron_Uso!H16/Frota!$L16),IF(N(VLOOKUP(Frota!$B16,Premissas!$A$39:$E$43,5,0))&gt;0,IF(MOD(INT(Cron_Uso!I16/Frota!$L16)*Frota!$L16,N(VLOOKUP(Frota!$B16,Premissas!$A$39:$E$43,5,0)))=0,"B",IF(N(VLOOKUP(Frota!$B16,Premissas!$A$39:$E$43,4,0))&gt;0,IF(MOD(INT(Cron_Uso!I16/Frota!$L16)*Frota!$L16,N(VLOOKUP(Frota!$B16,Premissas!$A$39:$E$43,4,0)))=0,"A","S"),"S")),IF(N(VLOOKUP(Frota!$B16,Premissas!$A$39:$E$43,4,0))&gt;0,IF(MOD(INT(Cron_Uso!I16/Frota!$L16)*Frota!$L16,N(VLOOKUP(Frota!$B16,Premissas!$A$39:$E$43,4,0)))=0,"A","S"),"S")),""))</f>
        <v/>
      </c>
      <c r="J16" s="16" t="str">
        <f aca="false">IF(Cron_Uso!J16="","",IF(INT(Cron_Uso!J16/Frota!$L16)&gt;INT(Cron_Uso!I16/Frota!$L16),IF(N(VLOOKUP(Frota!$B16,Premissas!$A$39:$E$43,5,0))&gt;0,IF(MOD(INT(Cron_Uso!J16/Frota!$L16)*Frota!$L16,N(VLOOKUP(Frota!$B16,Premissas!$A$39:$E$43,5,0)))=0,"B",IF(N(VLOOKUP(Frota!$B16,Premissas!$A$39:$E$43,4,0))&gt;0,IF(MOD(INT(Cron_Uso!J16/Frota!$L16)*Frota!$L16,N(VLOOKUP(Frota!$B16,Premissas!$A$39:$E$43,4,0)))=0,"A","S"),"S")),IF(N(VLOOKUP(Frota!$B16,Premissas!$A$39:$E$43,4,0))&gt;0,IF(MOD(INT(Cron_Uso!J16/Frota!$L16)*Frota!$L16,N(VLOOKUP(Frota!$B16,Premissas!$A$39:$E$43,4,0)))=0,"A","S"),"S")),""))</f>
        <v/>
      </c>
      <c r="K16" s="16" t="str">
        <f aca="false">IF(Cron_Uso!K16="","",IF(INT(Cron_Uso!K16/Frota!$L16)&gt;INT(Cron_Uso!J16/Frota!$L16),IF(N(VLOOKUP(Frota!$B16,Premissas!$A$39:$E$43,5,0))&gt;0,IF(MOD(INT(Cron_Uso!K16/Frota!$L16)*Frota!$L16,N(VLOOKUP(Frota!$B16,Premissas!$A$39:$E$43,5,0)))=0,"B",IF(N(VLOOKUP(Frota!$B16,Premissas!$A$39:$E$43,4,0))&gt;0,IF(MOD(INT(Cron_Uso!K16/Frota!$L16)*Frota!$L16,N(VLOOKUP(Frota!$B16,Premissas!$A$39:$E$43,4,0)))=0,"A","S"),"S")),IF(N(VLOOKUP(Frota!$B16,Premissas!$A$39:$E$43,4,0))&gt;0,IF(MOD(INT(Cron_Uso!K16/Frota!$L16)*Frota!$L16,N(VLOOKUP(Frota!$B16,Premissas!$A$39:$E$43,4,0)))=0,"A","S"),"S")),""))</f>
        <v/>
      </c>
      <c r="L16" s="16" t="str">
        <f aca="false">IF(Cron_Uso!L16="","",IF(INT(Cron_Uso!L16/Frota!$L16)&gt;INT(Cron_Uso!K16/Frota!$L16),IF(N(VLOOKUP(Frota!$B16,Premissas!$A$39:$E$43,5,0))&gt;0,IF(MOD(INT(Cron_Uso!L16/Frota!$L16)*Frota!$L16,N(VLOOKUP(Frota!$B16,Premissas!$A$39:$E$43,5,0)))=0,"B",IF(N(VLOOKUP(Frota!$B16,Premissas!$A$39:$E$43,4,0))&gt;0,IF(MOD(INT(Cron_Uso!L16/Frota!$L16)*Frota!$L16,N(VLOOKUP(Frota!$B16,Premissas!$A$39:$E$43,4,0)))=0,"A","S"),"S")),IF(N(VLOOKUP(Frota!$B16,Premissas!$A$39:$E$43,4,0))&gt;0,IF(MOD(INT(Cron_Uso!L16/Frota!$L16)*Frota!$L16,N(VLOOKUP(Frota!$B16,Premissas!$A$39:$E$43,4,0)))=0,"A","S"),"S")),""))</f>
        <v/>
      </c>
      <c r="M16" s="16" t="str">
        <f aca="false">IF(Cron_Uso!M16="","",IF(INT(Cron_Uso!M16/Frota!$L16)&gt;INT(Cron_Uso!L16/Frota!$L16),IF(N(VLOOKUP(Frota!$B16,Premissas!$A$39:$E$43,5,0))&gt;0,IF(MOD(INT(Cron_Uso!M16/Frota!$L16)*Frota!$L16,N(VLOOKUP(Frota!$B16,Premissas!$A$39:$E$43,5,0)))=0,"B",IF(N(VLOOKUP(Frota!$B16,Premissas!$A$39:$E$43,4,0))&gt;0,IF(MOD(INT(Cron_Uso!M16/Frota!$L16)*Frota!$L16,N(VLOOKUP(Frota!$B16,Premissas!$A$39:$E$43,4,0)))=0,"A","S"),"S")),IF(N(VLOOKUP(Frota!$B16,Premissas!$A$39:$E$43,4,0))&gt;0,IF(MOD(INT(Cron_Uso!M16/Frota!$L16)*Frota!$L16,N(VLOOKUP(Frota!$B16,Premissas!$A$39:$E$43,4,0)))=0,"A","S"),"S")),""))</f>
        <v>A</v>
      </c>
      <c r="N16" s="16" t="str">
        <f aca="false">IF(Cron_Uso!N16="","",IF(INT(Cron_Uso!N16/Frota!$L16)&gt;INT(Cron_Uso!M16/Frota!$L16),IF(N(VLOOKUP(Frota!$B16,Premissas!$A$39:$E$43,5,0))&gt;0,IF(MOD(INT(Cron_Uso!N16/Frota!$L16)*Frota!$L16,N(VLOOKUP(Frota!$B16,Premissas!$A$39:$E$43,5,0)))=0,"B",IF(N(VLOOKUP(Frota!$B16,Premissas!$A$39:$E$43,4,0))&gt;0,IF(MOD(INT(Cron_Uso!N16/Frota!$L16)*Frota!$L16,N(VLOOKUP(Frota!$B16,Premissas!$A$39:$E$43,4,0)))=0,"A","S"),"S")),IF(N(VLOOKUP(Frota!$B16,Premissas!$A$39:$E$43,4,0))&gt;0,IF(MOD(INT(Cron_Uso!N16/Frota!$L16)*Frota!$L16,N(VLOOKUP(Frota!$B16,Premissas!$A$39:$E$43,4,0)))=0,"A","S"),"S")),""))</f>
        <v/>
      </c>
      <c r="O16" s="16" t="str">
        <f aca="false">IF(Cron_Uso!O16="","",IF(INT(Cron_Uso!O16/Frota!$L16)&gt;INT(Cron_Uso!N16/Frota!$L16),IF(N(VLOOKUP(Frota!$B16,Premissas!$A$39:$E$43,5,0))&gt;0,IF(MOD(INT(Cron_Uso!O16/Frota!$L16)*Frota!$L16,N(VLOOKUP(Frota!$B16,Premissas!$A$39:$E$43,5,0)))=0,"B",IF(N(VLOOKUP(Frota!$B16,Premissas!$A$39:$E$43,4,0))&gt;0,IF(MOD(INT(Cron_Uso!O16/Frota!$L16)*Frota!$L16,N(VLOOKUP(Frota!$B16,Premissas!$A$39:$E$43,4,0)))=0,"A","S"),"S")),IF(N(VLOOKUP(Frota!$B16,Premissas!$A$39:$E$43,4,0))&gt;0,IF(MOD(INT(Cron_Uso!O16/Frota!$L16)*Frota!$L16,N(VLOOKUP(Frota!$B16,Premissas!$A$39:$E$43,4,0)))=0,"A","S"),"S")),""))</f>
        <v/>
      </c>
      <c r="P16" s="16" t="str">
        <f aca="false">IF(Cron_Uso!P16="","",IF(INT(Cron_Uso!P16/Frota!$L16)&gt;INT(Cron_Uso!O16/Frota!$L16),IF(N(VLOOKUP(Frota!$B16,Premissas!$A$39:$E$43,5,0))&gt;0,IF(MOD(INT(Cron_Uso!P16/Frota!$L16)*Frota!$L16,N(VLOOKUP(Frota!$B16,Premissas!$A$39:$E$43,5,0)))=0,"B",IF(N(VLOOKUP(Frota!$B16,Premissas!$A$39:$E$43,4,0))&gt;0,IF(MOD(INT(Cron_Uso!P16/Frota!$L16)*Frota!$L16,N(VLOOKUP(Frota!$B16,Premissas!$A$39:$E$43,4,0)))=0,"A","S"),"S")),IF(N(VLOOKUP(Frota!$B16,Premissas!$A$39:$E$43,4,0))&gt;0,IF(MOD(INT(Cron_Uso!P16/Frota!$L16)*Frota!$L16,N(VLOOKUP(Frota!$B16,Premissas!$A$39:$E$43,4,0)))=0,"A","S"),"S")),""))</f>
        <v/>
      </c>
      <c r="Q16" s="16" t="str">
        <f aca="false">IF(Cron_Uso!Q16="","",IF(INT(Cron_Uso!Q16/Frota!$L16)&gt;INT(Cron_Uso!P16/Frota!$L16),IF(N(VLOOKUP(Frota!$B16,Premissas!$A$39:$E$43,5,0))&gt;0,IF(MOD(INT(Cron_Uso!Q16/Frota!$L16)*Frota!$L16,N(VLOOKUP(Frota!$B16,Premissas!$A$39:$E$43,5,0)))=0,"B",IF(N(VLOOKUP(Frota!$B16,Premissas!$A$39:$E$43,4,0))&gt;0,IF(MOD(INT(Cron_Uso!Q16/Frota!$L16)*Frota!$L16,N(VLOOKUP(Frota!$B16,Premissas!$A$39:$E$43,4,0)))=0,"A","S"),"S")),IF(N(VLOOKUP(Frota!$B16,Premissas!$A$39:$E$43,4,0))&gt;0,IF(MOD(INT(Cron_Uso!Q16/Frota!$L16)*Frota!$L16,N(VLOOKUP(Frota!$B16,Premissas!$A$39:$E$43,4,0)))=0,"A","S"),"S")),""))</f>
        <v/>
      </c>
      <c r="R16" s="16" t="str">
        <f aca="false">IF(Cron_Uso!R16="","",IF(INT(Cron_Uso!R16/Frota!$L16)&gt;INT(Cron_Uso!Q16/Frota!$L16),IF(N(VLOOKUP(Frota!$B16,Premissas!$A$39:$E$43,5,0))&gt;0,IF(MOD(INT(Cron_Uso!R16/Frota!$L16)*Frota!$L16,N(VLOOKUP(Frota!$B16,Premissas!$A$39:$E$43,5,0)))=0,"B",IF(N(VLOOKUP(Frota!$B16,Premissas!$A$39:$E$43,4,0))&gt;0,IF(MOD(INT(Cron_Uso!R16/Frota!$L16)*Frota!$L16,N(VLOOKUP(Frota!$B16,Premissas!$A$39:$E$43,4,0)))=0,"A","S"),"S")),IF(N(VLOOKUP(Frota!$B16,Premissas!$A$39:$E$43,4,0))&gt;0,IF(MOD(INT(Cron_Uso!R16/Frota!$L16)*Frota!$L16,N(VLOOKUP(Frota!$B16,Premissas!$A$39:$E$43,4,0)))=0,"A","S"),"S")),""))</f>
        <v/>
      </c>
      <c r="S16" s="16" t="str">
        <f aca="false">IF(Cron_Uso!S16="","",IF(INT(Cron_Uso!S16/Frota!$L16)&gt;INT(Cron_Uso!R16/Frota!$L16),IF(N(VLOOKUP(Frota!$B16,Premissas!$A$39:$E$43,5,0))&gt;0,IF(MOD(INT(Cron_Uso!S16/Frota!$L16)*Frota!$L16,N(VLOOKUP(Frota!$B16,Premissas!$A$39:$E$43,5,0)))=0,"B",IF(N(VLOOKUP(Frota!$B16,Premissas!$A$39:$E$43,4,0))&gt;0,IF(MOD(INT(Cron_Uso!S16/Frota!$L16)*Frota!$L16,N(VLOOKUP(Frota!$B16,Premissas!$A$39:$E$43,4,0)))=0,"A","S"),"S")),IF(N(VLOOKUP(Frota!$B16,Premissas!$A$39:$E$43,4,0))&gt;0,IF(MOD(INT(Cron_Uso!S16/Frota!$L16)*Frota!$L16,N(VLOOKUP(Frota!$B16,Premissas!$A$39:$E$43,4,0)))=0,"A","S"),"S")),""))</f>
        <v/>
      </c>
      <c r="T16" s="16" t="str">
        <f aca="false">IF(Cron_Uso!T16="","",IF(INT(Cron_Uso!T16/Frota!$L16)&gt;INT(Cron_Uso!S16/Frota!$L16),IF(N(VLOOKUP(Frota!$B16,Premissas!$A$39:$E$43,5,0))&gt;0,IF(MOD(INT(Cron_Uso!T16/Frota!$L16)*Frota!$L16,N(VLOOKUP(Frota!$B16,Premissas!$A$39:$E$43,5,0)))=0,"B",IF(N(VLOOKUP(Frota!$B16,Premissas!$A$39:$E$43,4,0))&gt;0,IF(MOD(INT(Cron_Uso!T16/Frota!$L16)*Frota!$L16,N(VLOOKUP(Frota!$B16,Premissas!$A$39:$E$43,4,0)))=0,"A","S"),"S")),IF(N(VLOOKUP(Frota!$B16,Premissas!$A$39:$E$43,4,0))&gt;0,IF(MOD(INT(Cron_Uso!T16/Frota!$L16)*Frota!$L16,N(VLOOKUP(Frota!$B16,Premissas!$A$39:$E$43,4,0)))=0,"A","S"),"S")),""))</f>
        <v/>
      </c>
      <c r="U16" s="16" t="str">
        <f aca="false">IF(Cron_Uso!U16="","",IF(INT(Cron_Uso!U16/Frota!$L16)&gt;INT(Cron_Uso!T16/Frota!$L16),IF(N(VLOOKUP(Frota!$B16,Premissas!$A$39:$E$43,5,0))&gt;0,IF(MOD(INT(Cron_Uso!U16/Frota!$L16)*Frota!$L16,N(VLOOKUP(Frota!$B16,Premissas!$A$39:$E$43,5,0)))=0,"B",IF(N(VLOOKUP(Frota!$B16,Premissas!$A$39:$E$43,4,0))&gt;0,IF(MOD(INT(Cron_Uso!U16/Frota!$L16)*Frota!$L16,N(VLOOKUP(Frota!$B16,Premissas!$A$39:$E$43,4,0)))=0,"A","S"),"S")),IF(N(VLOOKUP(Frota!$B16,Premissas!$A$39:$E$43,4,0))&gt;0,IF(MOD(INT(Cron_Uso!U16/Frota!$L16)*Frota!$L16,N(VLOOKUP(Frota!$B16,Premissas!$A$39:$E$43,4,0)))=0,"A","S"),"S")),""))</f>
        <v/>
      </c>
      <c r="V16" s="16" t="str">
        <f aca="false">IF(Cron_Uso!V16="","",IF(INT(Cron_Uso!V16/Frota!$L16)&gt;INT(Cron_Uso!U16/Frota!$L16),IF(N(VLOOKUP(Frota!$B16,Premissas!$A$39:$E$43,5,0))&gt;0,IF(MOD(INT(Cron_Uso!V16/Frota!$L16)*Frota!$L16,N(VLOOKUP(Frota!$B16,Premissas!$A$39:$E$43,5,0)))=0,"B",IF(N(VLOOKUP(Frota!$B16,Premissas!$A$39:$E$43,4,0))&gt;0,IF(MOD(INT(Cron_Uso!V16/Frota!$L16)*Frota!$L16,N(VLOOKUP(Frota!$B16,Premissas!$A$39:$E$43,4,0)))=0,"A","S"),"S")),IF(N(VLOOKUP(Frota!$B16,Premissas!$A$39:$E$43,4,0))&gt;0,IF(MOD(INT(Cron_Uso!V16/Frota!$L16)*Frota!$L16,N(VLOOKUP(Frota!$B16,Premissas!$A$39:$E$43,4,0)))=0,"A","S"),"S")),""))</f>
        <v/>
      </c>
      <c r="W16" s="16" t="str">
        <f aca="false">IF(Cron_Uso!W16="","",IF(INT(Cron_Uso!W16/Frota!$L16)&gt;INT(Cron_Uso!V16/Frota!$L16),IF(N(VLOOKUP(Frota!$B16,Premissas!$A$39:$E$43,5,0))&gt;0,IF(MOD(INT(Cron_Uso!W16/Frota!$L16)*Frota!$L16,N(VLOOKUP(Frota!$B16,Premissas!$A$39:$E$43,5,0)))=0,"B",IF(N(VLOOKUP(Frota!$B16,Premissas!$A$39:$E$43,4,0))&gt;0,IF(MOD(INT(Cron_Uso!W16/Frota!$L16)*Frota!$L16,N(VLOOKUP(Frota!$B16,Premissas!$A$39:$E$43,4,0)))=0,"A","S"),"S")),IF(N(VLOOKUP(Frota!$B16,Premissas!$A$39:$E$43,4,0))&gt;0,IF(MOD(INT(Cron_Uso!W16/Frota!$L16)*Frota!$L16,N(VLOOKUP(Frota!$B16,Premissas!$A$39:$E$43,4,0)))=0,"A","S"),"S")),""))</f>
        <v/>
      </c>
      <c r="X16" s="16" t="str">
        <f aca="false">IF(Cron_Uso!X16="","",IF(INT(Cron_Uso!X16/Frota!$L16)&gt;INT(Cron_Uso!W16/Frota!$L16),IF(N(VLOOKUP(Frota!$B16,Premissas!$A$39:$E$43,5,0))&gt;0,IF(MOD(INT(Cron_Uso!X16/Frota!$L16)*Frota!$L16,N(VLOOKUP(Frota!$B16,Premissas!$A$39:$E$43,5,0)))=0,"B",IF(N(VLOOKUP(Frota!$B16,Premissas!$A$39:$E$43,4,0))&gt;0,IF(MOD(INT(Cron_Uso!X16/Frota!$L16)*Frota!$L16,N(VLOOKUP(Frota!$B16,Premissas!$A$39:$E$43,4,0)))=0,"A","S"),"S")),IF(N(VLOOKUP(Frota!$B16,Premissas!$A$39:$E$43,4,0))&gt;0,IF(MOD(INT(Cron_Uso!X16/Frota!$L16)*Frota!$L16,N(VLOOKUP(Frota!$B16,Premissas!$A$39:$E$43,4,0)))=0,"A","S"),"S")),""))</f>
        <v/>
      </c>
      <c r="Y16" s="16" t="str">
        <f aca="false">IF(Cron_Uso!Y16="","",IF(INT(Cron_Uso!Y16/Frota!$L16)&gt;INT(Cron_Uso!X16/Frota!$L16),IF(N(VLOOKUP(Frota!$B16,Premissas!$A$39:$E$43,5,0))&gt;0,IF(MOD(INT(Cron_Uso!Y16/Frota!$L16)*Frota!$L16,N(VLOOKUP(Frota!$B16,Premissas!$A$39:$E$43,5,0)))=0,"B",IF(N(VLOOKUP(Frota!$B16,Premissas!$A$39:$E$43,4,0))&gt;0,IF(MOD(INT(Cron_Uso!Y16/Frota!$L16)*Frota!$L16,N(VLOOKUP(Frota!$B16,Premissas!$A$39:$E$43,4,0)))=0,"A","S"),"S")),IF(N(VLOOKUP(Frota!$B16,Premissas!$A$39:$E$43,4,0))&gt;0,IF(MOD(INT(Cron_Uso!Y16/Frota!$L16)*Frota!$L16,N(VLOOKUP(Frota!$B16,Premissas!$A$39:$E$43,4,0)))=0,"A","S"),"S")),""))</f>
        <v/>
      </c>
      <c r="Z16" s="16" t="str">
        <f aca="false">IF(Cron_Uso!Z16="","",IF(INT(Cron_Uso!Z16/Frota!$L16)&gt;INT(Cron_Uso!Y16/Frota!$L16),IF(N(VLOOKUP(Frota!$B16,Premissas!$A$39:$E$43,5,0))&gt;0,IF(MOD(INT(Cron_Uso!Z16/Frota!$L16)*Frota!$L16,N(VLOOKUP(Frota!$B16,Premissas!$A$39:$E$43,5,0)))=0,"B",IF(N(VLOOKUP(Frota!$B16,Premissas!$A$39:$E$43,4,0))&gt;0,IF(MOD(INT(Cron_Uso!Z16/Frota!$L16)*Frota!$L16,N(VLOOKUP(Frota!$B16,Premissas!$A$39:$E$43,4,0)))=0,"A","S"),"S")),IF(N(VLOOKUP(Frota!$B16,Premissas!$A$39:$E$43,4,0))&gt;0,IF(MOD(INT(Cron_Uso!Z16/Frota!$L16)*Frota!$L16,N(VLOOKUP(Frota!$B16,Premissas!$A$39:$E$43,4,0)))=0,"A","S"),"S")),""))</f>
        <v/>
      </c>
      <c r="AA16" s="16" t="str">
        <f aca="false">IF(Cron_Uso!AA16="","",IF(INT(Cron_Uso!AA16/Frota!$L16)&gt;INT(Cron_Uso!Z16/Frota!$L16),IF(N(VLOOKUP(Frota!$B16,Premissas!$A$39:$E$43,5,0))&gt;0,IF(MOD(INT(Cron_Uso!AA16/Frota!$L16)*Frota!$L16,N(VLOOKUP(Frota!$B16,Premissas!$A$39:$E$43,5,0)))=0,"B",IF(N(VLOOKUP(Frota!$B16,Premissas!$A$39:$E$43,4,0))&gt;0,IF(MOD(INT(Cron_Uso!AA16/Frota!$L16)*Frota!$L16,N(VLOOKUP(Frota!$B16,Premissas!$A$39:$E$43,4,0)))=0,"A","S"),"S")),IF(N(VLOOKUP(Frota!$B16,Premissas!$A$39:$E$43,4,0))&gt;0,IF(MOD(INT(Cron_Uso!AA16/Frota!$L16)*Frota!$L16,N(VLOOKUP(Frota!$B16,Premissas!$A$39:$E$43,4,0)))=0,"A","S"),"S")),""))</f>
        <v>S</v>
      </c>
      <c r="AB16" s="16" t="str">
        <f aca="false">IF(Cron_Uso!AB16="","",IF(INT(Cron_Uso!AB16/Frota!$L16)&gt;INT(Cron_Uso!AA16/Frota!$L16),IF(N(VLOOKUP(Frota!$B16,Premissas!$A$39:$E$43,5,0))&gt;0,IF(MOD(INT(Cron_Uso!AB16/Frota!$L16)*Frota!$L16,N(VLOOKUP(Frota!$B16,Premissas!$A$39:$E$43,5,0)))=0,"B",IF(N(VLOOKUP(Frota!$B16,Premissas!$A$39:$E$43,4,0))&gt;0,IF(MOD(INT(Cron_Uso!AB16/Frota!$L16)*Frota!$L16,N(VLOOKUP(Frota!$B16,Premissas!$A$39:$E$43,4,0)))=0,"A","S"),"S")),IF(N(VLOOKUP(Frota!$B16,Premissas!$A$39:$E$43,4,0))&gt;0,IF(MOD(INT(Cron_Uso!AB16/Frota!$L16)*Frota!$L16,N(VLOOKUP(Frota!$B16,Premissas!$A$39:$E$43,4,0)))=0,"A","S"),"S")),""))</f>
        <v/>
      </c>
      <c r="AC16" s="16" t="str">
        <f aca="false">IF(Cron_Uso!AC16="","",IF(INT(Cron_Uso!AC16/Frota!$L16)&gt;INT(Cron_Uso!AB16/Frota!$L16),IF(N(VLOOKUP(Frota!$B16,Premissas!$A$39:$E$43,5,0))&gt;0,IF(MOD(INT(Cron_Uso!AC16/Frota!$L16)*Frota!$L16,N(VLOOKUP(Frota!$B16,Premissas!$A$39:$E$43,5,0)))=0,"B",IF(N(VLOOKUP(Frota!$B16,Premissas!$A$39:$E$43,4,0))&gt;0,IF(MOD(INT(Cron_Uso!AC16/Frota!$L16)*Frota!$L16,N(VLOOKUP(Frota!$B16,Premissas!$A$39:$E$43,4,0)))=0,"A","S"),"S")),IF(N(VLOOKUP(Frota!$B16,Premissas!$A$39:$E$43,4,0))&gt;0,IF(MOD(INT(Cron_Uso!AC16/Frota!$L16)*Frota!$L16,N(VLOOKUP(Frota!$B16,Premissas!$A$39:$E$43,4,0)))=0,"A","S"),"S")),""))</f>
        <v/>
      </c>
      <c r="AD16" s="16" t="str">
        <f aca="false">IF(Cron_Uso!AD16="","",IF(INT(Cron_Uso!AD16/Frota!$L16)&gt;INT(Cron_Uso!AC16/Frota!$L16),IF(N(VLOOKUP(Frota!$B16,Premissas!$A$39:$E$43,5,0))&gt;0,IF(MOD(INT(Cron_Uso!AD16/Frota!$L16)*Frota!$L16,N(VLOOKUP(Frota!$B16,Premissas!$A$39:$E$43,5,0)))=0,"B",IF(N(VLOOKUP(Frota!$B16,Premissas!$A$39:$E$43,4,0))&gt;0,IF(MOD(INT(Cron_Uso!AD16/Frota!$L16)*Frota!$L16,N(VLOOKUP(Frota!$B16,Premissas!$A$39:$E$43,4,0)))=0,"A","S"),"S")),IF(N(VLOOKUP(Frota!$B16,Premissas!$A$39:$E$43,4,0))&gt;0,IF(MOD(INT(Cron_Uso!AD16/Frota!$L16)*Frota!$L16,N(VLOOKUP(Frota!$B16,Premissas!$A$39:$E$43,4,0)))=0,"A","S"),"S")),""))</f>
        <v/>
      </c>
      <c r="AE16" s="16" t="str">
        <f aca="false">IF(Cron_Uso!AE16="","",IF(INT(Cron_Uso!AE16/Frota!$L16)&gt;INT(Cron_Uso!AD16/Frota!$L16),IF(N(VLOOKUP(Frota!$B16,Premissas!$A$39:$E$43,5,0))&gt;0,IF(MOD(INT(Cron_Uso!AE16/Frota!$L16)*Frota!$L16,N(VLOOKUP(Frota!$B16,Premissas!$A$39:$E$43,5,0)))=0,"B",IF(N(VLOOKUP(Frota!$B16,Premissas!$A$39:$E$43,4,0))&gt;0,IF(MOD(INT(Cron_Uso!AE16/Frota!$L16)*Frota!$L16,N(VLOOKUP(Frota!$B16,Premissas!$A$39:$E$43,4,0)))=0,"A","S"),"S")),IF(N(VLOOKUP(Frota!$B16,Premissas!$A$39:$E$43,4,0))&gt;0,IF(MOD(INT(Cron_Uso!AE16/Frota!$L16)*Frota!$L16,N(VLOOKUP(Frota!$B16,Premissas!$A$39:$E$43,4,0)))=0,"A","S"),"S")),""))</f>
        <v/>
      </c>
      <c r="AF16" s="16" t="str">
        <f aca="false">IF(Cron_Uso!AF16="","",IF(INT(Cron_Uso!AF16/Frota!$L16)&gt;INT(Cron_Uso!AE16/Frota!$L16),IF(N(VLOOKUP(Frota!$B16,Premissas!$A$39:$E$43,5,0))&gt;0,IF(MOD(INT(Cron_Uso!AF16/Frota!$L16)*Frota!$L16,N(VLOOKUP(Frota!$B16,Premissas!$A$39:$E$43,5,0)))=0,"B",IF(N(VLOOKUP(Frota!$B16,Premissas!$A$39:$E$43,4,0))&gt;0,IF(MOD(INT(Cron_Uso!AF16/Frota!$L16)*Frota!$L16,N(VLOOKUP(Frota!$B16,Premissas!$A$39:$E$43,4,0)))=0,"A","S"),"S")),IF(N(VLOOKUP(Frota!$B16,Premissas!$A$39:$E$43,4,0))&gt;0,IF(MOD(INT(Cron_Uso!AF16/Frota!$L16)*Frota!$L16,N(VLOOKUP(Frota!$B16,Premissas!$A$39:$E$43,4,0)))=0,"A","S"),"S")),""))</f>
        <v/>
      </c>
      <c r="AG16" s="16" t="str">
        <f aca="false">IF(Cron_Uso!AG16="","",IF(INT(Cron_Uso!AG16/Frota!$L16)&gt;INT(Cron_Uso!AF16/Frota!$L16),IF(N(VLOOKUP(Frota!$B16,Premissas!$A$39:$E$43,5,0))&gt;0,IF(MOD(INT(Cron_Uso!AG16/Frota!$L16)*Frota!$L16,N(VLOOKUP(Frota!$B16,Premissas!$A$39:$E$43,5,0)))=0,"B",IF(N(VLOOKUP(Frota!$B16,Premissas!$A$39:$E$43,4,0))&gt;0,IF(MOD(INT(Cron_Uso!AG16/Frota!$L16)*Frota!$L16,N(VLOOKUP(Frota!$B16,Premissas!$A$39:$E$43,4,0)))=0,"A","S"),"S")),IF(N(VLOOKUP(Frota!$B16,Premissas!$A$39:$E$43,4,0))&gt;0,IF(MOD(INT(Cron_Uso!AG16/Frota!$L16)*Frota!$L16,N(VLOOKUP(Frota!$B16,Premissas!$A$39:$E$43,4,0)))=0,"A","S"),"S")),""))</f>
        <v/>
      </c>
      <c r="AH16" s="16" t="str">
        <f aca="false">IF(Cron_Uso!AH16="","",IF(INT(Cron_Uso!AH16/Frota!$L16)&gt;INT(Cron_Uso!AG16/Frota!$L16),IF(N(VLOOKUP(Frota!$B16,Premissas!$A$39:$E$43,5,0))&gt;0,IF(MOD(INT(Cron_Uso!AH16/Frota!$L16)*Frota!$L16,N(VLOOKUP(Frota!$B16,Premissas!$A$39:$E$43,5,0)))=0,"B",IF(N(VLOOKUP(Frota!$B16,Premissas!$A$39:$E$43,4,0))&gt;0,IF(MOD(INT(Cron_Uso!AH16/Frota!$L16)*Frota!$L16,N(VLOOKUP(Frota!$B16,Premissas!$A$39:$E$43,4,0)))=0,"A","S"),"S")),IF(N(VLOOKUP(Frota!$B16,Premissas!$A$39:$E$43,4,0))&gt;0,IF(MOD(INT(Cron_Uso!AH16/Frota!$L16)*Frota!$L16,N(VLOOKUP(Frota!$B16,Premissas!$A$39:$E$43,4,0)))=0,"A","S"),"S")),""))</f>
        <v/>
      </c>
      <c r="AI16" s="16" t="str">
        <f aca="false">IF(Cron_Uso!AI16="","",IF(INT(Cron_Uso!AI16/Frota!$L16)&gt;INT(Cron_Uso!AH16/Frota!$L16),IF(N(VLOOKUP(Frota!$B16,Premissas!$A$39:$E$43,5,0))&gt;0,IF(MOD(INT(Cron_Uso!AI16/Frota!$L16)*Frota!$L16,N(VLOOKUP(Frota!$B16,Premissas!$A$39:$E$43,5,0)))=0,"B",IF(N(VLOOKUP(Frota!$B16,Premissas!$A$39:$E$43,4,0))&gt;0,IF(MOD(INT(Cron_Uso!AI16/Frota!$L16)*Frota!$L16,N(VLOOKUP(Frota!$B16,Premissas!$A$39:$E$43,4,0)))=0,"A","S"),"S")),IF(N(VLOOKUP(Frota!$B16,Premissas!$A$39:$E$43,4,0))&gt;0,IF(MOD(INT(Cron_Uso!AI16/Frota!$L16)*Frota!$L16,N(VLOOKUP(Frota!$B16,Premissas!$A$39:$E$43,4,0)))=0,"A","S"),"S")),""))</f>
        <v/>
      </c>
      <c r="AJ16" s="16" t="str">
        <f aca="false">IF(Cron_Uso!AJ16="","",IF(INT(Cron_Uso!AJ16/Frota!$L16)&gt;INT(Cron_Uso!AI16/Frota!$L16),IF(N(VLOOKUP(Frota!$B16,Premissas!$A$39:$E$43,5,0))&gt;0,IF(MOD(INT(Cron_Uso!AJ16/Frota!$L16)*Frota!$L16,N(VLOOKUP(Frota!$B16,Premissas!$A$39:$E$43,5,0)))=0,"B",IF(N(VLOOKUP(Frota!$B16,Premissas!$A$39:$E$43,4,0))&gt;0,IF(MOD(INT(Cron_Uso!AJ16/Frota!$L16)*Frota!$L16,N(VLOOKUP(Frota!$B16,Premissas!$A$39:$E$43,4,0)))=0,"A","S"),"S")),IF(N(VLOOKUP(Frota!$B16,Premissas!$A$39:$E$43,4,0))&gt;0,IF(MOD(INT(Cron_Uso!AJ16/Frota!$L16)*Frota!$L16,N(VLOOKUP(Frota!$B16,Premissas!$A$39:$E$43,4,0)))=0,"A","S"),"S")),""))</f>
        <v/>
      </c>
      <c r="AK16" s="16" t="str">
        <f aca="false">IF(Cron_Uso!AK16="","",IF(INT(Cron_Uso!AK16/Frota!$L16)&gt;INT(Cron_Uso!AJ16/Frota!$L16),IF(N(VLOOKUP(Frota!$B16,Premissas!$A$39:$E$43,5,0))&gt;0,IF(MOD(INT(Cron_Uso!AK16/Frota!$L16)*Frota!$L16,N(VLOOKUP(Frota!$B16,Premissas!$A$39:$E$43,5,0)))=0,"B",IF(N(VLOOKUP(Frota!$B16,Premissas!$A$39:$E$43,4,0))&gt;0,IF(MOD(INT(Cron_Uso!AK16/Frota!$L16)*Frota!$L16,N(VLOOKUP(Frota!$B16,Premissas!$A$39:$E$43,4,0)))=0,"A","S"),"S")),IF(N(VLOOKUP(Frota!$B16,Premissas!$A$39:$E$43,4,0))&gt;0,IF(MOD(INT(Cron_Uso!AK16/Frota!$L16)*Frota!$L16,N(VLOOKUP(Frota!$B16,Premissas!$A$39:$E$43,4,0)))=0,"A","S"),"S")),""))</f>
        <v/>
      </c>
      <c r="AL16" s="16" t="str">
        <f aca="false">IF(Cron_Uso!AL16="","",IF(INT(Cron_Uso!AL16/Frota!$L16)&gt;INT(Cron_Uso!AK16/Frota!$L16),IF(N(VLOOKUP(Frota!$B16,Premissas!$A$39:$E$43,5,0))&gt;0,IF(MOD(INT(Cron_Uso!AL16/Frota!$L16)*Frota!$L16,N(VLOOKUP(Frota!$B16,Premissas!$A$39:$E$43,5,0)))=0,"B",IF(N(VLOOKUP(Frota!$B16,Premissas!$A$39:$E$43,4,0))&gt;0,IF(MOD(INT(Cron_Uso!AL16/Frota!$L16)*Frota!$L16,N(VLOOKUP(Frota!$B16,Premissas!$A$39:$E$43,4,0)))=0,"A","S"),"S")),IF(N(VLOOKUP(Frota!$B16,Premissas!$A$39:$E$43,4,0))&gt;0,IF(MOD(INT(Cron_Uso!AL16/Frota!$L16)*Frota!$L16,N(VLOOKUP(Frota!$B16,Premissas!$A$39:$E$43,4,0)))=0,"A","S"),"S")),""))</f>
        <v/>
      </c>
      <c r="AM16" s="16" t="str">
        <f aca="false">IF(Cron_Uso!AM16="","",IF(INT(Cron_Uso!AM16/Frota!$L16)&gt;INT(Cron_Uso!AL16/Frota!$L16),IF(N(VLOOKUP(Frota!$B16,Premissas!$A$39:$E$43,5,0))&gt;0,IF(MOD(INT(Cron_Uso!AM16/Frota!$L16)*Frota!$L16,N(VLOOKUP(Frota!$B16,Premissas!$A$39:$E$43,5,0)))=0,"B",IF(N(VLOOKUP(Frota!$B16,Premissas!$A$39:$E$43,4,0))&gt;0,IF(MOD(INT(Cron_Uso!AM16/Frota!$L16)*Frota!$L16,N(VLOOKUP(Frota!$B16,Premissas!$A$39:$E$43,4,0)))=0,"A","S"),"S")),IF(N(VLOOKUP(Frota!$B16,Premissas!$A$39:$E$43,4,0))&gt;0,IF(MOD(INT(Cron_Uso!AM16/Frota!$L16)*Frota!$L16,N(VLOOKUP(Frota!$B16,Premissas!$A$39:$E$43,4,0)))=0,"A","S"),"S")),""))</f>
        <v/>
      </c>
      <c r="AN16" s="16" t="str">
        <f aca="false">IF(Cron_Uso!AN16="","",IF(INT(Cron_Uso!AN16/Frota!$L16)&gt;INT(Cron_Uso!AM16/Frota!$L16),IF(N(VLOOKUP(Frota!$B16,Premissas!$A$39:$E$43,5,0))&gt;0,IF(MOD(INT(Cron_Uso!AN16/Frota!$L16)*Frota!$L16,N(VLOOKUP(Frota!$B16,Premissas!$A$39:$E$43,5,0)))=0,"B",IF(N(VLOOKUP(Frota!$B16,Premissas!$A$39:$E$43,4,0))&gt;0,IF(MOD(INT(Cron_Uso!AN16/Frota!$L16)*Frota!$L16,N(VLOOKUP(Frota!$B16,Premissas!$A$39:$E$43,4,0)))=0,"A","S"),"S")),IF(N(VLOOKUP(Frota!$B16,Premissas!$A$39:$E$43,4,0))&gt;0,IF(MOD(INT(Cron_Uso!AN16/Frota!$L16)*Frota!$L16,N(VLOOKUP(Frota!$B16,Premissas!$A$39:$E$43,4,0)))=0,"A","S"),"S")),""))</f>
        <v/>
      </c>
      <c r="AO16" s="16" t="str">
        <f aca="false">IF(Cron_Uso!AO16="","",IF(INT(Cron_Uso!AO16/Frota!$L16)&gt;INT(Cron_Uso!AN16/Frota!$L16),IF(N(VLOOKUP(Frota!$B16,Premissas!$A$39:$E$43,5,0))&gt;0,IF(MOD(INT(Cron_Uso!AO16/Frota!$L16)*Frota!$L16,N(VLOOKUP(Frota!$B16,Premissas!$A$39:$E$43,5,0)))=0,"B",IF(N(VLOOKUP(Frota!$B16,Premissas!$A$39:$E$43,4,0))&gt;0,IF(MOD(INT(Cron_Uso!AO16/Frota!$L16)*Frota!$L16,N(VLOOKUP(Frota!$B16,Premissas!$A$39:$E$43,4,0)))=0,"A","S"),"S")),IF(N(VLOOKUP(Frota!$B16,Premissas!$A$39:$E$43,4,0))&gt;0,IF(MOD(INT(Cron_Uso!AO16/Frota!$L16)*Frota!$L16,N(VLOOKUP(Frota!$B16,Premissas!$A$39:$E$43,4,0)))=0,"A","S"),"S")),""))</f>
        <v/>
      </c>
      <c r="AP16" s="16" t="str">
        <f aca="false">IF(Cron_Uso!AP16="","",IF(INT(Cron_Uso!AP16/Frota!$L16)&gt;INT(Cron_Uso!AO16/Frota!$L16),IF(N(VLOOKUP(Frota!$B16,Premissas!$A$39:$E$43,5,0))&gt;0,IF(MOD(INT(Cron_Uso!AP16/Frota!$L16)*Frota!$L16,N(VLOOKUP(Frota!$B16,Premissas!$A$39:$E$43,5,0)))=0,"B",IF(N(VLOOKUP(Frota!$B16,Premissas!$A$39:$E$43,4,0))&gt;0,IF(MOD(INT(Cron_Uso!AP16/Frota!$L16)*Frota!$L16,N(VLOOKUP(Frota!$B16,Premissas!$A$39:$E$43,4,0)))=0,"A","S"),"S")),IF(N(VLOOKUP(Frota!$B16,Premissas!$A$39:$E$43,4,0))&gt;0,IF(MOD(INT(Cron_Uso!AP16/Frota!$L16)*Frota!$L16,N(VLOOKUP(Frota!$B16,Premissas!$A$39:$E$43,4,0)))=0,"A","S"),"S")),""))</f>
        <v/>
      </c>
      <c r="AQ16" s="16" t="str">
        <f aca="false">IF(Cron_Uso!AQ16="","",IF(INT(Cron_Uso!AQ16/Frota!$L16)&gt;INT(Cron_Uso!AP16/Frota!$L16),IF(N(VLOOKUP(Frota!$B16,Premissas!$A$39:$E$43,5,0))&gt;0,IF(MOD(INT(Cron_Uso!AQ16/Frota!$L16)*Frota!$L16,N(VLOOKUP(Frota!$B16,Premissas!$A$39:$E$43,5,0)))=0,"B",IF(N(VLOOKUP(Frota!$B16,Premissas!$A$39:$E$43,4,0))&gt;0,IF(MOD(INT(Cron_Uso!AQ16/Frota!$L16)*Frota!$L16,N(VLOOKUP(Frota!$B16,Premissas!$A$39:$E$43,4,0)))=0,"A","S"),"S")),IF(N(VLOOKUP(Frota!$B16,Premissas!$A$39:$E$43,4,0))&gt;0,IF(MOD(INT(Cron_Uso!AQ16/Frota!$L16)*Frota!$L16,N(VLOOKUP(Frota!$B16,Premissas!$A$39:$E$43,4,0)))=0,"A","S"),"S")),""))</f>
        <v/>
      </c>
      <c r="AR16" s="16" t="str">
        <f aca="false">IF(Cron_Uso!AR16="","",IF(INT(Cron_Uso!AR16/Frota!$L16)&gt;INT(Cron_Uso!AQ16/Frota!$L16),IF(N(VLOOKUP(Frota!$B16,Premissas!$A$39:$E$43,5,0))&gt;0,IF(MOD(INT(Cron_Uso!AR16/Frota!$L16)*Frota!$L16,N(VLOOKUP(Frota!$B16,Premissas!$A$39:$E$43,5,0)))=0,"B",IF(N(VLOOKUP(Frota!$B16,Premissas!$A$39:$E$43,4,0))&gt;0,IF(MOD(INT(Cron_Uso!AR16/Frota!$L16)*Frota!$L16,N(VLOOKUP(Frota!$B16,Premissas!$A$39:$E$43,4,0)))=0,"A","S"),"S")),IF(N(VLOOKUP(Frota!$B16,Premissas!$A$39:$E$43,4,0))&gt;0,IF(MOD(INT(Cron_Uso!AR16/Frota!$L16)*Frota!$L16,N(VLOOKUP(Frota!$B16,Premissas!$A$39:$E$43,4,0)))=0,"A","S"),"S")),""))</f>
        <v/>
      </c>
      <c r="AS16" s="16" t="str">
        <f aca="false">IF(Cron_Uso!AS16="","",IF(INT(Cron_Uso!AS16/Frota!$L16)&gt;INT(Cron_Uso!AR16/Frota!$L16),IF(N(VLOOKUP(Frota!$B16,Premissas!$A$39:$E$43,5,0))&gt;0,IF(MOD(INT(Cron_Uso!AS16/Frota!$L16)*Frota!$L16,N(VLOOKUP(Frota!$B16,Premissas!$A$39:$E$43,5,0)))=0,"B",IF(N(VLOOKUP(Frota!$B16,Premissas!$A$39:$E$43,4,0))&gt;0,IF(MOD(INT(Cron_Uso!AS16/Frota!$L16)*Frota!$L16,N(VLOOKUP(Frota!$B16,Premissas!$A$39:$E$43,4,0)))=0,"A","S"),"S")),IF(N(VLOOKUP(Frota!$B16,Premissas!$A$39:$E$43,4,0))&gt;0,IF(MOD(INT(Cron_Uso!AS16/Frota!$L16)*Frota!$L16,N(VLOOKUP(Frota!$B16,Premissas!$A$39:$E$43,4,0)))=0,"A","S"),"S")),""))</f>
        <v>A</v>
      </c>
      <c r="AT16" s="16" t="str">
        <f aca="false">IF(Cron_Uso!AT16="","",IF(INT(Cron_Uso!AT16/Frota!$L16)&gt;INT(Cron_Uso!AS16/Frota!$L16),IF(N(VLOOKUP(Frota!$B16,Premissas!$A$39:$E$43,5,0))&gt;0,IF(MOD(INT(Cron_Uso!AT16/Frota!$L16)*Frota!$L16,N(VLOOKUP(Frota!$B16,Premissas!$A$39:$E$43,5,0)))=0,"B",IF(N(VLOOKUP(Frota!$B16,Premissas!$A$39:$E$43,4,0))&gt;0,IF(MOD(INT(Cron_Uso!AT16/Frota!$L16)*Frota!$L16,N(VLOOKUP(Frota!$B16,Premissas!$A$39:$E$43,4,0)))=0,"A","S"),"S")),IF(N(VLOOKUP(Frota!$B16,Premissas!$A$39:$E$43,4,0))&gt;0,IF(MOD(INT(Cron_Uso!AT16/Frota!$L16)*Frota!$L16,N(VLOOKUP(Frota!$B16,Premissas!$A$39:$E$43,4,0)))=0,"A","S"),"S")),""))</f>
        <v/>
      </c>
      <c r="AU16" s="16" t="str">
        <f aca="false">IF(Cron_Uso!AU16="","",IF(INT(Cron_Uso!AU16/Frota!$L16)&gt;INT(Cron_Uso!AT16/Frota!$L16),IF(N(VLOOKUP(Frota!$B16,Premissas!$A$39:$E$43,5,0))&gt;0,IF(MOD(INT(Cron_Uso!AU16/Frota!$L16)*Frota!$L16,N(VLOOKUP(Frota!$B16,Premissas!$A$39:$E$43,5,0)))=0,"B",IF(N(VLOOKUP(Frota!$B16,Premissas!$A$39:$E$43,4,0))&gt;0,IF(MOD(INT(Cron_Uso!AU16/Frota!$L16)*Frota!$L16,N(VLOOKUP(Frota!$B16,Premissas!$A$39:$E$43,4,0)))=0,"A","S"),"S")),IF(N(VLOOKUP(Frota!$B16,Premissas!$A$39:$E$43,4,0))&gt;0,IF(MOD(INT(Cron_Uso!AU16/Frota!$L16)*Frota!$L16,N(VLOOKUP(Frota!$B16,Premissas!$A$39:$E$43,4,0)))=0,"A","S"),"S")),""))</f>
        <v/>
      </c>
      <c r="AV16" s="16" t="str">
        <f aca="false">IF(Cron_Uso!AV16="","",IF(INT(Cron_Uso!AV16/Frota!$L16)&gt;INT(Cron_Uso!AU16/Frota!$L16),IF(N(VLOOKUP(Frota!$B16,Premissas!$A$39:$E$43,5,0))&gt;0,IF(MOD(INT(Cron_Uso!AV16/Frota!$L16)*Frota!$L16,N(VLOOKUP(Frota!$B16,Premissas!$A$39:$E$43,5,0)))=0,"B",IF(N(VLOOKUP(Frota!$B16,Premissas!$A$39:$E$43,4,0))&gt;0,IF(MOD(INT(Cron_Uso!AV16/Frota!$L16)*Frota!$L16,N(VLOOKUP(Frota!$B16,Premissas!$A$39:$E$43,4,0)))=0,"A","S"),"S")),IF(N(VLOOKUP(Frota!$B16,Premissas!$A$39:$E$43,4,0))&gt;0,IF(MOD(INT(Cron_Uso!AV16/Frota!$L16)*Frota!$L16,N(VLOOKUP(Frota!$B16,Premissas!$A$39:$E$43,4,0)))=0,"A","S"),"S")),""))</f>
        <v/>
      </c>
      <c r="AW16" s="16" t="str">
        <f aca="false">IF(Cron_Uso!AW16="","",IF(INT(Cron_Uso!AW16/Frota!$L16)&gt;INT(Cron_Uso!AV16/Frota!$L16),IF(N(VLOOKUP(Frota!$B16,Premissas!$A$39:$E$43,5,0))&gt;0,IF(MOD(INT(Cron_Uso!AW16/Frota!$L16)*Frota!$L16,N(VLOOKUP(Frota!$B16,Premissas!$A$39:$E$43,5,0)))=0,"B",IF(N(VLOOKUP(Frota!$B16,Premissas!$A$39:$E$43,4,0))&gt;0,IF(MOD(INT(Cron_Uso!AW16/Frota!$L16)*Frota!$L16,N(VLOOKUP(Frota!$B16,Premissas!$A$39:$E$43,4,0)))=0,"A","S"),"S")),IF(N(VLOOKUP(Frota!$B16,Premissas!$A$39:$E$43,4,0))&gt;0,IF(MOD(INT(Cron_Uso!AW16/Frota!$L16)*Frota!$L16,N(VLOOKUP(Frota!$B16,Premissas!$A$39:$E$43,4,0)))=0,"A","S"),"S")),""))</f>
        <v/>
      </c>
      <c r="AX16" s="16" t="str">
        <f aca="false">IF(Cron_Uso!AX16="","",IF(INT(Cron_Uso!AX16/Frota!$L16)&gt;INT(Cron_Uso!AW16/Frota!$L16),IF(N(VLOOKUP(Frota!$B16,Premissas!$A$39:$E$43,5,0))&gt;0,IF(MOD(INT(Cron_Uso!AX16/Frota!$L16)*Frota!$L16,N(VLOOKUP(Frota!$B16,Premissas!$A$39:$E$43,5,0)))=0,"B",IF(N(VLOOKUP(Frota!$B16,Premissas!$A$39:$E$43,4,0))&gt;0,IF(MOD(INT(Cron_Uso!AX16/Frota!$L16)*Frota!$L16,N(VLOOKUP(Frota!$B16,Premissas!$A$39:$E$43,4,0)))=0,"A","S"),"S")),IF(N(VLOOKUP(Frota!$B16,Premissas!$A$39:$E$43,4,0))&gt;0,IF(MOD(INT(Cron_Uso!AX16/Frota!$L16)*Frota!$L16,N(VLOOKUP(Frota!$B16,Premissas!$A$39:$E$43,4,0)))=0,"A","S"),"S")),""))</f>
        <v/>
      </c>
      <c r="AY16" s="16" t="str">
        <f aca="false">IF(Cron_Uso!AY16="","",IF(INT(Cron_Uso!AY16/Frota!$L16)&gt;INT(Cron_Uso!AX16/Frota!$L16),IF(N(VLOOKUP(Frota!$B16,Premissas!$A$39:$E$43,5,0))&gt;0,IF(MOD(INT(Cron_Uso!AY16/Frota!$L16)*Frota!$L16,N(VLOOKUP(Frota!$B16,Premissas!$A$39:$E$43,5,0)))=0,"B",IF(N(VLOOKUP(Frota!$B16,Premissas!$A$39:$E$43,4,0))&gt;0,IF(MOD(INT(Cron_Uso!AY16/Frota!$L16)*Frota!$L16,N(VLOOKUP(Frota!$B16,Premissas!$A$39:$E$43,4,0)))=0,"A","S"),"S")),IF(N(VLOOKUP(Frota!$B16,Premissas!$A$39:$E$43,4,0))&gt;0,IF(MOD(INT(Cron_Uso!AY16/Frota!$L16)*Frota!$L16,N(VLOOKUP(Frota!$B16,Premissas!$A$39:$E$43,4,0)))=0,"A","S"),"S")),""))</f>
        <v/>
      </c>
      <c r="AZ16" s="16" t="str">
        <f aca="false">IF(Cron_Uso!AZ16="","",IF(INT(Cron_Uso!AZ16/Frota!$L16)&gt;INT(Cron_Uso!AY16/Frota!$L16),IF(N(VLOOKUP(Frota!$B16,Premissas!$A$39:$E$43,5,0))&gt;0,IF(MOD(INT(Cron_Uso!AZ16/Frota!$L16)*Frota!$L16,N(VLOOKUP(Frota!$B16,Premissas!$A$39:$E$43,5,0)))=0,"B",IF(N(VLOOKUP(Frota!$B16,Premissas!$A$39:$E$43,4,0))&gt;0,IF(MOD(INT(Cron_Uso!AZ16/Frota!$L16)*Frota!$L16,N(VLOOKUP(Frota!$B16,Premissas!$A$39:$E$43,4,0)))=0,"A","S"),"S")),IF(N(VLOOKUP(Frota!$B16,Premissas!$A$39:$E$43,4,0))&gt;0,IF(MOD(INT(Cron_Uso!AZ16/Frota!$L16)*Frota!$L16,N(VLOOKUP(Frota!$B16,Premissas!$A$39:$E$43,4,0)))=0,"A","S"),"S")),""))</f>
        <v/>
      </c>
      <c r="BA16" s="16" t="str">
        <f aca="false">IF(Cron_Uso!BA16="","",IF(INT(Cron_Uso!BA16/Frota!$L16)&gt;INT(Cron_Uso!AZ16/Frota!$L16),IF(N(VLOOKUP(Frota!$B16,Premissas!$A$39:$E$43,5,0))&gt;0,IF(MOD(INT(Cron_Uso!BA16/Frota!$L16)*Frota!$L16,N(VLOOKUP(Frota!$B16,Premissas!$A$39:$E$43,5,0)))=0,"B",IF(N(VLOOKUP(Frota!$B16,Premissas!$A$39:$E$43,4,0))&gt;0,IF(MOD(INT(Cron_Uso!BA16/Frota!$L16)*Frota!$L16,N(VLOOKUP(Frota!$B16,Premissas!$A$39:$E$43,4,0)))=0,"A","S"),"S")),IF(N(VLOOKUP(Frota!$B16,Premissas!$A$39:$E$43,4,0))&gt;0,IF(MOD(INT(Cron_Uso!BA16/Frota!$L16)*Frota!$L16,N(VLOOKUP(Frota!$B16,Premissas!$A$39:$E$43,4,0)))=0,"A","S"),"S")),""))</f>
        <v/>
      </c>
    </row>
    <row r="17" customFormat="false" ht="15" hidden="false" customHeight="false" outlineLevel="0" collapsed="false">
      <c r="A17" s="6" t="str">
        <f aca="false">IF(Frota!$A17="","",Frota!$A17)</f>
        <v>Toyota Hilux — 5002</v>
      </c>
      <c r="B17" s="16" t="str">
        <f aca="false">IF(Cron_Uso!B17="","",IF(INT(Cron_Uso!B17/Frota!$L17)&gt;INT(Frota!$I17/Frota!$L17),IF(N(VLOOKUP(Frota!$B17,Premissas!$A$39:$E$43,5,0))&gt;0,IF(MOD(INT(Cron_Uso!B17/Frota!$L17)*Frota!$L17,N(VLOOKUP(Frota!$B17,Premissas!$A$39:$E$43,5,0)))=0,"B",IF(N(VLOOKUP(Frota!$B17,Premissas!$A$39:$E$43,4,0))&gt;0,IF(MOD(INT(Cron_Uso!B17/Frota!$L17)*Frota!$L17,N(VLOOKUP(Frota!$B17,Premissas!$A$39:$E$43,4,0)))=0,"A","S"),"S")),IF(N(VLOOKUP(Frota!$B17,Premissas!$A$39:$E$43,4,0))&gt;0,IF(MOD(INT(Cron_Uso!B17/Frota!$L17)*Frota!$L17,N(VLOOKUP(Frota!$B17,Premissas!$A$39:$E$43,4,0)))=0,"A","S"),"S")),""))</f>
        <v/>
      </c>
      <c r="C17" s="16" t="str">
        <f aca="false">IF(Cron_Uso!C17="","",IF(INT(Cron_Uso!C17/Frota!$L17)&gt;INT(Cron_Uso!B17/Frota!$L17),IF(N(VLOOKUP(Frota!$B17,Premissas!$A$39:$E$43,5,0))&gt;0,IF(MOD(INT(Cron_Uso!C17/Frota!$L17)*Frota!$L17,N(VLOOKUP(Frota!$B17,Premissas!$A$39:$E$43,5,0)))=0,"B",IF(N(VLOOKUP(Frota!$B17,Premissas!$A$39:$E$43,4,0))&gt;0,IF(MOD(INT(Cron_Uso!C17/Frota!$L17)*Frota!$L17,N(VLOOKUP(Frota!$B17,Premissas!$A$39:$E$43,4,0)))=0,"A","S"),"S")),IF(N(VLOOKUP(Frota!$B17,Premissas!$A$39:$E$43,4,0))&gt;0,IF(MOD(INT(Cron_Uso!C17/Frota!$L17)*Frota!$L17,N(VLOOKUP(Frota!$B17,Premissas!$A$39:$E$43,4,0)))=0,"A","S"),"S")),""))</f>
        <v/>
      </c>
      <c r="D17" s="16" t="str">
        <f aca="false">IF(Cron_Uso!D17="","",IF(INT(Cron_Uso!D17/Frota!$L17)&gt;INT(Cron_Uso!C17/Frota!$L17),IF(N(VLOOKUP(Frota!$B17,Premissas!$A$39:$E$43,5,0))&gt;0,IF(MOD(INT(Cron_Uso!D17/Frota!$L17)*Frota!$L17,N(VLOOKUP(Frota!$B17,Premissas!$A$39:$E$43,5,0)))=0,"B",IF(N(VLOOKUP(Frota!$B17,Premissas!$A$39:$E$43,4,0))&gt;0,IF(MOD(INT(Cron_Uso!D17/Frota!$L17)*Frota!$L17,N(VLOOKUP(Frota!$B17,Premissas!$A$39:$E$43,4,0)))=0,"A","S"),"S")),IF(N(VLOOKUP(Frota!$B17,Premissas!$A$39:$E$43,4,0))&gt;0,IF(MOD(INT(Cron_Uso!D17/Frota!$L17)*Frota!$L17,N(VLOOKUP(Frota!$B17,Premissas!$A$39:$E$43,4,0)))=0,"A","S"),"S")),""))</f>
        <v>S</v>
      </c>
      <c r="E17" s="16" t="str">
        <f aca="false">IF(Cron_Uso!E17="","",IF(INT(Cron_Uso!E17/Frota!$L17)&gt;INT(Cron_Uso!D17/Frota!$L17),IF(N(VLOOKUP(Frota!$B17,Premissas!$A$39:$E$43,5,0))&gt;0,IF(MOD(INT(Cron_Uso!E17/Frota!$L17)*Frota!$L17,N(VLOOKUP(Frota!$B17,Premissas!$A$39:$E$43,5,0)))=0,"B",IF(N(VLOOKUP(Frota!$B17,Premissas!$A$39:$E$43,4,0))&gt;0,IF(MOD(INT(Cron_Uso!E17/Frota!$L17)*Frota!$L17,N(VLOOKUP(Frota!$B17,Premissas!$A$39:$E$43,4,0)))=0,"A","S"),"S")),IF(N(VLOOKUP(Frota!$B17,Premissas!$A$39:$E$43,4,0))&gt;0,IF(MOD(INT(Cron_Uso!E17/Frota!$L17)*Frota!$L17,N(VLOOKUP(Frota!$B17,Premissas!$A$39:$E$43,4,0)))=0,"A","S"),"S")),""))</f>
        <v/>
      </c>
      <c r="F17" s="16" t="str">
        <f aca="false">IF(Cron_Uso!F17="","",IF(INT(Cron_Uso!F17/Frota!$L17)&gt;INT(Cron_Uso!E17/Frota!$L17),IF(N(VLOOKUP(Frota!$B17,Premissas!$A$39:$E$43,5,0))&gt;0,IF(MOD(INT(Cron_Uso!F17/Frota!$L17)*Frota!$L17,N(VLOOKUP(Frota!$B17,Premissas!$A$39:$E$43,5,0)))=0,"B",IF(N(VLOOKUP(Frota!$B17,Premissas!$A$39:$E$43,4,0))&gt;0,IF(MOD(INT(Cron_Uso!F17/Frota!$L17)*Frota!$L17,N(VLOOKUP(Frota!$B17,Premissas!$A$39:$E$43,4,0)))=0,"A","S"),"S")),IF(N(VLOOKUP(Frota!$B17,Premissas!$A$39:$E$43,4,0))&gt;0,IF(MOD(INT(Cron_Uso!F17/Frota!$L17)*Frota!$L17,N(VLOOKUP(Frota!$B17,Premissas!$A$39:$E$43,4,0)))=0,"A","S"),"S")),""))</f>
        <v/>
      </c>
      <c r="G17" s="16" t="str">
        <f aca="false">IF(Cron_Uso!G17="","",IF(INT(Cron_Uso!G17/Frota!$L17)&gt;INT(Cron_Uso!F17/Frota!$L17),IF(N(VLOOKUP(Frota!$B17,Premissas!$A$39:$E$43,5,0))&gt;0,IF(MOD(INT(Cron_Uso!G17/Frota!$L17)*Frota!$L17,N(VLOOKUP(Frota!$B17,Premissas!$A$39:$E$43,5,0)))=0,"B",IF(N(VLOOKUP(Frota!$B17,Premissas!$A$39:$E$43,4,0))&gt;0,IF(MOD(INT(Cron_Uso!G17/Frota!$L17)*Frota!$L17,N(VLOOKUP(Frota!$B17,Premissas!$A$39:$E$43,4,0)))=0,"A","S"),"S")),IF(N(VLOOKUP(Frota!$B17,Premissas!$A$39:$E$43,4,0))&gt;0,IF(MOD(INT(Cron_Uso!G17/Frota!$L17)*Frota!$L17,N(VLOOKUP(Frota!$B17,Premissas!$A$39:$E$43,4,0)))=0,"A","S"),"S")),""))</f>
        <v/>
      </c>
      <c r="H17" s="16" t="str">
        <f aca="false">IF(Cron_Uso!H17="","",IF(INT(Cron_Uso!H17/Frota!$L17)&gt;INT(Cron_Uso!G17/Frota!$L17),IF(N(VLOOKUP(Frota!$B17,Premissas!$A$39:$E$43,5,0))&gt;0,IF(MOD(INT(Cron_Uso!H17/Frota!$L17)*Frota!$L17,N(VLOOKUP(Frota!$B17,Premissas!$A$39:$E$43,5,0)))=0,"B",IF(N(VLOOKUP(Frota!$B17,Premissas!$A$39:$E$43,4,0))&gt;0,IF(MOD(INT(Cron_Uso!H17/Frota!$L17)*Frota!$L17,N(VLOOKUP(Frota!$B17,Premissas!$A$39:$E$43,4,0)))=0,"A","S"),"S")),IF(N(VLOOKUP(Frota!$B17,Premissas!$A$39:$E$43,4,0))&gt;0,IF(MOD(INT(Cron_Uso!H17/Frota!$L17)*Frota!$L17,N(VLOOKUP(Frota!$B17,Premissas!$A$39:$E$43,4,0)))=0,"A","S"),"S")),""))</f>
        <v/>
      </c>
      <c r="I17" s="16" t="str">
        <f aca="false">IF(Cron_Uso!I17="","",IF(INT(Cron_Uso!I17/Frota!$L17)&gt;INT(Cron_Uso!H17/Frota!$L17),IF(N(VLOOKUP(Frota!$B17,Premissas!$A$39:$E$43,5,0))&gt;0,IF(MOD(INT(Cron_Uso!I17/Frota!$L17)*Frota!$L17,N(VLOOKUP(Frota!$B17,Premissas!$A$39:$E$43,5,0)))=0,"B",IF(N(VLOOKUP(Frota!$B17,Premissas!$A$39:$E$43,4,0))&gt;0,IF(MOD(INT(Cron_Uso!I17/Frota!$L17)*Frota!$L17,N(VLOOKUP(Frota!$B17,Premissas!$A$39:$E$43,4,0)))=0,"A","S"),"S")),IF(N(VLOOKUP(Frota!$B17,Premissas!$A$39:$E$43,4,0))&gt;0,IF(MOD(INT(Cron_Uso!I17/Frota!$L17)*Frota!$L17,N(VLOOKUP(Frota!$B17,Premissas!$A$39:$E$43,4,0)))=0,"A","S"),"S")),""))</f>
        <v/>
      </c>
      <c r="J17" s="16" t="str">
        <f aca="false">IF(Cron_Uso!J17="","",IF(INT(Cron_Uso!J17/Frota!$L17)&gt;INT(Cron_Uso!I17/Frota!$L17),IF(N(VLOOKUP(Frota!$B17,Premissas!$A$39:$E$43,5,0))&gt;0,IF(MOD(INT(Cron_Uso!J17/Frota!$L17)*Frota!$L17,N(VLOOKUP(Frota!$B17,Premissas!$A$39:$E$43,5,0)))=0,"B",IF(N(VLOOKUP(Frota!$B17,Premissas!$A$39:$E$43,4,0))&gt;0,IF(MOD(INT(Cron_Uso!J17/Frota!$L17)*Frota!$L17,N(VLOOKUP(Frota!$B17,Premissas!$A$39:$E$43,4,0)))=0,"A","S"),"S")),IF(N(VLOOKUP(Frota!$B17,Premissas!$A$39:$E$43,4,0))&gt;0,IF(MOD(INT(Cron_Uso!J17/Frota!$L17)*Frota!$L17,N(VLOOKUP(Frota!$B17,Premissas!$A$39:$E$43,4,0)))=0,"A","S"),"S")),""))</f>
        <v/>
      </c>
      <c r="K17" s="16" t="str">
        <f aca="false">IF(Cron_Uso!K17="","",IF(INT(Cron_Uso!K17/Frota!$L17)&gt;INT(Cron_Uso!J17/Frota!$L17),IF(N(VLOOKUP(Frota!$B17,Premissas!$A$39:$E$43,5,0))&gt;0,IF(MOD(INT(Cron_Uso!K17/Frota!$L17)*Frota!$L17,N(VLOOKUP(Frota!$B17,Premissas!$A$39:$E$43,5,0)))=0,"B",IF(N(VLOOKUP(Frota!$B17,Premissas!$A$39:$E$43,4,0))&gt;0,IF(MOD(INT(Cron_Uso!K17/Frota!$L17)*Frota!$L17,N(VLOOKUP(Frota!$B17,Premissas!$A$39:$E$43,4,0)))=0,"A","S"),"S")),IF(N(VLOOKUP(Frota!$B17,Premissas!$A$39:$E$43,4,0))&gt;0,IF(MOD(INT(Cron_Uso!K17/Frota!$L17)*Frota!$L17,N(VLOOKUP(Frota!$B17,Premissas!$A$39:$E$43,4,0)))=0,"A","S"),"S")),""))</f>
        <v/>
      </c>
      <c r="L17" s="16" t="str">
        <f aca="false">IF(Cron_Uso!L17="","",IF(INT(Cron_Uso!L17/Frota!$L17)&gt;INT(Cron_Uso!K17/Frota!$L17),IF(N(VLOOKUP(Frota!$B17,Premissas!$A$39:$E$43,5,0))&gt;0,IF(MOD(INT(Cron_Uso!L17/Frota!$L17)*Frota!$L17,N(VLOOKUP(Frota!$B17,Premissas!$A$39:$E$43,5,0)))=0,"B",IF(N(VLOOKUP(Frota!$B17,Premissas!$A$39:$E$43,4,0))&gt;0,IF(MOD(INT(Cron_Uso!L17/Frota!$L17)*Frota!$L17,N(VLOOKUP(Frota!$B17,Premissas!$A$39:$E$43,4,0)))=0,"A","S"),"S")),IF(N(VLOOKUP(Frota!$B17,Premissas!$A$39:$E$43,4,0))&gt;0,IF(MOD(INT(Cron_Uso!L17/Frota!$L17)*Frota!$L17,N(VLOOKUP(Frota!$B17,Premissas!$A$39:$E$43,4,0)))=0,"A","S"),"S")),""))</f>
        <v/>
      </c>
      <c r="M17" s="16" t="str">
        <f aca="false">IF(Cron_Uso!M17="","",IF(INT(Cron_Uso!M17/Frota!$L17)&gt;INT(Cron_Uso!L17/Frota!$L17),IF(N(VLOOKUP(Frota!$B17,Premissas!$A$39:$E$43,5,0))&gt;0,IF(MOD(INT(Cron_Uso!M17/Frota!$L17)*Frota!$L17,N(VLOOKUP(Frota!$B17,Premissas!$A$39:$E$43,5,0)))=0,"B",IF(N(VLOOKUP(Frota!$B17,Premissas!$A$39:$E$43,4,0))&gt;0,IF(MOD(INT(Cron_Uso!M17/Frota!$L17)*Frota!$L17,N(VLOOKUP(Frota!$B17,Premissas!$A$39:$E$43,4,0)))=0,"A","S"),"S")),IF(N(VLOOKUP(Frota!$B17,Premissas!$A$39:$E$43,4,0))&gt;0,IF(MOD(INT(Cron_Uso!M17/Frota!$L17)*Frota!$L17,N(VLOOKUP(Frota!$B17,Premissas!$A$39:$E$43,4,0)))=0,"A","S"),"S")),""))</f>
        <v/>
      </c>
      <c r="N17" s="16" t="str">
        <f aca="false">IF(Cron_Uso!N17="","",IF(INT(Cron_Uso!N17/Frota!$L17)&gt;INT(Cron_Uso!M17/Frota!$L17),IF(N(VLOOKUP(Frota!$B17,Premissas!$A$39:$E$43,5,0))&gt;0,IF(MOD(INT(Cron_Uso!N17/Frota!$L17)*Frota!$L17,N(VLOOKUP(Frota!$B17,Premissas!$A$39:$E$43,5,0)))=0,"B",IF(N(VLOOKUP(Frota!$B17,Premissas!$A$39:$E$43,4,0))&gt;0,IF(MOD(INT(Cron_Uso!N17/Frota!$L17)*Frota!$L17,N(VLOOKUP(Frota!$B17,Premissas!$A$39:$E$43,4,0)))=0,"A","S"),"S")),IF(N(VLOOKUP(Frota!$B17,Premissas!$A$39:$E$43,4,0))&gt;0,IF(MOD(INT(Cron_Uso!N17/Frota!$L17)*Frota!$L17,N(VLOOKUP(Frota!$B17,Premissas!$A$39:$E$43,4,0)))=0,"A","S"),"S")),""))</f>
        <v/>
      </c>
      <c r="O17" s="16" t="str">
        <f aca="false">IF(Cron_Uso!O17="","",IF(INT(Cron_Uso!O17/Frota!$L17)&gt;INT(Cron_Uso!N17/Frota!$L17),IF(N(VLOOKUP(Frota!$B17,Premissas!$A$39:$E$43,5,0))&gt;0,IF(MOD(INT(Cron_Uso!O17/Frota!$L17)*Frota!$L17,N(VLOOKUP(Frota!$B17,Premissas!$A$39:$E$43,5,0)))=0,"B",IF(N(VLOOKUP(Frota!$B17,Premissas!$A$39:$E$43,4,0))&gt;0,IF(MOD(INT(Cron_Uso!O17/Frota!$L17)*Frota!$L17,N(VLOOKUP(Frota!$B17,Premissas!$A$39:$E$43,4,0)))=0,"A","S"),"S")),IF(N(VLOOKUP(Frota!$B17,Premissas!$A$39:$E$43,4,0))&gt;0,IF(MOD(INT(Cron_Uso!O17/Frota!$L17)*Frota!$L17,N(VLOOKUP(Frota!$B17,Premissas!$A$39:$E$43,4,0)))=0,"A","S"),"S")),""))</f>
        <v/>
      </c>
      <c r="P17" s="16" t="str">
        <f aca="false">IF(Cron_Uso!P17="","",IF(INT(Cron_Uso!P17/Frota!$L17)&gt;INT(Cron_Uso!O17/Frota!$L17),IF(N(VLOOKUP(Frota!$B17,Premissas!$A$39:$E$43,5,0))&gt;0,IF(MOD(INT(Cron_Uso!P17/Frota!$L17)*Frota!$L17,N(VLOOKUP(Frota!$B17,Premissas!$A$39:$E$43,5,0)))=0,"B",IF(N(VLOOKUP(Frota!$B17,Premissas!$A$39:$E$43,4,0))&gt;0,IF(MOD(INT(Cron_Uso!P17/Frota!$L17)*Frota!$L17,N(VLOOKUP(Frota!$B17,Premissas!$A$39:$E$43,4,0)))=0,"A","S"),"S")),IF(N(VLOOKUP(Frota!$B17,Premissas!$A$39:$E$43,4,0))&gt;0,IF(MOD(INT(Cron_Uso!P17/Frota!$L17)*Frota!$L17,N(VLOOKUP(Frota!$B17,Premissas!$A$39:$E$43,4,0)))=0,"A","S"),"S")),""))</f>
        <v>A</v>
      </c>
      <c r="Q17" s="16" t="str">
        <f aca="false">IF(Cron_Uso!Q17="","",IF(INT(Cron_Uso!Q17/Frota!$L17)&gt;INT(Cron_Uso!P17/Frota!$L17),IF(N(VLOOKUP(Frota!$B17,Premissas!$A$39:$E$43,5,0))&gt;0,IF(MOD(INT(Cron_Uso!Q17/Frota!$L17)*Frota!$L17,N(VLOOKUP(Frota!$B17,Premissas!$A$39:$E$43,5,0)))=0,"B",IF(N(VLOOKUP(Frota!$B17,Premissas!$A$39:$E$43,4,0))&gt;0,IF(MOD(INT(Cron_Uso!Q17/Frota!$L17)*Frota!$L17,N(VLOOKUP(Frota!$B17,Premissas!$A$39:$E$43,4,0)))=0,"A","S"),"S")),IF(N(VLOOKUP(Frota!$B17,Premissas!$A$39:$E$43,4,0))&gt;0,IF(MOD(INT(Cron_Uso!Q17/Frota!$L17)*Frota!$L17,N(VLOOKUP(Frota!$B17,Premissas!$A$39:$E$43,4,0)))=0,"A","S"),"S")),""))</f>
        <v/>
      </c>
      <c r="R17" s="16" t="str">
        <f aca="false">IF(Cron_Uso!R17="","",IF(INT(Cron_Uso!R17/Frota!$L17)&gt;INT(Cron_Uso!Q17/Frota!$L17),IF(N(VLOOKUP(Frota!$B17,Premissas!$A$39:$E$43,5,0))&gt;0,IF(MOD(INT(Cron_Uso!R17/Frota!$L17)*Frota!$L17,N(VLOOKUP(Frota!$B17,Premissas!$A$39:$E$43,5,0)))=0,"B",IF(N(VLOOKUP(Frota!$B17,Premissas!$A$39:$E$43,4,0))&gt;0,IF(MOD(INT(Cron_Uso!R17/Frota!$L17)*Frota!$L17,N(VLOOKUP(Frota!$B17,Premissas!$A$39:$E$43,4,0)))=0,"A","S"),"S")),IF(N(VLOOKUP(Frota!$B17,Premissas!$A$39:$E$43,4,0))&gt;0,IF(MOD(INT(Cron_Uso!R17/Frota!$L17)*Frota!$L17,N(VLOOKUP(Frota!$B17,Premissas!$A$39:$E$43,4,0)))=0,"A","S"),"S")),""))</f>
        <v/>
      </c>
      <c r="S17" s="16" t="str">
        <f aca="false">IF(Cron_Uso!S17="","",IF(INT(Cron_Uso!S17/Frota!$L17)&gt;INT(Cron_Uso!R17/Frota!$L17),IF(N(VLOOKUP(Frota!$B17,Premissas!$A$39:$E$43,5,0))&gt;0,IF(MOD(INT(Cron_Uso!S17/Frota!$L17)*Frota!$L17,N(VLOOKUP(Frota!$B17,Premissas!$A$39:$E$43,5,0)))=0,"B",IF(N(VLOOKUP(Frota!$B17,Premissas!$A$39:$E$43,4,0))&gt;0,IF(MOD(INT(Cron_Uso!S17/Frota!$L17)*Frota!$L17,N(VLOOKUP(Frota!$B17,Premissas!$A$39:$E$43,4,0)))=0,"A","S"),"S")),IF(N(VLOOKUP(Frota!$B17,Premissas!$A$39:$E$43,4,0))&gt;0,IF(MOD(INT(Cron_Uso!S17/Frota!$L17)*Frota!$L17,N(VLOOKUP(Frota!$B17,Premissas!$A$39:$E$43,4,0)))=0,"A","S"),"S")),""))</f>
        <v/>
      </c>
      <c r="T17" s="16" t="str">
        <f aca="false">IF(Cron_Uso!T17="","",IF(INT(Cron_Uso!T17/Frota!$L17)&gt;INT(Cron_Uso!S17/Frota!$L17),IF(N(VLOOKUP(Frota!$B17,Premissas!$A$39:$E$43,5,0))&gt;0,IF(MOD(INT(Cron_Uso!T17/Frota!$L17)*Frota!$L17,N(VLOOKUP(Frota!$B17,Premissas!$A$39:$E$43,5,0)))=0,"B",IF(N(VLOOKUP(Frota!$B17,Premissas!$A$39:$E$43,4,0))&gt;0,IF(MOD(INT(Cron_Uso!T17/Frota!$L17)*Frota!$L17,N(VLOOKUP(Frota!$B17,Premissas!$A$39:$E$43,4,0)))=0,"A","S"),"S")),IF(N(VLOOKUP(Frota!$B17,Premissas!$A$39:$E$43,4,0))&gt;0,IF(MOD(INT(Cron_Uso!T17/Frota!$L17)*Frota!$L17,N(VLOOKUP(Frota!$B17,Premissas!$A$39:$E$43,4,0)))=0,"A","S"),"S")),""))</f>
        <v/>
      </c>
      <c r="U17" s="16" t="str">
        <f aca="false">IF(Cron_Uso!U17="","",IF(INT(Cron_Uso!U17/Frota!$L17)&gt;INT(Cron_Uso!T17/Frota!$L17),IF(N(VLOOKUP(Frota!$B17,Premissas!$A$39:$E$43,5,0))&gt;0,IF(MOD(INT(Cron_Uso!U17/Frota!$L17)*Frota!$L17,N(VLOOKUP(Frota!$B17,Premissas!$A$39:$E$43,5,0)))=0,"B",IF(N(VLOOKUP(Frota!$B17,Premissas!$A$39:$E$43,4,0))&gt;0,IF(MOD(INT(Cron_Uso!U17/Frota!$L17)*Frota!$L17,N(VLOOKUP(Frota!$B17,Premissas!$A$39:$E$43,4,0)))=0,"A","S"),"S")),IF(N(VLOOKUP(Frota!$B17,Premissas!$A$39:$E$43,4,0))&gt;0,IF(MOD(INT(Cron_Uso!U17/Frota!$L17)*Frota!$L17,N(VLOOKUP(Frota!$B17,Premissas!$A$39:$E$43,4,0)))=0,"A","S"),"S")),""))</f>
        <v/>
      </c>
      <c r="V17" s="16" t="str">
        <f aca="false">IF(Cron_Uso!V17="","",IF(INT(Cron_Uso!V17/Frota!$L17)&gt;INT(Cron_Uso!U17/Frota!$L17),IF(N(VLOOKUP(Frota!$B17,Premissas!$A$39:$E$43,5,0))&gt;0,IF(MOD(INT(Cron_Uso!V17/Frota!$L17)*Frota!$L17,N(VLOOKUP(Frota!$B17,Premissas!$A$39:$E$43,5,0)))=0,"B",IF(N(VLOOKUP(Frota!$B17,Premissas!$A$39:$E$43,4,0))&gt;0,IF(MOD(INT(Cron_Uso!V17/Frota!$L17)*Frota!$L17,N(VLOOKUP(Frota!$B17,Premissas!$A$39:$E$43,4,0)))=0,"A","S"),"S")),IF(N(VLOOKUP(Frota!$B17,Premissas!$A$39:$E$43,4,0))&gt;0,IF(MOD(INT(Cron_Uso!V17/Frota!$L17)*Frota!$L17,N(VLOOKUP(Frota!$B17,Premissas!$A$39:$E$43,4,0)))=0,"A","S"),"S")),""))</f>
        <v/>
      </c>
      <c r="W17" s="16" t="str">
        <f aca="false">IF(Cron_Uso!W17="","",IF(INT(Cron_Uso!W17/Frota!$L17)&gt;INT(Cron_Uso!V17/Frota!$L17),IF(N(VLOOKUP(Frota!$B17,Premissas!$A$39:$E$43,5,0))&gt;0,IF(MOD(INT(Cron_Uso!W17/Frota!$L17)*Frota!$L17,N(VLOOKUP(Frota!$B17,Premissas!$A$39:$E$43,5,0)))=0,"B",IF(N(VLOOKUP(Frota!$B17,Premissas!$A$39:$E$43,4,0))&gt;0,IF(MOD(INT(Cron_Uso!W17/Frota!$L17)*Frota!$L17,N(VLOOKUP(Frota!$B17,Premissas!$A$39:$E$43,4,0)))=0,"A","S"),"S")),IF(N(VLOOKUP(Frota!$B17,Premissas!$A$39:$E$43,4,0))&gt;0,IF(MOD(INT(Cron_Uso!W17/Frota!$L17)*Frota!$L17,N(VLOOKUP(Frota!$B17,Premissas!$A$39:$E$43,4,0)))=0,"A","S"),"S")),""))</f>
        <v/>
      </c>
      <c r="X17" s="16" t="str">
        <f aca="false">IF(Cron_Uso!X17="","",IF(INT(Cron_Uso!X17/Frota!$L17)&gt;INT(Cron_Uso!W17/Frota!$L17),IF(N(VLOOKUP(Frota!$B17,Premissas!$A$39:$E$43,5,0))&gt;0,IF(MOD(INT(Cron_Uso!X17/Frota!$L17)*Frota!$L17,N(VLOOKUP(Frota!$B17,Premissas!$A$39:$E$43,5,0)))=0,"B",IF(N(VLOOKUP(Frota!$B17,Premissas!$A$39:$E$43,4,0))&gt;0,IF(MOD(INT(Cron_Uso!X17/Frota!$L17)*Frota!$L17,N(VLOOKUP(Frota!$B17,Premissas!$A$39:$E$43,4,0)))=0,"A","S"),"S")),IF(N(VLOOKUP(Frota!$B17,Premissas!$A$39:$E$43,4,0))&gt;0,IF(MOD(INT(Cron_Uso!X17/Frota!$L17)*Frota!$L17,N(VLOOKUP(Frota!$B17,Premissas!$A$39:$E$43,4,0)))=0,"A","S"),"S")),""))</f>
        <v/>
      </c>
      <c r="Y17" s="16" t="str">
        <f aca="false">IF(Cron_Uso!Y17="","",IF(INT(Cron_Uso!Y17/Frota!$L17)&gt;INT(Cron_Uso!X17/Frota!$L17),IF(N(VLOOKUP(Frota!$B17,Premissas!$A$39:$E$43,5,0))&gt;0,IF(MOD(INT(Cron_Uso!Y17/Frota!$L17)*Frota!$L17,N(VLOOKUP(Frota!$B17,Premissas!$A$39:$E$43,5,0)))=0,"B",IF(N(VLOOKUP(Frota!$B17,Premissas!$A$39:$E$43,4,0))&gt;0,IF(MOD(INT(Cron_Uso!Y17/Frota!$L17)*Frota!$L17,N(VLOOKUP(Frota!$B17,Premissas!$A$39:$E$43,4,0)))=0,"A","S"),"S")),IF(N(VLOOKUP(Frota!$B17,Premissas!$A$39:$E$43,4,0))&gt;0,IF(MOD(INT(Cron_Uso!Y17/Frota!$L17)*Frota!$L17,N(VLOOKUP(Frota!$B17,Premissas!$A$39:$E$43,4,0)))=0,"A","S"),"S")),""))</f>
        <v/>
      </c>
      <c r="Z17" s="16" t="str">
        <f aca="false">IF(Cron_Uso!Z17="","",IF(INT(Cron_Uso!Z17/Frota!$L17)&gt;INT(Cron_Uso!Y17/Frota!$L17),IF(N(VLOOKUP(Frota!$B17,Premissas!$A$39:$E$43,5,0))&gt;0,IF(MOD(INT(Cron_Uso!Z17/Frota!$L17)*Frota!$L17,N(VLOOKUP(Frota!$B17,Premissas!$A$39:$E$43,5,0)))=0,"B",IF(N(VLOOKUP(Frota!$B17,Premissas!$A$39:$E$43,4,0))&gt;0,IF(MOD(INT(Cron_Uso!Z17/Frota!$L17)*Frota!$L17,N(VLOOKUP(Frota!$B17,Premissas!$A$39:$E$43,4,0)))=0,"A","S"),"S")),IF(N(VLOOKUP(Frota!$B17,Premissas!$A$39:$E$43,4,0))&gt;0,IF(MOD(INT(Cron_Uso!Z17/Frota!$L17)*Frota!$L17,N(VLOOKUP(Frota!$B17,Premissas!$A$39:$E$43,4,0)))=0,"A","S"),"S")),""))</f>
        <v/>
      </c>
      <c r="AA17" s="16" t="str">
        <f aca="false">IF(Cron_Uso!AA17="","",IF(INT(Cron_Uso!AA17/Frota!$L17)&gt;INT(Cron_Uso!Z17/Frota!$L17),IF(N(VLOOKUP(Frota!$B17,Premissas!$A$39:$E$43,5,0))&gt;0,IF(MOD(INT(Cron_Uso!AA17/Frota!$L17)*Frota!$L17,N(VLOOKUP(Frota!$B17,Premissas!$A$39:$E$43,5,0)))=0,"B",IF(N(VLOOKUP(Frota!$B17,Premissas!$A$39:$E$43,4,0))&gt;0,IF(MOD(INT(Cron_Uso!AA17/Frota!$L17)*Frota!$L17,N(VLOOKUP(Frota!$B17,Premissas!$A$39:$E$43,4,0)))=0,"A","S"),"S")),IF(N(VLOOKUP(Frota!$B17,Premissas!$A$39:$E$43,4,0))&gt;0,IF(MOD(INT(Cron_Uso!AA17/Frota!$L17)*Frota!$L17,N(VLOOKUP(Frota!$B17,Premissas!$A$39:$E$43,4,0)))=0,"A","S"),"S")),""))</f>
        <v>S</v>
      </c>
      <c r="AB17" s="16" t="str">
        <f aca="false">IF(Cron_Uso!AB17="","",IF(INT(Cron_Uso!AB17/Frota!$L17)&gt;INT(Cron_Uso!AA17/Frota!$L17),IF(N(VLOOKUP(Frota!$B17,Premissas!$A$39:$E$43,5,0))&gt;0,IF(MOD(INT(Cron_Uso!AB17/Frota!$L17)*Frota!$L17,N(VLOOKUP(Frota!$B17,Premissas!$A$39:$E$43,5,0)))=0,"B",IF(N(VLOOKUP(Frota!$B17,Premissas!$A$39:$E$43,4,0))&gt;0,IF(MOD(INT(Cron_Uso!AB17/Frota!$L17)*Frota!$L17,N(VLOOKUP(Frota!$B17,Premissas!$A$39:$E$43,4,0)))=0,"A","S"),"S")),IF(N(VLOOKUP(Frota!$B17,Premissas!$A$39:$E$43,4,0))&gt;0,IF(MOD(INT(Cron_Uso!AB17/Frota!$L17)*Frota!$L17,N(VLOOKUP(Frota!$B17,Premissas!$A$39:$E$43,4,0)))=0,"A","S"),"S")),""))</f>
        <v/>
      </c>
      <c r="AC17" s="16" t="str">
        <f aca="false">IF(Cron_Uso!AC17="","",IF(INT(Cron_Uso!AC17/Frota!$L17)&gt;INT(Cron_Uso!AB17/Frota!$L17),IF(N(VLOOKUP(Frota!$B17,Premissas!$A$39:$E$43,5,0))&gt;0,IF(MOD(INT(Cron_Uso!AC17/Frota!$L17)*Frota!$L17,N(VLOOKUP(Frota!$B17,Premissas!$A$39:$E$43,5,0)))=0,"B",IF(N(VLOOKUP(Frota!$B17,Premissas!$A$39:$E$43,4,0))&gt;0,IF(MOD(INT(Cron_Uso!AC17/Frota!$L17)*Frota!$L17,N(VLOOKUP(Frota!$B17,Premissas!$A$39:$E$43,4,0)))=0,"A","S"),"S")),IF(N(VLOOKUP(Frota!$B17,Premissas!$A$39:$E$43,4,0))&gt;0,IF(MOD(INT(Cron_Uso!AC17/Frota!$L17)*Frota!$L17,N(VLOOKUP(Frota!$B17,Premissas!$A$39:$E$43,4,0)))=0,"A","S"),"S")),""))</f>
        <v/>
      </c>
      <c r="AD17" s="16" t="str">
        <f aca="false">IF(Cron_Uso!AD17="","",IF(INT(Cron_Uso!AD17/Frota!$L17)&gt;INT(Cron_Uso!AC17/Frota!$L17),IF(N(VLOOKUP(Frota!$B17,Premissas!$A$39:$E$43,5,0))&gt;0,IF(MOD(INT(Cron_Uso!AD17/Frota!$L17)*Frota!$L17,N(VLOOKUP(Frota!$B17,Premissas!$A$39:$E$43,5,0)))=0,"B",IF(N(VLOOKUP(Frota!$B17,Premissas!$A$39:$E$43,4,0))&gt;0,IF(MOD(INT(Cron_Uso!AD17/Frota!$L17)*Frota!$L17,N(VLOOKUP(Frota!$B17,Premissas!$A$39:$E$43,4,0)))=0,"A","S"),"S")),IF(N(VLOOKUP(Frota!$B17,Premissas!$A$39:$E$43,4,0))&gt;0,IF(MOD(INT(Cron_Uso!AD17/Frota!$L17)*Frota!$L17,N(VLOOKUP(Frota!$B17,Premissas!$A$39:$E$43,4,0)))=0,"A","S"),"S")),""))</f>
        <v/>
      </c>
      <c r="AE17" s="16" t="str">
        <f aca="false">IF(Cron_Uso!AE17="","",IF(INT(Cron_Uso!AE17/Frota!$L17)&gt;INT(Cron_Uso!AD17/Frota!$L17),IF(N(VLOOKUP(Frota!$B17,Premissas!$A$39:$E$43,5,0))&gt;0,IF(MOD(INT(Cron_Uso!AE17/Frota!$L17)*Frota!$L17,N(VLOOKUP(Frota!$B17,Premissas!$A$39:$E$43,5,0)))=0,"B",IF(N(VLOOKUP(Frota!$B17,Premissas!$A$39:$E$43,4,0))&gt;0,IF(MOD(INT(Cron_Uso!AE17/Frota!$L17)*Frota!$L17,N(VLOOKUP(Frota!$B17,Premissas!$A$39:$E$43,4,0)))=0,"A","S"),"S")),IF(N(VLOOKUP(Frota!$B17,Premissas!$A$39:$E$43,4,0))&gt;0,IF(MOD(INT(Cron_Uso!AE17/Frota!$L17)*Frota!$L17,N(VLOOKUP(Frota!$B17,Premissas!$A$39:$E$43,4,0)))=0,"A","S"),"S")),""))</f>
        <v/>
      </c>
      <c r="AF17" s="16" t="str">
        <f aca="false">IF(Cron_Uso!AF17="","",IF(INT(Cron_Uso!AF17/Frota!$L17)&gt;INT(Cron_Uso!AE17/Frota!$L17),IF(N(VLOOKUP(Frota!$B17,Premissas!$A$39:$E$43,5,0))&gt;0,IF(MOD(INT(Cron_Uso!AF17/Frota!$L17)*Frota!$L17,N(VLOOKUP(Frota!$B17,Premissas!$A$39:$E$43,5,0)))=0,"B",IF(N(VLOOKUP(Frota!$B17,Premissas!$A$39:$E$43,4,0))&gt;0,IF(MOD(INT(Cron_Uso!AF17/Frota!$L17)*Frota!$L17,N(VLOOKUP(Frota!$B17,Premissas!$A$39:$E$43,4,0)))=0,"A","S"),"S")),IF(N(VLOOKUP(Frota!$B17,Premissas!$A$39:$E$43,4,0))&gt;0,IF(MOD(INT(Cron_Uso!AF17/Frota!$L17)*Frota!$L17,N(VLOOKUP(Frota!$B17,Premissas!$A$39:$E$43,4,0)))=0,"A","S"),"S")),""))</f>
        <v/>
      </c>
      <c r="AG17" s="16" t="str">
        <f aca="false">IF(Cron_Uso!AG17="","",IF(INT(Cron_Uso!AG17/Frota!$L17)&gt;INT(Cron_Uso!AF17/Frota!$L17),IF(N(VLOOKUP(Frota!$B17,Premissas!$A$39:$E$43,5,0))&gt;0,IF(MOD(INT(Cron_Uso!AG17/Frota!$L17)*Frota!$L17,N(VLOOKUP(Frota!$B17,Premissas!$A$39:$E$43,5,0)))=0,"B",IF(N(VLOOKUP(Frota!$B17,Premissas!$A$39:$E$43,4,0))&gt;0,IF(MOD(INT(Cron_Uso!AG17/Frota!$L17)*Frota!$L17,N(VLOOKUP(Frota!$B17,Premissas!$A$39:$E$43,4,0)))=0,"A","S"),"S")),IF(N(VLOOKUP(Frota!$B17,Premissas!$A$39:$E$43,4,0))&gt;0,IF(MOD(INT(Cron_Uso!AG17/Frota!$L17)*Frota!$L17,N(VLOOKUP(Frota!$B17,Premissas!$A$39:$E$43,4,0)))=0,"A","S"),"S")),""))</f>
        <v/>
      </c>
      <c r="AH17" s="16" t="str">
        <f aca="false">IF(Cron_Uso!AH17="","",IF(INT(Cron_Uso!AH17/Frota!$L17)&gt;INT(Cron_Uso!AG17/Frota!$L17),IF(N(VLOOKUP(Frota!$B17,Premissas!$A$39:$E$43,5,0))&gt;0,IF(MOD(INT(Cron_Uso!AH17/Frota!$L17)*Frota!$L17,N(VLOOKUP(Frota!$B17,Premissas!$A$39:$E$43,5,0)))=0,"B",IF(N(VLOOKUP(Frota!$B17,Premissas!$A$39:$E$43,4,0))&gt;0,IF(MOD(INT(Cron_Uso!AH17/Frota!$L17)*Frota!$L17,N(VLOOKUP(Frota!$B17,Premissas!$A$39:$E$43,4,0)))=0,"A","S"),"S")),IF(N(VLOOKUP(Frota!$B17,Premissas!$A$39:$E$43,4,0))&gt;0,IF(MOD(INT(Cron_Uso!AH17/Frota!$L17)*Frota!$L17,N(VLOOKUP(Frota!$B17,Premissas!$A$39:$E$43,4,0)))=0,"A","S"),"S")),""))</f>
        <v/>
      </c>
      <c r="AI17" s="16" t="str">
        <f aca="false">IF(Cron_Uso!AI17="","",IF(INT(Cron_Uso!AI17/Frota!$L17)&gt;INT(Cron_Uso!AH17/Frota!$L17),IF(N(VLOOKUP(Frota!$B17,Premissas!$A$39:$E$43,5,0))&gt;0,IF(MOD(INT(Cron_Uso!AI17/Frota!$L17)*Frota!$L17,N(VLOOKUP(Frota!$B17,Premissas!$A$39:$E$43,5,0)))=0,"B",IF(N(VLOOKUP(Frota!$B17,Premissas!$A$39:$E$43,4,0))&gt;0,IF(MOD(INT(Cron_Uso!AI17/Frota!$L17)*Frota!$L17,N(VLOOKUP(Frota!$B17,Premissas!$A$39:$E$43,4,0)))=0,"A","S"),"S")),IF(N(VLOOKUP(Frota!$B17,Premissas!$A$39:$E$43,4,0))&gt;0,IF(MOD(INT(Cron_Uso!AI17/Frota!$L17)*Frota!$L17,N(VLOOKUP(Frota!$B17,Premissas!$A$39:$E$43,4,0)))=0,"A","S"),"S")),""))</f>
        <v/>
      </c>
      <c r="AJ17" s="16" t="str">
        <f aca="false">IF(Cron_Uso!AJ17="","",IF(INT(Cron_Uso!AJ17/Frota!$L17)&gt;INT(Cron_Uso!AI17/Frota!$L17),IF(N(VLOOKUP(Frota!$B17,Premissas!$A$39:$E$43,5,0))&gt;0,IF(MOD(INT(Cron_Uso!AJ17/Frota!$L17)*Frota!$L17,N(VLOOKUP(Frota!$B17,Premissas!$A$39:$E$43,5,0)))=0,"B",IF(N(VLOOKUP(Frota!$B17,Premissas!$A$39:$E$43,4,0))&gt;0,IF(MOD(INT(Cron_Uso!AJ17/Frota!$L17)*Frota!$L17,N(VLOOKUP(Frota!$B17,Premissas!$A$39:$E$43,4,0)))=0,"A","S"),"S")),IF(N(VLOOKUP(Frota!$B17,Premissas!$A$39:$E$43,4,0))&gt;0,IF(MOD(INT(Cron_Uso!AJ17/Frota!$L17)*Frota!$L17,N(VLOOKUP(Frota!$B17,Premissas!$A$39:$E$43,4,0)))=0,"A","S"),"S")),""))</f>
        <v/>
      </c>
      <c r="AK17" s="16" t="str">
        <f aca="false">IF(Cron_Uso!AK17="","",IF(INT(Cron_Uso!AK17/Frota!$L17)&gt;INT(Cron_Uso!AJ17/Frota!$L17),IF(N(VLOOKUP(Frota!$B17,Premissas!$A$39:$E$43,5,0))&gt;0,IF(MOD(INT(Cron_Uso!AK17/Frota!$L17)*Frota!$L17,N(VLOOKUP(Frota!$B17,Premissas!$A$39:$E$43,5,0)))=0,"B",IF(N(VLOOKUP(Frota!$B17,Premissas!$A$39:$E$43,4,0))&gt;0,IF(MOD(INT(Cron_Uso!AK17/Frota!$L17)*Frota!$L17,N(VLOOKUP(Frota!$B17,Premissas!$A$39:$E$43,4,0)))=0,"A","S"),"S")),IF(N(VLOOKUP(Frota!$B17,Premissas!$A$39:$E$43,4,0))&gt;0,IF(MOD(INT(Cron_Uso!AK17/Frota!$L17)*Frota!$L17,N(VLOOKUP(Frota!$B17,Premissas!$A$39:$E$43,4,0)))=0,"A","S"),"S")),""))</f>
        <v/>
      </c>
      <c r="AL17" s="16" t="str">
        <f aca="false">IF(Cron_Uso!AL17="","",IF(INT(Cron_Uso!AL17/Frota!$L17)&gt;INT(Cron_Uso!AK17/Frota!$L17),IF(N(VLOOKUP(Frota!$B17,Premissas!$A$39:$E$43,5,0))&gt;0,IF(MOD(INT(Cron_Uso!AL17/Frota!$L17)*Frota!$L17,N(VLOOKUP(Frota!$B17,Premissas!$A$39:$E$43,5,0)))=0,"B",IF(N(VLOOKUP(Frota!$B17,Premissas!$A$39:$E$43,4,0))&gt;0,IF(MOD(INT(Cron_Uso!AL17/Frota!$L17)*Frota!$L17,N(VLOOKUP(Frota!$B17,Premissas!$A$39:$E$43,4,0)))=0,"A","S"),"S")),IF(N(VLOOKUP(Frota!$B17,Premissas!$A$39:$E$43,4,0))&gt;0,IF(MOD(INT(Cron_Uso!AL17/Frota!$L17)*Frota!$L17,N(VLOOKUP(Frota!$B17,Premissas!$A$39:$E$43,4,0)))=0,"A","S"),"S")),""))</f>
        <v/>
      </c>
      <c r="AM17" s="16" t="str">
        <f aca="false">IF(Cron_Uso!AM17="","",IF(INT(Cron_Uso!AM17/Frota!$L17)&gt;INT(Cron_Uso!AL17/Frota!$L17),IF(N(VLOOKUP(Frota!$B17,Premissas!$A$39:$E$43,5,0))&gt;0,IF(MOD(INT(Cron_Uso!AM17/Frota!$L17)*Frota!$L17,N(VLOOKUP(Frota!$B17,Premissas!$A$39:$E$43,5,0)))=0,"B",IF(N(VLOOKUP(Frota!$B17,Premissas!$A$39:$E$43,4,0))&gt;0,IF(MOD(INT(Cron_Uso!AM17/Frota!$L17)*Frota!$L17,N(VLOOKUP(Frota!$B17,Premissas!$A$39:$E$43,4,0)))=0,"A","S"),"S")),IF(N(VLOOKUP(Frota!$B17,Premissas!$A$39:$E$43,4,0))&gt;0,IF(MOD(INT(Cron_Uso!AM17/Frota!$L17)*Frota!$L17,N(VLOOKUP(Frota!$B17,Premissas!$A$39:$E$43,4,0)))=0,"A","S"),"S")),""))</f>
        <v/>
      </c>
      <c r="AN17" s="16" t="str">
        <f aca="false">IF(Cron_Uso!AN17="","",IF(INT(Cron_Uso!AN17/Frota!$L17)&gt;INT(Cron_Uso!AM17/Frota!$L17),IF(N(VLOOKUP(Frota!$B17,Premissas!$A$39:$E$43,5,0))&gt;0,IF(MOD(INT(Cron_Uso!AN17/Frota!$L17)*Frota!$L17,N(VLOOKUP(Frota!$B17,Premissas!$A$39:$E$43,5,0)))=0,"B",IF(N(VLOOKUP(Frota!$B17,Premissas!$A$39:$E$43,4,0))&gt;0,IF(MOD(INT(Cron_Uso!AN17/Frota!$L17)*Frota!$L17,N(VLOOKUP(Frota!$B17,Premissas!$A$39:$E$43,4,0)))=0,"A","S"),"S")),IF(N(VLOOKUP(Frota!$B17,Premissas!$A$39:$E$43,4,0))&gt;0,IF(MOD(INT(Cron_Uso!AN17/Frota!$L17)*Frota!$L17,N(VLOOKUP(Frota!$B17,Premissas!$A$39:$E$43,4,0)))=0,"A","S"),"S")),""))</f>
        <v/>
      </c>
      <c r="AO17" s="16" t="str">
        <f aca="false">IF(Cron_Uso!AO17="","",IF(INT(Cron_Uso!AO17/Frota!$L17)&gt;INT(Cron_Uso!AN17/Frota!$L17),IF(N(VLOOKUP(Frota!$B17,Premissas!$A$39:$E$43,5,0))&gt;0,IF(MOD(INT(Cron_Uso!AO17/Frota!$L17)*Frota!$L17,N(VLOOKUP(Frota!$B17,Premissas!$A$39:$E$43,5,0)))=0,"B",IF(N(VLOOKUP(Frota!$B17,Premissas!$A$39:$E$43,4,0))&gt;0,IF(MOD(INT(Cron_Uso!AO17/Frota!$L17)*Frota!$L17,N(VLOOKUP(Frota!$B17,Premissas!$A$39:$E$43,4,0)))=0,"A","S"),"S")),IF(N(VLOOKUP(Frota!$B17,Premissas!$A$39:$E$43,4,0))&gt;0,IF(MOD(INT(Cron_Uso!AO17/Frota!$L17)*Frota!$L17,N(VLOOKUP(Frota!$B17,Premissas!$A$39:$E$43,4,0)))=0,"A","S"),"S")),""))</f>
        <v>A</v>
      </c>
      <c r="AP17" s="16" t="str">
        <f aca="false">IF(Cron_Uso!AP17="","",IF(INT(Cron_Uso!AP17/Frota!$L17)&gt;INT(Cron_Uso!AO17/Frota!$L17),IF(N(VLOOKUP(Frota!$B17,Premissas!$A$39:$E$43,5,0))&gt;0,IF(MOD(INT(Cron_Uso!AP17/Frota!$L17)*Frota!$L17,N(VLOOKUP(Frota!$B17,Premissas!$A$39:$E$43,5,0)))=0,"B",IF(N(VLOOKUP(Frota!$B17,Premissas!$A$39:$E$43,4,0))&gt;0,IF(MOD(INT(Cron_Uso!AP17/Frota!$L17)*Frota!$L17,N(VLOOKUP(Frota!$B17,Premissas!$A$39:$E$43,4,0)))=0,"A","S"),"S")),IF(N(VLOOKUP(Frota!$B17,Premissas!$A$39:$E$43,4,0))&gt;0,IF(MOD(INT(Cron_Uso!AP17/Frota!$L17)*Frota!$L17,N(VLOOKUP(Frota!$B17,Premissas!$A$39:$E$43,4,0)))=0,"A","S"),"S")),""))</f>
        <v/>
      </c>
      <c r="AQ17" s="16" t="str">
        <f aca="false">IF(Cron_Uso!AQ17="","",IF(INT(Cron_Uso!AQ17/Frota!$L17)&gt;INT(Cron_Uso!AP17/Frota!$L17),IF(N(VLOOKUP(Frota!$B17,Premissas!$A$39:$E$43,5,0))&gt;0,IF(MOD(INT(Cron_Uso!AQ17/Frota!$L17)*Frota!$L17,N(VLOOKUP(Frota!$B17,Premissas!$A$39:$E$43,5,0)))=0,"B",IF(N(VLOOKUP(Frota!$B17,Premissas!$A$39:$E$43,4,0))&gt;0,IF(MOD(INT(Cron_Uso!AQ17/Frota!$L17)*Frota!$L17,N(VLOOKUP(Frota!$B17,Premissas!$A$39:$E$43,4,0)))=0,"A","S"),"S")),IF(N(VLOOKUP(Frota!$B17,Premissas!$A$39:$E$43,4,0))&gt;0,IF(MOD(INT(Cron_Uso!AQ17/Frota!$L17)*Frota!$L17,N(VLOOKUP(Frota!$B17,Premissas!$A$39:$E$43,4,0)))=0,"A","S"),"S")),""))</f>
        <v/>
      </c>
      <c r="AR17" s="16" t="str">
        <f aca="false">IF(Cron_Uso!AR17="","",IF(INT(Cron_Uso!AR17/Frota!$L17)&gt;INT(Cron_Uso!AQ17/Frota!$L17),IF(N(VLOOKUP(Frota!$B17,Premissas!$A$39:$E$43,5,0))&gt;0,IF(MOD(INT(Cron_Uso!AR17/Frota!$L17)*Frota!$L17,N(VLOOKUP(Frota!$B17,Premissas!$A$39:$E$43,5,0)))=0,"B",IF(N(VLOOKUP(Frota!$B17,Premissas!$A$39:$E$43,4,0))&gt;0,IF(MOD(INT(Cron_Uso!AR17/Frota!$L17)*Frota!$L17,N(VLOOKUP(Frota!$B17,Premissas!$A$39:$E$43,4,0)))=0,"A","S"),"S")),IF(N(VLOOKUP(Frota!$B17,Premissas!$A$39:$E$43,4,0))&gt;0,IF(MOD(INT(Cron_Uso!AR17/Frota!$L17)*Frota!$L17,N(VLOOKUP(Frota!$B17,Premissas!$A$39:$E$43,4,0)))=0,"A","S"),"S")),""))</f>
        <v/>
      </c>
      <c r="AS17" s="16" t="str">
        <f aca="false">IF(Cron_Uso!AS17="","",IF(INT(Cron_Uso!AS17/Frota!$L17)&gt;INT(Cron_Uso!AR17/Frota!$L17),IF(N(VLOOKUP(Frota!$B17,Premissas!$A$39:$E$43,5,0))&gt;0,IF(MOD(INT(Cron_Uso!AS17/Frota!$L17)*Frota!$L17,N(VLOOKUP(Frota!$B17,Premissas!$A$39:$E$43,5,0)))=0,"B",IF(N(VLOOKUP(Frota!$B17,Premissas!$A$39:$E$43,4,0))&gt;0,IF(MOD(INT(Cron_Uso!AS17/Frota!$L17)*Frota!$L17,N(VLOOKUP(Frota!$B17,Premissas!$A$39:$E$43,4,0)))=0,"A","S"),"S")),IF(N(VLOOKUP(Frota!$B17,Premissas!$A$39:$E$43,4,0))&gt;0,IF(MOD(INT(Cron_Uso!AS17/Frota!$L17)*Frota!$L17,N(VLOOKUP(Frota!$B17,Premissas!$A$39:$E$43,4,0)))=0,"A","S"),"S")),""))</f>
        <v/>
      </c>
      <c r="AT17" s="16" t="str">
        <f aca="false">IF(Cron_Uso!AT17="","",IF(INT(Cron_Uso!AT17/Frota!$L17)&gt;INT(Cron_Uso!AS17/Frota!$L17),IF(N(VLOOKUP(Frota!$B17,Premissas!$A$39:$E$43,5,0))&gt;0,IF(MOD(INT(Cron_Uso!AT17/Frota!$L17)*Frota!$L17,N(VLOOKUP(Frota!$B17,Premissas!$A$39:$E$43,5,0)))=0,"B",IF(N(VLOOKUP(Frota!$B17,Premissas!$A$39:$E$43,4,0))&gt;0,IF(MOD(INT(Cron_Uso!AT17/Frota!$L17)*Frota!$L17,N(VLOOKUP(Frota!$B17,Premissas!$A$39:$E$43,4,0)))=0,"A","S"),"S")),IF(N(VLOOKUP(Frota!$B17,Premissas!$A$39:$E$43,4,0))&gt;0,IF(MOD(INT(Cron_Uso!AT17/Frota!$L17)*Frota!$L17,N(VLOOKUP(Frota!$B17,Premissas!$A$39:$E$43,4,0)))=0,"A","S"),"S")),""))</f>
        <v/>
      </c>
      <c r="AU17" s="16" t="str">
        <f aca="false">IF(Cron_Uso!AU17="","",IF(INT(Cron_Uso!AU17/Frota!$L17)&gt;INT(Cron_Uso!AT17/Frota!$L17),IF(N(VLOOKUP(Frota!$B17,Premissas!$A$39:$E$43,5,0))&gt;0,IF(MOD(INT(Cron_Uso!AU17/Frota!$L17)*Frota!$L17,N(VLOOKUP(Frota!$B17,Premissas!$A$39:$E$43,5,0)))=0,"B",IF(N(VLOOKUP(Frota!$B17,Premissas!$A$39:$E$43,4,0))&gt;0,IF(MOD(INT(Cron_Uso!AU17/Frota!$L17)*Frota!$L17,N(VLOOKUP(Frota!$B17,Premissas!$A$39:$E$43,4,0)))=0,"A","S"),"S")),IF(N(VLOOKUP(Frota!$B17,Premissas!$A$39:$E$43,4,0))&gt;0,IF(MOD(INT(Cron_Uso!AU17/Frota!$L17)*Frota!$L17,N(VLOOKUP(Frota!$B17,Premissas!$A$39:$E$43,4,0)))=0,"A","S"),"S")),""))</f>
        <v/>
      </c>
      <c r="AV17" s="16" t="str">
        <f aca="false">IF(Cron_Uso!AV17="","",IF(INT(Cron_Uso!AV17/Frota!$L17)&gt;INT(Cron_Uso!AU17/Frota!$L17),IF(N(VLOOKUP(Frota!$B17,Premissas!$A$39:$E$43,5,0))&gt;0,IF(MOD(INT(Cron_Uso!AV17/Frota!$L17)*Frota!$L17,N(VLOOKUP(Frota!$B17,Premissas!$A$39:$E$43,5,0)))=0,"B",IF(N(VLOOKUP(Frota!$B17,Premissas!$A$39:$E$43,4,0))&gt;0,IF(MOD(INT(Cron_Uso!AV17/Frota!$L17)*Frota!$L17,N(VLOOKUP(Frota!$B17,Premissas!$A$39:$E$43,4,0)))=0,"A","S"),"S")),IF(N(VLOOKUP(Frota!$B17,Premissas!$A$39:$E$43,4,0))&gt;0,IF(MOD(INT(Cron_Uso!AV17/Frota!$L17)*Frota!$L17,N(VLOOKUP(Frota!$B17,Premissas!$A$39:$E$43,4,0)))=0,"A","S"),"S")),""))</f>
        <v/>
      </c>
      <c r="AW17" s="16" t="str">
        <f aca="false">IF(Cron_Uso!AW17="","",IF(INT(Cron_Uso!AW17/Frota!$L17)&gt;INT(Cron_Uso!AV17/Frota!$L17),IF(N(VLOOKUP(Frota!$B17,Premissas!$A$39:$E$43,5,0))&gt;0,IF(MOD(INT(Cron_Uso!AW17/Frota!$L17)*Frota!$L17,N(VLOOKUP(Frota!$B17,Premissas!$A$39:$E$43,5,0)))=0,"B",IF(N(VLOOKUP(Frota!$B17,Premissas!$A$39:$E$43,4,0))&gt;0,IF(MOD(INT(Cron_Uso!AW17/Frota!$L17)*Frota!$L17,N(VLOOKUP(Frota!$B17,Premissas!$A$39:$E$43,4,0)))=0,"A","S"),"S")),IF(N(VLOOKUP(Frota!$B17,Premissas!$A$39:$E$43,4,0))&gt;0,IF(MOD(INT(Cron_Uso!AW17/Frota!$L17)*Frota!$L17,N(VLOOKUP(Frota!$B17,Premissas!$A$39:$E$43,4,0)))=0,"A","S"),"S")),""))</f>
        <v/>
      </c>
      <c r="AX17" s="16" t="str">
        <f aca="false">IF(Cron_Uso!AX17="","",IF(INT(Cron_Uso!AX17/Frota!$L17)&gt;INT(Cron_Uso!AW17/Frota!$L17),IF(N(VLOOKUP(Frota!$B17,Premissas!$A$39:$E$43,5,0))&gt;0,IF(MOD(INT(Cron_Uso!AX17/Frota!$L17)*Frota!$L17,N(VLOOKUP(Frota!$B17,Premissas!$A$39:$E$43,5,0)))=0,"B",IF(N(VLOOKUP(Frota!$B17,Premissas!$A$39:$E$43,4,0))&gt;0,IF(MOD(INT(Cron_Uso!AX17/Frota!$L17)*Frota!$L17,N(VLOOKUP(Frota!$B17,Premissas!$A$39:$E$43,4,0)))=0,"A","S"),"S")),IF(N(VLOOKUP(Frota!$B17,Premissas!$A$39:$E$43,4,0))&gt;0,IF(MOD(INT(Cron_Uso!AX17/Frota!$L17)*Frota!$L17,N(VLOOKUP(Frota!$B17,Premissas!$A$39:$E$43,4,0)))=0,"A","S"),"S")),""))</f>
        <v/>
      </c>
      <c r="AY17" s="16" t="str">
        <f aca="false">IF(Cron_Uso!AY17="","",IF(INT(Cron_Uso!AY17/Frota!$L17)&gt;INT(Cron_Uso!AX17/Frota!$L17),IF(N(VLOOKUP(Frota!$B17,Premissas!$A$39:$E$43,5,0))&gt;0,IF(MOD(INT(Cron_Uso!AY17/Frota!$L17)*Frota!$L17,N(VLOOKUP(Frota!$B17,Premissas!$A$39:$E$43,5,0)))=0,"B",IF(N(VLOOKUP(Frota!$B17,Premissas!$A$39:$E$43,4,0))&gt;0,IF(MOD(INT(Cron_Uso!AY17/Frota!$L17)*Frota!$L17,N(VLOOKUP(Frota!$B17,Premissas!$A$39:$E$43,4,0)))=0,"A","S"),"S")),IF(N(VLOOKUP(Frota!$B17,Premissas!$A$39:$E$43,4,0))&gt;0,IF(MOD(INT(Cron_Uso!AY17/Frota!$L17)*Frota!$L17,N(VLOOKUP(Frota!$B17,Premissas!$A$39:$E$43,4,0)))=0,"A","S"),"S")),""))</f>
        <v/>
      </c>
      <c r="AZ17" s="16" t="str">
        <f aca="false">IF(Cron_Uso!AZ17="","",IF(INT(Cron_Uso!AZ17/Frota!$L17)&gt;INT(Cron_Uso!AY17/Frota!$L17),IF(N(VLOOKUP(Frota!$B17,Premissas!$A$39:$E$43,5,0))&gt;0,IF(MOD(INT(Cron_Uso!AZ17/Frota!$L17)*Frota!$L17,N(VLOOKUP(Frota!$B17,Premissas!$A$39:$E$43,5,0)))=0,"B",IF(N(VLOOKUP(Frota!$B17,Premissas!$A$39:$E$43,4,0))&gt;0,IF(MOD(INT(Cron_Uso!AZ17/Frota!$L17)*Frota!$L17,N(VLOOKUP(Frota!$B17,Premissas!$A$39:$E$43,4,0)))=0,"A","S"),"S")),IF(N(VLOOKUP(Frota!$B17,Premissas!$A$39:$E$43,4,0))&gt;0,IF(MOD(INT(Cron_Uso!AZ17/Frota!$L17)*Frota!$L17,N(VLOOKUP(Frota!$B17,Premissas!$A$39:$E$43,4,0)))=0,"A","S"),"S")),""))</f>
        <v/>
      </c>
      <c r="BA17" s="16" t="str">
        <f aca="false">IF(Cron_Uso!BA17="","",IF(INT(Cron_Uso!BA17/Frota!$L17)&gt;INT(Cron_Uso!AZ17/Frota!$L17),IF(N(VLOOKUP(Frota!$B17,Premissas!$A$39:$E$43,5,0))&gt;0,IF(MOD(INT(Cron_Uso!BA17/Frota!$L17)*Frota!$L17,N(VLOOKUP(Frota!$B17,Premissas!$A$39:$E$43,5,0)))=0,"B",IF(N(VLOOKUP(Frota!$B17,Premissas!$A$39:$E$43,4,0))&gt;0,IF(MOD(INT(Cron_Uso!BA17/Frota!$L17)*Frota!$L17,N(VLOOKUP(Frota!$B17,Premissas!$A$39:$E$43,4,0)))=0,"A","S"),"S")),IF(N(VLOOKUP(Frota!$B17,Premissas!$A$39:$E$43,4,0))&gt;0,IF(MOD(INT(Cron_Uso!BA17/Frota!$L17)*Frota!$L17,N(VLOOKUP(Frota!$B17,Premissas!$A$39:$E$43,4,0)))=0,"A","S"),"S")),""))</f>
        <v/>
      </c>
    </row>
    <row r="18" customFormat="false" ht="15" hidden="false" customHeight="false" outlineLevel="0" collapsed="false">
      <c r="A18" s="6" t="str">
        <f aca="false">IF(Frota!$A18="","",Frota!$A18)</f>
        <v/>
      </c>
      <c r="B18" s="16" t="str">
        <f aca="false">IF(Cron_Uso!B18="","",IF(INT(Cron_Uso!B18/Frota!$L18)&gt;INT(Frota!$I18/Frota!$L18),IF(N(VLOOKUP(Frota!$B18,Premissas!$A$39:$E$43,5,0))&gt;0,IF(MOD(INT(Cron_Uso!B18/Frota!$L18)*Frota!$L18,N(VLOOKUP(Frota!$B18,Premissas!$A$39:$E$43,5,0)))=0,"B",IF(N(VLOOKUP(Frota!$B18,Premissas!$A$39:$E$43,4,0))&gt;0,IF(MOD(INT(Cron_Uso!B18/Frota!$L18)*Frota!$L18,N(VLOOKUP(Frota!$B18,Premissas!$A$39:$E$43,4,0)))=0,"A","S"),"S")),IF(N(VLOOKUP(Frota!$B18,Premissas!$A$39:$E$43,4,0))&gt;0,IF(MOD(INT(Cron_Uso!B18/Frota!$L18)*Frota!$L18,N(VLOOKUP(Frota!$B18,Premissas!$A$39:$E$43,4,0)))=0,"A","S"),"S")),""))</f>
        <v/>
      </c>
      <c r="C18" s="16" t="str">
        <f aca="false">IF(Cron_Uso!C18="","",IF(INT(Cron_Uso!C18/Frota!$L18)&gt;INT(Cron_Uso!B18/Frota!$L18),IF(N(VLOOKUP(Frota!$B18,Premissas!$A$39:$E$43,5,0))&gt;0,IF(MOD(INT(Cron_Uso!C18/Frota!$L18)*Frota!$L18,N(VLOOKUP(Frota!$B18,Premissas!$A$39:$E$43,5,0)))=0,"B",IF(N(VLOOKUP(Frota!$B18,Premissas!$A$39:$E$43,4,0))&gt;0,IF(MOD(INT(Cron_Uso!C18/Frota!$L18)*Frota!$L18,N(VLOOKUP(Frota!$B18,Premissas!$A$39:$E$43,4,0)))=0,"A","S"),"S")),IF(N(VLOOKUP(Frota!$B18,Premissas!$A$39:$E$43,4,0))&gt;0,IF(MOD(INT(Cron_Uso!C18/Frota!$L18)*Frota!$L18,N(VLOOKUP(Frota!$B18,Premissas!$A$39:$E$43,4,0)))=0,"A","S"),"S")),""))</f>
        <v/>
      </c>
      <c r="D18" s="16" t="str">
        <f aca="false">IF(Cron_Uso!D18="","",IF(INT(Cron_Uso!D18/Frota!$L18)&gt;INT(Cron_Uso!C18/Frota!$L18),IF(N(VLOOKUP(Frota!$B18,Premissas!$A$39:$E$43,5,0))&gt;0,IF(MOD(INT(Cron_Uso!D18/Frota!$L18)*Frota!$L18,N(VLOOKUP(Frota!$B18,Premissas!$A$39:$E$43,5,0)))=0,"B",IF(N(VLOOKUP(Frota!$B18,Premissas!$A$39:$E$43,4,0))&gt;0,IF(MOD(INT(Cron_Uso!D18/Frota!$L18)*Frota!$L18,N(VLOOKUP(Frota!$B18,Premissas!$A$39:$E$43,4,0)))=0,"A","S"),"S")),IF(N(VLOOKUP(Frota!$B18,Premissas!$A$39:$E$43,4,0))&gt;0,IF(MOD(INT(Cron_Uso!D18/Frota!$L18)*Frota!$L18,N(VLOOKUP(Frota!$B18,Premissas!$A$39:$E$43,4,0)))=0,"A","S"),"S")),""))</f>
        <v/>
      </c>
      <c r="E18" s="16" t="str">
        <f aca="false">IF(Cron_Uso!E18="","",IF(INT(Cron_Uso!E18/Frota!$L18)&gt;INT(Cron_Uso!D18/Frota!$L18),IF(N(VLOOKUP(Frota!$B18,Premissas!$A$39:$E$43,5,0))&gt;0,IF(MOD(INT(Cron_Uso!E18/Frota!$L18)*Frota!$L18,N(VLOOKUP(Frota!$B18,Premissas!$A$39:$E$43,5,0)))=0,"B",IF(N(VLOOKUP(Frota!$B18,Premissas!$A$39:$E$43,4,0))&gt;0,IF(MOD(INT(Cron_Uso!E18/Frota!$L18)*Frota!$L18,N(VLOOKUP(Frota!$B18,Premissas!$A$39:$E$43,4,0)))=0,"A","S"),"S")),IF(N(VLOOKUP(Frota!$B18,Premissas!$A$39:$E$43,4,0))&gt;0,IF(MOD(INT(Cron_Uso!E18/Frota!$L18)*Frota!$L18,N(VLOOKUP(Frota!$B18,Premissas!$A$39:$E$43,4,0)))=0,"A","S"),"S")),""))</f>
        <v/>
      </c>
      <c r="F18" s="16" t="str">
        <f aca="false">IF(Cron_Uso!F18="","",IF(INT(Cron_Uso!F18/Frota!$L18)&gt;INT(Cron_Uso!E18/Frota!$L18),IF(N(VLOOKUP(Frota!$B18,Premissas!$A$39:$E$43,5,0))&gt;0,IF(MOD(INT(Cron_Uso!F18/Frota!$L18)*Frota!$L18,N(VLOOKUP(Frota!$B18,Premissas!$A$39:$E$43,5,0)))=0,"B",IF(N(VLOOKUP(Frota!$B18,Premissas!$A$39:$E$43,4,0))&gt;0,IF(MOD(INT(Cron_Uso!F18/Frota!$L18)*Frota!$L18,N(VLOOKUP(Frota!$B18,Premissas!$A$39:$E$43,4,0)))=0,"A","S"),"S")),IF(N(VLOOKUP(Frota!$B18,Premissas!$A$39:$E$43,4,0))&gt;0,IF(MOD(INT(Cron_Uso!F18/Frota!$L18)*Frota!$L18,N(VLOOKUP(Frota!$B18,Premissas!$A$39:$E$43,4,0)))=0,"A","S"),"S")),""))</f>
        <v/>
      </c>
      <c r="G18" s="16" t="str">
        <f aca="false">IF(Cron_Uso!G18="","",IF(INT(Cron_Uso!G18/Frota!$L18)&gt;INT(Cron_Uso!F18/Frota!$L18),IF(N(VLOOKUP(Frota!$B18,Premissas!$A$39:$E$43,5,0))&gt;0,IF(MOD(INT(Cron_Uso!G18/Frota!$L18)*Frota!$L18,N(VLOOKUP(Frota!$B18,Premissas!$A$39:$E$43,5,0)))=0,"B",IF(N(VLOOKUP(Frota!$B18,Premissas!$A$39:$E$43,4,0))&gt;0,IF(MOD(INT(Cron_Uso!G18/Frota!$L18)*Frota!$L18,N(VLOOKUP(Frota!$B18,Premissas!$A$39:$E$43,4,0)))=0,"A","S"),"S")),IF(N(VLOOKUP(Frota!$B18,Premissas!$A$39:$E$43,4,0))&gt;0,IF(MOD(INT(Cron_Uso!G18/Frota!$L18)*Frota!$L18,N(VLOOKUP(Frota!$B18,Premissas!$A$39:$E$43,4,0)))=0,"A","S"),"S")),""))</f>
        <v/>
      </c>
      <c r="H18" s="16" t="str">
        <f aca="false">IF(Cron_Uso!H18="","",IF(INT(Cron_Uso!H18/Frota!$L18)&gt;INT(Cron_Uso!G18/Frota!$L18),IF(N(VLOOKUP(Frota!$B18,Premissas!$A$39:$E$43,5,0))&gt;0,IF(MOD(INT(Cron_Uso!H18/Frota!$L18)*Frota!$L18,N(VLOOKUP(Frota!$B18,Premissas!$A$39:$E$43,5,0)))=0,"B",IF(N(VLOOKUP(Frota!$B18,Premissas!$A$39:$E$43,4,0))&gt;0,IF(MOD(INT(Cron_Uso!H18/Frota!$L18)*Frota!$L18,N(VLOOKUP(Frota!$B18,Premissas!$A$39:$E$43,4,0)))=0,"A","S"),"S")),IF(N(VLOOKUP(Frota!$B18,Premissas!$A$39:$E$43,4,0))&gt;0,IF(MOD(INT(Cron_Uso!H18/Frota!$L18)*Frota!$L18,N(VLOOKUP(Frota!$B18,Premissas!$A$39:$E$43,4,0)))=0,"A","S"),"S")),""))</f>
        <v/>
      </c>
      <c r="I18" s="16" t="str">
        <f aca="false">IF(Cron_Uso!I18="","",IF(INT(Cron_Uso!I18/Frota!$L18)&gt;INT(Cron_Uso!H18/Frota!$L18),IF(N(VLOOKUP(Frota!$B18,Premissas!$A$39:$E$43,5,0))&gt;0,IF(MOD(INT(Cron_Uso!I18/Frota!$L18)*Frota!$L18,N(VLOOKUP(Frota!$B18,Premissas!$A$39:$E$43,5,0)))=0,"B",IF(N(VLOOKUP(Frota!$B18,Premissas!$A$39:$E$43,4,0))&gt;0,IF(MOD(INT(Cron_Uso!I18/Frota!$L18)*Frota!$L18,N(VLOOKUP(Frota!$B18,Premissas!$A$39:$E$43,4,0)))=0,"A","S"),"S")),IF(N(VLOOKUP(Frota!$B18,Premissas!$A$39:$E$43,4,0))&gt;0,IF(MOD(INT(Cron_Uso!I18/Frota!$L18)*Frota!$L18,N(VLOOKUP(Frota!$B18,Premissas!$A$39:$E$43,4,0)))=0,"A","S"),"S")),""))</f>
        <v/>
      </c>
      <c r="J18" s="16" t="str">
        <f aca="false">IF(Cron_Uso!J18="","",IF(INT(Cron_Uso!J18/Frota!$L18)&gt;INT(Cron_Uso!I18/Frota!$L18),IF(N(VLOOKUP(Frota!$B18,Premissas!$A$39:$E$43,5,0))&gt;0,IF(MOD(INT(Cron_Uso!J18/Frota!$L18)*Frota!$L18,N(VLOOKUP(Frota!$B18,Premissas!$A$39:$E$43,5,0)))=0,"B",IF(N(VLOOKUP(Frota!$B18,Premissas!$A$39:$E$43,4,0))&gt;0,IF(MOD(INT(Cron_Uso!J18/Frota!$L18)*Frota!$L18,N(VLOOKUP(Frota!$B18,Premissas!$A$39:$E$43,4,0)))=0,"A","S"),"S")),IF(N(VLOOKUP(Frota!$B18,Premissas!$A$39:$E$43,4,0))&gt;0,IF(MOD(INT(Cron_Uso!J18/Frota!$L18)*Frota!$L18,N(VLOOKUP(Frota!$B18,Premissas!$A$39:$E$43,4,0)))=0,"A","S"),"S")),""))</f>
        <v/>
      </c>
      <c r="K18" s="16" t="str">
        <f aca="false">IF(Cron_Uso!K18="","",IF(INT(Cron_Uso!K18/Frota!$L18)&gt;INT(Cron_Uso!J18/Frota!$L18),IF(N(VLOOKUP(Frota!$B18,Premissas!$A$39:$E$43,5,0))&gt;0,IF(MOD(INT(Cron_Uso!K18/Frota!$L18)*Frota!$L18,N(VLOOKUP(Frota!$B18,Premissas!$A$39:$E$43,5,0)))=0,"B",IF(N(VLOOKUP(Frota!$B18,Premissas!$A$39:$E$43,4,0))&gt;0,IF(MOD(INT(Cron_Uso!K18/Frota!$L18)*Frota!$L18,N(VLOOKUP(Frota!$B18,Premissas!$A$39:$E$43,4,0)))=0,"A","S"),"S")),IF(N(VLOOKUP(Frota!$B18,Premissas!$A$39:$E$43,4,0))&gt;0,IF(MOD(INT(Cron_Uso!K18/Frota!$L18)*Frota!$L18,N(VLOOKUP(Frota!$B18,Premissas!$A$39:$E$43,4,0)))=0,"A","S"),"S")),""))</f>
        <v/>
      </c>
      <c r="L18" s="16" t="str">
        <f aca="false">IF(Cron_Uso!L18="","",IF(INT(Cron_Uso!L18/Frota!$L18)&gt;INT(Cron_Uso!K18/Frota!$L18),IF(N(VLOOKUP(Frota!$B18,Premissas!$A$39:$E$43,5,0))&gt;0,IF(MOD(INT(Cron_Uso!L18/Frota!$L18)*Frota!$L18,N(VLOOKUP(Frota!$B18,Premissas!$A$39:$E$43,5,0)))=0,"B",IF(N(VLOOKUP(Frota!$B18,Premissas!$A$39:$E$43,4,0))&gt;0,IF(MOD(INT(Cron_Uso!L18/Frota!$L18)*Frota!$L18,N(VLOOKUP(Frota!$B18,Premissas!$A$39:$E$43,4,0)))=0,"A","S"),"S")),IF(N(VLOOKUP(Frota!$B18,Premissas!$A$39:$E$43,4,0))&gt;0,IF(MOD(INT(Cron_Uso!L18/Frota!$L18)*Frota!$L18,N(VLOOKUP(Frota!$B18,Premissas!$A$39:$E$43,4,0)))=0,"A","S"),"S")),""))</f>
        <v/>
      </c>
      <c r="M18" s="16" t="str">
        <f aca="false">IF(Cron_Uso!M18="","",IF(INT(Cron_Uso!M18/Frota!$L18)&gt;INT(Cron_Uso!L18/Frota!$L18),IF(N(VLOOKUP(Frota!$B18,Premissas!$A$39:$E$43,5,0))&gt;0,IF(MOD(INT(Cron_Uso!M18/Frota!$L18)*Frota!$L18,N(VLOOKUP(Frota!$B18,Premissas!$A$39:$E$43,5,0)))=0,"B",IF(N(VLOOKUP(Frota!$B18,Premissas!$A$39:$E$43,4,0))&gt;0,IF(MOD(INT(Cron_Uso!M18/Frota!$L18)*Frota!$L18,N(VLOOKUP(Frota!$B18,Premissas!$A$39:$E$43,4,0)))=0,"A","S"),"S")),IF(N(VLOOKUP(Frota!$B18,Premissas!$A$39:$E$43,4,0))&gt;0,IF(MOD(INT(Cron_Uso!M18/Frota!$L18)*Frota!$L18,N(VLOOKUP(Frota!$B18,Premissas!$A$39:$E$43,4,0)))=0,"A","S"),"S")),""))</f>
        <v/>
      </c>
      <c r="N18" s="16" t="str">
        <f aca="false">IF(Cron_Uso!N18="","",IF(INT(Cron_Uso!N18/Frota!$L18)&gt;INT(Cron_Uso!M18/Frota!$L18),IF(N(VLOOKUP(Frota!$B18,Premissas!$A$39:$E$43,5,0))&gt;0,IF(MOD(INT(Cron_Uso!N18/Frota!$L18)*Frota!$L18,N(VLOOKUP(Frota!$B18,Premissas!$A$39:$E$43,5,0)))=0,"B",IF(N(VLOOKUP(Frota!$B18,Premissas!$A$39:$E$43,4,0))&gt;0,IF(MOD(INT(Cron_Uso!N18/Frota!$L18)*Frota!$L18,N(VLOOKUP(Frota!$B18,Premissas!$A$39:$E$43,4,0)))=0,"A","S"),"S")),IF(N(VLOOKUP(Frota!$B18,Premissas!$A$39:$E$43,4,0))&gt;0,IF(MOD(INT(Cron_Uso!N18/Frota!$L18)*Frota!$L18,N(VLOOKUP(Frota!$B18,Premissas!$A$39:$E$43,4,0)))=0,"A","S"),"S")),""))</f>
        <v/>
      </c>
      <c r="O18" s="16" t="str">
        <f aca="false">IF(Cron_Uso!O18="","",IF(INT(Cron_Uso!O18/Frota!$L18)&gt;INT(Cron_Uso!N18/Frota!$L18),IF(N(VLOOKUP(Frota!$B18,Premissas!$A$39:$E$43,5,0))&gt;0,IF(MOD(INT(Cron_Uso!O18/Frota!$L18)*Frota!$L18,N(VLOOKUP(Frota!$B18,Premissas!$A$39:$E$43,5,0)))=0,"B",IF(N(VLOOKUP(Frota!$B18,Premissas!$A$39:$E$43,4,0))&gt;0,IF(MOD(INT(Cron_Uso!O18/Frota!$L18)*Frota!$L18,N(VLOOKUP(Frota!$B18,Premissas!$A$39:$E$43,4,0)))=0,"A","S"),"S")),IF(N(VLOOKUP(Frota!$B18,Premissas!$A$39:$E$43,4,0))&gt;0,IF(MOD(INT(Cron_Uso!O18/Frota!$L18)*Frota!$L18,N(VLOOKUP(Frota!$B18,Premissas!$A$39:$E$43,4,0)))=0,"A","S"),"S")),""))</f>
        <v/>
      </c>
      <c r="P18" s="16" t="str">
        <f aca="false">IF(Cron_Uso!P18="","",IF(INT(Cron_Uso!P18/Frota!$L18)&gt;INT(Cron_Uso!O18/Frota!$L18),IF(N(VLOOKUP(Frota!$B18,Premissas!$A$39:$E$43,5,0))&gt;0,IF(MOD(INT(Cron_Uso!P18/Frota!$L18)*Frota!$L18,N(VLOOKUP(Frota!$B18,Premissas!$A$39:$E$43,5,0)))=0,"B",IF(N(VLOOKUP(Frota!$B18,Premissas!$A$39:$E$43,4,0))&gt;0,IF(MOD(INT(Cron_Uso!P18/Frota!$L18)*Frota!$L18,N(VLOOKUP(Frota!$B18,Premissas!$A$39:$E$43,4,0)))=0,"A","S"),"S")),IF(N(VLOOKUP(Frota!$B18,Premissas!$A$39:$E$43,4,0))&gt;0,IF(MOD(INT(Cron_Uso!P18/Frota!$L18)*Frota!$L18,N(VLOOKUP(Frota!$B18,Premissas!$A$39:$E$43,4,0)))=0,"A","S"),"S")),""))</f>
        <v/>
      </c>
      <c r="Q18" s="16" t="str">
        <f aca="false">IF(Cron_Uso!Q18="","",IF(INT(Cron_Uso!Q18/Frota!$L18)&gt;INT(Cron_Uso!P18/Frota!$L18),IF(N(VLOOKUP(Frota!$B18,Premissas!$A$39:$E$43,5,0))&gt;0,IF(MOD(INT(Cron_Uso!Q18/Frota!$L18)*Frota!$L18,N(VLOOKUP(Frota!$B18,Premissas!$A$39:$E$43,5,0)))=0,"B",IF(N(VLOOKUP(Frota!$B18,Premissas!$A$39:$E$43,4,0))&gt;0,IF(MOD(INT(Cron_Uso!Q18/Frota!$L18)*Frota!$L18,N(VLOOKUP(Frota!$B18,Premissas!$A$39:$E$43,4,0)))=0,"A","S"),"S")),IF(N(VLOOKUP(Frota!$B18,Premissas!$A$39:$E$43,4,0))&gt;0,IF(MOD(INT(Cron_Uso!Q18/Frota!$L18)*Frota!$L18,N(VLOOKUP(Frota!$B18,Premissas!$A$39:$E$43,4,0)))=0,"A","S"),"S")),""))</f>
        <v/>
      </c>
      <c r="R18" s="16" t="str">
        <f aca="false">IF(Cron_Uso!R18="","",IF(INT(Cron_Uso!R18/Frota!$L18)&gt;INT(Cron_Uso!Q18/Frota!$L18),IF(N(VLOOKUP(Frota!$B18,Premissas!$A$39:$E$43,5,0))&gt;0,IF(MOD(INT(Cron_Uso!R18/Frota!$L18)*Frota!$L18,N(VLOOKUP(Frota!$B18,Premissas!$A$39:$E$43,5,0)))=0,"B",IF(N(VLOOKUP(Frota!$B18,Premissas!$A$39:$E$43,4,0))&gt;0,IF(MOD(INT(Cron_Uso!R18/Frota!$L18)*Frota!$L18,N(VLOOKUP(Frota!$B18,Premissas!$A$39:$E$43,4,0)))=0,"A","S"),"S")),IF(N(VLOOKUP(Frota!$B18,Premissas!$A$39:$E$43,4,0))&gt;0,IF(MOD(INT(Cron_Uso!R18/Frota!$L18)*Frota!$L18,N(VLOOKUP(Frota!$B18,Premissas!$A$39:$E$43,4,0)))=0,"A","S"),"S")),""))</f>
        <v/>
      </c>
      <c r="S18" s="16" t="str">
        <f aca="false">IF(Cron_Uso!S18="","",IF(INT(Cron_Uso!S18/Frota!$L18)&gt;INT(Cron_Uso!R18/Frota!$L18),IF(N(VLOOKUP(Frota!$B18,Premissas!$A$39:$E$43,5,0))&gt;0,IF(MOD(INT(Cron_Uso!S18/Frota!$L18)*Frota!$L18,N(VLOOKUP(Frota!$B18,Premissas!$A$39:$E$43,5,0)))=0,"B",IF(N(VLOOKUP(Frota!$B18,Premissas!$A$39:$E$43,4,0))&gt;0,IF(MOD(INT(Cron_Uso!S18/Frota!$L18)*Frota!$L18,N(VLOOKUP(Frota!$B18,Premissas!$A$39:$E$43,4,0)))=0,"A","S"),"S")),IF(N(VLOOKUP(Frota!$B18,Premissas!$A$39:$E$43,4,0))&gt;0,IF(MOD(INT(Cron_Uso!S18/Frota!$L18)*Frota!$L18,N(VLOOKUP(Frota!$B18,Premissas!$A$39:$E$43,4,0)))=0,"A","S"),"S")),""))</f>
        <v/>
      </c>
      <c r="T18" s="16" t="str">
        <f aca="false">IF(Cron_Uso!T18="","",IF(INT(Cron_Uso!T18/Frota!$L18)&gt;INT(Cron_Uso!S18/Frota!$L18),IF(N(VLOOKUP(Frota!$B18,Premissas!$A$39:$E$43,5,0))&gt;0,IF(MOD(INT(Cron_Uso!T18/Frota!$L18)*Frota!$L18,N(VLOOKUP(Frota!$B18,Premissas!$A$39:$E$43,5,0)))=0,"B",IF(N(VLOOKUP(Frota!$B18,Premissas!$A$39:$E$43,4,0))&gt;0,IF(MOD(INT(Cron_Uso!T18/Frota!$L18)*Frota!$L18,N(VLOOKUP(Frota!$B18,Premissas!$A$39:$E$43,4,0)))=0,"A","S"),"S")),IF(N(VLOOKUP(Frota!$B18,Premissas!$A$39:$E$43,4,0))&gt;0,IF(MOD(INT(Cron_Uso!T18/Frota!$L18)*Frota!$L18,N(VLOOKUP(Frota!$B18,Premissas!$A$39:$E$43,4,0)))=0,"A","S"),"S")),""))</f>
        <v/>
      </c>
      <c r="U18" s="16" t="str">
        <f aca="false">IF(Cron_Uso!U18="","",IF(INT(Cron_Uso!U18/Frota!$L18)&gt;INT(Cron_Uso!T18/Frota!$L18),IF(N(VLOOKUP(Frota!$B18,Premissas!$A$39:$E$43,5,0))&gt;0,IF(MOD(INT(Cron_Uso!U18/Frota!$L18)*Frota!$L18,N(VLOOKUP(Frota!$B18,Premissas!$A$39:$E$43,5,0)))=0,"B",IF(N(VLOOKUP(Frota!$B18,Premissas!$A$39:$E$43,4,0))&gt;0,IF(MOD(INT(Cron_Uso!U18/Frota!$L18)*Frota!$L18,N(VLOOKUP(Frota!$B18,Premissas!$A$39:$E$43,4,0)))=0,"A","S"),"S")),IF(N(VLOOKUP(Frota!$B18,Premissas!$A$39:$E$43,4,0))&gt;0,IF(MOD(INT(Cron_Uso!U18/Frota!$L18)*Frota!$L18,N(VLOOKUP(Frota!$B18,Premissas!$A$39:$E$43,4,0)))=0,"A","S"),"S")),""))</f>
        <v/>
      </c>
      <c r="V18" s="16" t="str">
        <f aca="false">IF(Cron_Uso!V18="","",IF(INT(Cron_Uso!V18/Frota!$L18)&gt;INT(Cron_Uso!U18/Frota!$L18),IF(N(VLOOKUP(Frota!$B18,Premissas!$A$39:$E$43,5,0))&gt;0,IF(MOD(INT(Cron_Uso!V18/Frota!$L18)*Frota!$L18,N(VLOOKUP(Frota!$B18,Premissas!$A$39:$E$43,5,0)))=0,"B",IF(N(VLOOKUP(Frota!$B18,Premissas!$A$39:$E$43,4,0))&gt;0,IF(MOD(INT(Cron_Uso!V18/Frota!$L18)*Frota!$L18,N(VLOOKUP(Frota!$B18,Premissas!$A$39:$E$43,4,0)))=0,"A","S"),"S")),IF(N(VLOOKUP(Frota!$B18,Premissas!$A$39:$E$43,4,0))&gt;0,IF(MOD(INT(Cron_Uso!V18/Frota!$L18)*Frota!$L18,N(VLOOKUP(Frota!$B18,Premissas!$A$39:$E$43,4,0)))=0,"A","S"),"S")),""))</f>
        <v/>
      </c>
      <c r="W18" s="16" t="str">
        <f aca="false">IF(Cron_Uso!W18="","",IF(INT(Cron_Uso!W18/Frota!$L18)&gt;INT(Cron_Uso!V18/Frota!$L18),IF(N(VLOOKUP(Frota!$B18,Premissas!$A$39:$E$43,5,0))&gt;0,IF(MOD(INT(Cron_Uso!W18/Frota!$L18)*Frota!$L18,N(VLOOKUP(Frota!$B18,Premissas!$A$39:$E$43,5,0)))=0,"B",IF(N(VLOOKUP(Frota!$B18,Premissas!$A$39:$E$43,4,0))&gt;0,IF(MOD(INT(Cron_Uso!W18/Frota!$L18)*Frota!$L18,N(VLOOKUP(Frota!$B18,Premissas!$A$39:$E$43,4,0)))=0,"A","S"),"S")),IF(N(VLOOKUP(Frota!$B18,Premissas!$A$39:$E$43,4,0))&gt;0,IF(MOD(INT(Cron_Uso!W18/Frota!$L18)*Frota!$L18,N(VLOOKUP(Frota!$B18,Premissas!$A$39:$E$43,4,0)))=0,"A","S"),"S")),""))</f>
        <v/>
      </c>
      <c r="X18" s="16" t="str">
        <f aca="false">IF(Cron_Uso!X18="","",IF(INT(Cron_Uso!X18/Frota!$L18)&gt;INT(Cron_Uso!W18/Frota!$L18),IF(N(VLOOKUP(Frota!$B18,Premissas!$A$39:$E$43,5,0))&gt;0,IF(MOD(INT(Cron_Uso!X18/Frota!$L18)*Frota!$L18,N(VLOOKUP(Frota!$B18,Premissas!$A$39:$E$43,5,0)))=0,"B",IF(N(VLOOKUP(Frota!$B18,Premissas!$A$39:$E$43,4,0))&gt;0,IF(MOD(INT(Cron_Uso!X18/Frota!$L18)*Frota!$L18,N(VLOOKUP(Frota!$B18,Premissas!$A$39:$E$43,4,0)))=0,"A","S"),"S")),IF(N(VLOOKUP(Frota!$B18,Premissas!$A$39:$E$43,4,0))&gt;0,IF(MOD(INT(Cron_Uso!X18/Frota!$L18)*Frota!$L18,N(VLOOKUP(Frota!$B18,Premissas!$A$39:$E$43,4,0)))=0,"A","S"),"S")),""))</f>
        <v/>
      </c>
      <c r="Y18" s="16" t="str">
        <f aca="false">IF(Cron_Uso!Y18="","",IF(INT(Cron_Uso!Y18/Frota!$L18)&gt;INT(Cron_Uso!X18/Frota!$L18),IF(N(VLOOKUP(Frota!$B18,Premissas!$A$39:$E$43,5,0))&gt;0,IF(MOD(INT(Cron_Uso!Y18/Frota!$L18)*Frota!$L18,N(VLOOKUP(Frota!$B18,Premissas!$A$39:$E$43,5,0)))=0,"B",IF(N(VLOOKUP(Frota!$B18,Premissas!$A$39:$E$43,4,0))&gt;0,IF(MOD(INT(Cron_Uso!Y18/Frota!$L18)*Frota!$L18,N(VLOOKUP(Frota!$B18,Premissas!$A$39:$E$43,4,0)))=0,"A","S"),"S")),IF(N(VLOOKUP(Frota!$B18,Premissas!$A$39:$E$43,4,0))&gt;0,IF(MOD(INT(Cron_Uso!Y18/Frota!$L18)*Frota!$L18,N(VLOOKUP(Frota!$B18,Premissas!$A$39:$E$43,4,0)))=0,"A","S"),"S")),""))</f>
        <v/>
      </c>
      <c r="Z18" s="16" t="str">
        <f aca="false">IF(Cron_Uso!Z18="","",IF(INT(Cron_Uso!Z18/Frota!$L18)&gt;INT(Cron_Uso!Y18/Frota!$L18),IF(N(VLOOKUP(Frota!$B18,Premissas!$A$39:$E$43,5,0))&gt;0,IF(MOD(INT(Cron_Uso!Z18/Frota!$L18)*Frota!$L18,N(VLOOKUP(Frota!$B18,Premissas!$A$39:$E$43,5,0)))=0,"B",IF(N(VLOOKUP(Frota!$B18,Premissas!$A$39:$E$43,4,0))&gt;0,IF(MOD(INT(Cron_Uso!Z18/Frota!$L18)*Frota!$L18,N(VLOOKUP(Frota!$B18,Premissas!$A$39:$E$43,4,0)))=0,"A","S"),"S")),IF(N(VLOOKUP(Frota!$B18,Premissas!$A$39:$E$43,4,0))&gt;0,IF(MOD(INT(Cron_Uso!Z18/Frota!$L18)*Frota!$L18,N(VLOOKUP(Frota!$B18,Premissas!$A$39:$E$43,4,0)))=0,"A","S"),"S")),""))</f>
        <v/>
      </c>
      <c r="AA18" s="16" t="str">
        <f aca="false">IF(Cron_Uso!AA18="","",IF(INT(Cron_Uso!AA18/Frota!$L18)&gt;INT(Cron_Uso!Z18/Frota!$L18),IF(N(VLOOKUP(Frota!$B18,Premissas!$A$39:$E$43,5,0))&gt;0,IF(MOD(INT(Cron_Uso!AA18/Frota!$L18)*Frota!$L18,N(VLOOKUP(Frota!$B18,Premissas!$A$39:$E$43,5,0)))=0,"B",IF(N(VLOOKUP(Frota!$B18,Premissas!$A$39:$E$43,4,0))&gt;0,IF(MOD(INT(Cron_Uso!AA18/Frota!$L18)*Frota!$L18,N(VLOOKUP(Frota!$B18,Premissas!$A$39:$E$43,4,0)))=0,"A","S"),"S")),IF(N(VLOOKUP(Frota!$B18,Premissas!$A$39:$E$43,4,0))&gt;0,IF(MOD(INT(Cron_Uso!AA18/Frota!$L18)*Frota!$L18,N(VLOOKUP(Frota!$B18,Premissas!$A$39:$E$43,4,0)))=0,"A","S"),"S")),""))</f>
        <v/>
      </c>
      <c r="AB18" s="16" t="str">
        <f aca="false">IF(Cron_Uso!AB18="","",IF(INT(Cron_Uso!AB18/Frota!$L18)&gt;INT(Cron_Uso!AA18/Frota!$L18),IF(N(VLOOKUP(Frota!$B18,Premissas!$A$39:$E$43,5,0))&gt;0,IF(MOD(INT(Cron_Uso!AB18/Frota!$L18)*Frota!$L18,N(VLOOKUP(Frota!$B18,Premissas!$A$39:$E$43,5,0)))=0,"B",IF(N(VLOOKUP(Frota!$B18,Premissas!$A$39:$E$43,4,0))&gt;0,IF(MOD(INT(Cron_Uso!AB18/Frota!$L18)*Frota!$L18,N(VLOOKUP(Frota!$B18,Premissas!$A$39:$E$43,4,0)))=0,"A","S"),"S")),IF(N(VLOOKUP(Frota!$B18,Premissas!$A$39:$E$43,4,0))&gt;0,IF(MOD(INT(Cron_Uso!AB18/Frota!$L18)*Frota!$L18,N(VLOOKUP(Frota!$B18,Premissas!$A$39:$E$43,4,0)))=0,"A","S"),"S")),""))</f>
        <v/>
      </c>
      <c r="AC18" s="16" t="str">
        <f aca="false">IF(Cron_Uso!AC18="","",IF(INT(Cron_Uso!AC18/Frota!$L18)&gt;INT(Cron_Uso!AB18/Frota!$L18),IF(N(VLOOKUP(Frota!$B18,Premissas!$A$39:$E$43,5,0))&gt;0,IF(MOD(INT(Cron_Uso!AC18/Frota!$L18)*Frota!$L18,N(VLOOKUP(Frota!$B18,Premissas!$A$39:$E$43,5,0)))=0,"B",IF(N(VLOOKUP(Frota!$B18,Premissas!$A$39:$E$43,4,0))&gt;0,IF(MOD(INT(Cron_Uso!AC18/Frota!$L18)*Frota!$L18,N(VLOOKUP(Frota!$B18,Premissas!$A$39:$E$43,4,0)))=0,"A","S"),"S")),IF(N(VLOOKUP(Frota!$B18,Premissas!$A$39:$E$43,4,0))&gt;0,IF(MOD(INT(Cron_Uso!AC18/Frota!$L18)*Frota!$L18,N(VLOOKUP(Frota!$B18,Premissas!$A$39:$E$43,4,0)))=0,"A","S"),"S")),""))</f>
        <v/>
      </c>
      <c r="AD18" s="16" t="str">
        <f aca="false">IF(Cron_Uso!AD18="","",IF(INT(Cron_Uso!AD18/Frota!$L18)&gt;INT(Cron_Uso!AC18/Frota!$L18),IF(N(VLOOKUP(Frota!$B18,Premissas!$A$39:$E$43,5,0))&gt;0,IF(MOD(INT(Cron_Uso!AD18/Frota!$L18)*Frota!$L18,N(VLOOKUP(Frota!$B18,Premissas!$A$39:$E$43,5,0)))=0,"B",IF(N(VLOOKUP(Frota!$B18,Premissas!$A$39:$E$43,4,0))&gt;0,IF(MOD(INT(Cron_Uso!AD18/Frota!$L18)*Frota!$L18,N(VLOOKUP(Frota!$B18,Premissas!$A$39:$E$43,4,0)))=0,"A","S"),"S")),IF(N(VLOOKUP(Frota!$B18,Premissas!$A$39:$E$43,4,0))&gt;0,IF(MOD(INT(Cron_Uso!AD18/Frota!$L18)*Frota!$L18,N(VLOOKUP(Frota!$B18,Premissas!$A$39:$E$43,4,0)))=0,"A","S"),"S")),""))</f>
        <v/>
      </c>
      <c r="AE18" s="16" t="str">
        <f aca="false">IF(Cron_Uso!AE18="","",IF(INT(Cron_Uso!AE18/Frota!$L18)&gt;INT(Cron_Uso!AD18/Frota!$L18),IF(N(VLOOKUP(Frota!$B18,Premissas!$A$39:$E$43,5,0))&gt;0,IF(MOD(INT(Cron_Uso!AE18/Frota!$L18)*Frota!$L18,N(VLOOKUP(Frota!$B18,Premissas!$A$39:$E$43,5,0)))=0,"B",IF(N(VLOOKUP(Frota!$B18,Premissas!$A$39:$E$43,4,0))&gt;0,IF(MOD(INT(Cron_Uso!AE18/Frota!$L18)*Frota!$L18,N(VLOOKUP(Frota!$B18,Premissas!$A$39:$E$43,4,0)))=0,"A","S"),"S")),IF(N(VLOOKUP(Frota!$B18,Premissas!$A$39:$E$43,4,0))&gt;0,IF(MOD(INT(Cron_Uso!AE18/Frota!$L18)*Frota!$L18,N(VLOOKUP(Frota!$B18,Premissas!$A$39:$E$43,4,0)))=0,"A","S"),"S")),""))</f>
        <v/>
      </c>
      <c r="AF18" s="16" t="str">
        <f aca="false">IF(Cron_Uso!AF18="","",IF(INT(Cron_Uso!AF18/Frota!$L18)&gt;INT(Cron_Uso!AE18/Frota!$L18),IF(N(VLOOKUP(Frota!$B18,Premissas!$A$39:$E$43,5,0))&gt;0,IF(MOD(INT(Cron_Uso!AF18/Frota!$L18)*Frota!$L18,N(VLOOKUP(Frota!$B18,Premissas!$A$39:$E$43,5,0)))=0,"B",IF(N(VLOOKUP(Frota!$B18,Premissas!$A$39:$E$43,4,0))&gt;0,IF(MOD(INT(Cron_Uso!AF18/Frota!$L18)*Frota!$L18,N(VLOOKUP(Frota!$B18,Premissas!$A$39:$E$43,4,0)))=0,"A","S"),"S")),IF(N(VLOOKUP(Frota!$B18,Premissas!$A$39:$E$43,4,0))&gt;0,IF(MOD(INT(Cron_Uso!AF18/Frota!$L18)*Frota!$L18,N(VLOOKUP(Frota!$B18,Premissas!$A$39:$E$43,4,0)))=0,"A","S"),"S")),""))</f>
        <v/>
      </c>
      <c r="AG18" s="16" t="str">
        <f aca="false">IF(Cron_Uso!AG18="","",IF(INT(Cron_Uso!AG18/Frota!$L18)&gt;INT(Cron_Uso!AF18/Frota!$L18),IF(N(VLOOKUP(Frota!$B18,Premissas!$A$39:$E$43,5,0))&gt;0,IF(MOD(INT(Cron_Uso!AG18/Frota!$L18)*Frota!$L18,N(VLOOKUP(Frota!$B18,Premissas!$A$39:$E$43,5,0)))=0,"B",IF(N(VLOOKUP(Frota!$B18,Premissas!$A$39:$E$43,4,0))&gt;0,IF(MOD(INT(Cron_Uso!AG18/Frota!$L18)*Frota!$L18,N(VLOOKUP(Frota!$B18,Premissas!$A$39:$E$43,4,0)))=0,"A","S"),"S")),IF(N(VLOOKUP(Frota!$B18,Premissas!$A$39:$E$43,4,0))&gt;0,IF(MOD(INT(Cron_Uso!AG18/Frota!$L18)*Frota!$L18,N(VLOOKUP(Frota!$B18,Premissas!$A$39:$E$43,4,0)))=0,"A","S"),"S")),""))</f>
        <v/>
      </c>
      <c r="AH18" s="16" t="str">
        <f aca="false">IF(Cron_Uso!AH18="","",IF(INT(Cron_Uso!AH18/Frota!$L18)&gt;INT(Cron_Uso!AG18/Frota!$L18),IF(N(VLOOKUP(Frota!$B18,Premissas!$A$39:$E$43,5,0))&gt;0,IF(MOD(INT(Cron_Uso!AH18/Frota!$L18)*Frota!$L18,N(VLOOKUP(Frota!$B18,Premissas!$A$39:$E$43,5,0)))=0,"B",IF(N(VLOOKUP(Frota!$B18,Premissas!$A$39:$E$43,4,0))&gt;0,IF(MOD(INT(Cron_Uso!AH18/Frota!$L18)*Frota!$L18,N(VLOOKUP(Frota!$B18,Premissas!$A$39:$E$43,4,0)))=0,"A","S"),"S")),IF(N(VLOOKUP(Frota!$B18,Premissas!$A$39:$E$43,4,0))&gt;0,IF(MOD(INT(Cron_Uso!AH18/Frota!$L18)*Frota!$L18,N(VLOOKUP(Frota!$B18,Premissas!$A$39:$E$43,4,0)))=0,"A","S"),"S")),""))</f>
        <v/>
      </c>
      <c r="AI18" s="16" t="str">
        <f aca="false">IF(Cron_Uso!AI18="","",IF(INT(Cron_Uso!AI18/Frota!$L18)&gt;INT(Cron_Uso!AH18/Frota!$L18),IF(N(VLOOKUP(Frota!$B18,Premissas!$A$39:$E$43,5,0))&gt;0,IF(MOD(INT(Cron_Uso!AI18/Frota!$L18)*Frota!$L18,N(VLOOKUP(Frota!$B18,Premissas!$A$39:$E$43,5,0)))=0,"B",IF(N(VLOOKUP(Frota!$B18,Premissas!$A$39:$E$43,4,0))&gt;0,IF(MOD(INT(Cron_Uso!AI18/Frota!$L18)*Frota!$L18,N(VLOOKUP(Frota!$B18,Premissas!$A$39:$E$43,4,0)))=0,"A","S"),"S")),IF(N(VLOOKUP(Frota!$B18,Premissas!$A$39:$E$43,4,0))&gt;0,IF(MOD(INT(Cron_Uso!AI18/Frota!$L18)*Frota!$L18,N(VLOOKUP(Frota!$B18,Premissas!$A$39:$E$43,4,0)))=0,"A","S"),"S")),""))</f>
        <v/>
      </c>
      <c r="AJ18" s="16" t="str">
        <f aca="false">IF(Cron_Uso!AJ18="","",IF(INT(Cron_Uso!AJ18/Frota!$L18)&gt;INT(Cron_Uso!AI18/Frota!$L18),IF(N(VLOOKUP(Frota!$B18,Premissas!$A$39:$E$43,5,0))&gt;0,IF(MOD(INT(Cron_Uso!AJ18/Frota!$L18)*Frota!$L18,N(VLOOKUP(Frota!$B18,Premissas!$A$39:$E$43,5,0)))=0,"B",IF(N(VLOOKUP(Frota!$B18,Premissas!$A$39:$E$43,4,0))&gt;0,IF(MOD(INT(Cron_Uso!AJ18/Frota!$L18)*Frota!$L18,N(VLOOKUP(Frota!$B18,Premissas!$A$39:$E$43,4,0)))=0,"A","S"),"S")),IF(N(VLOOKUP(Frota!$B18,Premissas!$A$39:$E$43,4,0))&gt;0,IF(MOD(INT(Cron_Uso!AJ18/Frota!$L18)*Frota!$L18,N(VLOOKUP(Frota!$B18,Premissas!$A$39:$E$43,4,0)))=0,"A","S"),"S")),""))</f>
        <v/>
      </c>
      <c r="AK18" s="16" t="str">
        <f aca="false">IF(Cron_Uso!AK18="","",IF(INT(Cron_Uso!AK18/Frota!$L18)&gt;INT(Cron_Uso!AJ18/Frota!$L18),IF(N(VLOOKUP(Frota!$B18,Premissas!$A$39:$E$43,5,0))&gt;0,IF(MOD(INT(Cron_Uso!AK18/Frota!$L18)*Frota!$L18,N(VLOOKUP(Frota!$B18,Premissas!$A$39:$E$43,5,0)))=0,"B",IF(N(VLOOKUP(Frota!$B18,Premissas!$A$39:$E$43,4,0))&gt;0,IF(MOD(INT(Cron_Uso!AK18/Frota!$L18)*Frota!$L18,N(VLOOKUP(Frota!$B18,Premissas!$A$39:$E$43,4,0)))=0,"A","S"),"S")),IF(N(VLOOKUP(Frota!$B18,Premissas!$A$39:$E$43,4,0))&gt;0,IF(MOD(INT(Cron_Uso!AK18/Frota!$L18)*Frota!$L18,N(VLOOKUP(Frota!$B18,Premissas!$A$39:$E$43,4,0)))=0,"A","S"),"S")),""))</f>
        <v/>
      </c>
      <c r="AL18" s="16" t="str">
        <f aca="false">IF(Cron_Uso!AL18="","",IF(INT(Cron_Uso!AL18/Frota!$L18)&gt;INT(Cron_Uso!AK18/Frota!$L18),IF(N(VLOOKUP(Frota!$B18,Premissas!$A$39:$E$43,5,0))&gt;0,IF(MOD(INT(Cron_Uso!AL18/Frota!$L18)*Frota!$L18,N(VLOOKUP(Frota!$B18,Premissas!$A$39:$E$43,5,0)))=0,"B",IF(N(VLOOKUP(Frota!$B18,Premissas!$A$39:$E$43,4,0))&gt;0,IF(MOD(INT(Cron_Uso!AL18/Frota!$L18)*Frota!$L18,N(VLOOKUP(Frota!$B18,Premissas!$A$39:$E$43,4,0)))=0,"A","S"),"S")),IF(N(VLOOKUP(Frota!$B18,Premissas!$A$39:$E$43,4,0))&gt;0,IF(MOD(INT(Cron_Uso!AL18/Frota!$L18)*Frota!$L18,N(VLOOKUP(Frota!$B18,Premissas!$A$39:$E$43,4,0)))=0,"A","S"),"S")),""))</f>
        <v/>
      </c>
      <c r="AM18" s="16" t="str">
        <f aca="false">IF(Cron_Uso!AM18="","",IF(INT(Cron_Uso!AM18/Frota!$L18)&gt;INT(Cron_Uso!AL18/Frota!$L18),IF(N(VLOOKUP(Frota!$B18,Premissas!$A$39:$E$43,5,0))&gt;0,IF(MOD(INT(Cron_Uso!AM18/Frota!$L18)*Frota!$L18,N(VLOOKUP(Frota!$B18,Premissas!$A$39:$E$43,5,0)))=0,"B",IF(N(VLOOKUP(Frota!$B18,Premissas!$A$39:$E$43,4,0))&gt;0,IF(MOD(INT(Cron_Uso!AM18/Frota!$L18)*Frota!$L18,N(VLOOKUP(Frota!$B18,Premissas!$A$39:$E$43,4,0)))=0,"A","S"),"S")),IF(N(VLOOKUP(Frota!$B18,Premissas!$A$39:$E$43,4,0))&gt;0,IF(MOD(INT(Cron_Uso!AM18/Frota!$L18)*Frota!$L18,N(VLOOKUP(Frota!$B18,Premissas!$A$39:$E$43,4,0)))=0,"A","S"),"S")),""))</f>
        <v/>
      </c>
      <c r="AN18" s="16" t="str">
        <f aca="false">IF(Cron_Uso!AN18="","",IF(INT(Cron_Uso!AN18/Frota!$L18)&gt;INT(Cron_Uso!AM18/Frota!$L18),IF(N(VLOOKUP(Frota!$B18,Premissas!$A$39:$E$43,5,0))&gt;0,IF(MOD(INT(Cron_Uso!AN18/Frota!$L18)*Frota!$L18,N(VLOOKUP(Frota!$B18,Premissas!$A$39:$E$43,5,0)))=0,"B",IF(N(VLOOKUP(Frota!$B18,Premissas!$A$39:$E$43,4,0))&gt;0,IF(MOD(INT(Cron_Uso!AN18/Frota!$L18)*Frota!$L18,N(VLOOKUP(Frota!$B18,Premissas!$A$39:$E$43,4,0)))=0,"A","S"),"S")),IF(N(VLOOKUP(Frota!$B18,Premissas!$A$39:$E$43,4,0))&gt;0,IF(MOD(INT(Cron_Uso!AN18/Frota!$L18)*Frota!$L18,N(VLOOKUP(Frota!$B18,Premissas!$A$39:$E$43,4,0)))=0,"A","S"),"S")),""))</f>
        <v/>
      </c>
      <c r="AO18" s="16" t="str">
        <f aca="false">IF(Cron_Uso!AO18="","",IF(INT(Cron_Uso!AO18/Frota!$L18)&gt;INT(Cron_Uso!AN18/Frota!$L18),IF(N(VLOOKUP(Frota!$B18,Premissas!$A$39:$E$43,5,0))&gt;0,IF(MOD(INT(Cron_Uso!AO18/Frota!$L18)*Frota!$L18,N(VLOOKUP(Frota!$B18,Premissas!$A$39:$E$43,5,0)))=0,"B",IF(N(VLOOKUP(Frota!$B18,Premissas!$A$39:$E$43,4,0))&gt;0,IF(MOD(INT(Cron_Uso!AO18/Frota!$L18)*Frota!$L18,N(VLOOKUP(Frota!$B18,Premissas!$A$39:$E$43,4,0)))=0,"A","S"),"S")),IF(N(VLOOKUP(Frota!$B18,Premissas!$A$39:$E$43,4,0))&gt;0,IF(MOD(INT(Cron_Uso!AO18/Frota!$L18)*Frota!$L18,N(VLOOKUP(Frota!$B18,Premissas!$A$39:$E$43,4,0)))=0,"A","S"),"S")),""))</f>
        <v/>
      </c>
      <c r="AP18" s="16" t="str">
        <f aca="false">IF(Cron_Uso!AP18="","",IF(INT(Cron_Uso!AP18/Frota!$L18)&gt;INT(Cron_Uso!AO18/Frota!$L18),IF(N(VLOOKUP(Frota!$B18,Premissas!$A$39:$E$43,5,0))&gt;0,IF(MOD(INT(Cron_Uso!AP18/Frota!$L18)*Frota!$L18,N(VLOOKUP(Frota!$B18,Premissas!$A$39:$E$43,5,0)))=0,"B",IF(N(VLOOKUP(Frota!$B18,Premissas!$A$39:$E$43,4,0))&gt;0,IF(MOD(INT(Cron_Uso!AP18/Frota!$L18)*Frota!$L18,N(VLOOKUP(Frota!$B18,Premissas!$A$39:$E$43,4,0)))=0,"A","S"),"S")),IF(N(VLOOKUP(Frota!$B18,Premissas!$A$39:$E$43,4,0))&gt;0,IF(MOD(INT(Cron_Uso!AP18/Frota!$L18)*Frota!$L18,N(VLOOKUP(Frota!$B18,Premissas!$A$39:$E$43,4,0)))=0,"A","S"),"S")),""))</f>
        <v/>
      </c>
      <c r="AQ18" s="16" t="str">
        <f aca="false">IF(Cron_Uso!AQ18="","",IF(INT(Cron_Uso!AQ18/Frota!$L18)&gt;INT(Cron_Uso!AP18/Frota!$L18),IF(N(VLOOKUP(Frota!$B18,Premissas!$A$39:$E$43,5,0))&gt;0,IF(MOD(INT(Cron_Uso!AQ18/Frota!$L18)*Frota!$L18,N(VLOOKUP(Frota!$B18,Premissas!$A$39:$E$43,5,0)))=0,"B",IF(N(VLOOKUP(Frota!$B18,Premissas!$A$39:$E$43,4,0))&gt;0,IF(MOD(INT(Cron_Uso!AQ18/Frota!$L18)*Frota!$L18,N(VLOOKUP(Frota!$B18,Premissas!$A$39:$E$43,4,0)))=0,"A","S"),"S")),IF(N(VLOOKUP(Frota!$B18,Premissas!$A$39:$E$43,4,0))&gt;0,IF(MOD(INT(Cron_Uso!AQ18/Frota!$L18)*Frota!$L18,N(VLOOKUP(Frota!$B18,Premissas!$A$39:$E$43,4,0)))=0,"A","S"),"S")),""))</f>
        <v/>
      </c>
      <c r="AR18" s="16" t="str">
        <f aca="false">IF(Cron_Uso!AR18="","",IF(INT(Cron_Uso!AR18/Frota!$L18)&gt;INT(Cron_Uso!AQ18/Frota!$L18),IF(N(VLOOKUP(Frota!$B18,Premissas!$A$39:$E$43,5,0))&gt;0,IF(MOD(INT(Cron_Uso!AR18/Frota!$L18)*Frota!$L18,N(VLOOKUP(Frota!$B18,Premissas!$A$39:$E$43,5,0)))=0,"B",IF(N(VLOOKUP(Frota!$B18,Premissas!$A$39:$E$43,4,0))&gt;0,IF(MOD(INT(Cron_Uso!AR18/Frota!$L18)*Frota!$L18,N(VLOOKUP(Frota!$B18,Premissas!$A$39:$E$43,4,0)))=0,"A","S"),"S")),IF(N(VLOOKUP(Frota!$B18,Premissas!$A$39:$E$43,4,0))&gt;0,IF(MOD(INT(Cron_Uso!AR18/Frota!$L18)*Frota!$L18,N(VLOOKUP(Frota!$B18,Premissas!$A$39:$E$43,4,0)))=0,"A","S"),"S")),""))</f>
        <v/>
      </c>
      <c r="AS18" s="16" t="str">
        <f aca="false">IF(Cron_Uso!AS18="","",IF(INT(Cron_Uso!AS18/Frota!$L18)&gt;INT(Cron_Uso!AR18/Frota!$L18),IF(N(VLOOKUP(Frota!$B18,Premissas!$A$39:$E$43,5,0))&gt;0,IF(MOD(INT(Cron_Uso!AS18/Frota!$L18)*Frota!$L18,N(VLOOKUP(Frota!$B18,Premissas!$A$39:$E$43,5,0)))=0,"B",IF(N(VLOOKUP(Frota!$B18,Premissas!$A$39:$E$43,4,0))&gt;0,IF(MOD(INT(Cron_Uso!AS18/Frota!$L18)*Frota!$L18,N(VLOOKUP(Frota!$B18,Premissas!$A$39:$E$43,4,0)))=0,"A","S"),"S")),IF(N(VLOOKUP(Frota!$B18,Premissas!$A$39:$E$43,4,0))&gt;0,IF(MOD(INT(Cron_Uso!AS18/Frota!$L18)*Frota!$L18,N(VLOOKUP(Frota!$B18,Premissas!$A$39:$E$43,4,0)))=0,"A","S"),"S")),""))</f>
        <v/>
      </c>
      <c r="AT18" s="16" t="str">
        <f aca="false">IF(Cron_Uso!AT18="","",IF(INT(Cron_Uso!AT18/Frota!$L18)&gt;INT(Cron_Uso!AS18/Frota!$L18),IF(N(VLOOKUP(Frota!$B18,Premissas!$A$39:$E$43,5,0))&gt;0,IF(MOD(INT(Cron_Uso!AT18/Frota!$L18)*Frota!$L18,N(VLOOKUP(Frota!$B18,Premissas!$A$39:$E$43,5,0)))=0,"B",IF(N(VLOOKUP(Frota!$B18,Premissas!$A$39:$E$43,4,0))&gt;0,IF(MOD(INT(Cron_Uso!AT18/Frota!$L18)*Frota!$L18,N(VLOOKUP(Frota!$B18,Premissas!$A$39:$E$43,4,0)))=0,"A","S"),"S")),IF(N(VLOOKUP(Frota!$B18,Premissas!$A$39:$E$43,4,0))&gt;0,IF(MOD(INT(Cron_Uso!AT18/Frota!$L18)*Frota!$L18,N(VLOOKUP(Frota!$B18,Premissas!$A$39:$E$43,4,0)))=0,"A","S"),"S")),""))</f>
        <v/>
      </c>
      <c r="AU18" s="16" t="str">
        <f aca="false">IF(Cron_Uso!AU18="","",IF(INT(Cron_Uso!AU18/Frota!$L18)&gt;INT(Cron_Uso!AT18/Frota!$L18),IF(N(VLOOKUP(Frota!$B18,Premissas!$A$39:$E$43,5,0))&gt;0,IF(MOD(INT(Cron_Uso!AU18/Frota!$L18)*Frota!$L18,N(VLOOKUP(Frota!$B18,Premissas!$A$39:$E$43,5,0)))=0,"B",IF(N(VLOOKUP(Frota!$B18,Premissas!$A$39:$E$43,4,0))&gt;0,IF(MOD(INT(Cron_Uso!AU18/Frota!$L18)*Frota!$L18,N(VLOOKUP(Frota!$B18,Premissas!$A$39:$E$43,4,0)))=0,"A","S"),"S")),IF(N(VLOOKUP(Frota!$B18,Premissas!$A$39:$E$43,4,0))&gt;0,IF(MOD(INT(Cron_Uso!AU18/Frota!$L18)*Frota!$L18,N(VLOOKUP(Frota!$B18,Premissas!$A$39:$E$43,4,0)))=0,"A","S"),"S")),""))</f>
        <v/>
      </c>
      <c r="AV18" s="16" t="str">
        <f aca="false">IF(Cron_Uso!AV18="","",IF(INT(Cron_Uso!AV18/Frota!$L18)&gt;INT(Cron_Uso!AU18/Frota!$L18),IF(N(VLOOKUP(Frota!$B18,Premissas!$A$39:$E$43,5,0))&gt;0,IF(MOD(INT(Cron_Uso!AV18/Frota!$L18)*Frota!$L18,N(VLOOKUP(Frota!$B18,Premissas!$A$39:$E$43,5,0)))=0,"B",IF(N(VLOOKUP(Frota!$B18,Premissas!$A$39:$E$43,4,0))&gt;0,IF(MOD(INT(Cron_Uso!AV18/Frota!$L18)*Frota!$L18,N(VLOOKUP(Frota!$B18,Premissas!$A$39:$E$43,4,0)))=0,"A","S"),"S")),IF(N(VLOOKUP(Frota!$B18,Premissas!$A$39:$E$43,4,0))&gt;0,IF(MOD(INT(Cron_Uso!AV18/Frota!$L18)*Frota!$L18,N(VLOOKUP(Frota!$B18,Premissas!$A$39:$E$43,4,0)))=0,"A","S"),"S")),""))</f>
        <v/>
      </c>
      <c r="AW18" s="16" t="str">
        <f aca="false">IF(Cron_Uso!AW18="","",IF(INT(Cron_Uso!AW18/Frota!$L18)&gt;INT(Cron_Uso!AV18/Frota!$L18),IF(N(VLOOKUP(Frota!$B18,Premissas!$A$39:$E$43,5,0))&gt;0,IF(MOD(INT(Cron_Uso!AW18/Frota!$L18)*Frota!$L18,N(VLOOKUP(Frota!$B18,Premissas!$A$39:$E$43,5,0)))=0,"B",IF(N(VLOOKUP(Frota!$B18,Premissas!$A$39:$E$43,4,0))&gt;0,IF(MOD(INT(Cron_Uso!AW18/Frota!$L18)*Frota!$L18,N(VLOOKUP(Frota!$B18,Premissas!$A$39:$E$43,4,0)))=0,"A","S"),"S")),IF(N(VLOOKUP(Frota!$B18,Premissas!$A$39:$E$43,4,0))&gt;0,IF(MOD(INT(Cron_Uso!AW18/Frota!$L18)*Frota!$L18,N(VLOOKUP(Frota!$B18,Premissas!$A$39:$E$43,4,0)))=0,"A","S"),"S")),""))</f>
        <v/>
      </c>
      <c r="AX18" s="16" t="str">
        <f aca="false">IF(Cron_Uso!AX18="","",IF(INT(Cron_Uso!AX18/Frota!$L18)&gt;INT(Cron_Uso!AW18/Frota!$L18),IF(N(VLOOKUP(Frota!$B18,Premissas!$A$39:$E$43,5,0))&gt;0,IF(MOD(INT(Cron_Uso!AX18/Frota!$L18)*Frota!$L18,N(VLOOKUP(Frota!$B18,Premissas!$A$39:$E$43,5,0)))=0,"B",IF(N(VLOOKUP(Frota!$B18,Premissas!$A$39:$E$43,4,0))&gt;0,IF(MOD(INT(Cron_Uso!AX18/Frota!$L18)*Frota!$L18,N(VLOOKUP(Frota!$B18,Premissas!$A$39:$E$43,4,0)))=0,"A","S"),"S")),IF(N(VLOOKUP(Frota!$B18,Premissas!$A$39:$E$43,4,0))&gt;0,IF(MOD(INT(Cron_Uso!AX18/Frota!$L18)*Frota!$L18,N(VLOOKUP(Frota!$B18,Premissas!$A$39:$E$43,4,0)))=0,"A","S"),"S")),""))</f>
        <v/>
      </c>
      <c r="AY18" s="16" t="str">
        <f aca="false">IF(Cron_Uso!AY18="","",IF(INT(Cron_Uso!AY18/Frota!$L18)&gt;INT(Cron_Uso!AX18/Frota!$L18),IF(N(VLOOKUP(Frota!$B18,Premissas!$A$39:$E$43,5,0))&gt;0,IF(MOD(INT(Cron_Uso!AY18/Frota!$L18)*Frota!$L18,N(VLOOKUP(Frota!$B18,Premissas!$A$39:$E$43,5,0)))=0,"B",IF(N(VLOOKUP(Frota!$B18,Premissas!$A$39:$E$43,4,0))&gt;0,IF(MOD(INT(Cron_Uso!AY18/Frota!$L18)*Frota!$L18,N(VLOOKUP(Frota!$B18,Premissas!$A$39:$E$43,4,0)))=0,"A","S"),"S")),IF(N(VLOOKUP(Frota!$B18,Premissas!$A$39:$E$43,4,0))&gt;0,IF(MOD(INT(Cron_Uso!AY18/Frota!$L18)*Frota!$L18,N(VLOOKUP(Frota!$B18,Premissas!$A$39:$E$43,4,0)))=0,"A","S"),"S")),""))</f>
        <v/>
      </c>
      <c r="AZ18" s="16" t="str">
        <f aca="false">IF(Cron_Uso!AZ18="","",IF(INT(Cron_Uso!AZ18/Frota!$L18)&gt;INT(Cron_Uso!AY18/Frota!$L18),IF(N(VLOOKUP(Frota!$B18,Premissas!$A$39:$E$43,5,0))&gt;0,IF(MOD(INT(Cron_Uso!AZ18/Frota!$L18)*Frota!$L18,N(VLOOKUP(Frota!$B18,Premissas!$A$39:$E$43,5,0)))=0,"B",IF(N(VLOOKUP(Frota!$B18,Premissas!$A$39:$E$43,4,0))&gt;0,IF(MOD(INT(Cron_Uso!AZ18/Frota!$L18)*Frota!$L18,N(VLOOKUP(Frota!$B18,Premissas!$A$39:$E$43,4,0)))=0,"A","S"),"S")),IF(N(VLOOKUP(Frota!$B18,Premissas!$A$39:$E$43,4,0))&gt;0,IF(MOD(INT(Cron_Uso!AZ18/Frota!$L18)*Frota!$L18,N(VLOOKUP(Frota!$B18,Premissas!$A$39:$E$43,4,0)))=0,"A","S"),"S")),""))</f>
        <v/>
      </c>
      <c r="BA18" s="16" t="str">
        <f aca="false">IF(Cron_Uso!BA18="","",IF(INT(Cron_Uso!BA18/Frota!$L18)&gt;INT(Cron_Uso!AZ18/Frota!$L18),IF(N(VLOOKUP(Frota!$B18,Premissas!$A$39:$E$43,5,0))&gt;0,IF(MOD(INT(Cron_Uso!BA18/Frota!$L18)*Frota!$L18,N(VLOOKUP(Frota!$B18,Premissas!$A$39:$E$43,5,0)))=0,"B",IF(N(VLOOKUP(Frota!$B18,Premissas!$A$39:$E$43,4,0))&gt;0,IF(MOD(INT(Cron_Uso!BA18/Frota!$L18)*Frota!$L18,N(VLOOKUP(Frota!$B18,Premissas!$A$39:$E$43,4,0)))=0,"A","S"),"S")),IF(N(VLOOKUP(Frota!$B18,Premissas!$A$39:$E$43,4,0))&gt;0,IF(MOD(INT(Cron_Uso!BA18/Frota!$L18)*Frota!$L18,N(VLOOKUP(Frota!$B18,Premissas!$A$39:$E$43,4,0)))=0,"A","S"),"S")),""))</f>
        <v/>
      </c>
    </row>
    <row r="19" customFormat="false" ht="15" hidden="false" customHeight="false" outlineLevel="0" collapsed="false">
      <c r="A19" s="6" t="str">
        <f aca="false">IF(Frota!$A19="","",Frota!$A19)</f>
        <v/>
      </c>
      <c r="B19" s="16" t="str">
        <f aca="false">IF(Cron_Uso!B19="","",IF(INT(Cron_Uso!B19/Frota!$L19)&gt;INT(Frota!$I19/Frota!$L19),IF(N(VLOOKUP(Frota!$B19,Premissas!$A$39:$E$43,5,0))&gt;0,IF(MOD(INT(Cron_Uso!B19/Frota!$L19)*Frota!$L19,N(VLOOKUP(Frota!$B19,Premissas!$A$39:$E$43,5,0)))=0,"B",IF(N(VLOOKUP(Frota!$B19,Premissas!$A$39:$E$43,4,0))&gt;0,IF(MOD(INT(Cron_Uso!B19/Frota!$L19)*Frota!$L19,N(VLOOKUP(Frota!$B19,Premissas!$A$39:$E$43,4,0)))=0,"A","S"),"S")),IF(N(VLOOKUP(Frota!$B19,Premissas!$A$39:$E$43,4,0))&gt;0,IF(MOD(INT(Cron_Uso!B19/Frota!$L19)*Frota!$L19,N(VLOOKUP(Frota!$B19,Premissas!$A$39:$E$43,4,0)))=0,"A","S"),"S")),""))</f>
        <v/>
      </c>
      <c r="C19" s="16" t="str">
        <f aca="false">IF(Cron_Uso!C19="","",IF(INT(Cron_Uso!C19/Frota!$L19)&gt;INT(Cron_Uso!B19/Frota!$L19),IF(N(VLOOKUP(Frota!$B19,Premissas!$A$39:$E$43,5,0))&gt;0,IF(MOD(INT(Cron_Uso!C19/Frota!$L19)*Frota!$L19,N(VLOOKUP(Frota!$B19,Premissas!$A$39:$E$43,5,0)))=0,"B",IF(N(VLOOKUP(Frota!$B19,Premissas!$A$39:$E$43,4,0))&gt;0,IF(MOD(INT(Cron_Uso!C19/Frota!$L19)*Frota!$L19,N(VLOOKUP(Frota!$B19,Premissas!$A$39:$E$43,4,0)))=0,"A","S"),"S")),IF(N(VLOOKUP(Frota!$B19,Premissas!$A$39:$E$43,4,0))&gt;0,IF(MOD(INT(Cron_Uso!C19/Frota!$L19)*Frota!$L19,N(VLOOKUP(Frota!$B19,Premissas!$A$39:$E$43,4,0)))=0,"A","S"),"S")),""))</f>
        <v/>
      </c>
      <c r="D19" s="16" t="str">
        <f aca="false">IF(Cron_Uso!D19="","",IF(INT(Cron_Uso!D19/Frota!$L19)&gt;INT(Cron_Uso!C19/Frota!$L19),IF(N(VLOOKUP(Frota!$B19,Premissas!$A$39:$E$43,5,0))&gt;0,IF(MOD(INT(Cron_Uso!D19/Frota!$L19)*Frota!$L19,N(VLOOKUP(Frota!$B19,Premissas!$A$39:$E$43,5,0)))=0,"B",IF(N(VLOOKUP(Frota!$B19,Premissas!$A$39:$E$43,4,0))&gt;0,IF(MOD(INT(Cron_Uso!D19/Frota!$L19)*Frota!$L19,N(VLOOKUP(Frota!$B19,Premissas!$A$39:$E$43,4,0)))=0,"A","S"),"S")),IF(N(VLOOKUP(Frota!$B19,Premissas!$A$39:$E$43,4,0))&gt;0,IF(MOD(INT(Cron_Uso!D19/Frota!$L19)*Frota!$L19,N(VLOOKUP(Frota!$B19,Premissas!$A$39:$E$43,4,0)))=0,"A","S"),"S")),""))</f>
        <v/>
      </c>
      <c r="E19" s="16" t="str">
        <f aca="false">IF(Cron_Uso!E19="","",IF(INT(Cron_Uso!E19/Frota!$L19)&gt;INT(Cron_Uso!D19/Frota!$L19),IF(N(VLOOKUP(Frota!$B19,Premissas!$A$39:$E$43,5,0))&gt;0,IF(MOD(INT(Cron_Uso!E19/Frota!$L19)*Frota!$L19,N(VLOOKUP(Frota!$B19,Premissas!$A$39:$E$43,5,0)))=0,"B",IF(N(VLOOKUP(Frota!$B19,Premissas!$A$39:$E$43,4,0))&gt;0,IF(MOD(INT(Cron_Uso!E19/Frota!$L19)*Frota!$L19,N(VLOOKUP(Frota!$B19,Premissas!$A$39:$E$43,4,0)))=0,"A","S"),"S")),IF(N(VLOOKUP(Frota!$B19,Premissas!$A$39:$E$43,4,0))&gt;0,IF(MOD(INT(Cron_Uso!E19/Frota!$L19)*Frota!$L19,N(VLOOKUP(Frota!$B19,Premissas!$A$39:$E$43,4,0)))=0,"A","S"),"S")),""))</f>
        <v/>
      </c>
      <c r="F19" s="16" t="str">
        <f aca="false">IF(Cron_Uso!F19="","",IF(INT(Cron_Uso!F19/Frota!$L19)&gt;INT(Cron_Uso!E19/Frota!$L19),IF(N(VLOOKUP(Frota!$B19,Premissas!$A$39:$E$43,5,0))&gt;0,IF(MOD(INT(Cron_Uso!F19/Frota!$L19)*Frota!$L19,N(VLOOKUP(Frota!$B19,Premissas!$A$39:$E$43,5,0)))=0,"B",IF(N(VLOOKUP(Frota!$B19,Premissas!$A$39:$E$43,4,0))&gt;0,IF(MOD(INT(Cron_Uso!F19/Frota!$L19)*Frota!$L19,N(VLOOKUP(Frota!$B19,Premissas!$A$39:$E$43,4,0)))=0,"A","S"),"S")),IF(N(VLOOKUP(Frota!$B19,Premissas!$A$39:$E$43,4,0))&gt;0,IF(MOD(INT(Cron_Uso!F19/Frota!$L19)*Frota!$L19,N(VLOOKUP(Frota!$B19,Premissas!$A$39:$E$43,4,0)))=0,"A","S"),"S")),""))</f>
        <v/>
      </c>
      <c r="G19" s="16" t="str">
        <f aca="false">IF(Cron_Uso!G19="","",IF(INT(Cron_Uso!G19/Frota!$L19)&gt;INT(Cron_Uso!F19/Frota!$L19),IF(N(VLOOKUP(Frota!$B19,Premissas!$A$39:$E$43,5,0))&gt;0,IF(MOD(INT(Cron_Uso!G19/Frota!$L19)*Frota!$L19,N(VLOOKUP(Frota!$B19,Premissas!$A$39:$E$43,5,0)))=0,"B",IF(N(VLOOKUP(Frota!$B19,Premissas!$A$39:$E$43,4,0))&gt;0,IF(MOD(INT(Cron_Uso!G19/Frota!$L19)*Frota!$L19,N(VLOOKUP(Frota!$B19,Premissas!$A$39:$E$43,4,0)))=0,"A","S"),"S")),IF(N(VLOOKUP(Frota!$B19,Premissas!$A$39:$E$43,4,0))&gt;0,IF(MOD(INT(Cron_Uso!G19/Frota!$L19)*Frota!$L19,N(VLOOKUP(Frota!$B19,Premissas!$A$39:$E$43,4,0)))=0,"A","S"),"S")),""))</f>
        <v/>
      </c>
      <c r="H19" s="16" t="str">
        <f aca="false">IF(Cron_Uso!H19="","",IF(INT(Cron_Uso!H19/Frota!$L19)&gt;INT(Cron_Uso!G19/Frota!$L19),IF(N(VLOOKUP(Frota!$B19,Premissas!$A$39:$E$43,5,0))&gt;0,IF(MOD(INT(Cron_Uso!H19/Frota!$L19)*Frota!$L19,N(VLOOKUP(Frota!$B19,Premissas!$A$39:$E$43,5,0)))=0,"B",IF(N(VLOOKUP(Frota!$B19,Premissas!$A$39:$E$43,4,0))&gt;0,IF(MOD(INT(Cron_Uso!H19/Frota!$L19)*Frota!$L19,N(VLOOKUP(Frota!$B19,Premissas!$A$39:$E$43,4,0)))=0,"A","S"),"S")),IF(N(VLOOKUP(Frota!$B19,Premissas!$A$39:$E$43,4,0))&gt;0,IF(MOD(INT(Cron_Uso!H19/Frota!$L19)*Frota!$L19,N(VLOOKUP(Frota!$B19,Premissas!$A$39:$E$43,4,0)))=0,"A","S"),"S")),""))</f>
        <v/>
      </c>
      <c r="I19" s="16" t="str">
        <f aca="false">IF(Cron_Uso!I19="","",IF(INT(Cron_Uso!I19/Frota!$L19)&gt;INT(Cron_Uso!H19/Frota!$L19),IF(N(VLOOKUP(Frota!$B19,Premissas!$A$39:$E$43,5,0))&gt;0,IF(MOD(INT(Cron_Uso!I19/Frota!$L19)*Frota!$L19,N(VLOOKUP(Frota!$B19,Premissas!$A$39:$E$43,5,0)))=0,"B",IF(N(VLOOKUP(Frota!$B19,Premissas!$A$39:$E$43,4,0))&gt;0,IF(MOD(INT(Cron_Uso!I19/Frota!$L19)*Frota!$L19,N(VLOOKUP(Frota!$B19,Premissas!$A$39:$E$43,4,0)))=0,"A","S"),"S")),IF(N(VLOOKUP(Frota!$B19,Premissas!$A$39:$E$43,4,0))&gt;0,IF(MOD(INT(Cron_Uso!I19/Frota!$L19)*Frota!$L19,N(VLOOKUP(Frota!$B19,Premissas!$A$39:$E$43,4,0)))=0,"A","S"),"S")),""))</f>
        <v/>
      </c>
      <c r="J19" s="16" t="str">
        <f aca="false">IF(Cron_Uso!J19="","",IF(INT(Cron_Uso!J19/Frota!$L19)&gt;INT(Cron_Uso!I19/Frota!$L19),IF(N(VLOOKUP(Frota!$B19,Premissas!$A$39:$E$43,5,0))&gt;0,IF(MOD(INT(Cron_Uso!J19/Frota!$L19)*Frota!$L19,N(VLOOKUP(Frota!$B19,Premissas!$A$39:$E$43,5,0)))=0,"B",IF(N(VLOOKUP(Frota!$B19,Premissas!$A$39:$E$43,4,0))&gt;0,IF(MOD(INT(Cron_Uso!J19/Frota!$L19)*Frota!$L19,N(VLOOKUP(Frota!$B19,Premissas!$A$39:$E$43,4,0)))=0,"A","S"),"S")),IF(N(VLOOKUP(Frota!$B19,Premissas!$A$39:$E$43,4,0))&gt;0,IF(MOD(INT(Cron_Uso!J19/Frota!$L19)*Frota!$L19,N(VLOOKUP(Frota!$B19,Premissas!$A$39:$E$43,4,0)))=0,"A","S"),"S")),""))</f>
        <v/>
      </c>
      <c r="K19" s="16" t="str">
        <f aca="false">IF(Cron_Uso!K19="","",IF(INT(Cron_Uso!K19/Frota!$L19)&gt;INT(Cron_Uso!J19/Frota!$L19),IF(N(VLOOKUP(Frota!$B19,Premissas!$A$39:$E$43,5,0))&gt;0,IF(MOD(INT(Cron_Uso!K19/Frota!$L19)*Frota!$L19,N(VLOOKUP(Frota!$B19,Premissas!$A$39:$E$43,5,0)))=0,"B",IF(N(VLOOKUP(Frota!$B19,Premissas!$A$39:$E$43,4,0))&gt;0,IF(MOD(INT(Cron_Uso!K19/Frota!$L19)*Frota!$L19,N(VLOOKUP(Frota!$B19,Premissas!$A$39:$E$43,4,0)))=0,"A","S"),"S")),IF(N(VLOOKUP(Frota!$B19,Premissas!$A$39:$E$43,4,0))&gt;0,IF(MOD(INT(Cron_Uso!K19/Frota!$L19)*Frota!$L19,N(VLOOKUP(Frota!$B19,Premissas!$A$39:$E$43,4,0)))=0,"A","S"),"S")),""))</f>
        <v/>
      </c>
      <c r="L19" s="16" t="str">
        <f aca="false">IF(Cron_Uso!L19="","",IF(INT(Cron_Uso!L19/Frota!$L19)&gt;INT(Cron_Uso!K19/Frota!$L19),IF(N(VLOOKUP(Frota!$B19,Premissas!$A$39:$E$43,5,0))&gt;0,IF(MOD(INT(Cron_Uso!L19/Frota!$L19)*Frota!$L19,N(VLOOKUP(Frota!$B19,Premissas!$A$39:$E$43,5,0)))=0,"B",IF(N(VLOOKUP(Frota!$B19,Premissas!$A$39:$E$43,4,0))&gt;0,IF(MOD(INT(Cron_Uso!L19/Frota!$L19)*Frota!$L19,N(VLOOKUP(Frota!$B19,Premissas!$A$39:$E$43,4,0)))=0,"A","S"),"S")),IF(N(VLOOKUP(Frota!$B19,Premissas!$A$39:$E$43,4,0))&gt;0,IF(MOD(INT(Cron_Uso!L19/Frota!$L19)*Frota!$L19,N(VLOOKUP(Frota!$B19,Premissas!$A$39:$E$43,4,0)))=0,"A","S"),"S")),""))</f>
        <v/>
      </c>
      <c r="M19" s="16" t="str">
        <f aca="false">IF(Cron_Uso!M19="","",IF(INT(Cron_Uso!M19/Frota!$L19)&gt;INT(Cron_Uso!L19/Frota!$L19),IF(N(VLOOKUP(Frota!$B19,Premissas!$A$39:$E$43,5,0))&gt;0,IF(MOD(INT(Cron_Uso!M19/Frota!$L19)*Frota!$L19,N(VLOOKUP(Frota!$B19,Premissas!$A$39:$E$43,5,0)))=0,"B",IF(N(VLOOKUP(Frota!$B19,Premissas!$A$39:$E$43,4,0))&gt;0,IF(MOD(INT(Cron_Uso!M19/Frota!$L19)*Frota!$L19,N(VLOOKUP(Frota!$B19,Premissas!$A$39:$E$43,4,0)))=0,"A","S"),"S")),IF(N(VLOOKUP(Frota!$B19,Premissas!$A$39:$E$43,4,0))&gt;0,IF(MOD(INT(Cron_Uso!M19/Frota!$L19)*Frota!$L19,N(VLOOKUP(Frota!$B19,Premissas!$A$39:$E$43,4,0)))=0,"A","S"),"S")),""))</f>
        <v/>
      </c>
      <c r="N19" s="16" t="str">
        <f aca="false">IF(Cron_Uso!N19="","",IF(INT(Cron_Uso!N19/Frota!$L19)&gt;INT(Cron_Uso!M19/Frota!$L19),IF(N(VLOOKUP(Frota!$B19,Premissas!$A$39:$E$43,5,0))&gt;0,IF(MOD(INT(Cron_Uso!N19/Frota!$L19)*Frota!$L19,N(VLOOKUP(Frota!$B19,Premissas!$A$39:$E$43,5,0)))=0,"B",IF(N(VLOOKUP(Frota!$B19,Premissas!$A$39:$E$43,4,0))&gt;0,IF(MOD(INT(Cron_Uso!N19/Frota!$L19)*Frota!$L19,N(VLOOKUP(Frota!$B19,Premissas!$A$39:$E$43,4,0)))=0,"A","S"),"S")),IF(N(VLOOKUP(Frota!$B19,Premissas!$A$39:$E$43,4,0))&gt;0,IF(MOD(INT(Cron_Uso!N19/Frota!$L19)*Frota!$L19,N(VLOOKUP(Frota!$B19,Premissas!$A$39:$E$43,4,0)))=0,"A","S"),"S")),""))</f>
        <v/>
      </c>
      <c r="O19" s="16" t="str">
        <f aca="false">IF(Cron_Uso!O19="","",IF(INT(Cron_Uso!O19/Frota!$L19)&gt;INT(Cron_Uso!N19/Frota!$L19),IF(N(VLOOKUP(Frota!$B19,Premissas!$A$39:$E$43,5,0))&gt;0,IF(MOD(INT(Cron_Uso!O19/Frota!$L19)*Frota!$L19,N(VLOOKUP(Frota!$B19,Premissas!$A$39:$E$43,5,0)))=0,"B",IF(N(VLOOKUP(Frota!$B19,Premissas!$A$39:$E$43,4,0))&gt;0,IF(MOD(INT(Cron_Uso!O19/Frota!$L19)*Frota!$L19,N(VLOOKUP(Frota!$B19,Premissas!$A$39:$E$43,4,0)))=0,"A","S"),"S")),IF(N(VLOOKUP(Frota!$B19,Premissas!$A$39:$E$43,4,0))&gt;0,IF(MOD(INT(Cron_Uso!O19/Frota!$L19)*Frota!$L19,N(VLOOKUP(Frota!$B19,Premissas!$A$39:$E$43,4,0)))=0,"A","S"),"S")),""))</f>
        <v/>
      </c>
      <c r="P19" s="16" t="str">
        <f aca="false">IF(Cron_Uso!P19="","",IF(INT(Cron_Uso!P19/Frota!$L19)&gt;INT(Cron_Uso!O19/Frota!$L19),IF(N(VLOOKUP(Frota!$B19,Premissas!$A$39:$E$43,5,0))&gt;0,IF(MOD(INT(Cron_Uso!P19/Frota!$L19)*Frota!$L19,N(VLOOKUP(Frota!$B19,Premissas!$A$39:$E$43,5,0)))=0,"B",IF(N(VLOOKUP(Frota!$B19,Premissas!$A$39:$E$43,4,0))&gt;0,IF(MOD(INT(Cron_Uso!P19/Frota!$L19)*Frota!$L19,N(VLOOKUP(Frota!$B19,Premissas!$A$39:$E$43,4,0)))=0,"A","S"),"S")),IF(N(VLOOKUP(Frota!$B19,Premissas!$A$39:$E$43,4,0))&gt;0,IF(MOD(INT(Cron_Uso!P19/Frota!$L19)*Frota!$L19,N(VLOOKUP(Frota!$B19,Premissas!$A$39:$E$43,4,0)))=0,"A","S"),"S")),""))</f>
        <v/>
      </c>
      <c r="Q19" s="16" t="str">
        <f aca="false">IF(Cron_Uso!Q19="","",IF(INT(Cron_Uso!Q19/Frota!$L19)&gt;INT(Cron_Uso!P19/Frota!$L19),IF(N(VLOOKUP(Frota!$B19,Premissas!$A$39:$E$43,5,0))&gt;0,IF(MOD(INT(Cron_Uso!Q19/Frota!$L19)*Frota!$L19,N(VLOOKUP(Frota!$B19,Premissas!$A$39:$E$43,5,0)))=0,"B",IF(N(VLOOKUP(Frota!$B19,Premissas!$A$39:$E$43,4,0))&gt;0,IF(MOD(INT(Cron_Uso!Q19/Frota!$L19)*Frota!$L19,N(VLOOKUP(Frota!$B19,Premissas!$A$39:$E$43,4,0)))=0,"A","S"),"S")),IF(N(VLOOKUP(Frota!$B19,Premissas!$A$39:$E$43,4,0))&gt;0,IF(MOD(INT(Cron_Uso!Q19/Frota!$L19)*Frota!$L19,N(VLOOKUP(Frota!$B19,Premissas!$A$39:$E$43,4,0)))=0,"A","S"),"S")),""))</f>
        <v/>
      </c>
      <c r="R19" s="16" t="str">
        <f aca="false">IF(Cron_Uso!R19="","",IF(INT(Cron_Uso!R19/Frota!$L19)&gt;INT(Cron_Uso!Q19/Frota!$L19),IF(N(VLOOKUP(Frota!$B19,Premissas!$A$39:$E$43,5,0))&gt;0,IF(MOD(INT(Cron_Uso!R19/Frota!$L19)*Frota!$L19,N(VLOOKUP(Frota!$B19,Premissas!$A$39:$E$43,5,0)))=0,"B",IF(N(VLOOKUP(Frota!$B19,Premissas!$A$39:$E$43,4,0))&gt;0,IF(MOD(INT(Cron_Uso!R19/Frota!$L19)*Frota!$L19,N(VLOOKUP(Frota!$B19,Premissas!$A$39:$E$43,4,0)))=0,"A","S"),"S")),IF(N(VLOOKUP(Frota!$B19,Premissas!$A$39:$E$43,4,0))&gt;0,IF(MOD(INT(Cron_Uso!R19/Frota!$L19)*Frota!$L19,N(VLOOKUP(Frota!$B19,Premissas!$A$39:$E$43,4,0)))=0,"A","S"),"S")),""))</f>
        <v/>
      </c>
      <c r="S19" s="16" t="str">
        <f aca="false">IF(Cron_Uso!S19="","",IF(INT(Cron_Uso!S19/Frota!$L19)&gt;INT(Cron_Uso!R19/Frota!$L19),IF(N(VLOOKUP(Frota!$B19,Premissas!$A$39:$E$43,5,0))&gt;0,IF(MOD(INT(Cron_Uso!S19/Frota!$L19)*Frota!$L19,N(VLOOKUP(Frota!$B19,Premissas!$A$39:$E$43,5,0)))=0,"B",IF(N(VLOOKUP(Frota!$B19,Premissas!$A$39:$E$43,4,0))&gt;0,IF(MOD(INT(Cron_Uso!S19/Frota!$L19)*Frota!$L19,N(VLOOKUP(Frota!$B19,Premissas!$A$39:$E$43,4,0)))=0,"A","S"),"S")),IF(N(VLOOKUP(Frota!$B19,Premissas!$A$39:$E$43,4,0))&gt;0,IF(MOD(INT(Cron_Uso!S19/Frota!$L19)*Frota!$L19,N(VLOOKUP(Frota!$B19,Premissas!$A$39:$E$43,4,0)))=0,"A","S"),"S")),""))</f>
        <v/>
      </c>
      <c r="T19" s="16" t="str">
        <f aca="false">IF(Cron_Uso!T19="","",IF(INT(Cron_Uso!T19/Frota!$L19)&gt;INT(Cron_Uso!S19/Frota!$L19),IF(N(VLOOKUP(Frota!$B19,Premissas!$A$39:$E$43,5,0))&gt;0,IF(MOD(INT(Cron_Uso!T19/Frota!$L19)*Frota!$L19,N(VLOOKUP(Frota!$B19,Premissas!$A$39:$E$43,5,0)))=0,"B",IF(N(VLOOKUP(Frota!$B19,Premissas!$A$39:$E$43,4,0))&gt;0,IF(MOD(INT(Cron_Uso!T19/Frota!$L19)*Frota!$L19,N(VLOOKUP(Frota!$B19,Premissas!$A$39:$E$43,4,0)))=0,"A","S"),"S")),IF(N(VLOOKUP(Frota!$B19,Premissas!$A$39:$E$43,4,0))&gt;0,IF(MOD(INT(Cron_Uso!T19/Frota!$L19)*Frota!$L19,N(VLOOKUP(Frota!$B19,Premissas!$A$39:$E$43,4,0)))=0,"A","S"),"S")),""))</f>
        <v/>
      </c>
      <c r="U19" s="16" t="str">
        <f aca="false">IF(Cron_Uso!U19="","",IF(INT(Cron_Uso!U19/Frota!$L19)&gt;INT(Cron_Uso!T19/Frota!$L19),IF(N(VLOOKUP(Frota!$B19,Premissas!$A$39:$E$43,5,0))&gt;0,IF(MOD(INT(Cron_Uso!U19/Frota!$L19)*Frota!$L19,N(VLOOKUP(Frota!$B19,Premissas!$A$39:$E$43,5,0)))=0,"B",IF(N(VLOOKUP(Frota!$B19,Premissas!$A$39:$E$43,4,0))&gt;0,IF(MOD(INT(Cron_Uso!U19/Frota!$L19)*Frota!$L19,N(VLOOKUP(Frota!$B19,Premissas!$A$39:$E$43,4,0)))=0,"A","S"),"S")),IF(N(VLOOKUP(Frota!$B19,Premissas!$A$39:$E$43,4,0))&gt;0,IF(MOD(INT(Cron_Uso!U19/Frota!$L19)*Frota!$L19,N(VLOOKUP(Frota!$B19,Premissas!$A$39:$E$43,4,0)))=0,"A","S"),"S")),""))</f>
        <v/>
      </c>
      <c r="V19" s="16" t="str">
        <f aca="false">IF(Cron_Uso!V19="","",IF(INT(Cron_Uso!V19/Frota!$L19)&gt;INT(Cron_Uso!U19/Frota!$L19),IF(N(VLOOKUP(Frota!$B19,Premissas!$A$39:$E$43,5,0))&gt;0,IF(MOD(INT(Cron_Uso!V19/Frota!$L19)*Frota!$L19,N(VLOOKUP(Frota!$B19,Premissas!$A$39:$E$43,5,0)))=0,"B",IF(N(VLOOKUP(Frota!$B19,Premissas!$A$39:$E$43,4,0))&gt;0,IF(MOD(INT(Cron_Uso!V19/Frota!$L19)*Frota!$L19,N(VLOOKUP(Frota!$B19,Premissas!$A$39:$E$43,4,0)))=0,"A","S"),"S")),IF(N(VLOOKUP(Frota!$B19,Premissas!$A$39:$E$43,4,0))&gt;0,IF(MOD(INT(Cron_Uso!V19/Frota!$L19)*Frota!$L19,N(VLOOKUP(Frota!$B19,Premissas!$A$39:$E$43,4,0)))=0,"A","S"),"S")),""))</f>
        <v/>
      </c>
      <c r="W19" s="16" t="str">
        <f aca="false">IF(Cron_Uso!W19="","",IF(INT(Cron_Uso!W19/Frota!$L19)&gt;INT(Cron_Uso!V19/Frota!$L19),IF(N(VLOOKUP(Frota!$B19,Premissas!$A$39:$E$43,5,0))&gt;0,IF(MOD(INT(Cron_Uso!W19/Frota!$L19)*Frota!$L19,N(VLOOKUP(Frota!$B19,Premissas!$A$39:$E$43,5,0)))=0,"B",IF(N(VLOOKUP(Frota!$B19,Premissas!$A$39:$E$43,4,0))&gt;0,IF(MOD(INT(Cron_Uso!W19/Frota!$L19)*Frota!$L19,N(VLOOKUP(Frota!$B19,Premissas!$A$39:$E$43,4,0)))=0,"A","S"),"S")),IF(N(VLOOKUP(Frota!$B19,Premissas!$A$39:$E$43,4,0))&gt;0,IF(MOD(INT(Cron_Uso!W19/Frota!$L19)*Frota!$L19,N(VLOOKUP(Frota!$B19,Premissas!$A$39:$E$43,4,0)))=0,"A","S"),"S")),""))</f>
        <v/>
      </c>
      <c r="X19" s="16" t="str">
        <f aca="false">IF(Cron_Uso!X19="","",IF(INT(Cron_Uso!X19/Frota!$L19)&gt;INT(Cron_Uso!W19/Frota!$L19),IF(N(VLOOKUP(Frota!$B19,Premissas!$A$39:$E$43,5,0))&gt;0,IF(MOD(INT(Cron_Uso!X19/Frota!$L19)*Frota!$L19,N(VLOOKUP(Frota!$B19,Premissas!$A$39:$E$43,5,0)))=0,"B",IF(N(VLOOKUP(Frota!$B19,Premissas!$A$39:$E$43,4,0))&gt;0,IF(MOD(INT(Cron_Uso!X19/Frota!$L19)*Frota!$L19,N(VLOOKUP(Frota!$B19,Premissas!$A$39:$E$43,4,0)))=0,"A","S"),"S")),IF(N(VLOOKUP(Frota!$B19,Premissas!$A$39:$E$43,4,0))&gt;0,IF(MOD(INT(Cron_Uso!X19/Frota!$L19)*Frota!$L19,N(VLOOKUP(Frota!$B19,Premissas!$A$39:$E$43,4,0)))=0,"A","S"),"S")),""))</f>
        <v/>
      </c>
      <c r="Y19" s="16" t="str">
        <f aca="false">IF(Cron_Uso!Y19="","",IF(INT(Cron_Uso!Y19/Frota!$L19)&gt;INT(Cron_Uso!X19/Frota!$L19),IF(N(VLOOKUP(Frota!$B19,Premissas!$A$39:$E$43,5,0))&gt;0,IF(MOD(INT(Cron_Uso!Y19/Frota!$L19)*Frota!$L19,N(VLOOKUP(Frota!$B19,Premissas!$A$39:$E$43,5,0)))=0,"B",IF(N(VLOOKUP(Frota!$B19,Premissas!$A$39:$E$43,4,0))&gt;0,IF(MOD(INT(Cron_Uso!Y19/Frota!$L19)*Frota!$L19,N(VLOOKUP(Frota!$B19,Premissas!$A$39:$E$43,4,0)))=0,"A","S"),"S")),IF(N(VLOOKUP(Frota!$B19,Premissas!$A$39:$E$43,4,0))&gt;0,IF(MOD(INT(Cron_Uso!Y19/Frota!$L19)*Frota!$L19,N(VLOOKUP(Frota!$B19,Premissas!$A$39:$E$43,4,0)))=0,"A","S"),"S")),""))</f>
        <v/>
      </c>
      <c r="Z19" s="16" t="str">
        <f aca="false">IF(Cron_Uso!Z19="","",IF(INT(Cron_Uso!Z19/Frota!$L19)&gt;INT(Cron_Uso!Y19/Frota!$L19),IF(N(VLOOKUP(Frota!$B19,Premissas!$A$39:$E$43,5,0))&gt;0,IF(MOD(INT(Cron_Uso!Z19/Frota!$L19)*Frota!$L19,N(VLOOKUP(Frota!$B19,Premissas!$A$39:$E$43,5,0)))=0,"B",IF(N(VLOOKUP(Frota!$B19,Premissas!$A$39:$E$43,4,0))&gt;0,IF(MOD(INT(Cron_Uso!Z19/Frota!$L19)*Frota!$L19,N(VLOOKUP(Frota!$B19,Premissas!$A$39:$E$43,4,0)))=0,"A","S"),"S")),IF(N(VLOOKUP(Frota!$B19,Premissas!$A$39:$E$43,4,0))&gt;0,IF(MOD(INT(Cron_Uso!Z19/Frota!$L19)*Frota!$L19,N(VLOOKUP(Frota!$B19,Premissas!$A$39:$E$43,4,0)))=0,"A","S"),"S")),""))</f>
        <v/>
      </c>
      <c r="AA19" s="16" t="str">
        <f aca="false">IF(Cron_Uso!AA19="","",IF(INT(Cron_Uso!AA19/Frota!$L19)&gt;INT(Cron_Uso!Z19/Frota!$L19),IF(N(VLOOKUP(Frota!$B19,Premissas!$A$39:$E$43,5,0))&gt;0,IF(MOD(INT(Cron_Uso!AA19/Frota!$L19)*Frota!$L19,N(VLOOKUP(Frota!$B19,Premissas!$A$39:$E$43,5,0)))=0,"B",IF(N(VLOOKUP(Frota!$B19,Premissas!$A$39:$E$43,4,0))&gt;0,IF(MOD(INT(Cron_Uso!AA19/Frota!$L19)*Frota!$L19,N(VLOOKUP(Frota!$B19,Premissas!$A$39:$E$43,4,0)))=0,"A","S"),"S")),IF(N(VLOOKUP(Frota!$B19,Premissas!$A$39:$E$43,4,0))&gt;0,IF(MOD(INT(Cron_Uso!AA19/Frota!$L19)*Frota!$L19,N(VLOOKUP(Frota!$B19,Premissas!$A$39:$E$43,4,0)))=0,"A","S"),"S")),""))</f>
        <v/>
      </c>
      <c r="AB19" s="16" t="str">
        <f aca="false">IF(Cron_Uso!AB19="","",IF(INT(Cron_Uso!AB19/Frota!$L19)&gt;INT(Cron_Uso!AA19/Frota!$L19),IF(N(VLOOKUP(Frota!$B19,Premissas!$A$39:$E$43,5,0))&gt;0,IF(MOD(INT(Cron_Uso!AB19/Frota!$L19)*Frota!$L19,N(VLOOKUP(Frota!$B19,Premissas!$A$39:$E$43,5,0)))=0,"B",IF(N(VLOOKUP(Frota!$B19,Premissas!$A$39:$E$43,4,0))&gt;0,IF(MOD(INT(Cron_Uso!AB19/Frota!$L19)*Frota!$L19,N(VLOOKUP(Frota!$B19,Premissas!$A$39:$E$43,4,0)))=0,"A","S"),"S")),IF(N(VLOOKUP(Frota!$B19,Premissas!$A$39:$E$43,4,0))&gt;0,IF(MOD(INT(Cron_Uso!AB19/Frota!$L19)*Frota!$L19,N(VLOOKUP(Frota!$B19,Premissas!$A$39:$E$43,4,0)))=0,"A","S"),"S")),""))</f>
        <v/>
      </c>
      <c r="AC19" s="16" t="str">
        <f aca="false">IF(Cron_Uso!AC19="","",IF(INT(Cron_Uso!AC19/Frota!$L19)&gt;INT(Cron_Uso!AB19/Frota!$L19),IF(N(VLOOKUP(Frota!$B19,Premissas!$A$39:$E$43,5,0))&gt;0,IF(MOD(INT(Cron_Uso!AC19/Frota!$L19)*Frota!$L19,N(VLOOKUP(Frota!$B19,Premissas!$A$39:$E$43,5,0)))=0,"B",IF(N(VLOOKUP(Frota!$B19,Premissas!$A$39:$E$43,4,0))&gt;0,IF(MOD(INT(Cron_Uso!AC19/Frota!$L19)*Frota!$L19,N(VLOOKUP(Frota!$B19,Premissas!$A$39:$E$43,4,0)))=0,"A","S"),"S")),IF(N(VLOOKUP(Frota!$B19,Premissas!$A$39:$E$43,4,0))&gt;0,IF(MOD(INT(Cron_Uso!AC19/Frota!$L19)*Frota!$L19,N(VLOOKUP(Frota!$B19,Premissas!$A$39:$E$43,4,0)))=0,"A","S"),"S")),""))</f>
        <v/>
      </c>
      <c r="AD19" s="16" t="str">
        <f aca="false">IF(Cron_Uso!AD19="","",IF(INT(Cron_Uso!AD19/Frota!$L19)&gt;INT(Cron_Uso!AC19/Frota!$L19),IF(N(VLOOKUP(Frota!$B19,Premissas!$A$39:$E$43,5,0))&gt;0,IF(MOD(INT(Cron_Uso!AD19/Frota!$L19)*Frota!$L19,N(VLOOKUP(Frota!$B19,Premissas!$A$39:$E$43,5,0)))=0,"B",IF(N(VLOOKUP(Frota!$B19,Premissas!$A$39:$E$43,4,0))&gt;0,IF(MOD(INT(Cron_Uso!AD19/Frota!$L19)*Frota!$L19,N(VLOOKUP(Frota!$B19,Premissas!$A$39:$E$43,4,0)))=0,"A","S"),"S")),IF(N(VLOOKUP(Frota!$B19,Premissas!$A$39:$E$43,4,0))&gt;0,IF(MOD(INT(Cron_Uso!AD19/Frota!$L19)*Frota!$L19,N(VLOOKUP(Frota!$B19,Premissas!$A$39:$E$43,4,0)))=0,"A","S"),"S")),""))</f>
        <v/>
      </c>
      <c r="AE19" s="16" t="str">
        <f aca="false">IF(Cron_Uso!AE19="","",IF(INT(Cron_Uso!AE19/Frota!$L19)&gt;INT(Cron_Uso!AD19/Frota!$L19),IF(N(VLOOKUP(Frota!$B19,Premissas!$A$39:$E$43,5,0))&gt;0,IF(MOD(INT(Cron_Uso!AE19/Frota!$L19)*Frota!$L19,N(VLOOKUP(Frota!$B19,Premissas!$A$39:$E$43,5,0)))=0,"B",IF(N(VLOOKUP(Frota!$B19,Premissas!$A$39:$E$43,4,0))&gt;0,IF(MOD(INT(Cron_Uso!AE19/Frota!$L19)*Frota!$L19,N(VLOOKUP(Frota!$B19,Premissas!$A$39:$E$43,4,0)))=0,"A","S"),"S")),IF(N(VLOOKUP(Frota!$B19,Premissas!$A$39:$E$43,4,0))&gt;0,IF(MOD(INT(Cron_Uso!AE19/Frota!$L19)*Frota!$L19,N(VLOOKUP(Frota!$B19,Premissas!$A$39:$E$43,4,0)))=0,"A","S"),"S")),""))</f>
        <v/>
      </c>
      <c r="AF19" s="16" t="str">
        <f aca="false">IF(Cron_Uso!AF19="","",IF(INT(Cron_Uso!AF19/Frota!$L19)&gt;INT(Cron_Uso!AE19/Frota!$L19),IF(N(VLOOKUP(Frota!$B19,Premissas!$A$39:$E$43,5,0))&gt;0,IF(MOD(INT(Cron_Uso!AF19/Frota!$L19)*Frota!$L19,N(VLOOKUP(Frota!$B19,Premissas!$A$39:$E$43,5,0)))=0,"B",IF(N(VLOOKUP(Frota!$B19,Premissas!$A$39:$E$43,4,0))&gt;0,IF(MOD(INT(Cron_Uso!AF19/Frota!$L19)*Frota!$L19,N(VLOOKUP(Frota!$B19,Premissas!$A$39:$E$43,4,0)))=0,"A","S"),"S")),IF(N(VLOOKUP(Frota!$B19,Premissas!$A$39:$E$43,4,0))&gt;0,IF(MOD(INT(Cron_Uso!AF19/Frota!$L19)*Frota!$L19,N(VLOOKUP(Frota!$B19,Premissas!$A$39:$E$43,4,0)))=0,"A","S"),"S")),""))</f>
        <v/>
      </c>
      <c r="AG19" s="16" t="str">
        <f aca="false">IF(Cron_Uso!AG19="","",IF(INT(Cron_Uso!AG19/Frota!$L19)&gt;INT(Cron_Uso!AF19/Frota!$L19),IF(N(VLOOKUP(Frota!$B19,Premissas!$A$39:$E$43,5,0))&gt;0,IF(MOD(INT(Cron_Uso!AG19/Frota!$L19)*Frota!$L19,N(VLOOKUP(Frota!$B19,Premissas!$A$39:$E$43,5,0)))=0,"B",IF(N(VLOOKUP(Frota!$B19,Premissas!$A$39:$E$43,4,0))&gt;0,IF(MOD(INT(Cron_Uso!AG19/Frota!$L19)*Frota!$L19,N(VLOOKUP(Frota!$B19,Premissas!$A$39:$E$43,4,0)))=0,"A","S"),"S")),IF(N(VLOOKUP(Frota!$B19,Premissas!$A$39:$E$43,4,0))&gt;0,IF(MOD(INT(Cron_Uso!AG19/Frota!$L19)*Frota!$L19,N(VLOOKUP(Frota!$B19,Premissas!$A$39:$E$43,4,0)))=0,"A","S"),"S")),""))</f>
        <v/>
      </c>
      <c r="AH19" s="16" t="str">
        <f aca="false">IF(Cron_Uso!AH19="","",IF(INT(Cron_Uso!AH19/Frota!$L19)&gt;INT(Cron_Uso!AG19/Frota!$L19),IF(N(VLOOKUP(Frota!$B19,Premissas!$A$39:$E$43,5,0))&gt;0,IF(MOD(INT(Cron_Uso!AH19/Frota!$L19)*Frota!$L19,N(VLOOKUP(Frota!$B19,Premissas!$A$39:$E$43,5,0)))=0,"B",IF(N(VLOOKUP(Frota!$B19,Premissas!$A$39:$E$43,4,0))&gt;0,IF(MOD(INT(Cron_Uso!AH19/Frota!$L19)*Frota!$L19,N(VLOOKUP(Frota!$B19,Premissas!$A$39:$E$43,4,0)))=0,"A","S"),"S")),IF(N(VLOOKUP(Frota!$B19,Premissas!$A$39:$E$43,4,0))&gt;0,IF(MOD(INT(Cron_Uso!AH19/Frota!$L19)*Frota!$L19,N(VLOOKUP(Frota!$B19,Premissas!$A$39:$E$43,4,0)))=0,"A","S"),"S")),""))</f>
        <v/>
      </c>
      <c r="AI19" s="16" t="str">
        <f aca="false">IF(Cron_Uso!AI19="","",IF(INT(Cron_Uso!AI19/Frota!$L19)&gt;INT(Cron_Uso!AH19/Frota!$L19),IF(N(VLOOKUP(Frota!$B19,Premissas!$A$39:$E$43,5,0))&gt;0,IF(MOD(INT(Cron_Uso!AI19/Frota!$L19)*Frota!$L19,N(VLOOKUP(Frota!$B19,Premissas!$A$39:$E$43,5,0)))=0,"B",IF(N(VLOOKUP(Frota!$B19,Premissas!$A$39:$E$43,4,0))&gt;0,IF(MOD(INT(Cron_Uso!AI19/Frota!$L19)*Frota!$L19,N(VLOOKUP(Frota!$B19,Premissas!$A$39:$E$43,4,0)))=0,"A","S"),"S")),IF(N(VLOOKUP(Frota!$B19,Premissas!$A$39:$E$43,4,0))&gt;0,IF(MOD(INT(Cron_Uso!AI19/Frota!$L19)*Frota!$L19,N(VLOOKUP(Frota!$B19,Premissas!$A$39:$E$43,4,0)))=0,"A","S"),"S")),""))</f>
        <v/>
      </c>
      <c r="AJ19" s="16" t="str">
        <f aca="false">IF(Cron_Uso!AJ19="","",IF(INT(Cron_Uso!AJ19/Frota!$L19)&gt;INT(Cron_Uso!AI19/Frota!$L19),IF(N(VLOOKUP(Frota!$B19,Premissas!$A$39:$E$43,5,0))&gt;0,IF(MOD(INT(Cron_Uso!AJ19/Frota!$L19)*Frota!$L19,N(VLOOKUP(Frota!$B19,Premissas!$A$39:$E$43,5,0)))=0,"B",IF(N(VLOOKUP(Frota!$B19,Premissas!$A$39:$E$43,4,0))&gt;0,IF(MOD(INT(Cron_Uso!AJ19/Frota!$L19)*Frota!$L19,N(VLOOKUP(Frota!$B19,Premissas!$A$39:$E$43,4,0)))=0,"A","S"),"S")),IF(N(VLOOKUP(Frota!$B19,Premissas!$A$39:$E$43,4,0))&gt;0,IF(MOD(INT(Cron_Uso!AJ19/Frota!$L19)*Frota!$L19,N(VLOOKUP(Frota!$B19,Premissas!$A$39:$E$43,4,0)))=0,"A","S"),"S")),""))</f>
        <v/>
      </c>
      <c r="AK19" s="16" t="str">
        <f aca="false">IF(Cron_Uso!AK19="","",IF(INT(Cron_Uso!AK19/Frota!$L19)&gt;INT(Cron_Uso!AJ19/Frota!$L19),IF(N(VLOOKUP(Frota!$B19,Premissas!$A$39:$E$43,5,0))&gt;0,IF(MOD(INT(Cron_Uso!AK19/Frota!$L19)*Frota!$L19,N(VLOOKUP(Frota!$B19,Premissas!$A$39:$E$43,5,0)))=0,"B",IF(N(VLOOKUP(Frota!$B19,Premissas!$A$39:$E$43,4,0))&gt;0,IF(MOD(INT(Cron_Uso!AK19/Frota!$L19)*Frota!$L19,N(VLOOKUP(Frota!$B19,Premissas!$A$39:$E$43,4,0)))=0,"A","S"),"S")),IF(N(VLOOKUP(Frota!$B19,Premissas!$A$39:$E$43,4,0))&gt;0,IF(MOD(INT(Cron_Uso!AK19/Frota!$L19)*Frota!$L19,N(VLOOKUP(Frota!$B19,Premissas!$A$39:$E$43,4,0)))=0,"A","S"),"S")),""))</f>
        <v/>
      </c>
      <c r="AL19" s="16" t="str">
        <f aca="false">IF(Cron_Uso!AL19="","",IF(INT(Cron_Uso!AL19/Frota!$L19)&gt;INT(Cron_Uso!AK19/Frota!$L19),IF(N(VLOOKUP(Frota!$B19,Premissas!$A$39:$E$43,5,0))&gt;0,IF(MOD(INT(Cron_Uso!AL19/Frota!$L19)*Frota!$L19,N(VLOOKUP(Frota!$B19,Premissas!$A$39:$E$43,5,0)))=0,"B",IF(N(VLOOKUP(Frota!$B19,Premissas!$A$39:$E$43,4,0))&gt;0,IF(MOD(INT(Cron_Uso!AL19/Frota!$L19)*Frota!$L19,N(VLOOKUP(Frota!$B19,Premissas!$A$39:$E$43,4,0)))=0,"A","S"),"S")),IF(N(VLOOKUP(Frota!$B19,Premissas!$A$39:$E$43,4,0))&gt;0,IF(MOD(INT(Cron_Uso!AL19/Frota!$L19)*Frota!$L19,N(VLOOKUP(Frota!$B19,Premissas!$A$39:$E$43,4,0)))=0,"A","S"),"S")),""))</f>
        <v/>
      </c>
      <c r="AM19" s="16" t="str">
        <f aca="false">IF(Cron_Uso!AM19="","",IF(INT(Cron_Uso!AM19/Frota!$L19)&gt;INT(Cron_Uso!AL19/Frota!$L19),IF(N(VLOOKUP(Frota!$B19,Premissas!$A$39:$E$43,5,0))&gt;0,IF(MOD(INT(Cron_Uso!AM19/Frota!$L19)*Frota!$L19,N(VLOOKUP(Frota!$B19,Premissas!$A$39:$E$43,5,0)))=0,"B",IF(N(VLOOKUP(Frota!$B19,Premissas!$A$39:$E$43,4,0))&gt;0,IF(MOD(INT(Cron_Uso!AM19/Frota!$L19)*Frota!$L19,N(VLOOKUP(Frota!$B19,Premissas!$A$39:$E$43,4,0)))=0,"A","S"),"S")),IF(N(VLOOKUP(Frota!$B19,Premissas!$A$39:$E$43,4,0))&gt;0,IF(MOD(INT(Cron_Uso!AM19/Frota!$L19)*Frota!$L19,N(VLOOKUP(Frota!$B19,Premissas!$A$39:$E$43,4,0)))=0,"A","S"),"S")),""))</f>
        <v/>
      </c>
      <c r="AN19" s="16" t="str">
        <f aca="false">IF(Cron_Uso!AN19="","",IF(INT(Cron_Uso!AN19/Frota!$L19)&gt;INT(Cron_Uso!AM19/Frota!$L19),IF(N(VLOOKUP(Frota!$B19,Premissas!$A$39:$E$43,5,0))&gt;0,IF(MOD(INT(Cron_Uso!AN19/Frota!$L19)*Frota!$L19,N(VLOOKUP(Frota!$B19,Premissas!$A$39:$E$43,5,0)))=0,"B",IF(N(VLOOKUP(Frota!$B19,Premissas!$A$39:$E$43,4,0))&gt;0,IF(MOD(INT(Cron_Uso!AN19/Frota!$L19)*Frota!$L19,N(VLOOKUP(Frota!$B19,Premissas!$A$39:$E$43,4,0)))=0,"A","S"),"S")),IF(N(VLOOKUP(Frota!$B19,Premissas!$A$39:$E$43,4,0))&gt;0,IF(MOD(INT(Cron_Uso!AN19/Frota!$L19)*Frota!$L19,N(VLOOKUP(Frota!$B19,Premissas!$A$39:$E$43,4,0)))=0,"A","S"),"S")),""))</f>
        <v/>
      </c>
      <c r="AO19" s="16" t="str">
        <f aca="false">IF(Cron_Uso!AO19="","",IF(INT(Cron_Uso!AO19/Frota!$L19)&gt;INT(Cron_Uso!AN19/Frota!$L19),IF(N(VLOOKUP(Frota!$B19,Premissas!$A$39:$E$43,5,0))&gt;0,IF(MOD(INT(Cron_Uso!AO19/Frota!$L19)*Frota!$L19,N(VLOOKUP(Frota!$B19,Premissas!$A$39:$E$43,5,0)))=0,"B",IF(N(VLOOKUP(Frota!$B19,Premissas!$A$39:$E$43,4,0))&gt;0,IF(MOD(INT(Cron_Uso!AO19/Frota!$L19)*Frota!$L19,N(VLOOKUP(Frota!$B19,Premissas!$A$39:$E$43,4,0)))=0,"A","S"),"S")),IF(N(VLOOKUP(Frota!$B19,Premissas!$A$39:$E$43,4,0))&gt;0,IF(MOD(INT(Cron_Uso!AO19/Frota!$L19)*Frota!$L19,N(VLOOKUP(Frota!$B19,Premissas!$A$39:$E$43,4,0)))=0,"A","S"),"S")),""))</f>
        <v/>
      </c>
      <c r="AP19" s="16" t="str">
        <f aca="false">IF(Cron_Uso!AP19="","",IF(INT(Cron_Uso!AP19/Frota!$L19)&gt;INT(Cron_Uso!AO19/Frota!$L19),IF(N(VLOOKUP(Frota!$B19,Premissas!$A$39:$E$43,5,0))&gt;0,IF(MOD(INT(Cron_Uso!AP19/Frota!$L19)*Frota!$L19,N(VLOOKUP(Frota!$B19,Premissas!$A$39:$E$43,5,0)))=0,"B",IF(N(VLOOKUP(Frota!$B19,Premissas!$A$39:$E$43,4,0))&gt;0,IF(MOD(INT(Cron_Uso!AP19/Frota!$L19)*Frota!$L19,N(VLOOKUP(Frota!$B19,Premissas!$A$39:$E$43,4,0)))=0,"A","S"),"S")),IF(N(VLOOKUP(Frota!$B19,Premissas!$A$39:$E$43,4,0))&gt;0,IF(MOD(INT(Cron_Uso!AP19/Frota!$L19)*Frota!$L19,N(VLOOKUP(Frota!$B19,Premissas!$A$39:$E$43,4,0)))=0,"A","S"),"S")),""))</f>
        <v/>
      </c>
      <c r="AQ19" s="16" t="str">
        <f aca="false">IF(Cron_Uso!AQ19="","",IF(INT(Cron_Uso!AQ19/Frota!$L19)&gt;INT(Cron_Uso!AP19/Frota!$L19),IF(N(VLOOKUP(Frota!$B19,Premissas!$A$39:$E$43,5,0))&gt;0,IF(MOD(INT(Cron_Uso!AQ19/Frota!$L19)*Frota!$L19,N(VLOOKUP(Frota!$B19,Premissas!$A$39:$E$43,5,0)))=0,"B",IF(N(VLOOKUP(Frota!$B19,Premissas!$A$39:$E$43,4,0))&gt;0,IF(MOD(INT(Cron_Uso!AQ19/Frota!$L19)*Frota!$L19,N(VLOOKUP(Frota!$B19,Premissas!$A$39:$E$43,4,0)))=0,"A","S"),"S")),IF(N(VLOOKUP(Frota!$B19,Premissas!$A$39:$E$43,4,0))&gt;0,IF(MOD(INT(Cron_Uso!AQ19/Frota!$L19)*Frota!$L19,N(VLOOKUP(Frota!$B19,Premissas!$A$39:$E$43,4,0)))=0,"A","S"),"S")),""))</f>
        <v/>
      </c>
      <c r="AR19" s="16" t="str">
        <f aca="false">IF(Cron_Uso!AR19="","",IF(INT(Cron_Uso!AR19/Frota!$L19)&gt;INT(Cron_Uso!AQ19/Frota!$L19),IF(N(VLOOKUP(Frota!$B19,Premissas!$A$39:$E$43,5,0))&gt;0,IF(MOD(INT(Cron_Uso!AR19/Frota!$L19)*Frota!$L19,N(VLOOKUP(Frota!$B19,Premissas!$A$39:$E$43,5,0)))=0,"B",IF(N(VLOOKUP(Frota!$B19,Premissas!$A$39:$E$43,4,0))&gt;0,IF(MOD(INT(Cron_Uso!AR19/Frota!$L19)*Frota!$L19,N(VLOOKUP(Frota!$B19,Premissas!$A$39:$E$43,4,0)))=0,"A","S"),"S")),IF(N(VLOOKUP(Frota!$B19,Premissas!$A$39:$E$43,4,0))&gt;0,IF(MOD(INT(Cron_Uso!AR19/Frota!$L19)*Frota!$L19,N(VLOOKUP(Frota!$B19,Premissas!$A$39:$E$43,4,0)))=0,"A","S"),"S")),""))</f>
        <v/>
      </c>
      <c r="AS19" s="16" t="str">
        <f aca="false">IF(Cron_Uso!AS19="","",IF(INT(Cron_Uso!AS19/Frota!$L19)&gt;INT(Cron_Uso!AR19/Frota!$L19),IF(N(VLOOKUP(Frota!$B19,Premissas!$A$39:$E$43,5,0))&gt;0,IF(MOD(INT(Cron_Uso!AS19/Frota!$L19)*Frota!$L19,N(VLOOKUP(Frota!$B19,Premissas!$A$39:$E$43,5,0)))=0,"B",IF(N(VLOOKUP(Frota!$B19,Premissas!$A$39:$E$43,4,0))&gt;0,IF(MOD(INT(Cron_Uso!AS19/Frota!$L19)*Frota!$L19,N(VLOOKUP(Frota!$B19,Premissas!$A$39:$E$43,4,0)))=0,"A","S"),"S")),IF(N(VLOOKUP(Frota!$B19,Premissas!$A$39:$E$43,4,0))&gt;0,IF(MOD(INT(Cron_Uso!AS19/Frota!$L19)*Frota!$L19,N(VLOOKUP(Frota!$B19,Premissas!$A$39:$E$43,4,0)))=0,"A","S"),"S")),""))</f>
        <v/>
      </c>
      <c r="AT19" s="16" t="str">
        <f aca="false">IF(Cron_Uso!AT19="","",IF(INT(Cron_Uso!AT19/Frota!$L19)&gt;INT(Cron_Uso!AS19/Frota!$L19),IF(N(VLOOKUP(Frota!$B19,Premissas!$A$39:$E$43,5,0))&gt;0,IF(MOD(INT(Cron_Uso!AT19/Frota!$L19)*Frota!$L19,N(VLOOKUP(Frota!$B19,Premissas!$A$39:$E$43,5,0)))=0,"B",IF(N(VLOOKUP(Frota!$B19,Premissas!$A$39:$E$43,4,0))&gt;0,IF(MOD(INT(Cron_Uso!AT19/Frota!$L19)*Frota!$L19,N(VLOOKUP(Frota!$B19,Premissas!$A$39:$E$43,4,0)))=0,"A","S"),"S")),IF(N(VLOOKUP(Frota!$B19,Premissas!$A$39:$E$43,4,0))&gt;0,IF(MOD(INT(Cron_Uso!AT19/Frota!$L19)*Frota!$L19,N(VLOOKUP(Frota!$B19,Premissas!$A$39:$E$43,4,0)))=0,"A","S"),"S")),""))</f>
        <v/>
      </c>
      <c r="AU19" s="16" t="str">
        <f aca="false">IF(Cron_Uso!AU19="","",IF(INT(Cron_Uso!AU19/Frota!$L19)&gt;INT(Cron_Uso!AT19/Frota!$L19),IF(N(VLOOKUP(Frota!$B19,Premissas!$A$39:$E$43,5,0))&gt;0,IF(MOD(INT(Cron_Uso!AU19/Frota!$L19)*Frota!$L19,N(VLOOKUP(Frota!$B19,Premissas!$A$39:$E$43,5,0)))=0,"B",IF(N(VLOOKUP(Frota!$B19,Premissas!$A$39:$E$43,4,0))&gt;0,IF(MOD(INT(Cron_Uso!AU19/Frota!$L19)*Frota!$L19,N(VLOOKUP(Frota!$B19,Premissas!$A$39:$E$43,4,0)))=0,"A","S"),"S")),IF(N(VLOOKUP(Frota!$B19,Premissas!$A$39:$E$43,4,0))&gt;0,IF(MOD(INT(Cron_Uso!AU19/Frota!$L19)*Frota!$L19,N(VLOOKUP(Frota!$B19,Premissas!$A$39:$E$43,4,0)))=0,"A","S"),"S")),""))</f>
        <v/>
      </c>
      <c r="AV19" s="16" t="str">
        <f aca="false">IF(Cron_Uso!AV19="","",IF(INT(Cron_Uso!AV19/Frota!$L19)&gt;INT(Cron_Uso!AU19/Frota!$L19),IF(N(VLOOKUP(Frota!$B19,Premissas!$A$39:$E$43,5,0))&gt;0,IF(MOD(INT(Cron_Uso!AV19/Frota!$L19)*Frota!$L19,N(VLOOKUP(Frota!$B19,Premissas!$A$39:$E$43,5,0)))=0,"B",IF(N(VLOOKUP(Frota!$B19,Premissas!$A$39:$E$43,4,0))&gt;0,IF(MOD(INT(Cron_Uso!AV19/Frota!$L19)*Frota!$L19,N(VLOOKUP(Frota!$B19,Premissas!$A$39:$E$43,4,0)))=0,"A","S"),"S")),IF(N(VLOOKUP(Frota!$B19,Premissas!$A$39:$E$43,4,0))&gt;0,IF(MOD(INT(Cron_Uso!AV19/Frota!$L19)*Frota!$L19,N(VLOOKUP(Frota!$B19,Premissas!$A$39:$E$43,4,0)))=0,"A","S"),"S")),""))</f>
        <v/>
      </c>
      <c r="AW19" s="16" t="str">
        <f aca="false">IF(Cron_Uso!AW19="","",IF(INT(Cron_Uso!AW19/Frota!$L19)&gt;INT(Cron_Uso!AV19/Frota!$L19),IF(N(VLOOKUP(Frota!$B19,Premissas!$A$39:$E$43,5,0))&gt;0,IF(MOD(INT(Cron_Uso!AW19/Frota!$L19)*Frota!$L19,N(VLOOKUP(Frota!$B19,Premissas!$A$39:$E$43,5,0)))=0,"B",IF(N(VLOOKUP(Frota!$B19,Premissas!$A$39:$E$43,4,0))&gt;0,IF(MOD(INT(Cron_Uso!AW19/Frota!$L19)*Frota!$L19,N(VLOOKUP(Frota!$B19,Premissas!$A$39:$E$43,4,0)))=0,"A","S"),"S")),IF(N(VLOOKUP(Frota!$B19,Premissas!$A$39:$E$43,4,0))&gt;0,IF(MOD(INT(Cron_Uso!AW19/Frota!$L19)*Frota!$L19,N(VLOOKUP(Frota!$B19,Premissas!$A$39:$E$43,4,0)))=0,"A","S"),"S")),""))</f>
        <v/>
      </c>
      <c r="AX19" s="16" t="str">
        <f aca="false">IF(Cron_Uso!AX19="","",IF(INT(Cron_Uso!AX19/Frota!$L19)&gt;INT(Cron_Uso!AW19/Frota!$L19),IF(N(VLOOKUP(Frota!$B19,Premissas!$A$39:$E$43,5,0))&gt;0,IF(MOD(INT(Cron_Uso!AX19/Frota!$L19)*Frota!$L19,N(VLOOKUP(Frota!$B19,Premissas!$A$39:$E$43,5,0)))=0,"B",IF(N(VLOOKUP(Frota!$B19,Premissas!$A$39:$E$43,4,0))&gt;0,IF(MOD(INT(Cron_Uso!AX19/Frota!$L19)*Frota!$L19,N(VLOOKUP(Frota!$B19,Premissas!$A$39:$E$43,4,0)))=0,"A","S"),"S")),IF(N(VLOOKUP(Frota!$B19,Premissas!$A$39:$E$43,4,0))&gt;0,IF(MOD(INT(Cron_Uso!AX19/Frota!$L19)*Frota!$L19,N(VLOOKUP(Frota!$B19,Premissas!$A$39:$E$43,4,0)))=0,"A","S"),"S")),""))</f>
        <v/>
      </c>
      <c r="AY19" s="16" t="str">
        <f aca="false">IF(Cron_Uso!AY19="","",IF(INT(Cron_Uso!AY19/Frota!$L19)&gt;INT(Cron_Uso!AX19/Frota!$L19),IF(N(VLOOKUP(Frota!$B19,Premissas!$A$39:$E$43,5,0))&gt;0,IF(MOD(INT(Cron_Uso!AY19/Frota!$L19)*Frota!$L19,N(VLOOKUP(Frota!$B19,Premissas!$A$39:$E$43,5,0)))=0,"B",IF(N(VLOOKUP(Frota!$B19,Premissas!$A$39:$E$43,4,0))&gt;0,IF(MOD(INT(Cron_Uso!AY19/Frota!$L19)*Frota!$L19,N(VLOOKUP(Frota!$B19,Premissas!$A$39:$E$43,4,0)))=0,"A","S"),"S")),IF(N(VLOOKUP(Frota!$B19,Premissas!$A$39:$E$43,4,0))&gt;0,IF(MOD(INT(Cron_Uso!AY19/Frota!$L19)*Frota!$L19,N(VLOOKUP(Frota!$B19,Premissas!$A$39:$E$43,4,0)))=0,"A","S"),"S")),""))</f>
        <v/>
      </c>
      <c r="AZ19" s="16" t="str">
        <f aca="false">IF(Cron_Uso!AZ19="","",IF(INT(Cron_Uso!AZ19/Frota!$L19)&gt;INT(Cron_Uso!AY19/Frota!$L19),IF(N(VLOOKUP(Frota!$B19,Premissas!$A$39:$E$43,5,0))&gt;0,IF(MOD(INT(Cron_Uso!AZ19/Frota!$L19)*Frota!$L19,N(VLOOKUP(Frota!$B19,Premissas!$A$39:$E$43,5,0)))=0,"B",IF(N(VLOOKUP(Frota!$B19,Premissas!$A$39:$E$43,4,0))&gt;0,IF(MOD(INT(Cron_Uso!AZ19/Frota!$L19)*Frota!$L19,N(VLOOKUP(Frota!$B19,Premissas!$A$39:$E$43,4,0)))=0,"A","S"),"S")),IF(N(VLOOKUP(Frota!$B19,Premissas!$A$39:$E$43,4,0))&gt;0,IF(MOD(INT(Cron_Uso!AZ19/Frota!$L19)*Frota!$L19,N(VLOOKUP(Frota!$B19,Premissas!$A$39:$E$43,4,0)))=0,"A","S"),"S")),""))</f>
        <v/>
      </c>
      <c r="BA19" s="16" t="str">
        <f aca="false">IF(Cron_Uso!BA19="","",IF(INT(Cron_Uso!BA19/Frota!$L19)&gt;INT(Cron_Uso!AZ19/Frota!$L19),IF(N(VLOOKUP(Frota!$B19,Premissas!$A$39:$E$43,5,0))&gt;0,IF(MOD(INT(Cron_Uso!BA19/Frota!$L19)*Frota!$L19,N(VLOOKUP(Frota!$B19,Premissas!$A$39:$E$43,5,0)))=0,"B",IF(N(VLOOKUP(Frota!$B19,Premissas!$A$39:$E$43,4,0))&gt;0,IF(MOD(INT(Cron_Uso!BA19/Frota!$L19)*Frota!$L19,N(VLOOKUP(Frota!$B19,Premissas!$A$39:$E$43,4,0)))=0,"A","S"),"S")),IF(N(VLOOKUP(Frota!$B19,Premissas!$A$39:$E$43,4,0))&gt;0,IF(MOD(INT(Cron_Uso!BA19/Frota!$L19)*Frota!$L19,N(VLOOKUP(Frota!$B19,Premissas!$A$39:$E$43,4,0)))=0,"A","S"),"S")),""))</f>
        <v/>
      </c>
    </row>
    <row r="20" customFormat="false" ht="15" hidden="false" customHeight="false" outlineLevel="0" collapsed="false">
      <c r="A20" s="6" t="str">
        <f aca="false">IF(Frota!$A20="","",Frota!$A20)</f>
        <v/>
      </c>
      <c r="B20" s="16" t="str">
        <f aca="false">IF(Cron_Uso!B20="","",IF(INT(Cron_Uso!B20/Frota!$L20)&gt;INT(Frota!$I20/Frota!$L20),IF(N(VLOOKUP(Frota!$B20,Premissas!$A$39:$E$43,5,0))&gt;0,IF(MOD(INT(Cron_Uso!B20/Frota!$L20)*Frota!$L20,N(VLOOKUP(Frota!$B20,Premissas!$A$39:$E$43,5,0)))=0,"B",IF(N(VLOOKUP(Frota!$B20,Premissas!$A$39:$E$43,4,0))&gt;0,IF(MOD(INT(Cron_Uso!B20/Frota!$L20)*Frota!$L20,N(VLOOKUP(Frota!$B20,Premissas!$A$39:$E$43,4,0)))=0,"A","S"),"S")),IF(N(VLOOKUP(Frota!$B20,Premissas!$A$39:$E$43,4,0))&gt;0,IF(MOD(INT(Cron_Uso!B20/Frota!$L20)*Frota!$L20,N(VLOOKUP(Frota!$B20,Premissas!$A$39:$E$43,4,0)))=0,"A","S"),"S")),""))</f>
        <v/>
      </c>
      <c r="C20" s="16" t="str">
        <f aca="false">IF(Cron_Uso!C20="","",IF(INT(Cron_Uso!C20/Frota!$L20)&gt;INT(Cron_Uso!B20/Frota!$L20),IF(N(VLOOKUP(Frota!$B20,Premissas!$A$39:$E$43,5,0))&gt;0,IF(MOD(INT(Cron_Uso!C20/Frota!$L20)*Frota!$L20,N(VLOOKUP(Frota!$B20,Premissas!$A$39:$E$43,5,0)))=0,"B",IF(N(VLOOKUP(Frota!$B20,Premissas!$A$39:$E$43,4,0))&gt;0,IF(MOD(INT(Cron_Uso!C20/Frota!$L20)*Frota!$L20,N(VLOOKUP(Frota!$B20,Premissas!$A$39:$E$43,4,0)))=0,"A","S"),"S")),IF(N(VLOOKUP(Frota!$B20,Premissas!$A$39:$E$43,4,0))&gt;0,IF(MOD(INT(Cron_Uso!C20/Frota!$L20)*Frota!$L20,N(VLOOKUP(Frota!$B20,Premissas!$A$39:$E$43,4,0)))=0,"A","S"),"S")),""))</f>
        <v/>
      </c>
      <c r="D20" s="16" t="str">
        <f aca="false">IF(Cron_Uso!D20="","",IF(INT(Cron_Uso!D20/Frota!$L20)&gt;INT(Cron_Uso!C20/Frota!$L20),IF(N(VLOOKUP(Frota!$B20,Premissas!$A$39:$E$43,5,0))&gt;0,IF(MOD(INT(Cron_Uso!D20/Frota!$L20)*Frota!$L20,N(VLOOKUP(Frota!$B20,Premissas!$A$39:$E$43,5,0)))=0,"B",IF(N(VLOOKUP(Frota!$B20,Premissas!$A$39:$E$43,4,0))&gt;0,IF(MOD(INT(Cron_Uso!D20/Frota!$L20)*Frota!$L20,N(VLOOKUP(Frota!$B20,Premissas!$A$39:$E$43,4,0)))=0,"A","S"),"S")),IF(N(VLOOKUP(Frota!$B20,Premissas!$A$39:$E$43,4,0))&gt;0,IF(MOD(INT(Cron_Uso!D20/Frota!$L20)*Frota!$L20,N(VLOOKUP(Frota!$B20,Premissas!$A$39:$E$43,4,0)))=0,"A","S"),"S")),""))</f>
        <v/>
      </c>
      <c r="E20" s="16" t="str">
        <f aca="false">IF(Cron_Uso!E20="","",IF(INT(Cron_Uso!E20/Frota!$L20)&gt;INT(Cron_Uso!D20/Frota!$L20),IF(N(VLOOKUP(Frota!$B20,Premissas!$A$39:$E$43,5,0))&gt;0,IF(MOD(INT(Cron_Uso!E20/Frota!$L20)*Frota!$L20,N(VLOOKUP(Frota!$B20,Premissas!$A$39:$E$43,5,0)))=0,"B",IF(N(VLOOKUP(Frota!$B20,Premissas!$A$39:$E$43,4,0))&gt;0,IF(MOD(INT(Cron_Uso!E20/Frota!$L20)*Frota!$L20,N(VLOOKUP(Frota!$B20,Premissas!$A$39:$E$43,4,0)))=0,"A","S"),"S")),IF(N(VLOOKUP(Frota!$B20,Premissas!$A$39:$E$43,4,0))&gt;0,IF(MOD(INT(Cron_Uso!E20/Frota!$L20)*Frota!$L20,N(VLOOKUP(Frota!$B20,Premissas!$A$39:$E$43,4,0)))=0,"A","S"),"S")),""))</f>
        <v/>
      </c>
      <c r="F20" s="16" t="str">
        <f aca="false">IF(Cron_Uso!F20="","",IF(INT(Cron_Uso!F20/Frota!$L20)&gt;INT(Cron_Uso!E20/Frota!$L20),IF(N(VLOOKUP(Frota!$B20,Premissas!$A$39:$E$43,5,0))&gt;0,IF(MOD(INT(Cron_Uso!F20/Frota!$L20)*Frota!$L20,N(VLOOKUP(Frota!$B20,Premissas!$A$39:$E$43,5,0)))=0,"B",IF(N(VLOOKUP(Frota!$B20,Premissas!$A$39:$E$43,4,0))&gt;0,IF(MOD(INT(Cron_Uso!F20/Frota!$L20)*Frota!$L20,N(VLOOKUP(Frota!$B20,Premissas!$A$39:$E$43,4,0)))=0,"A","S"),"S")),IF(N(VLOOKUP(Frota!$B20,Premissas!$A$39:$E$43,4,0))&gt;0,IF(MOD(INT(Cron_Uso!F20/Frota!$L20)*Frota!$L20,N(VLOOKUP(Frota!$B20,Premissas!$A$39:$E$43,4,0)))=0,"A","S"),"S")),""))</f>
        <v/>
      </c>
      <c r="G20" s="16" t="str">
        <f aca="false">IF(Cron_Uso!G20="","",IF(INT(Cron_Uso!G20/Frota!$L20)&gt;INT(Cron_Uso!F20/Frota!$L20),IF(N(VLOOKUP(Frota!$B20,Premissas!$A$39:$E$43,5,0))&gt;0,IF(MOD(INT(Cron_Uso!G20/Frota!$L20)*Frota!$L20,N(VLOOKUP(Frota!$B20,Premissas!$A$39:$E$43,5,0)))=0,"B",IF(N(VLOOKUP(Frota!$B20,Premissas!$A$39:$E$43,4,0))&gt;0,IF(MOD(INT(Cron_Uso!G20/Frota!$L20)*Frota!$L20,N(VLOOKUP(Frota!$B20,Premissas!$A$39:$E$43,4,0)))=0,"A","S"),"S")),IF(N(VLOOKUP(Frota!$B20,Premissas!$A$39:$E$43,4,0))&gt;0,IF(MOD(INT(Cron_Uso!G20/Frota!$L20)*Frota!$L20,N(VLOOKUP(Frota!$B20,Premissas!$A$39:$E$43,4,0)))=0,"A","S"),"S")),""))</f>
        <v/>
      </c>
      <c r="H20" s="16" t="str">
        <f aca="false">IF(Cron_Uso!H20="","",IF(INT(Cron_Uso!H20/Frota!$L20)&gt;INT(Cron_Uso!G20/Frota!$L20),IF(N(VLOOKUP(Frota!$B20,Premissas!$A$39:$E$43,5,0))&gt;0,IF(MOD(INT(Cron_Uso!H20/Frota!$L20)*Frota!$L20,N(VLOOKUP(Frota!$B20,Premissas!$A$39:$E$43,5,0)))=0,"B",IF(N(VLOOKUP(Frota!$B20,Premissas!$A$39:$E$43,4,0))&gt;0,IF(MOD(INT(Cron_Uso!H20/Frota!$L20)*Frota!$L20,N(VLOOKUP(Frota!$B20,Premissas!$A$39:$E$43,4,0)))=0,"A","S"),"S")),IF(N(VLOOKUP(Frota!$B20,Premissas!$A$39:$E$43,4,0))&gt;0,IF(MOD(INT(Cron_Uso!H20/Frota!$L20)*Frota!$L20,N(VLOOKUP(Frota!$B20,Premissas!$A$39:$E$43,4,0)))=0,"A","S"),"S")),""))</f>
        <v/>
      </c>
      <c r="I20" s="16" t="str">
        <f aca="false">IF(Cron_Uso!I20="","",IF(INT(Cron_Uso!I20/Frota!$L20)&gt;INT(Cron_Uso!H20/Frota!$L20),IF(N(VLOOKUP(Frota!$B20,Premissas!$A$39:$E$43,5,0))&gt;0,IF(MOD(INT(Cron_Uso!I20/Frota!$L20)*Frota!$L20,N(VLOOKUP(Frota!$B20,Premissas!$A$39:$E$43,5,0)))=0,"B",IF(N(VLOOKUP(Frota!$B20,Premissas!$A$39:$E$43,4,0))&gt;0,IF(MOD(INT(Cron_Uso!I20/Frota!$L20)*Frota!$L20,N(VLOOKUP(Frota!$B20,Premissas!$A$39:$E$43,4,0)))=0,"A","S"),"S")),IF(N(VLOOKUP(Frota!$B20,Premissas!$A$39:$E$43,4,0))&gt;0,IF(MOD(INT(Cron_Uso!I20/Frota!$L20)*Frota!$L20,N(VLOOKUP(Frota!$B20,Premissas!$A$39:$E$43,4,0)))=0,"A","S"),"S")),""))</f>
        <v/>
      </c>
      <c r="J20" s="16" t="str">
        <f aca="false">IF(Cron_Uso!J20="","",IF(INT(Cron_Uso!J20/Frota!$L20)&gt;INT(Cron_Uso!I20/Frota!$L20),IF(N(VLOOKUP(Frota!$B20,Premissas!$A$39:$E$43,5,0))&gt;0,IF(MOD(INT(Cron_Uso!J20/Frota!$L20)*Frota!$L20,N(VLOOKUP(Frota!$B20,Premissas!$A$39:$E$43,5,0)))=0,"B",IF(N(VLOOKUP(Frota!$B20,Premissas!$A$39:$E$43,4,0))&gt;0,IF(MOD(INT(Cron_Uso!J20/Frota!$L20)*Frota!$L20,N(VLOOKUP(Frota!$B20,Premissas!$A$39:$E$43,4,0)))=0,"A","S"),"S")),IF(N(VLOOKUP(Frota!$B20,Premissas!$A$39:$E$43,4,0))&gt;0,IF(MOD(INT(Cron_Uso!J20/Frota!$L20)*Frota!$L20,N(VLOOKUP(Frota!$B20,Premissas!$A$39:$E$43,4,0)))=0,"A","S"),"S")),""))</f>
        <v/>
      </c>
      <c r="K20" s="16" t="str">
        <f aca="false">IF(Cron_Uso!K20="","",IF(INT(Cron_Uso!K20/Frota!$L20)&gt;INT(Cron_Uso!J20/Frota!$L20),IF(N(VLOOKUP(Frota!$B20,Premissas!$A$39:$E$43,5,0))&gt;0,IF(MOD(INT(Cron_Uso!K20/Frota!$L20)*Frota!$L20,N(VLOOKUP(Frota!$B20,Premissas!$A$39:$E$43,5,0)))=0,"B",IF(N(VLOOKUP(Frota!$B20,Premissas!$A$39:$E$43,4,0))&gt;0,IF(MOD(INT(Cron_Uso!K20/Frota!$L20)*Frota!$L20,N(VLOOKUP(Frota!$B20,Premissas!$A$39:$E$43,4,0)))=0,"A","S"),"S")),IF(N(VLOOKUP(Frota!$B20,Premissas!$A$39:$E$43,4,0))&gt;0,IF(MOD(INT(Cron_Uso!K20/Frota!$L20)*Frota!$L20,N(VLOOKUP(Frota!$B20,Premissas!$A$39:$E$43,4,0)))=0,"A","S"),"S")),""))</f>
        <v/>
      </c>
      <c r="L20" s="16" t="str">
        <f aca="false">IF(Cron_Uso!L20="","",IF(INT(Cron_Uso!L20/Frota!$L20)&gt;INT(Cron_Uso!K20/Frota!$L20),IF(N(VLOOKUP(Frota!$B20,Premissas!$A$39:$E$43,5,0))&gt;0,IF(MOD(INT(Cron_Uso!L20/Frota!$L20)*Frota!$L20,N(VLOOKUP(Frota!$B20,Premissas!$A$39:$E$43,5,0)))=0,"B",IF(N(VLOOKUP(Frota!$B20,Premissas!$A$39:$E$43,4,0))&gt;0,IF(MOD(INT(Cron_Uso!L20/Frota!$L20)*Frota!$L20,N(VLOOKUP(Frota!$B20,Premissas!$A$39:$E$43,4,0)))=0,"A","S"),"S")),IF(N(VLOOKUP(Frota!$B20,Premissas!$A$39:$E$43,4,0))&gt;0,IF(MOD(INT(Cron_Uso!L20/Frota!$L20)*Frota!$L20,N(VLOOKUP(Frota!$B20,Premissas!$A$39:$E$43,4,0)))=0,"A","S"),"S")),""))</f>
        <v/>
      </c>
      <c r="M20" s="16" t="str">
        <f aca="false">IF(Cron_Uso!M20="","",IF(INT(Cron_Uso!M20/Frota!$L20)&gt;INT(Cron_Uso!L20/Frota!$L20),IF(N(VLOOKUP(Frota!$B20,Premissas!$A$39:$E$43,5,0))&gt;0,IF(MOD(INT(Cron_Uso!M20/Frota!$L20)*Frota!$L20,N(VLOOKUP(Frota!$B20,Premissas!$A$39:$E$43,5,0)))=0,"B",IF(N(VLOOKUP(Frota!$B20,Premissas!$A$39:$E$43,4,0))&gt;0,IF(MOD(INT(Cron_Uso!M20/Frota!$L20)*Frota!$L20,N(VLOOKUP(Frota!$B20,Premissas!$A$39:$E$43,4,0)))=0,"A","S"),"S")),IF(N(VLOOKUP(Frota!$B20,Premissas!$A$39:$E$43,4,0))&gt;0,IF(MOD(INT(Cron_Uso!M20/Frota!$L20)*Frota!$L20,N(VLOOKUP(Frota!$B20,Premissas!$A$39:$E$43,4,0)))=0,"A","S"),"S")),""))</f>
        <v/>
      </c>
      <c r="N20" s="16" t="str">
        <f aca="false">IF(Cron_Uso!N20="","",IF(INT(Cron_Uso!N20/Frota!$L20)&gt;INT(Cron_Uso!M20/Frota!$L20),IF(N(VLOOKUP(Frota!$B20,Premissas!$A$39:$E$43,5,0))&gt;0,IF(MOD(INT(Cron_Uso!N20/Frota!$L20)*Frota!$L20,N(VLOOKUP(Frota!$B20,Premissas!$A$39:$E$43,5,0)))=0,"B",IF(N(VLOOKUP(Frota!$B20,Premissas!$A$39:$E$43,4,0))&gt;0,IF(MOD(INT(Cron_Uso!N20/Frota!$L20)*Frota!$L20,N(VLOOKUP(Frota!$B20,Premissas!$A$39:$E$43,4,0)))=0,"A","S"),"S")),IF(N(VLOOKUP(Frota!$B20,Premissas!$A$39:$E$43,4,0))&gt;0,IF(MOD(INT(Cron_Uso!N20/Frota!$L20)*Frota!$L20,N(VLOOKUP(Frota!$B20,Premissas!$A$39:$E$43,4,0)))=0,"A","S"),"S")),""))</f>
        <v/>
      </c>
      <c r="O20" s="16" t="str">
        <f aca="false">IF(Cron_Uso!O20="","",IF(INT(Cron_Uso!O20/Frota!$L20)&gt;INT(Cron_Uso!N20/Frota!$L20),IF(N(VLOOKUP(Frota!$B20,Premissas!$A$39:$E$43,5,0))&gt;0,IF(MOD(INT(Cron_Uso!O20/Frota!$L20)*Frota!$L20,N(VLOOKUP(Frota!$B20,Premissas!$A$39:$E$43,5,0)))=0,"B",IF(N(VLOOKUP(Frota!$B20,Premissas!$A$39:$E$43,4,0))&gt;0,IF(MOD(INT(Cron_Uso!O20/Frota!$L20)*Frota!$L20,N(VLOOKUP(Frota!$B20,Premissas!$A$39:$E$43,4,0)))=0,"A","S"),"S")),IF(N(VLOOKUP(Frota!$B20,Premissas!$A$39:$E$43,4,0))&gt;0,IF(MOD(INT(Cron_Uso!O20/Frota!$L20)*Frota!$L20,N(VLOOKUP(Frota!$B20,Premissas!$A$39:$E$43,4,0)))=0,"A","S"),"S")),""))</f>
        <v/>
      </c>
      <c r="P20" s="16" t="str">
        <f aca="false">IF(Cron_Uso!P20="","",IF(INT(Cron_Uso!P20/Frota!$L20)&gt;INT(Cron_Uso!O20/Frota!$L20),IF(N(VLOOKUP(Frota!$B20,Premissas!$A$39:$E$43,5,0))&gt;0,IF(MOD(INT(Cron_Uso!P20/Frota!$L20)*Frota!$L20,N(VLOOKUP(Frota!$B20,Premissas!$A$39:$E$43,5,0)))=0,"B",IF(N(VLOOKUP(Frota!$B20,Premissas!$A$39:$E$43,4,0))&gt;0,IF(MOD(INT(Cron_Uso!P20/Frota!$L20)*Frota!$L20,N(VLOOKUP(Frota!$B20,Premissas!$A$39:$E$43,4,0)))=0,"A","S"),"S")),IF(N(VLOOKUP(Frota!$B20,Premissas!$A$39:$E$43,4,0))&gt;0,IF(MOD(INT(Cron_Uso!P20/Frota!$L20)*Frota!$L20,N(VLOOKUP(Frota!$B20,Premissas!$A$39:$E$43,4,0)))=0,"A","S"),"S")),""))</f>
        <v/>
      </c>
      <c r="Q20" s="16" t="str">
        <f aca="false">IF(Cron_Uso!Q20="","",IF(INT(Cron_Uso!Q20/Frota!$L20)&gt;INT(Cron_Uso!P20/Frota!$L20),IF(N(VLOOKUP(Frota!$B20,Premissas!$A$39:$E$43,5,0))&gt;0,IF(MOD(INT(Cron_Uso!Q20/Frota!$L20)*Frota!$L20,N(VLOOKUP(Frota!$B20,Premissas!$A$39:$E$43,5,0)))=0,"B",IF(N(VLOOKUP(Frota!$B20,Premissas!$A$39:$E$43,4,0))&gt;0,IF(MOD(INT(Cron_Uso!Q20/Frota!$L20)*Frota!$L20,N(VLOOKUP(Frota!$B20,Premissas!$A$39:$E$43,4,0)))=0,"A","S"),"S")),IF(N(VLOOKUP(Frota!$B20,Premissas!$A$39:$E$43,4,0))&gt;0,IF(MOD(INT(Cron_Uso!Q20/Frota!$L20)*Frota!$L20,N(VLOOKUP(Frota!$B20,Premissas!$A$39:$E$43,4,0)))=0,"A","S"),"S")),""))</f>
        <v/>
      </c>
      <c r="R20" s="16" t="str">
        <f aca="false">IF(Cron_Uso!R20="","",IF(INT(Cron_Uso!R20/Frota!$L20)&gt;INT(Cron_Uso!Q20/Frota!$L20),IF(N(VLOOKUP(Frota!$B20,Premissas!$A$39:$E$43,5,0))&gt;0,IF(MOD(INT(Cron_Uso!R20/Frota!$L20)*Frota!$L20,N(VLOOKUP(Frota!$B20,Premissas!$A$39:$E$43,5,0)))=0,"B",IF(N(VLOOKUP(Frota!$B20,Premissas!$A$39:$E$43,4,0))&gt;0,IF(MOD(INT(Cron_Uso!R20/Frota!$L20)*Frota!$L20,N(VLOOKUP(Frota!$B20,Premissas!$A$39:$E$43,4,0)))=0,"A","S"),"S")),IF(N(VLOOKUP(Frota!$B20,Premissas!$A$39:$E$43,4,0))&gt;0,IF(MOD(INT(Cron_Uso!R20/Frota!$L20)*Frota!$L20,N(VLOOKUP(Frota!$B20,Premissas!$A$39:$E$43,4,0)))=0,"A","S"),"S")),""))</f>
        <v/>
      </c>
      <c r="S20" s="16" t="str">
        <f aca="false">IF(Cron_Uso!S20="","",IF(INT(Cron_Uso!S20/Frota!$L20)&gt;INT(Cron_Uso!R20/Frota!$L20),IF(N(VLOOKUP(Frota!$B20,Premissas!$A$39:$E$43,5,0))&gt;0,IF(MOD(INT(Cron_Uso!S20/Frota!$L20)*Frota!$L20,N(VLOOKUP(Frota!$B20,Premissas!$A$39:$E$43,5,0)))=0,"B",IF(N(VLOOKUP(Frota!$B20,Premissas!$A$39:$E$43,4,0))&gt;0,IF(MOD(INT(Cron_Uso!S20/Frota!$L20)*Frota!$L20,N(VLOOKUP(Frota!$B20,Premissas!$A$39:$E$43,4,0)))=0,"A","S"),"S")),IF(N(VLOOKUP(Frota!$B20,Premissas!$A$39:$E$43,4,0))&gt;0,IF(MOD(INT(Cron_Uso!S20/Frota!$L20)*Frota!$L20,N(VLOOKUP(Frota!$B20,Premissas!$A$39:$E$43,4,0)))=0,"A","S"),"S")),""))</f>
        <v/>
      </c>
      <c r="T20" s="16" t="str">
        <f aca="false">IF(Cron_Uso!T20="","",IF(INT(Cron_Uso!T20/Frota!$L20)&gt;INT(Cron_Uso!S20/Frota!$L20),IF(N(VLOOKUP(Frota!$B20,Premissas!$A$39:$E$43,5,0))&gt;0,IF(MOD(INT(Cron_Uso!T20/Frota!$L20)*Frota!$L20,N(VLOOKUP(Frota!$B20,Premissas!$A$39:$E$43,5,0)))=0,"B",IF(N(VLOOKUP(Frota!$B20,Premissas!$A$39:$E$43,4,0))&gt;0,IF(MOD(INT(Cron_Uso!T20/Frota!$L20)*Frota!$L20,N(VLOOKUP(Frota!$B20,Premissas!$A$39:$E$43,4,0)))=0,"A","S"),"S")),IF(N(VLOOKUP(Frota!$B20,Premissas!$A$39:$E$43,4,0))&gt;0,IF(MOD(INT(Cron_Uso!T20/Frota!$L20)*Frota!$L20,N(VLOOKUP(Frota!$B20,Premissas!$A$39:$E$43,4,0)))=0,"A","S"),"S")),""))</f>
        <v/>
      </c>
      <c r="U20" s="16" t="str">
        <f aca="false">IF(Cron_Uso!U20="","",IF(INT(Cron_Uso!U20/Frota!$L20)&gt;INT(Cron_Uso!T20/Frota!$L20),IF(N(VLOOKUP(Frota!$B20,Premissas!$A$39:$E$43,5,0))&gt;0,IF(MOD(INT(Cron_Uso!U20/Frota!$L20)*Frota!$L20,N(VLOOKUP(Frota!$B20,Premissas!$A$39:$E$43,5,0)))=0,"B",IF(N(VLOOKUP(Frota!$B20,Premissas!$A$39:$E$43,4,0))&gt;0,IF(MOD(INT(Cron_Uso!U20/Frota!$L20)*Frota!$L20,N(VLOOKUP(Frota!$B20,Premissas!$A$39:$E$43,4,0)))=0,"A","S"),"S")),IF(N(VLOOKUP(Frota!$B20,Premissas!$A$39:$E$43,4,0))&gt;0,IF(MOD(INT(Cron_Uso!U20/Frota!$L20)*Frota!$L20,N(VLOOKUP(Frota!$B20,Premissas!$A$39:$E$43,4,0)))=0,"A","S"),"S")),""))</f>
        <v/>
      </c>
      <c r="V20" s="16" t="str">
        <f aca="false">IF(Cron_Uso!V20="","",IF(INT(Cron_Uso!V20/Frota!$L20)&gt;INT(Cron_Uso!U20/Frota!$L20),IF(N(VLOOKUP(Frota!$B20,Premissas!$A$39:$E$43,5,0))&gt;0,IF(MOD(INT(Cron_Uso!V20/Frota!$L20)*Frota!$L20,N(VLOOKUP(Frota!$B20,Premissas!$A$39:$E$43,5,0)))=0,"B",IF(N(VLOOKUP(Frota!$B20,Premissas!$A$39:$E$43,4,0))&gt;0,IF(MOD(INT(Cron_Uso!V20/Frota!$L20)*Frota!$L20,N(VLOOKUP(Frota!$B20,Premissas!$A$39:$E$43,4,0)))=0,"A","S"),"S")),IF(N(VLOOKUP(Frota!$B20,Premissas!$A$39:$E$43,4,0))&gt;0,IF(MOD(INT(Cron_Uso!V20/Frota!$L20)*Frota!$L20,N(VLOOKUP(Frota!$B20,Premissas!$A$39:$E$43,4,0)))=0,"A","S"),"S")),""))</f>
        <v/>
      </c>
      <c r="W20" s="16" t="str">
        <f aca="false">IF(Cron_Uso!W20="","",IF(INT(Cron_Uso!W20/Frota!$L20)&gt;INT(Cron_Uso!V20/Frota!$L20),IF(N(VLOOKUP(Frota!$B20,Premissas!$A$39:$E$43,5,0))&gt;0,IF(MOD(INT(Cron_Uso!W20/Frota!$L20)*Frota!$L20,N(VLOOKUP(Frota!$B20,Premissas!$A$39:$E$43,5,0)))=0,"B",IF(N(VLOOKUP(Frota!$B20,Premissas!$A$39:$E$43,4,0))&gt;0,IF(MOD(INT(Cron_Uso!W20/Frota!$L20)*Frota!$L20,N(VLOOKUP(Frota!$B20,Premissas!$A$39:$E$43,4,0)))=0,"A","S"),"S")),IF(N(VLOOKUP(Frota!$B20,Premissas!$A$39:$E$43,4,0))&gt;0,IF(MOD(INT(Cron_Uso!W20/Frota!$L20)*Frota!$L20,N(VLOOKUP(Frota!$B20,Premissas!$A$39:$E$43,4,0)))=0,"A","S"),"S")),""))</f>
        <v/>
      </c>
      <c r="X20" s="16" t="str">
        <f aca="false">IF(Cron_Uso!X20="","",IF(INT(Cron_Uso!X20/Frota!$L20)&gt;INT(Cron_Uso!W20/Frota!$L20),IF(N(VLOOKUP(Frota!$B20,Premissas!$A$39:$E$43,5,0))&gt;0,IF(MOD(INT(Cron_Uso!X20/Frota!$L20)*Frota!$L20,N(VLOOKUP(Frota!$B20,Premissas!$A$39:$E$43,5,0)))=0,"B",IF(N(VLOOKUP(Frota!$B20,Premissas!$A$39:$E$43,4,0))&gt;0,IF(MOD(INT(Cron_Uso!X20/Frota!$L20)*Frota!$L20,N(VLOOKUP(Frota!$B20,Premissas!$A$39:$E$43,4,0)))=0,"A","S"),"S")),IF(N(VLOOKUP(Frota!$B20,Premissas!$A$39:$E$43,4,0))&gt;0,IF(MOD(INT(Cron_Uso!X20/Frota!$L20)*Frota!$L20,N(VLOOKUP(Frota!$B20,Premissas!$A$39:$E$43,4,0)))=0,"A","S"),"S")),""))</f>
        <v/>
      </c>
      <c r="Y20" s="16" t="str">
        <f aca="false">IF(Cron_Uso!Y20="","",IF(INT(Cron_Uso!Y20/Frota!$L20)&gt;INT(Cron_Uso!X20/Frota!$L20),IF(N(VLOOKUP(Frota!$B20,Premissas!$A$39:$E$43,5,0))&gt;0,IF(MOD(INT(Cron_Uso!Y20/Frota!$L20)*Frota!$L20,N(VLOOKUP(Frota!$B20,Premissas!$A$39:$E$43,5,0)))=0,"B",IF(N(VLOOKUP(Frota!$B20,Premissas!$A$39:$E$43,4,0))&gt;0,IF(MOD(INT(Cron_Uso!Y20/Frota!$L20)*Frota!$L20,N(VLOOKUP(Frota!$B20,Premissas!$A$39:$E$43,4,0)))=0,"A","S"),"S")),IF(N(VLOOKUP(Frota!$B20,Premissas!$A$39:$E$43,4,0))&gt;0,IF(MOD(INT(Cron_Uso!Y20/Frota!$L20)*Frota!$L20,N(VLOOKUP(Frota!$B20,Premissas!$A$39:$E$43,4,0)))=0,"A","S"),"S")),""))</f>
        <v/>
      </c>
      <c r="Z20" s="16" t="str">
        <f aca="false">IF(Cron_Uso!Z20="","",IF(INT(Cron_Uso!Z20/Frota!$L20)&gt;INT(Cron_Uso!Y20/Frota!$L20),IF(N(VLOOKUP(Frota!$B20,Premissas!$A$39:$E$43,5,0))&gt;0,IF(MOD(INT(Cron_Uso!Z20/Frota!$L20)*Frota!$L20,N(VLOOKUP(Frota!$B20,Premissas!$A$39:$E$43,5,0)))=0,"B",IF(N(VLOOKUP(Frota!$B20,Premissas!$A$39:$E$43,4,0))&gt;0,IF(MOD(INT(Cron_Uso!Z20/Frota!$L20)*Frota!$L20,N(VLOOKUP(Frota!$B20,Premissas!$A$39:$E$43,4,0)))=0,"A","S"),"S")),IF(N(VLOOKUP(Frota!$B20,Premissas!$A$39:$E$43,4,0))&gt;0,IF(MOD(INT(Cron_Uso!Z20/Frota!$L20)*Frota!$L20,N(VLOOKUP(Frota!$B20,Premissas!$A$39:$E$43,4,0)))=0,"A","S"),"S")),""))</f>
        <v/>
      </c>
      <c r="AA20" s="16" t="str">
        <f aca="false">IF(Cron_Uso!AA20="","",IF(INT(Cron_Uso!AA20/Frota!$L20)&gt;INT(Cron_Uso!Z20/Frota!$L20),IF(N(VLOOKUP(Frota!$B20,Premissas!$A$39:$E$43,5,0))&gt;0,IF(MOD(INT(Cron_Uso!AA20/Frota!$L20)*Frota!$L20,N(VLOOKUP(Frota!$B20,Premissas!$A$39:$E$43,5,0)))=0,"B",IF(N(VLOOKUP(Frota!$B20,Premissas!$A$39:$E$43,4,0))&gt;0,IF(MOD(INT(Cron_Uso!AA20/Frota!$L20)*Frota!$L20,N(VLOOKUP(Frota!$B20,Premissas!$A$39:$E$43,4,0)))=0,"A","S"),"S")),IF(N(VLOOKUP(Frota!$B20,Premissas!$A$39:$E$43,4,0))&gt;0,IF(MOD(INT(Cron_Uso!AA20/Frota!$L20)*Frota!$L20,N(VLOOKUP(Frota!$B20,Premissas!$A$39:$E$43,4,0)))=0,"A","S"),"S")),""))</f>
        <v/>
      </c>
      <c r="AB20" s="16" t="str">
        <f aca="false">IF(Cron_Uso!AB20="","",IF(INT(Cron_Uso!AB20/Frota!$L20)&gt;INT(Cron_Uso!AA20/Frota!$L20),IF(N(VLOOKUP(Frota!$B20,Premissas!$A$39:$E$43,5,0))&gt;0,IF(MOD(INT(Cron_Uso!AB20/Frota!$L20)*Frota!$L20,N(VLOOKUP(Frota!$B20,Premissas!$A$39:$E$43,5,0)))=0,"B",IF(N(VLOOKUP(Frota!$B20,Premissas!$A$39:$E$43,4,0))&gt;0,IF(MOD(INT(Cron_Uso!AB20/Frota!$L20)*Frota!$L20,N(VLOOKUP(Frota!$B20,Premissas!$A$39:$E$43,4,0)))=0,"A","S"),"S")),IF(N(VLOOKUP(Frota!$B20,Premissas!$A$39:$E$43,4,0))&gt;0,IF(MOD(INT(Cron_Uso!AB20/Frota!$L20)*Frota!$L20,N(VLOOKUP(Frota!$B20,Premissas!$A$39:$E$43,4,0)))=0,"A","S"),"S")),""))</f>
        <v/>
      </c>
      <c r="AC20" s="16" t="str">
        <f aca="false">IF(Cron_Uso!AC20="","",IF(INT(Cron_Uso!AC20/Frota!$L20)&gt;INT(Cron_Uso!AB20/Frota!$L20),IF(N(VLOOKUP(Frota!$B20,Premissas!$A$39:$E$43,5,0))&gt;0,IF(MOD(INT(Cron_Uso!AC20/Frota!$L20)*Frota!$L20,N(VLOOKUP(Frota!$B20,Premissas!$A$39:$E$43,5,0)))=0,"B",IF(N(VLOOKUP(Frota!$B20,Premissas!$A$39:$E$43,4,0))&gt;0,IF(MOD(INT(Cron_Uso!AC20/Frota!$L20)*Frota!$L20,N(VLOOKUP(Frota!$B20,Premissas!$A$39:$E$43,4,0)))=0,"A","S"),"S")),IF(N(VLOOKUP(Frota!$B20,Premissas!$A$39:$E$43,4,0))&gt;0,IF(MOD(INT(Cron_Uso!AC20/Frota!$L20)*Frota!$L20,N(VLOOKUP(Frota!$B20,Premissas!$A$39:$E$43,4,0)))=0,"A","S"),"S")),""))</f>
        <v/>
      </c>
      <c r="AD20" s="16" t="str">
        <f aca="false">IF(Cron_Uso!AD20="","",IF(INT(Cron_Uso!AD20/Frota!$L20)&gt;INT(Cron_Uso!AC20/Frota!$L20),IF(N(VLOOKUP(Frota!$B20,Premissas!$A$39:$E$43,5,0))&gt;0,IF(MOD(INT(Cron_Uso!AD20/Frota!$L20)*Frota!$L20,N(VLOOKUP(Frota!$B20,Premissas!$A$39:$E$43,5,0)))=0,"B",IF(N(VLOOKUP(Frota!$B20,Premissas!$A$39:$E$43,4,0))&gt;0,IF(MOD(INT(Cron_Uso!AD20/Frota!$L20)*Frota!$L20,N(VLOOKUP(Frota!$B20,Premissas!$A$39:$E$43,4,0)))=0,"A","S"),"S")),IF(N(VLOOKUP(Frota!$B20,Premissas!$A$39:$E$43,4,0))&gt;0,IF(MOD(INT(Cron_Uso!AD20/Frota!$L20)*Frota!$L20,N(VLOOKUP(Frota!$B20,Premissas!$A$39:$E$43,4,0)))=0,"A","S"),"S")),""))</f>
        <v/>
      </c>
      <c r="AE20" s="16" t="str">
        <f aca="false">IF(Cron_Uso!AE20="","",IF(INT(Cron_Uso!AE20/Frota!$L20)&gt;INT(Cron_Uso!AD20/Frota!$L20),IF(N(VLOOKUP(Frota!$B20,Premissas!$A$39:$E$43,5,0))&gt;0,IF(MOD(INT(Cron_Uso!AE20/Frota!$L20)*Frota!$L20,N(VLOOKUP(Frota!$B20,Premissas!$A$39:$E$43,5,0)))=0,"B",IF(N(VLOOKUP(Frota!$B20,Premissas!$A$39:$E$43,4,0))&gt;0,IF(MOD(INT(Cron_Uso!AE20/Frota!$L20)*Frota!$L20,N(VLOOKUP(Frota!$B20,Premissas!$A$39:$E$43,4,0)))=0,"A","S"),"S")),IF(N(VLOOKUP(Frota!$B20,Premissas!$A$39:$E$43,4,0))&gt;0,IF(MOD(INT(Cron_Uso!AE20/Frota!$L20)*Frota!$L20,N(VLOOKUP(Frota!$B20,Premissas!$A$39:$E$43,4,0)))=0,"A","S"),"S")),""))</f>
        <v/>
      </c>
      <c r="AF20" s="16" t="str">
        <f aca="false">IF(Cron_Uso!AF20="","",IF(INT(Cron_Uso!AF20/Frota!$L20)&gt;INT(Cron_Uso!AE20/Frota!$L20),IF(N(VLOOKUP(Frota!$B20,Premissas!$A$39:$E$43,5,0))&gt;0,IF(MOD(INT(Cron_Uso!AF20/Frota!$L20)*Frota!$L20,N(VLOOKUP(Frota!$B20,Premissas!$A$39:$E$43,5,0)))=0,"B",IF(N(VLOOKUP(Frota!$B20,Premissas!$A$39:$E$43,4,0))&gt;0,IF(MOD(INT(Cron_Uso!AF20/Frota!$L20)*Frota!$L20,N(VLOOKUP(Frota!$B20,Premissas!$A$39:$E$43,4,0)))=0,"A","S"),"S")),IF(N(VLOOKUP(Frota!$B20,Premissas!$A$39:$E$43,4,0))&gt;0,IF(MOD(INT(Cron_Uso!AF20/Frota!$L20)*Frota!$L20,N(VLOOKUP(Frota!$B20,Premissas!$A$39:$E$43,4,0)))=0,"A","S"),"S")),""))</f>
        <v/>
      </c>
      <c r="AG20" s="16" t="str">
        <f aca="false">IF(Cron_Uso!AG20="","",IF(INT(Cron_Uso!AG20/Frota!$L20)&gt;INT(Cron_Uso!AF20/Frota!$L20),IF(N(VLOOKUP(Frota!$B20,Premissas!$A$39:$E$43,5,0))&gt;0,IF(MOD(INT(Cron_Uso!AG20/Frota!$L20)*Frota!$L20,N(VLOOKUP(Frota!$B20,Premissas!$A$39:$E$43,5,0)))=0,"B",IF(N(VLOOKUP(Frota!$B20,Premissas!$A$39:$E$43,4,0))&gt;0,IF(MOD(INT(Cron_Uso!AG20/Frota!$L20)*Frota!$L20,N(VLOOKUP(Frota!$B20,Premissas!$A$39:$E$43,4,0)))=0,"A","S"),"S")),IF(N(VLOOKUP(Frota!$B20,Premissas!$A$39:$E$43,4,0))&gt;0,IF(MOD(INT(Cron_Uso!AG20/Frota!$L20)*Frota!$L20,N(VLOOKUP(Frota!$B20,Premissas!$A$39:$E$43,4,0)))=0,"A","S"),"S")),""))</f>
        <v/>
      </c>
      <c r="AH20" s="16" t="str">
        <f aca="false">IF(Cron_Uso!AH20="","",IF(INT(Cron_Uso!AH20/Frota!$L20)&gt;INT(Cron_Uso!AG20/Frota!$L20),IF(N(VLOOKUP(Frota!$B20,Premissas!$A$39:$E$43,5,0))&gt;0,IF(MOD(INT(Cron_Uso!AH20/Frota!$L20)*Frota!$L20,N(VLOOKUP(Frota!$B20,Premissas!$A$39:$E$43,5,0)))=0,"B",IF(N(VLOOKUP(Frota!$B20,Premissas!$A$39:$E$43,4,0))&gt;0,IF(MOD(INT(Cron_Uso!AH20/Frota!$L20)*Frota!$L20,N(VLOOKUP(Frota!$B20,Premissas!$A$39:$E$43,4,0)))=0,"A","S"),"S")),IF(N(VLOOKUP(Frota!$B20,Premissas!$A$39:$E$43,4,0))&gt;0,IF(MOD(INT(Cron_Uso!AH20/Frota!$L20)*Frota!$L20,N(VLOOKUP(Frota!$B20,Premissas!$A$39:$E$43,4,0)))=0,"A","S"),"S")),""))</f>
        <v/>
      </c>
      <c r="AI20" s="16" t="str">
        <f aca="false">IF(Cron_Uso!AI20="","",IF(INT(Cron_Uso!AI20/Frota!$L20)&gt;INT(Cron_Uso!AH20/Frota!$L20),IF(N(VLOOKUP(Frota!$B20,Premissas!$A$39:$E$43,5,0))&gt;0,IF(MOD(INT(Cron_Uso!AI20/Frota!$L20)*Frota!$L20,N(VLOOKUP(Frota!$B20,Premissas!$A$39:$E$43,5,0)))=0,"B",IF(N(VLOOKUP(Frota!$B20,Premissas!$A$39:$E$43,4,0))&gt;0,IF(MOD(INT(Cron_Uso!AI20/Frota!$L20)*Frota!$L20,N(VLOOKUP(Frota!$B20,Premissas!$A$39:$E$43,4,0)))=0,"A","S"),"S")),IF(N(VLOOKUP(Frota!$B20,Premissas!$A$39:$E$43,4,0))&gt;0,IF(MOD(INT(Cron_Uso!AI20/Frota!$L20)*Frota!$L20,N(VLOOKUP(Frota!$B20,Premissas!$A$39:$E$43,4,0)))=0,"A","S"),"S")),""))</f>
        <v/>
      </c>
      <c r="AJ20" s="16" t="str">
        <f aca="false">IF(Cron_Uso!AJ20="","",IF(INT(Cron_Uso!AJ20/Frota!$L20)&gt;INT(Cron_Uso!AI20/Frota!$L20),IF(N(VLOOKUP(Frota!$B20,Premissas!$A$39:$E$43,5,0))&gt;0,IF(MOD(INT(Cron_Uso!AJ20/Frota!$L20)*Frota!$L20,N(VLOOKUP(Frota!$B20,Premissas!$A$39:$E$43,5,0)))=0,"B",IF(N(VLOOKUP(Frota!$B20,Premissas!$A$39:$E$43,4,0))&gt;0,IF(MOD(INT(Cron_Uso!AJ20/Frota!$L20)*Frota!$L20,N(VLOOKUP(Frota!$B20,Premissas!$A$39:$E$43,4,0)))=0,"A","S"),"S")),IF(N(VLOOKUP(Frota!$B20,Premissas!$A$39:$E$43,4,0))&gt;0,IF(MOD(INT(Cron_Uso!AJ20/Frota!$L20)*Frota!$L20,N(VLOOKUP(Frota!$B20,Premissas!$A$39:$E$43,4,0)))=0,"A","S"),"S")),""))</f>
        <v/>
      </c>
      <c r="AK20" s="16" t="str">
        <f aca="false">IF(Cron_Uso!AK20="","",IF(INT(Cron_Uso!AK20/Frota!$L20)&gt;INT(Cron_Uso!AJ20/Frota!$L20),IF(N(VLOOKUP(Frota!$B20,Premissas!$A$39:$E$43,5,0))&gt;0,IF(MOD(INT(Cron_Uso!AK20/Frota!$L20)*Frota!$L20,N(VLOOKUP(Frota!$B20,Premissas!$A$39:$E$43,5,0)))=0,"B",IF(N(VLOOKUP(Frota!$B20,Premissas!$A$39:$E$43,4,0))&gt;0,IF(MOD(INT(Cron_Uso!AK20/Frota!$L20)*Frota!$L20,N(VLOOKUP(Frota!$B20,Premissas!$A$39:$E$43,4,0)))=0,"A","S"),"S")),IF(N(VLOOKUP(Frota!$B20,Premissas!$A$39:$E$43,4,0))&gt;0,IF(MOD(INT(Cron_Uso!AK20/Frota!$L20)*Frota!$L20,N(VLOOKUP(Frota!$B20,Premissas!$A$39:$E$43,4,0)))=0,"A","S"),"S")),""))</f>
        <v/>
      </c>
      <c r="AL20" s="16" t="str">
        <f aca="false">IF(Cron_Uso!AL20="","",IF(INT(Cron_Uso!AL20/Frota!$L20)&gt;INT(Cron_Uso!AK20/Frota!$L20),IF(N(VLOOKUP(Frota!$B20,Premissas!$A$39:$E$43,5,0))&gt;0,IF(MOD(INT(Cron_Uso!AL20/Frota!$L20)*Frota!$L20,N(VLOOKUP(Frota!$B20,Premissas!$A$39:$E$43,5,0)))=0,"B",IF(N(VLOOKUP(Frota!$B20,Premissas!$A$39:$E$43,4,0))&gt;0,IF(MOD(INT(Cron_Uso!AL20/Frota!$L20)*Frota!$L20,N(VLOOKUP(Frota!$B20,Premissas!$A$39:$E$43,4,0)))=0,"A","S"),"S")),IF(N(VLOOKUP(Frota!$B20,Premissas!$A$39:$E$43,4,0))&gt;0,IF(MOD(INT(Cron_Uso!AL20/Frota!$L20)*Frota!$L20,N(VLOOKUP(Frota!$B20,Premissas!$A$39:$E$43,4,0)))=0,"A","S"),"S")),""))</f>
        <v/>
      </c>
      <c r="AM20" s="16" t="str">
        <f aca="false">IF(Cron_Uso!AM20="","",IF(INT(Cron_Uso!AM20/Frota!$L20)&gt;INT(Cron_Uso!AL20/Frota!$L20),IF(N(VLOOKUP(Frota!$B20,Premissas!$A$39:$E$43,5,0))&gt;0,IF(MOD(INT(Cron_Uso!AM20/Frota!$L20)*Frota!$L20,N(VLOOKUP(Frota!$B20,Premissas!$A$39:$E$43,5,0)))=0,"B",IF(N(VLOOKUP(Frota!$B20,Premissas!$A$39:$E$43,4,0))&gt;0,IF(MOD(INT(Cron_Uso!AM20/Frota!$L20)*Frota!$L20,N(VLOOKUP(Frota!$B20,Premissas!$A$39:$E$43,4,0)))=0,"A","S"),"S")),IF(N(VLOOKUP(Frota!$B20,Premissas!$A$39:$E$43,4,0))&gt;0,IF(MOD(INT(Cron_Uso!AM20/Frota!$L20)*Frota!$L20,N(VLOOKUP(Frota!$B20,Premissas!$A$39:$E$43,4,0)))=0,"A","S"),"S")),""))</f>
        <v/>
      </c>
      <c r="AN20" s="16" t="str">
        <f aca="false">IF(Cron_Uso!AN20="","",IF(INT(Cron_Uso!AN20/Frota!$L20)&gt;INT(Cron_Uso!AM20/Frota!$L20),IF(N(VLOOKUP(Frota!$B20,Premissas!$A$39:$E$43,5,0))&gt;0,IF(MOD(INT(Cron_Uso!AN20/Frota!$L20)*Frota!$L20,N(VLOOKUP(Frota!$B20,Premissas!$A$39:$E$43,5,0)))=0,"B",IF(N(VLOOKUP(Frota!$B20,Premissas!$A$39:$E$43,4,0))&gt;0,IF(MOD(INT(Cron_Uso!AN20/Frota!$L20)*Frota!$L20,N(VLOOKUP(Frota!$B20,Premissas!$A$39:$E$43,4,0)))=0,"A","S"),"S")),IF(N(VLOOKUP(Frota!$B20,Premissas!$A$39:$E$43,4,0))&gt;0,IF(MOD(INT(Cron_Uso!AN20/Frota!$L20)*Frota!$L20,N(VLOOKUP(Frota!$B20,Premissas!$A$39:$E$43,4,0)))=0,"A","S"),"S")),""))</f>
        <v/>
      </c>
      <c r="AO20" s="16" t="str">
        <f aca="false">IF(Cron_Uso!AO20="","",IF(INT(Cron_Uso!AO20/Frota!$L20)&gt;INT(Cron_Uso!AN20/Frota!$L20),IF(N(VLOOKUP(Frota!$B20,Premissas!$A$39:$E$43,5,0))&gt;0,IF(MOD(INT(Cron_Uso!AO20/Frota!$L20)*Frota!$L20,N(VLOOKUP(Frota!$B20,Premissas!$A$39:$E$43,5,0)))=0,"B",IF(N(VLOOKUP(Frota!$B20,Premissas!$A$39:$E$43,4,0))&gt;0,IF(MOD(INT(Cron_Uso!AO20/Frota!$L20)*Frota!$L20,N(VLOOKUP(Frota!$B20,Premissas!$A$39:$E$43,4,0)))=0,"A","S"),"S")),IF(N(VLOOKUP(Frota!$B20,Premissas!$A$39:$E$43,4,0))&gt;0,IF(MOD(INT(Cron_Uso!AO20/Frota!$L20)*Frota!$L20,N(VLOOKUP(Frota!$B20,Premissas!$A$39:$E$43,4,0)))=0,"A","S"),"S")),""))</f>
        <v/>
      </c>
      <c r="AP20" s="16" t="str">
        <f aca="false">IF(Cron_Uso!AP20="","",IF(INT(Cron_Uso!AP20/Frota!$L20)&gt;INT(Cron_Uso!AO20/Frota!$L20),IF(N(VLOOKUP(Frota!$B20,Premissas!$A$39:$E$43,5,0))&gt;0,IF(MOD(INT(Cron_Uso!AP20/Frota!$L20)*Frota!$L20,N(VLOOKUP(Frota!$B20,Premissas!$A$39:$E$43,5,0)))=0,"B",IF(N(VLOOKUP(Frota!$B20,Premissas!$A$39:$E$43,4,0))&gt;0,IF(MOD(INT(Cron_Uso!AP20/Frota!$L20)*Frota!$L20,N(VLOOKUP(Frota!$B20,Premissas!$A$39:$E$43,4,0)))=0,"A","S"),"S")),IF(N(VLOOKUP(Frota!$B20,Premissas!$A$39:$E$43,4,0))&gt;0,IF(MOD(INT(Cron_Uso!AP20/Frota!$L20)*Frota!$L20,N(VLOOKUP(Frota!$B20,Premissas!$A$39:$E$43,4,0)))=0,"A","S"),"S")),""))</f>
        <v/>
      </c>
      <c r="AQ20" s="16" t="str">
        <f aca="false">IF(Cron_Uso!AQ20="","",IF(INT(Cron_Uso!AQ20/Frota!$L20)&gt;INT(Cron_Uso!AP20/Frota!$L20),IF(N(VLOOKUP(Frota!$B20,Premissas!$A$39:$E$43,5,0))&gt;0,IF(MOD(INT(Cron_Uso!AQ20/Frota!$L20)*Frota!$L20,N(VLOOKUP(Frota!$B20,Premissas!$A$39:$E$43,5,0)))=0,"B",IF(N(VLOOKUP(Frota!$B20,Premissas!$A$39:$E$43,4,0))&gt;0,IF(MOD(INT(Cron_Uso!AQ20/Frota!$L20)*Frota!$L20,N(VLOOKUP(Frota!$B20,Premissas!$A$39:$E$43,4,0)))=0,"A","S"),"S")),IF(N(VLOOKUP(Frota!$B20,Premissas!$A$39:$E$43,4,0))&gt;0,IF(MOD(INT(Cron_Uso!AQ20/Frota!$L20)*Frota!$L20,N(VLOOKUP(Frota!$B20,Premissas!$A$39:$E$43,4,0)))=0,"A","S"),"S")),""))</f>
        <v/>
      </c>
      <c r="AR20" s="16" t="str">
        <f aca="false">IF(Cron_Uso!AR20="","",IF(INT(Cron_Uso!AR20/Frota!$L20)&gt;INT(Cron_Uso!AQ20/Frota!$L20),IF(N(VLOOKUP(Frota!$B20,Premissas!$A$39:$E$43,5,0))&gt;0,IF(MOD(INT(Cron_Uso!AR20/Frota!$L20)*Frota!$L20,N(VLOOKUP(Frota!$B20,Premissas!$A$39:$E$43,5,0)))=0,"B",IF(N(VLOOKUP(Frota!$B20,Premissas!$A$39:$E$43,4,0))&gt;0,IF(MOD(INT(Cron_Uso!AR20/Frota!$L20)*Frota!$L20,N(VLOOKUP(Frota!$B20,Premissas!$A$39:$E$43,4,0)))=0,"A","S"),"S")),IF(N(VLOOKUP(Frota!$B20,Premissas!$A$39:$E$43,4,0))&gt;0,IF(MOD(INT(Cron_Uso!AR20/Frota!$L20)*Frota!$L20,N(VLOOKUP(Frota!$B20,Premissas!$A$39:$E$43,4,0)))=0,"A","S"),"S")),""))</f>
        <v/>
      </c>
      <c r="AS20" s="16" t="str">
        <f aca="false">IF(Cron_Uso!AS20="","",IF(INT(Cron_Uso!AS20/Frota!$L20)&gt;INT(Cron_Uso!AR20/Frota!$L20),IF(N(VLOOKUP(Frota!$B20,Premissas!$A$39:$E$43,5,0))&gt;0,IF(MOD(INT(Cron_Uso!AS20/Frota!$L20)*Frota!$L20,N(VLOOKUP(Frota!$B20,Premissas!$A$39:$E$43,5,0)))=0,"B",IF(N(VLOOKUP(Frota!$B20,Premissas!$A$39:$E$43,4,0))&gt;0,IF(MOD(INT(Cron_Uso!AS20/Frota!$L20)*Frota!$L20,N(VLOOKUP(Frota!$B20,Premissas!$A$39:$E$43,4,0)))=0,"A","S"),"S")),IF(N(VLOOKUP(Frota!$B20,Premissas!$A$39:$E$43,4,0))&gt;0,IF(MOD(INT(Cron_Uso!AS20/Frota!$L20)*Frota!$L20,N(VLOOKUP(Frota!$B20,Premissas!$A$39:$E$43,4,0)))=0,"A","S"),"S")),""))</f>
        <v/>
      </c>
      <c r="AT20" s="16" t="str">
        <f aca="false">IF(Cron_Uso!AT20="","",IF(INT(Cron_Uso!AT20/Frota!$L20)&gt;INT(Cron_Uso!AS20/Frota!$L20),IF(N(VLOOKUP(Frota!$B20,Premissas!$A$39:$E$43,5,0))&gt;0,IF(MOD(INT(Cron_Uso!AT20/Frota!$L20)*Frota!$L20,N(VLOOKUP(Frota!$B20,Premissas!$A$39:$E$43,5,0)))=0,"B",IF(N(VLOOKUP(Frota!$B20,Premissas!$A$39:$E$43,4,0))&gt;0,IF(MOD(INT(Cron_Uso!AT20/Frota!$L20)*Frota!$L20,N(VLOOKUP(Frota!$B20,Premissas!$A$39:$E$43,4,0)))=0,"A","S"),"S")),IF(N(VLOOKUP(Frota!$B20,Premissas!$A$39:$E$43,4,0))&gt;0,IF(MOD(INT(Cron_Uso!AT20/Frota!$L20)*Frota!$L20,N(VLOOKUP(Frota!$B20,Premissas!$A$39:$E$43,4,0)))=0,"A","S"),"S")),""))</f>
        <v/>
      </c>
      <c r="AU20" s="16" t="str">
        <f aca="false">IF(Cron_Uso!AU20="","",IF(INT(Cron_Uso!AU20/Frota!$L20)&gt;INT(Cron_Uso!AT20/Frota!$L20),IF(N(VLOOKUP(Frota!$B20,Premissas!$A$39:$E$43,5,0))&gt;0,IF(MOD(INT(Cron_Uso!AU20/Frota!$L20)*Frota!$L20,N(VLOOKUP(Frota!$B20,Premissas!$A$39:$E$43,5,0)))=0,"B",IF(N(VLOOKUP(Frota!$B20,Premissas!$A$39:$E$43,4,0))&gt;0,IF(MOD(INT(Cron_Uso!AU20/Frota!$L20)*Frota!$L20,N(VLOOKUP(Frota!$B20,Premissas!$A$39:$E$43,4,0)))=0,"A","S"),"S")),IF(N(VLOOKUP(Frota!$B20,Premissas!$A$39:$E$43,4,0))&gt;0,IF(MOD(INT(Cron_Uso!AU20/Frota!$L20)*Frota!$L20,N(VLOOKUP(Frota!$B20,Premissas!$A$39:$E$43,4,0)))=0,"A","S"),"S")),""))</f>
        <v/>
      </c>
      <c r="AV20" s="16" t="str">
        <f aca="false">IF(Cron_Uso!AV20="","",IF(INT(Cron_Uso!AV20/Frota!$L20)&gt;INT(Cron_Uso!AU20/Frota!$L20),IF(N(VLOOKUP(Frota!$B20,Premissas!$A$39:$E$43,5,0))&gt;0,IF(MOD(INT(Cron_Uso!AV20/Frota!$L20)*Frota!$L20,N(VLOOKUP(Frota!$B20,Premissas!$A$39:$E$43,5,0)))=0,"B",IF(N(VLOOKUP(Frota!$B20,Premissas!$A$39:$E$43,4,0))&gt;0,IF(MOD(INT(Cron_Uso!AV20/Frota!$L20)*Frota!$L20,N(VLOOKUP(Frota!$B20,Premissas!$A$39:$E$43,4,0)))=0,"A","S"),"S")),IF(N(VLOOKUP(Frota!$B20,Premissas!$A$39:$E$43,4,0))&gt;0,IF(MOD(INT(Cron_Uso!AV20/Frota!$L20)*Frota!$L20,N(VLOOKUP(Frota!$B20,Premissas!$A$39:$E$43,4,0)))=0,"A","S"),"S")),""))</f>
        <v/>
      </c>
      <c r="AW20" s="16" t="str">
        <f aca="false">IF(Cron_Uso!AW20="","",IF(INT(Cron_Uso!AW20/Frota!$L20)&gt;INT(Cron_Uso!AV20/Frota!$L20),IF(N(VLOOKUP(Frota!$B20,Premissas!$A$39:$E$43,5,0))&gt;0,IF(MOD(INT(Cron_Uso!AW20/Frota!$L20)*Frota!$L20,N(VLOOKUP(Frota!$B20,Premissas!$A$39:$E$43,5,0)))=0,"B",IF(N(VLOOKUP(Frota!$B20,Premissas!$A$39:$E$43,4,0))&gt;0,IF(MOD(INT(Cron_Uso!AW20/Frota!$L20)*Frota!$L20,N(VLOOKUP(Frota!$B20,Premissas!$A$39:$E$43,4,0)))=0,"A","S"),"S")),IF(N(VLOOKUP(Frota!$B20,Premissas!$A$39:$E$43,4,0))&gt;0,IF(MOD(INT(Cron_Uso!AW20/Frota!$L20)*Frota!$L20,N(VLOOKUP(Frota!$B20,Premissas!$A$39:$E$43,4,0)))=0,"A","S"),"S")),""))</f>
        <v/>
      </c>
      <c r="AX20" s="16" t="str">
        <f aca="false">IF(Cron_Uso!AX20="","",IF(INT(Cron_Uso!AX20/Frota!$L20)&gt;INT(Cron_Uso!AW20/Frota!$L20),IF(N(VLOOKUP(Frota!$B20,Premissas!$A$39:$E$43,5,0))&gt;0,IF(MOD(INT(Cron_Uso!AX20/Frota!$L20)*Frota!$L20,N(VLOOKUP(Frota!$B20,Premissas!$A$39:$E$43,5,0)))=0,"B",IF(N(VLOOKUP(Frota!$B20,Premissas!$A$39:$E$43,4,0))&gt;0,IF(MOD(INT(Cron_Uso!AX20/Frota!$L20)*Frota!$L20,N(VLOOKUP(Frota!$B20,Premissas!$A$39:$E$43,4,0)))=0,"A","S"),"S")),IF(N(VLOOKUP(Frota!$B20,Premissas!$A$39:$E$43,4,0))&gt;0,IF(MOD(INT(Cron_Uso!AX20/Frota!$L20)*Frota!$L20,N(VLOOKUP(Frota!$B20,Premissas!$A$39:$E$43,4,0)))=0,"A","S"),"S")),""))</f>
        <v/>
      </c>
      <c r="AY20" s="16" t="str">
        <f aca="false">IF(Cron_Uso!AY20="","",IF(INT(Cron_Uso!AY20/Frota!$L20)&gt;INT(Cron_Uso!AX20/Frota!$L20),IF(N(VLOOKUP(Frota!$B20,Premissas!$A$39:$E$43,5,0))&gt;0,IF(MOD(INT(Cron_Uso!AY20/Frota!$L20)*Frota!$L20,N(VLOOKUP(Frota!$B20,Premissas!$A$39:$E$43,5,0)))=0,"B",IF(N(VLOOKUP(Frota!$B20,Premissas!$A$39:$E$43,4,0))&gt;0,IF(MOD(INT(Cron_Uso!AY20/Frota!$L20)*Frota!$L20,N(VLOOKUP(Frota!$B20,Premissas!$A$39:$E$43,4,0)))=0,"A","S"),"S")),IF(N(VLOOKUP(Frota!$B20,Premissas!$A$39:$E$43,4,0))&gt;0,IF(MOD(INT(Cron_Uso!AY20/Frota!$L20)*Frota!$L20,N(VLOOKUP(Frota!$B20,Premissas!$A$39:$E$43,4,0)))=0,"A","S"),"S")),""))</f>
        <v/>
      </c>
      <c r="AZ20" s="16" t="str">
        <f aca="false">IF(Cron_Uso!AZ20="","",IF(INT(Cron_Uso!AZ20/Frota!$L20)&gt;INT(Cron_Uso!AY20/Frota!$L20),IF(N(VLOOKUP(Frota!$B20,Premissas!$A$39:$E$43,5,0))&gt;0,IF(MOD(INT(Cron_Uso!AZ20/Frota!$L20)*Frota!$L20,N(VLOOKUP(Frota!$B20,Premissas!$A$39:$E$43,5,0)))=0,"B",IF(N(VLOOKUP(Frota!$B20,Premissas!$A$39:$E$43,4,0))&gt;0,IF(MOD(INT(Cron_Uso!AZ20/Frota!$L20)*Frota!$L20,N(VLOOKUP(Frota!$B20,Premissas!$A$39:$E$43,4,0)))=0,"A","S"),"S")),IF(N(VLOOKUP(Frota!$B20,Premissas!$A$39:$E$43,4,0))&gt;0,IF(MOD(INT(Cron_Uso!AZ20/Frota!$L20)*Frota!$L20,N(VLOOKUP(Frota!$B20,Premissas!$A$39:$E$43,4,0)))=0,"A","S"),"S")),""))</f>
        <v/>
      </c>
      <c r="BA20" s="16" t="str">
        <f aca="false">IF(Cron_Uso!BA20="","",IF(INT(Cron_Uso!BA20/Frota!$L20)&gt;INT(Cron_Uso!AZ20/Frota!$L20),IF(N(VLOOKUP(Frota!$B20,Premissas!$A$39:$E$43,5,0))&gt;0,IF(MOD(INT(Cron_Uso!BA20/Frota!$L20)*Frota!$L20,N(VLOOKUP(Frota!$B20,Premissas!$A$39:$E$43,5,0)))=0,"B",IF(N(VLOOKUP(Frota!$B20,Premissas!$A$39:$E$43,4,0))&gt;0,IF(MOD(INT(Cron_Uso!BA20/Frota!$L20)*Frota!$L20,N(VLOOKUP(Frota!$B20,Premissas!$A$39:$E$43,4,0)))=0,"A","S"),"S")),IF(N(VLOOKUP(Frota!$B20,Premissas!$A$39:$E$43,4,0))&gt;0,IF(MOD(INT(Cron_Uso!BA20/Frota!$L20)*Frota!$L20,N(VLOOKUP(Frota!$B20,Premissas!$A$39:$E$43,4,0)))=0,"A","S"),"S")),""))</f>
        <v/>
      </c>
    </row>
    <row r="21" customFormat="false" ht="15" hidden="false" customHeight="false" outlineLevel="0" collapsed="false">
      <c r="A21" s="6" t="str">
        <f aca="false">IF(Frota!$A21="","",Frota!$A21)</f>
        <v/>
      </c>
      <c r="B21" s="16" t="str">
        <f aca="false">IF(Cron_Uso!B21="","",IF(INT(Cron_Uso!B21/Frota!$L21)&gt;INT(Frota!$I21/Frota!$L21),IF(N(VLOOKUP(Frota!$B21,Premissas!$A$39:$E$43,5,0))&gt;0,IF(MOD(INT(Cron_Uso!B21/Frota!$L21)*Frota!$L21,N(VLOOKUP(Frota!$B21,Premissas!$A$39:$E$43,5,0)))=0,"B",IF(N(VLOOKUP(Frota!$B21,Premissas!$A$39:$E$43,4,0))&gt;0,IF(MOD(INT(Cron_Uso!B21/Frota!$L21)*Frota!$L21,N(VLOOKUP(Frota!$B21,Premissas!$A$39:$E$43,4,0)))=0,"A","S"),"S")),IF(N(VLOOKUP(Frota!$B21,Premissas!$A$39:$E$43,4,0))&gt;0,IF(MOD(INT(Cron_Uso!B21/Frota!$L21)*Frota!$L21,N(VLOOKUP(Frota!$B21,Premissas!$A$39:$E$43,4,0)))=0,"A","S"),"S")),""))</f>
        <v/>
      </c>
      <c r="C21" s="16" t="str">
        <f aca="false">IF(Cron_Uso!C21="","",IF(INT(Cron_Uso!C21/Frota!$L21)&gt;INT(Cron_Uso!B21/Frota!$L21),IF(N(VLOOKUP(Frota!$B21,Premissas!$A$39:$E$43,5,0))&gt;0,IF(MOD(INT(Cron_Uso!C21/Frota!$L21)*Frota!$L21,N(VLOOKUP(Frota!$B21,Premissas!$A$39:$E$43,5,0)))=0,"B",IF(N(VLOOKUP(Frota!$B21,Premissas!$A$39:$E$43,4,0))&gt;0,IF(MOD(INT(Cron_Uso!C21/Frota!$L21)*Frota!$L21,N(VLOOKUP(Frota!$B21,Premissas!$A$39:$E$43,4,0)))=0,"A","S"),"S")),IF(N(VLOOKUP(Frota!$B21,Premissas!$A$39:$E$43,4,0))&gt;0,IF(MOD(INT(Cron_Uso!C21/Frota!$L21)*Frota!$L21,N(VLOOKUP(Frota!$B21,Premissas!$A$39:$E$43,4,0)))=0,"A","S"),"S")),""))</f>
        <v/>
      </c>
      <c r="D21" s="16" t="str">
        <f aca="false">IF(Cron_Uso!D21="","",IF(INT(Cron_Uso!D21/Frota!$L21)&gt;INT(Cron_Uso!C21/Frota!$L21),IF(N(VLOOKUP(Frota!$B21,Premissas!$A$39:$E$43,5,0))&gt;0,IF(MOD(INT(Cron_Uso!D21/Frota!$L21)*Frota!$L21,N(VLOOKUP(Frota!$B21,Premissas!$A$39:$E$43,5,0)))=0,"B",IF(N(VLOOKUP(Frota!$B21,Premissas!$A$39:$E$43,4,0))&gt;0,IF(MOD(INT(Cron_Uso!D21/Frota!$L21)*Frota!$L21,N(VLOOKUP(Frota!$B21,Premissas!$A$39:$E$43,4,0)))=0,"A","S"),"S")),IF(N(VLOOKUP(Frota!$B21,Premissas!$A$39:$E$43,4,0))&gt;0,IF(MOD(INT(Cron_Uso!D21/Frota!$L21)*Frota!$L21,N(VLOOKUP(Frota!$B21,Premissas!$A$39:$E$43,4,0)))=0,"A","S"),"S")),""))</f>
        <v/>
      </c>
      <c r="E21" s="16" t="str">
        <f aca="false">IF(Cron_Uso!E21="","",IF(INT(Cron_Uso!E21/Frota!$L21)&gt;INT(Cron_Uso!D21/Frota!$L21),IF(N(VLOOKUP(Frota!$B21,Premissas!$A$39:$E$43,5,0))&gt;0,IF(MOD(INT(Cron_Uso!E21/Frota!$L21)*Frota!$L21,N(VLOOKUP(Frota!$B21,Premissas!$A$39:$E$43,5,0)))=0,"B",IF(N(VLOOKUP(Frota!$B21,Premissas!$A$39:$E$43,4,0))&gt;0,IF(MOD(INT(Cron_Uso!E21/Frota!$L21)*Frota!$L21,N(VLOOKUP(Frota!$B21,Premissas!$A$39:$E$43,4,0)))=0,"A","S"),"S")),IF(N(VLOOKUP(Frota!$B21,Premissas!$A$39:$E$43,4,0))&gt;0,IF(MOD(INT(Cron_Uso!E21/Frota!$L21)*Frota!$L21,N(VLOOKUP(Frota!$B21,Premissas!$A$39:$E$43,4,0)))=0,"A","S"),"S")),""))</f>
        <v/>
      </c>
      <c r="F21" s="16" t="str">
        <f aca="false">IF(Cron_Uso!F21="","",IF(INT(Cron_Uso!F21/Frota!$L21)&gt;INT(Cron_Uso!E21/Frota!$L21),IF(N(VLOOKUP(Frota!$B21,Premissas!$A$39:$E$43,5,0))&gt;0,IF(MOD(INT(Cron_Uso!F21/Frota!$L21)*Frota!$L21,N(VLOOKUP(Frota!$B21,Premissas!$A$39:$E$43,5,0)))=0,"B",IF(N(VLOOKUP(Frota!$B21,Premissas!$A$39:$E$43,4,0))&gt;0,IF(MOD(INT(Cron_Uso!F21/Frota!$L21)*Frota!$L21,N(VLOOKUP(Frota!$B21,Premissas!$A$39:$E$43,4,0)))=0,"A","S"),"S")),IF(N(VLOOKUP(Frota!$B21,Premissas!$A$39:$E$43,4,0))&gt;0,IF(MOD(INT(Cron_Uso!F21/Frota!$L21)*Frota!$L21,N(VLOOKUP(Frota!$B21,Premissas!$A$39:$E$43,4,0)))=0,"A","S"),"S")),""))</f>
        <v/>
      </c>
      <c r="G21" s="16" t="str">
        <f aca="false">IF(Cron_Uso!G21="","",IF(INT(Cron_Uso!G21/Frota!$L21)&gt;INT(Cron_Uso!F21/Frota!$L21),IF(N(VLOOKUP(Frota!$B21,Premissas!$A$39:$E$43,5,0))&gt;0,IF(MOD(INT(Cron_Uso!G21/Frota!$L21)*Frota!$L21,N(VLOOKUP(Frota!$B21,Premissas!$A$39:$E$43,5,0)))=0,"B",IF(N(VLOOKUP(Frota!$B21,Premissas!$A$39:$E$43,4,0))&gt;0,IF(MOD(INT(Cron_Uso!G21/Frota!$L21)*Frota!$L21,N(VLOOKUP(Frota!$B21,Premissas!$A$39:$E$43,4,0)))=0,"A","S"),"S")),IF(N(VLOOKUP(Frota!$B21,Premissas!$A$39:$E$43,4,0))&gt;0,IF(MOD(INT(Cron_Uso!G21/Frota!$L21)*Frota!$L21,N(VLOOKUP(Frota!$B21,Premissas!$A$39:$E$43,4,0)))=0,"A","S"),"S")),""))</f>
        <v/>
      </c>
      <c r="H21" s="16" t="str">
        <f aca="false">IF(Cron_Uso!H21="","",IF(INT(Cron_Uso!H21/Frota!$L21)&gt;INT(Cron_Uso!G21/Frota!$L21),IF(N(VLOOKUP(Frota!$B21,Premissas!$A$39:$E$43,5,0))&gt;0,IF(MOD(INT(Cron_Uso!H21/Frota!$L21)*Frota!$L21,N(VLOOKUP(Frota!$B21,Premissas!$A$39:$E$43,5,0)))=0,"B",IF(N(VLOOKUP(Frota!$B21,Premissas!$A$39:$E$43,4,0))&gt;0,IF(MOD(INT(Cron_Uso!H21/Frota!$L21)*Frota!$L21,N(VLOOKUP(Frota!$B21,Premissas!$A$39:$E$43,4,0)))=0,"A","S"),"S")),IF(N(VLOOKUP(Frota!$B21,Premissas!$A$39:$E$43,4,0))&gt;0,IF(MOD(INT(Cron_Uso!H21/Frota!$L21)*Frota!$L21,N(VLOOKUP(Frota!$B21,Premissas!$A$39:$E$43,4,0)))=0,"A","S"),"S")),""))</f>
        <v/>
      </c>
      <c r="I21" s="16" t="str">
        <f aca="false">IF(Cron_Uso!I21="","",IF(INT(Cron_Uso!I21/Frota!$L21)&gt;INT(Cron_Uso!H21/Frota!$L21),IF(N(VLOOKUP(Frota!$B21,Premissas!$A$39:$E$43,5,0))&gt;0,IF(MOD(INT(Cron_Uso!I21/Frota!$L21)*Frota!$L21,N(VLOOKUP(Frota!$B21,Premissas!$A$39:$E$43,5,0)))=0,"B",IF(N(VLOOKUP(Frota!$B21,Premissas!$A$39:$E$43,4,0))&gt;0,IF(MOD(INT(Cron_Uso!I21/Frota!$L21)*Frota!$L21,N(VLOOKUP(Frota!$B21,Premissas!$A$39:$E$43,4,0)))=0,"A","S"),"S")),IF(N(VLOOKUP(Frota!$B21,Premissas!$A$39:$E$43,4,0))&gt;0,IF(MOD(INT(Cron_Uso!I21/Frota!$L21)*Frota!$L21,N(VLOOKUP(Frota!$B21,Premissas!$A$39:$E$43,4,0)))=0,"A","S"),"S")),""))</f>
        <v/>
      </c>
      <c r="J21" s="16" t="str">
        <f aca="false">IF(Cron_Uso!J21="","",IF(INT(Cron_Uso!J21/Frota!$L21)&gt;INT(Cron_Uso!I21/Frota!$L21),IF(N(VLOOKUP(Frota!$B21,Premissas!$A$39:$E$43,5,0))&gt;0,IF(MOD(INT(Cron_Uso!J21/Frota!$L21)*Frota!$L21,N(VLOOKUP(Frota!$B21,Premissas!$A$39:$E$43,5,0)))=0,"B",IF(N(VLOOKUP(Frota!$B21,Premissas!$A$39:$E$43,4,0))&gt;0,IF(MOD(INT(Cron_Uso!J21/Frota!$L21)*Frota!$L21,N(VLOOKUP(Frota!$B21,Premissas!$A$39:$E$43,4,0)))=0,"A","S"),"S")),IF(N(VLOOKUP(Frota!$B21,Premissas!$A$39:$E$43,4,0))&gt;0,IF(MOD(INT(Cron_Uso!J21/Frota!$L21)*Frota!$L21,N(VLOOKUP(Frota!$B21,Premissas!$A$39:$E$43,4,0)))=0,"A","S"),"S")),""))</f>
        <v/>
      </c>
      <c r="K21" s="16" t="str">
        <f aca="false">IF(Cron_Uso!K21="","",IF(INT(Cron_Uso!K21/Frota!$L21)&gt;INT(Cron_Uso!J21/Frota!$L21),IF(N(VLOOKUP(Frota!$B21,Premissas!$A$39:$E$43,5,0))&gt;0,IF(MOD(INT(Cron_Uso!K21/Frota!$L21)*Frota!$L21,N(VLOOKUP(Frota!$B21,Premissas!$A$39:$E$43,5,0)))=0,"B",IF(N(VLOOKUP(Frota!$B21,Premissas!$A$39:$E$43,4,0))&gt;0,IF(MOD(INT(Cron_Uso!K21/Frota!$L21)*Frota!$L21,N(VLOOKUP(Frota!$B21,Premissas!$A$39:$E$43,4,0)))=0,"A","S"),"S")),IF(N(VLOOKUP(Frota!$B21,Premissas!$A$39:$E$43,4,0))&gt;0,IF(MOD(INT(Cron_Uso!K21/Frota!$L21)*Frota!$L21,N(VLOOKUP(Frota!$B21,Premissas!$A$39:$E$43,4,0)))=0,"A","S"),"S")),""))</f>
        <v/>
      </c>
      <c r="L21" s="16" t="str">
        <f aca="false">IF(Cron_Uso!L21="","",IF(INT(Cron_Uso!L21/Frota!$L21)&gt;INT(Cron_Uso!K21/Frota!$L21),IF(N(VLOOKUP(Frota!$B21,Premissas!$A$39:$E$43,5,0))&gt;0,IF(MOD(INT(Cron_Uso!L21/Frota!$L21)*Frota!$L21,N(VLOOKUP(Frota!$B21,Premissas!$A$39:$E$43,5,0)))=0,"B",IF(N(VLOOKUP(Frota!$B21,Premissas!$A$39:$E$43,4,0))&gt;0,IF(MOD(INT(Cron_Uso!L21/Frota!$L21)*Frota!$L21,N(VLOOKUP(Frota!$B21,Premissas!$A$39:$E$43,4,0)))=0,"A","S"),"S")),IF(N(VLOOKUP(Frota!$B21,Premissas!$A$39:$E$43,4,0))&gt;0,IF(MOD(INT(Cron_Uso!L21/Frota!$L21)*Frota!$L21,N(VLOOKUP(Frota!$B21,Premissas!$A$39:$E$43,4,0)))=0,"A","S"),"S")),""))</f>
        <v/>
      </c>
      <c r="M21" s="16" t="str">
        <f aca="false">IF(Cron_Uso!M21="","",IF(INT(Cron_Uso!M21/Frota!$L21)&gt;INT(Cron_Uso!L21/Frota!$L21),IF(N(VLOOKUP(Frota!$B21,Premissas!$A$39:$E$43,5,0))&gt;0,IF(MOD(INT(Cron_Uso!M21/Frota!$L21)*Frota!$L21,N(VLOOKUP(Frota!$B21,Premissas!$A$39:$E$43,5,0)))=0,"B",IF(N(VLOOKUP(Frota!$B21,Premissas!$A$39:$E$43,4,0))&gt;0,IF(MOD(INT(Cron_Uso!M21/Frota!$L21)*Frota!$L21,N(VLOOKUP(Frota!$B21,Premissas!$A$39:$E$43,4,0)))=0,"A","S"),"S")),IF(N(VLOOKUP(Frota!$B21,Premissas!$A$39:$E$43,4,0))&gt;0,IF(MOD(INT(Cron_Uso!M21/Frota!$L21)*Frota!$L21,N(VLOOKUP(Frota!$B21,Premissas!$A$39:$E$43,4,0)))=0,"A","S"),"S")),""))</f>
        <v/>
      </c>
      <c r="N21" s="16" t="str">
        <f aca="false">IF(Cron_Uso!N21="","",IF(INT(Cron_Uso!N21/Frota!$L21)&gt;INT(Cron_Uso!M21/Frota!$L21),IF(N(VLOOKUP(Frota!$B21,Premissas!$A$39:$E$43,5,0))&gt;0,IF(MOD(INT(Cron_Uso!N21/Frota!$L21)*Frota!$L21,N(VLOOKUP(Frota!$B21,Premissas!$A$39:$E$43,5,0)))=0,"B",IF(N(VLOOKUP(Frota!$B21,Premissas!$A$39:$E$43,4,0))&gt;0,IF(MOD(INT(Cron_Uso!N21/Frota!$L21)*Frota!$L21,N(VLOOKUP(Frota!$B21,Premissas!$A$39:$E$43,4,0)))=0,"A","S"),"S")),IF(N(VLOOKUP(Frota!$B21,Premissas!$A$39:$E$43,4,0))&gt;0,IF(MOD(INT(Cron_Uso!N21/Frota!$L21)*Frota!$L21,N(VLOOKUP(Frota!$B21,Premissas!$A$39:$E$43,4,0)))=0,"A","S"),"S")),""))</f>
        <v/>
      </c>
      <c r="O21" s="16" t="str">
        <f aca="false">IF(Cron_Uso!O21="","",IF(INT(Cron_Uso!O21/Frota!$L21)&gt;INT(Cron_Uso!N21/Frota!$L21),IF(N(VLOOKUP(Frota!$B21,Premissas!$A$39:$E$43,5,0))&gt;0,IF(MOD(INT(Cron_Uso!O21/Frota!$L21)*Frota!$L21,N(VLOOKUP(Frota!$B21,Premissas!$A$39:$E$43,5,0)))=0,"B",IF(N(VLOOKUP(Frota!$B21,Premissas!$A$39:$E$43,4,0))&gt;0,IF(MOD(INT(Cron_Uso!O21/Frota!$L21)*Frota!$L21,N(VLOOKUP(Frota!$B21,Premissas!$A$39:$E$43,4,0)))=0,"A","S"),"S")),IF(N(VLOOKUP(Frota!$B21,Premissas!$A$39:$E$43,4,0))&gt;0,IF(MOD(INT(Cron_Uso!O21/Frota!$L21)*Frota!$L21,N(VLOOKUP(Frota!$B21,Premissas!$A$39:$E$43,4,0)))=0,"A","S"),"S")),""))</f>
        <v/>
      </c>
      <c r="P21" s="16" t="str">
        <f aca="false">IF(Cron_Uso!P21="","",IF(INT(Cron_Uso!P21/Frota!$L21)&gt;INT(Cron_Uso!O21/Frota!$L21),IF(N(VLOOKUP(Frota!$B21,Premissas!$A$39:$E$43,5,0))&gt;0,IF(MOD(INT(Cron_Uso!P21/Frota!$L21)*Frota!$L21,N(VLOOKUP(Frota!$B21,Premissas!$A$39:$E$43,5,0)))=0,"B",IF(N(VLOOKUP(Frota!$B21,Premissas!$A$39:$E$43,4,0))&gt;0,IF(MOD(INT(Cron_Uso!P21/Frota!$L21)*Frota!$L21,N(VLOOKUP(Frota!$B21,Premissas!$A$39:$E$43,4,0)))=0,"A","S"),"S")),IF(N(VLOOKUP(Frota!$B21,Premissas!$A$39:$E$43,4,0))&gt;0,IF(MOD(INT(Cron_Uso!P21/Frota!$L21)*Frota!$L21,N(VLOOKUP(Frota!$B21,Premissas!$A$39:$E$43,4,0)))=0,"A","S"),"S")),""))</f>
        <v/>
      </c>
      <c r="Q21" s="16" t="str">
        <f aca="false">IF(Cron_Uso!Q21="","",IF(INT(Cron_Uso!Q21/Frota!$L21)&gt;INT(Cron_Uso!P21/Frota!$L21),IF(N(VLOOKUP(Frota!$B21,Premissas!$A$39:$E$43,5,0))&gt;0,IF(MOD(INT(Cron_Uso!Q21/Frota!$L21)*Frota!$L21,N(VLOOKUP(Frota!$B21,Premissas!$A$39:$E$43,5,0)))=0,"B",IF(N(VLOOKUP(Frota!$B21,Premissas!$A$39:$E$43,4,0))&gt;0,IF(MOD(INT(Cron_Uso!Q21/Frota!$L21)*Frota!$L21,N(VLOOKUP(Frota!$B21,Premissas!$A$39:$E$43,4,0)))=0,"A","S"),"S")),IF(N(VLOOKUP(Frota!$B21,Premissas!$A$39:$E$43,4,0))&gt;0,IF(MOD(INT(Cron_Uso!Q21/Frota!$L21)*Frota!$L21,N(VLOOKUP(Frota!$B21,Premissas!$A$39:$E$43,4,0)))=0,"A","S"),"S")),""))</f>
        <v/>
      </c>
      <c r="R21" s="16" t="str">
        <f aca="false">IF(Cron_Uso!R21="","",IF(INT(Cron_Uso!R21/Frota!$L21)&gt;INT(Cron_Uso!Q21/Frota!$L21),IF(N(VLOOKUP(Frota!$B21,Premissas!$A$39:$E$43,5,0))&gt;0,IF(MOD(INT(Cron_Uso!R21/Frota!$L21)*Frota!$L21,N(VLOOKUP(Frota!$B21,Premissas!$A$39:$E$43,5,0)))=0,"B",IF(N(VLOOKUP(Frota!$B21,Premissas!$A$39:$E$43,4,0))&gt;0,IF(MOD(INT(Cron_Uso!R21/Frota!$L21)*Frota!$L21,N(VLOOKUP(Frota!$B21,Premissas!$A$39:$E$43,4,0)))=0,"A","S"),"S")),IF(N(VLOOKUP(Frota!$B21,Premissas!$A$39:$E$43,4,0))&gt;0,IF(MOD(INT(Cron_Uso!R21/Frota!$L21)*Frota!$L21,N(VLOOKUP(Frota!$B21,Premissas!$A$39:$E$43,4,0)))=0,"A","S"),"S")),""))</f>
        <v/>
      </c>
      <c r="S21" s="16" t="str">
        <f aca="false">IF(Cron_Uso!S21="","",IF(INT(Cron_Uso!S21/Frota!$L21)&gt;INT(Cron_Uso!R21/Frota!$L21),IF(N(VLOOKUP(Frota!$B21,Premissas!$A$39:$E$43,5,0))&gt;0,IF(MOD(INT(Cron_Uso!S21/Frota!$L21)*Frota!$L21,N(VLOOKUP(Frota!$B21,Premissas!$A$39:$E$43,5,0)))=0,"B",IF(N(VLOOKUP(Frota!$B21,Premissas!$A$39:$E$43,4,0))&gt;0,IF(MOD(INT(Cron_Uso!S21/Frota!$L21)*Frota!$L21,N(VLOOKUP(Frota!$B21,Premissas!$A$39:$E$43,4,0)))=0,"A","S"),"S")),IF(N(VLOOKUP(Frota!$B21,Premissas!$A$39:$E$43,4,0))&gt;0,IF(MOD(INT(Cron_Uso!S21/Frota!$L21)*Frota!$L21,N(VLOOKUP(Frota!$B21,Premissas!$A$39:$E$43,4,0)))=0,"A","S"),"S")),""))</f>
        <v/>
      </c>
      <c r="T21" s="16" t="str">
        <f aca="false">IF(Cron_Uso!T21="","",IF(INT(Cron_Uso!T21/Frota!$L21)&gt;INT(Cron_Uso!S21/Frota!$L21),IF(N(VLOOKUP(Frota!$B21,Premissas!$A$39:$E$43,5,0))&gt;0,IF(MOD(INT(Cron_Uso!T21/Frota!$L21)*Frota!$L21,N(VLOOKUP(Frota!$B21,Premissas!$A$39:$E$43,5,0)))=0,"B",IF(N(VLOOKUP(Frota!$B21,Premissas!$A$39:$E$43,4,0))&gt;0,IF(MOD(INT(Cron_Uso!T21/Frota!$L21)*Frota!$L21,N(VLOOKUP(Frota!$B21,Premissas!$A$39:$E$43,4,0)))=0,"A","S"),"S")),IF(N(VLOOKUP(Frota!$B21,Premissas!$A$39:$E$43,4,0))&gt;0,IF(MOD(INT(Cron_Uso!T21/Frota!$L21)*Frota!$L21,N(VLOOKUP(Frota!$B21,Premissas!$A$39:$E$43,4,0)))=0,"A","S"),"S")),""))</f>
        <v/>
      </c>
      <c r="U21" s="16" t="str">
        <f aca="false">IF(Cron_Uso!U21="","",IF(INT(Cron_Uso!U21/Frota!$L21)&gt;INT(Cron_Uso!T21/Frota!$L21),IF(N(VLOOKUP(Frota!$B21,Premissas!$A$39:$E$43,5,0))&gt;0,IF(MOD(INT(Cron_Uso!U21/Frota!$L21)*Frota!$L21,N(VLOOKUP(Frota!$B21,Premissas!$A$39:$E$43,5,0)))=0,"B",IF(N(VLOOKUP(Frota!$B21,Premissas!$A$39:$E$43,4,0))&gt;0,IF(MOD(INT(Cron_Uso!U21/Frota!$L21)*Frota!$L21,N(VLOOKUP(Frota!$B21,Premissas!$A$39:$E$43,4,0)))=0,"A","S"),"S")),IF(N(VLOOKUP(Frota!$B21,Premissas!$A$39:$E$43,4,0))&gt;0,IF(MOD(INT(Cron_Uso!U21/Frota!$L21)*Frota!$L21,N(VLOOKUP(Frota!$B21,Premissas!$A$39:$E$43,4,0)))=0,"A","S"),"S")),""))</f>
        <v/>
      </c>
      <c r="V21" s="16" t="str">
        <f aca="false">IF(Cron_Uso!V21="","",IF(INT(Cron_Uso!V21/Frota!$L21)&gt;INT(Cron_Uso!U21/Frota!$L21),IF(N(VLOOKUP(Frota!$B21,Premissas!$A$39:$E$43,5,0))&gt;0,IF(MOD(INT(Cron_Uso!V21/Frota!$L21)*Frota!$L21,N(VLOOKUP(Frota!$B21,Premissas!$A$39:$E$43,5,0)))=0,"B",IF(N(VLOOKUP(Frota!$B21,Premissas!$A$39:$E$43,4,0))&gt;0,IF(MOD(INT(Cron_Uso!V21/Frota!$L21)*Frota!$L21,N(VLOOKUP(Frota!$B21,Premissas!$A$39:$E$43,4,0)))=0,"A","S"),"S")),IF(N(VLOOKUP(Frota!$B21,Premissas!$A$39:$E$43,4,0))&gt;0,IF(MOD(INT(Cron_Uso!V21/Frota!$L21)*Frota!$L21,N(VLOOKUP(Frota!$B21,Premissas!$A$39:$E$43,4,0)))=0,"A","S"),"S")),""))</f>
        <v/>
      </c>
      <c r="W21" s="16" t="str">
        <f aca="false">IF(Cron_Uso!W21="","",IF(INT(Cron_Uso!W21/Frota!$L21)&gt;INT(Cron_Uso!V21/Frota!$L21),IF(N(VLOOKUP(Frota!$B21,Premissas!$A$39:$E$43,5,0))&gt;0,IF(MOD(INT(Cron_Uso!W21/Frota!$L21)*Frota!$L21,N(VLOOKUP(Frota!$B21,Premissas!$A$39:$E$43,5,0)))=0,"B",IF(N(VLOOKUP(Frota!$B21,Premissas!$A$39:$E$43,4,0))&gt;0,IF(MOD(INT(Cron_Uso!W21/Frota!$L21)*Frota!$L21,N(VLOOKUP(Frota!$B21,Premissas!$A$39:$E$43,4,0)))=0,"A","S"),"S")),IF(N(VLOOKUP(Frota!$B21,Premissas!$A$39:$E$43,4,0))&gt;0,IF(MOD(INT(Cron_Uso!W21/Frota!$L21)*Frota!$L21,N(VLOOKUP(Frota!$B21,Premissas!$A$39:$E$43,4,0)))=0,"A","S"),"S")),""))</f>
        <v/>
      </c>
      <c r="X21" s="16" t="str">
        <f aca="false">IF(Cron_Uso!X21="","",IF(INT(Cron_Uso!X21/Frota!$L21)&gt;INT(Cron_Uso!W21/Frota!$L21),IF(N(VLOOKUP(Frota!$B21,Premissas!$A$39:$E$43,5,0))&gt;0,IF(MOD(INT(Cron_Uso!X21/Frota!$L21)*Frota!$L21,N(VLOOKUP(Frota!$B21,Premissas!$A$39:$E$43,5,0)))=0,"B",IF(N(VLOOKUP(Frota!$B21,Premissas!$A$39:$E$43,4,0))&gt;0,IF(MOD(INT(Cron_Uso!X21/Frota!$L21)*Frota!$L21,N(VLOOKUP(Frota!$B21,Premissas!$A$39:$E$43,4,0)))=0,"A","S"),"S")),IF(N(VLOOKUP(Frota!$B21,Premissas!$A$39:$E$43,4,0))&gt;0,IF(MOD(INT(Cron_Uso!X21/Frota!$L21)*Frota!$L21,N(VLOOKUP(Frota!$B21,Premissas!$A$39:$E$43,4,0)))=0,"A","S"),"S")),""))</f>
        <v/>
      </c>
      <c r="Y21" s="16" t="str">
        <f aca="false">IF(Cron_Uso!Y21="","",IF(INT(Cron_Uso!Y21/Frota!$L21)&gt;INT(Cron_Uso!X21/Frota!$L21),IF(N(VLOOKUP(Frota!$B21,Premissas!$A$39:$E$43,5,0))&gt;0,IF(MOD(INT(Cron_Uso!Y21/Frota!$L21)*Frota!$L21,N(VLOOKUP(Frota!$B21,Premissas!$A$39:$E$43,5,0)))=0,"B",IF(N(VLOOKUP(Frota!$B21,Premissas!$A$39:$E$43,4,0))&gt;0,IF(MOD(INT(Cron_Uso!Y21/Frota!$L21)*Frota!$L21,N(VLOOKUP(Frota!$B21,Premissas!$A$39:$E$43,4,0)))=0,"A","S"),"S")),IF(N(VLOOKUP(Frota!$B21,Premissas!$A$39:$E$43,4,0))&gt;0,IF(MOD(INT(Cron_Uso!Y21/Frota!$L21)*Frota!$L21,N(VLOOKUP(Frota!$B21,Premissas!$A$39:$E$43,4,0)))=0,"A","S"),"S")),""))</f>
        <v/>
      </c>
      <c r="Z21" s="16" t="str">
        <f aca="false">IF(Cron_Uso!Z21="","",IF(INT(Cron_Uso!Z21/Frota!$L21)&gt;INT(Cron_Uso!Y21/Frota!$L21),IF(N(VLOOKUP(Frota!$B21,Premissas!$A$39:$E$43,5,0))&gt;0,IF(MOD(INT(Cron_Uso!Z21/Frota!$L21)*Frota!$L21,N(VLOOKUP(Frota!$B21,Premissas!$A$39:$E$43,5,0)))=0,"B",IF(N(VLOOKUP(Frota!$B21,Premissas!$A$39:$E$43,4,0))&gt;0,IF(MOD(INT(Cron_Uso!Z21/Frota!$L21)*Frota!$L21,N(VLOOKUP(Frota!$B21,Premissas!$A$39:$E$43,4,0)))=0,"A","S"),"S")),IF(N(VLOOKUP(Frota!$B21,Premissas!$A$39:$E$43,4,0))&gt;0,IF(MOD(INT(Cron_Uso!Z21/Frota!$L21)*Frota!$L21,N(VLOOKUP(Frota!$B21,Premissas!$A$39:$E$43,4,0)))=0,"A","S"),"S")),""))</f>
        <v/>
      </c>
      <c r="AA21" s="16" t="str">
        <f aca="false">IF(Cron_Uso!AA21="","",IF(INT(Cron_Uso!AA21/Frota!$L21)&gt;INT(Cron_Uso!Z21/Frota!$L21),IF(N(VLOOKUP(Frota!$B21,Premissas!$A$39:$E$43,5,0))&gt;0,IF(MOD(INT(Cron_Uso!AA21/Frota!$L21)*Frota!$L21,N(VLOOKUP(Frota!$B21,Premissas!$A$39:$E$43,5,0)))=0,"B",IF(N(VLOOKUP(Frota!$B21,Premissas!$A$39:$E$43,4,0))&gt;0,IF(MOD(INT(Cron_Uso!AA21/Frota!$L21)*Frota!$L21,N(VLOOKUP(Frota!$B21,Premissas!$A$39:$E$43,4,0)))=0,"A","S"),"S")),IF(N(VLOOKUP(Frota!$B21,Premissas!$A$39:$E$43,4,0))&gt;0,IF(MOD(INT(Cron_Uso!AA21/Frota!$L21)*Frota!$L21,N(VLOOKUP(Frota!$B21,Premissas!$A$39:$E$43,4,0)))=0,"A","S"),"S")),""))</f>
        <v/>
      </c>
      <c r="AB21" s="16" t="str">
        <f aca="false">IF(Cron_Uso!AB21="","",IF(INT(Cron_Uso!AB21/Frota!$L21)&gt;INT(Cron_Uso!AA21/Frota!$L21),IF(N(VLOOKUP(Frota!$B21,Premissas!$A$39:$E$43,5,0))&gt;0,IF(MOD(INT(Cron_Uso!AB21/Frota!$L21)*Frota!$L21,N(VLOOKUP(Frota!$B21,Premissas!$A$39:$E$43,5,0)))=0,"B",IF(N(VLOOKUP(Frota!$B21,Premissas!$A$39:$E$43,4,0))&gt;0,IF(MOD(INT(Cron_Uso!AB21/Frota!$L21)*Frota!$L21,N(VLOOKUP(Frota!$B21,Premissas!$A$39:$E$43,4,0)))=0,"A","S"),"S")),IF(N(VLOOKUP(Frota!$B21,Premissas!$A$39:$E$43,4,0))&gt;0,IF(MOD(INT(Cron_Uso!AB21/Frota!$L21)*Frota!$L21,N(VLOOKUP(Frota!$B21,Premissas!$A$39:$E$43,4,0)))=0,"A","S"),"S")),""))</f>
        <v/>
      </c>
      <c r="AC21" s="16" t="str">
        <f aca="false">IF(Cron_Uso!AC21="","",IF(INT(Cron_Uso!AC21/Frota!$L21)&gt;INT(Cron_Uso!AB21/Frota!$L21),IF(N(VLOOKUP(Frota!$B21,Premissas!$A$39:$E$43,5,0))&gt;0,IF(MOD(INT(Cron_Uso!AC21/Frota!$L21)*Frota!$L21,N(VLOOKUP(Frota!$B21,Premissas!$A$39:$E$43,5,0)))=0,"B",IF(N(VLOOKUP(Frota!$B21,Premissas!$A$39:$E$43,4,0))&gt;0,IF(MOD(INT(Cron_Uso!AC21/Frota!$L21)*Frota!$L21,N(VLOOKUP(Frota!$B21,Premissas!$A$39:$E$43,4,0)))=0,"A","S"),"S")),IF(N(VLOOKUP(Frota!$B21,Premissas!$A$39:$E$43,4,0))&gt;0,IF(MOD(INT(Cron_Uso!AC21/Frota!$L21)*Frota!$L21,N(VLOOKUP(Frota!$B21,Premissas!$A$39:$E$43,4,0)))=0,"A","S"),"S")),""))</f>
        <v/>
      </c>
      <c r="AD21" s="16" t="str">
        <f aca="false">IF(Cron_Uso!AD21="","",IF(INT(Cron_Uso!AD21/Frota!$L21)&gt;INT(Cron_Uso!AC21/Frota!$L21),IF(N(VLOOKUP(Frota!$B21,Premissas!$A$39:$E$43,5,0))&gt;0,IF(MOD(INT(Cron_Uso!AD21/Frota!$L21)*Frota!$L21,N(VLOOKUP(Frota!$B21,Premissas!$A$39:$E$43,5,0)))=0,"B",IF(N(VLOOKUP(Frota!$B21,Premissas!$A$39:$E$43,4,0))&gt;0,IF(MOD(INT(Cron_Uso!AD21/Frota!$L21)*Frota!$L21,N(VLOOKUP(Frota!$B21,Premissas!$A$39:$E$43,4,0)))=0,"A","S"),"S")),IF(N(VLOOKUP(Frota!$B21,Premissas!$A$39:$E$43,4,0))&gt;0,IF(MOD(INT(Cron_Uso!AD21/Frota!$L21)*Frota!$L21,N(VLOOKUP(Frota!$B21,Premissas!$A$39:$E$43,4,0)))=0,"A","S"),"S")),""))</f>
        <v/>
      </c>
      <c r="AE21" s="16" t="str">
        <f aca="false">IF(Cron_Uso!AE21="","",IF(INT(Cron_Uso!AE21/Frota!$L21)&gt;INT(Cron_Uso!AD21/Frota!$L21),IF(N(VLOOKUP(Frota!$B21,Premissas!$A$39:$E$43,5,0))&gt;0,IF(MOD(INT(Cron_Uso!AE21/Frota!$L21)*Frota!$L21,N(VLOOKUP(Frota!$B21,Premissas!$A$39:$E$43,5,0)))=0,"B",IF(N(VLOOKUP(Frota!$B21,Premissas!$A$39:$E$43,4,0))&gt;0,IF(MOD(INT(Cron_Uso!AE21/Frota!$L21)*Frota!$L21,N(VLOOKUP(Frota!$B21,Premissas!$A$39:$E$43,4,0)))=0,"A","S"),"S")),IF(N(VLOOKUP(Frota!$B21,Premissas!$A$39:$E$43,4,0))&gt;0,IF(MOD(INT(Cron_Uso!AE21/Frota!$L21)*Frota!$L21,N(VLOOKUP(Frota!$B21,Premissas!$A$39:$E$43,4,0)))=0,"A","S"),"S")),""))</f>
        <v/>
      </c>
      <c r="AF21" s="16" t="str">
        <f aca="false">IF(Cron_Uso!AF21="","",IF(INT(Cron_Uso!AF21/Frota!$L21)&gt;INT(Cron_Uso!AE21/Frota!$L21),IF(N(VLOOKUP(Frota!$B21,Premissas!$A$39:$E$43,5,0))&gt;0,IF(MOD(INT(Cron_Uso!AF21/Frota!$L21)*Frota!$L21,N(VLOOKUP(Frota!$B21,Premissas!$A$39:$E$43,5,0)))=0,"B",IF(N(VLOOKUP(Frota!$B21,Premissas!$A$39:$E$43,4,0))&gt;0,IF(MOD(INT(Cron_Uso!AF21/Frota!$L21)*Frota!$L21,N(VLOOKUP(Frota!$B21,Premissas!$A$39:$E$43,4,0)))=0,"A","S"),"S")),IF(N(VLOOKUP(Frota!$B21,Premissas!$A$39:$E$43,4,0))&gt;0,IF(MOD(INT(Cron_Uso!AF21/Frota!$L21)*Frota!$L21,N(VLOOKUP(Frota!$B21,Premissas!$A$39:$E$43,4,0)))=0,"A","S"),"S")),""))</f>
        <v/>
      </c>
      <c r="AG21" s="16" t="str">
        <f aca="false">IF(Cron_Uso!AG21="","",IF(INT(Cron_Uso!AG21/Frota!$L21)&gt;INT(Cron_Uso!AF21/Frota!$L21),IF(N(VLOOKUP(Frota!$B21,Premissas!$A$39:$E$43,5,0))&gt;0,IF(MOD(INT(Cron_Uso!AG21/Frota!$L21)*Frota!$L21,N(VLOOKUP(Frota!$B21,Premissas!$A$39:$E$43,5,0)))=0,"B",IF(N(VLOOKUP(Frota!$B21,Premissas!$A$39:$E$43,4,0))&gt;0,IF(MOD(INT(Cron_Uso!AG21/Frota!$L21)*Frota!$L21,N(VLOOKUP(Frota!$B21,Premissas!$A$39:$E$43,4,0)))=0,"A","S"),"S")),IF(N(VLOOKUP(Frota!$B21,Premissas!$A$39:$E$43,4,0))&gt;0,IF(MOD(INT(Cron_Uso!AG21/Frota!$L21)*Frota!$L21,N(VLOOKUP(Frota!$B21,Premissas!$A$39:$E$43,4,0)))=0,"A","S"),"S")),""))</f>
        <v/>
      </c>
      <c r="AH21" s="16" t="str">
        <f aca="false">IF(Cron_Uso!AH21="","",IF(INT(Cron_Uso!AH21/Frota!$L21)&gt;INT(Cron_Uso!AG21/Frota!$L21),IF(N(VLOOKUP(Frota!$B21,Premissas!$A$39:$E$43,5,0))&gt;0,IF(MOD(INT(Cron_Uso!AH21/Frota!$L21)*Frota!$L21,N(VLOOKUP(Frota!$B21,Premissas!$A$39:$E$43,5,0)))=0,"B",IF(N(VLOOKUP(Frota!$B21,Premissas!$A$39:$E$43,4,0))&gt;0,IF(MOD(INT(Cron_Uso!AH21/Frota!$L21)*Frota!$L21,N(VLOOKUP(Frota!$B21,Premissas!$A$39:$E$43,4,0)))=0,"A","S"),"S")),IF(N(VLOOKUP(Frota!$B21,Premissas!$A$39:$E$43,4,0))&gt;0,IF(MOD(INT(Cron_Uso!AH21/Frota!$L21)*Frota!$L21,N(VLOOKUP(Frota!$B21,Premissas!$A$39:$E$43,4,0)))=0,"A","S"),"S")),""))</f>
        <v/>
      </c>
      <c r="AI21" s="16" t="str">
        <f aca="false">IF(Cron_Uso!AI21="","",IF(INT(Cron_Uso!AI21/Frota!$L21)&gt;INT(Cron_Uso!AH21/Frota!$L21),IF(N(VLOOKUP(Frota!$B21,Premissas!$A$39:$E$43,5,0))&gt;0,IF(MOD(INT(Cron_Uso!AI21/Frota!$L21)*Frota!$L21,N(VLOOKUP(Frota!$B21,Premissas!$A$39:$E$43,5,0)))=0,"B",IF(N(VLOOKUP(Frota!$B21,Premissas!$A$39:$E$43,4,0))&gt;0,IF(MOD(INT(Cron_Uso!AI21/Frota!$L21)*Frota!$L21,N(VLOOKUP(Frota!$B21,Premissas!$A$39:$E$43,4,0)))=0,"A","S"),"S")),IF(N(VLOOKUP(Frota!$B21,Premissas!$A$39:$E$43,4,0))&gt;0,IF(MOD(INT(Cron_Uso!AI21/Frota!$L21)*Frota!$L21,N(VLOOKUP(Frota!$B21,Premissas!$A$39:$E$43,4,0)))=0,"A","S"),"S")),""))</f>
        <v/>
      </c>
      <c r="AJ21" s="16" t="str">
        <f aca="false">IF(Cron_Uso!AJ21="","",IF(INT(Cron_Uso!AJ21/Frota!$L21)&gt;INT(Cron_Uso!AI21/Frota!$L21),IF(N(VLOOKUP(Frota!$B21,Premissas!$A$39:$E$43,5,0))&gt;0,IF(MOD(INT(Cron_Uso!AJ21/Frota!$L21)*Frota!$L21,N(VLOOKUP(Frota!$B21,Premissas!$A$39:$E$43,5,0)))=0,"B",IF(N(VLOOKUP(Frota!$B21,Premissas!$A$39:$E$43,4,0))&gt;0,IF(MOD(INT(Cron_Uso!AJ21/Frota!$L21)*Frota!$L21,N(VLOOKUP(Frota!$B21,Premissas!$A$39:$E$43,4,0)))=0,"A","S"),"S")),IF(N(VLOOKUP(Frota!$B21,Premissas!$A$39:$E$43,4,0))&gt;0,IF(MOD(INT(Cron_Uso!AJ21/Frota!$L21)*Frota!$L21,N(VLOOKUP(Frota!$B21,Premissas!$A$39:$E$43,4,0)))=0,"A","S"),"S")),""))</f>
        <v/>
      </c>
      <c r="AK21" s="16" t="str">
        <f aca="false">IF(Cron_Uso!AK21="","",IF(INT(Cron_Uso!AK21/Frota!$L21)&gt;INT(Cron_Uso!AJ21/Frota!$L21),IF(N(VLOOKUP(Frota!$B21,Premissas!$A$39:$E$43,5,0))&gt;0,IF(MOD(INT(Cron_Uso!AK21/Frota!$L21)*Frota!$L21,N(VLOOKUP(Frota!$B21,Premissas!$A$39:$E$43,5,0)))=0,"B",IF(N(VLOOKUP(Frota!$B21,Premissas!$A$39:$E$43,4,0))&gt;0,IF(MOD(INT(Cron_Uso!AK21/Frota!$L21)*Frota!$L21,N(VLOOKUP(Frota!$B21,Premissas!$A$39:$E$43,4,0)))=0,"A","S"),"S")),IF(N(VLOOKUP(Frota!$B21,Premissas!$A$39:$E$43,4,0))&gt;0,IF(MOD(INT(Cron_Uso!AK21/Frota!$L21)*Frota!$L21,N(VLOOKUP(Frota!$B21,Premissas!$A$39:$E$43,4,0)))=0,"A","S"),"S")),""))</f>
        <v/>
      </c>
      <c r="AL21" s="16" t="str">
        <f aca="false">IF(Cron_Uso!AL21="","",IF(INT(Cron_Uso!AL21/Frota!$L21)&gt;INT(Cron_Uso!AK21/Frota!$L21),IF(N(VLOOKUP(Frota!$B21,Premissas!$A$39:$E$43,5,0))&gt;0,IF(MOD(INT(Cron_Uso!AL21/Frota!$L21)*Frota!$L21,N(VLOOKUP(Frota!$B21,Premissas!$A$39:$E$43,5,0)))=0,"B",IF(N(VLOOKUP(Frota!$B21,Premissas!$A$39:$E$43,4,0))&gt;0,IF(MOD(INT(Cron_Uso!AL21/Frota!$L21)*Frota!$L21,N(VLOOKUP(Frota!$B21,Premissas!$A$39:$E$43,4,0)))=0,"A","S"),"S")),IF(N(VLOOKUP(Frota!$B21,Premissas!$A$39:$E$43,4,0))&gt;0,IF(MOD(INT(Cron_Uso!AL21/Frota!$L21)*Frota!$L21,N(VLOOKUP(Frota!$B21,Premissas!$A$39:$E$43,4,0)))=0,"A","S"),"S")),""))</f>
        <v/>
      </c>
      <c r="AM21" s="16" t="str">
        <f aca="false">IF(Cron_Uso!AM21="","",IF(INT(Cron_Uso!AM21/Frota!$L21)&gt;INT(Cron_Uso!AL21/Frota!$L21),IF(N(VLOOKUP(Frota!$B21,Premissas!$A$39:$E$43,5,0))&gt;0,IF(MOD(INT(Cron_Uso!AM21/Frota!$L21)*Frota!$L21,N(VLOOKUP(Frota!$B21,Premissas!$A$39:$E$43,5,0)))=0,"B",IF(N(VLOOKUP(Frota!$B21,Premissas!$A$39:$E$43,4,0))&gt;0,IF(MOD(INT(Cron_Uso!AM21/Frota!$L21)*Frota!$L21,N(VLOOKUP(Frota!$B21,Premissas!$A$39:$E$43,4,0)))=0,"A","S"),"S")),IF(N(VLOOKUP(Frota!$B21,Premissas!$A$39:$E$43,4,0))&gt;0,IF(MOD(INT(Cron_Uso!AM21/Frota!$L21)*Frota!$L21,N(VLOOKUP(Frota!$B21,Premissas!$A$39:$E$43,4,0)))=0,"A","S"),"S")),""))</f>
        <v/>
      </c>
      <c r="AN21" s="16" t="str">
        <f aca="false">IF(Cron_Uso!AN21="","",IF(INT(Cron_Uso!AN21/Frota!$L21)&gt;INT(Cron_Uso!AM21/Frota!$L21),IF(N(VLOOKUP(Frota!$B21,Premissas!$A$39:$E$43,5,0))&gt;0,IF(MOD(INT(Cron_Uso!AN21/Frota!$L21)*Frota!$L21,N(VLOOKUP(Frota!$B21,Premissas!$A$39:$E$43,5,0)))=0,"B",IF(N(VLOOKUP(Frota!$B21,Premissas!$A$39:$E$43,4,0))&gt;0,IF(MOD(INT(Cron_Uso!AN21/Frota!$L21)*Frota!$L21,N(VLOOKUP(Frota!$B21,Premissas!$A$39:$E$43,4,0)))=0,"A","S"),"S")),IF(N(VLOOKUP(Frota!$B21,Premissas!$A$39:$E$43,4,0))&gt;0,IF(MOD(INT(Cron_Uso!AN21/Frota!$L21)*Frota!$L21,N(VLOOKUP(Frota!$B21,Premissas!$A$39:$E$43,4,0)))=0,"A","S"),"S")),""))</f>
        <v/>
      </c>
      <c r="AO21" s="16" t="str">
        <f aca="false">IF(Cron_Uso!AO21="","",IF(INT(Cron_Uso!AO21/Frota!$L21)&gt;INT(Cron_Uso!AN21/Frota!$L21),IF(N(VLOOKUP(Frota!$B21,Premissas!$A$39:$E$43,5,0))&gt;0,IF(MOD(INT(Cron_Uso!AO21/Frota!$L21)*Frota!$L21,N(VLOOKUP(Frota!$B21,Premissas!$A$39:$E$43,5,0)))=0,"B",IF(N(VLOOKUP(Frota!$B21,Premissas!$A$39:$E$43,4,0))&gt;0,IF(MOD(INT(Cron_Uso!AO21/Frota!$L21)*Frota!$L21,N(VLOOKUP(Frota!$B21,Premissas!$A$39:$E$43,4,0)))=0,"A","S"),"S")),IF(N(VLOOKUP(Frota!$B21,Premissas!$A$39:$E$43,4,0))&gt;0,IF(MOD(INT(Cron_Uso!AO21/Frota!$L21)*Frota!$L21,N(VLOOKUP(Frota!$B21,Premissas!$A$39:$E$43,4,0)))=0,"A","S"),"S")),""))</f>
        <v/>
      </c>
      <c r="AP21" s="16" t="str">
        <f aca="false">IF(Cron_Uso!AP21="","",IF(INT(Cron_Uso!AP21/Frota!$L21)&gt;INT(Cron_Uso!AO21/Frota!$L21),IF(N(VLOOKUP(Frota!$B21,Premissas!$A$39:$E$43,5,0))&gt;0,IF(MOD(INT(Cron_Uso!AP21/Frota!$L21)*Frota!$L21,N(VLOOKUP(Frota!$B21,Premissas!$A$39:$E$43,5,0)))=0,"B",IF(N(VLOOKUP(Frota!$B21,Premissas!$A$39:$E$43,4,0))&gt;0,IF(MOD(INT(Cron_Uso!AP21/Frota!$L21)*Frota!$L21,N(VLOOKUP(Frota!$B21,Premissas!$A$39:$E$43,4,0)))=0,"A","S"),"S")),IF(N(VLOOKUP(Frota!$B21,Premissas!$A$39:$E$43,4,0))&gt;0,IF(MOD(INT(Cron_Uso!AP21/Frota!$L21)*Frota!$L21,N(VLOOKUP(Frota!$B21,Premissas!$A$39:$E$43,4,0)))=0,"A","S"),"S")),""))</f>
        <v/>
      </c>
      <c r="AQ21" s="16" t="str">
        <f aca="false">IF(Cron_Uso!AQ21="","",IF(INT(Cron_Uso!AQ21/Frota!$L21)&gt;INT(Cron_Uso!AP21/Frota!$L21),IF(N(VLOOKUP(Frota!$B21,Premissas!$A$39:$E$43,5,0))&gt;0,IF(MOD(INT(Cron_Uso!AQ21/Frota!$L21)*Frota!$L21,N(VLOOKUP(Frota!$B21,Premissas!$A$39:$E$43,5,0)))=0,"B",IF(N(VLOOKUP(Frota!$B21,Premissas!$A$39:$E$43,4,0))&gt;0,IF(MOD(INT(Cron_Uso!AQ21/Frota!$L21)*Frota!$L21,N(VLOOKUP(Frota!$B21,Premissas!$A$39:$E$43,4,0)))=0,"A","S"),"S")),IF(N(VLOOKUP(Frota!$B21,Premissas!$A$39:$E$43,4,0))&gt;0,IF(MOD(INT(Cron_Uso!AQ21/Frota!$L21)*Frota!$L21,N(VLOOKUP(Frota!$B21,Premissas!$A$39:$E$43,4,0)))=0,"A","S"),"S")),""))</f>
        <v/>
      </c>
      <c r="AR21" s="16" t="str">
        <f aca="false">IF(Cron_Uso!AR21="","",IF(INT(Cron_Uso!AR21/Frota!$L21)&gt;INT(Cron_Uso!AQ21/Frota!$L21),IF(N(VLOOKUP(Frota!$B21,Premissas!$A$39:$E$43,5,0))&gt;0,IF(MOD(INT(Cron_Uso!AR21/Frota!$L21)*Frota!$L21,N(VLOOKUP(Frota!$B21,Premissas!$A$39:$E$43,5,0)))=0,"B",IF(N(VLOOKUP(Frota!$B21,Premissas!$A$39:$E$43,4,0))&gt;0,IF(MOD(INT(Cron_Uso!AR21/Frota!$L21)*Frota!$L21,N(VLOOKUP(Frota!$B21,Premissas!$A$39:$E$43,4,0)))=0,"A","S"),"S")),IF(N(VLOOKUP(Frota!$B21,Premissas!$A$39:$E$43,4,0))&gt;0,IF(MOD(INT(Cron_Uso!AR21/Frota!$L21)*Frota!$L21,N(VLOOKUP(Frota!$B21,Premissas!$A$39:$E$43,4,0)))=0,"A","S"),"S")),""))</f>
        <v/>
      </c>
      <c r="AS21" s="16" t="str">
        <f aca="false">IF(Cron_Uso!AS21="","",IF(INT(Cron_Uso!AS21/Frota!$L21)&gt;INT(Cron_Uso!AR21/Frota!$L21),IF(N(VLOOKUP(Frota!$B21,Premissas!$A$39:$E$43,5,0))&gt;0,IF(MOD(INT(Cron_Uso!AS21/Frota!$L21)*Frota!$L21,N(VLOOKUP(Frota!$B21,Premissas!$A$39:$E$43,5,0)))=0,"B",IF(N(VLOOKUP(Frota!$B21,Premissas!$A$39:$E$43,4,0))&gt;0,IF(MOD(INT(Cron_Uso!AS21/Frota!$L21)*Frota!$L21,N(VLOOKUP(Frota!$B21,Premissas!$A$39:$E$43,4,0)))=0,"A","S"),"S")),IF(N(VLOOKUP(Frota!$B21,Premissas!$A$39:$E$43,4,0))&gt;0,IF(MOD(INT(Cron_Uso!AS21/Frota!$L21)*Frota!$L21,N(VLOOKUP(Frota!$B21,Premissas!$A$39:$E$43,4,0)))=0,"A","S"),"S")),""))</f>
        <v/>
      </c>
      <c r="AT21" s="16" t="str">
        <f aca="false">IF(Cron_Uso!AT21="","",IF(INT(Cron_Uso!AT21/Frota!$L21)&gt;INT(Cron_Uso!AS21/Frota!$L21),IF(N(VLOOKUP(Frota!$B21,Premissas!$A$39:$E$43,5,0))&gt;0,IF(MOD(INT(Cron_Uso!AT21/Frota!$L21)*Frota!$L21,N(VLOOKUP(Frota!$B21,Premissas!$A$39:$E$43,5,0)))=0,"B",IF(N(VLOOKUP(Frota!$B21,Premissas!$A$39:$E$43,4,0))&gt;0,IF(MOD(INT(Cron_Uso!AT21/Frota!$L21)*Frota!$L21,N(VLOOKUP(Frota!$B21,Premissas!$A$39:$E$43,4,0)))=0,"A","S"),"S")),IF(N(VLOOKUP(Frota!$B21,Premissas!$A$39:$E$43,4,0))&gt;0,IF(MOD(INT(Cron_Uso!AT21/Frota!$L21)*Frota!$L21,N(VLOOKUP(Frota!$B21,Premissas!$A$39:$E$43,4,0)))=0,"A","S"),"S")),""))</f>
        <v/>
      </c>
      <c r="AU21" s="16" t="str">
        <f aca="false">IF(Cron_Uso!AU21="","",IF(INT(Cron_Uso!AU21/Frota!$L21)&gt;INT(Cron_Uso!AT21/Frota!$L21),IF(N(VLOOKUP(Frota!$B21,Premissas!$A$39:$E$43,5,0))&gt;0,IF(MOD(INT(Cron_Uso!AU21/Frota!$L21)*Frota!$L21,N(VLOOKUP(Frota!$B21,Premissas!$A$39:$E$43,5,0)))=0,"B",IF(N(VLOOKUP(Frota!$B21,Premissas!$A$39:$E$43,4,0))&gt;0,IF(MOD(INT(Cron_Uso!AU21/Frota!$L21)*Frota!$L21,N(VLOOKUP(Frota!$B21,Premissas!$A$39:$E$43,4,0)))=0,"A","S"),"S")),IF(N(VLOOKUP(Frota!$B21,Premissas!$A$39:$E$43,4,0))&gt;0,IF(MOD(INT(Cron_Uso!AU21/Frota!$L21)*Frota!$L21,N(VLOOKUP(Frota!$B21,Premissas!$A$39:$E$43,4,0)))=0,"A","S"),"S")),""))</f>
        <v/>
      </c>
      <c r="AV21" s="16" t="str">
        <f aca="false">IF(Cron_Uso!AV21="","",IF(INT(Cron_Uso!AV21/Frota!$L21)&gt;INT(Cron_Uso!AU21/Frota!$L21),IF(N(VLOOKUP(Frota!$B21,Premissas!$A$39:$E$43,5,0))&gt;0,IF(MOD(INT(Cron_Uso!AV21/Frota!$L21)*Frota!$L21,N(VLOOKUP(Frota!$B21,Premissas!$A$39:$E$43,5,0)))=0,"B",IF(N(VLOOKUP(Frota!$B21,Premissas!$A$39:$E$43,4,0))&gt;0,IF(MOD(INT(Cron_Uso!AV21/Frota!$L21)*Frota!$L21,N(VLOOKUP(Frota!$B21,Premissas!$A$39:$E$43,4,0)))=0,"A","S"),"S")),IF(N(VLOOKUP(Frota!$B21,Premissas!$A$39:$E$43,4,0))&gt;0,IF(MOD(INT(Cron_Uso!AV21/Frota!$L21)*Frota!$L21,N(VLOOKUP(Frota!$B21,Premissas!$A$39:$E$43,4,0)))=0,"A","S"),"S")),""))</f>
        <v/>
      </c>
      <c r="AW21" s="16" t="str">
        <f aca="false">IF(Cron_Uso!AW21="","",IF(INT(Cron_Uso!AW21/Frota!$L21)&gt;INT(Cron_Uso!AV21/Frota!$L21),IF(N(VLOOKUP(Frota!$B21,Premissas!$A$39:$E$43,5,0))&gt;0,IF(MOD(INT(Cron_Uso!AW21/Frota!$L21)*Frota!$L21,N(VLOOKUP(Frota!$B21,Premissas!$A$39:$E$43,5,0)))=0,"B",IF(N(VLOOKUP(Frota!$B21,Premissas!$A$39:$E$43,4,0))&gt;0,IF(MOD(INT(Cron_Uso!AW21/Frota!$L21)*Frota!$L21,N(VLOOKUP(Frota!$B21,Premissas!$A$39:$E$43,4,0)))=0,"A","S"),"S")),IF(N(VLOOKUP(Frota!$B21,Premissas!$A$39:$E$43,4,0))&gt;0,IF(MOD(INT(Cron_Uso!AW21/Frota!$L21)*Frota!$L21,N(VLOOKUP(Frota!$B21,Premissas!$A$39:$E$43,4,0)))=0,"A","S"),"S")),""))</f>
        <v/>
      </c>
      <c r="AX21" s="16" t="str">
        <f aca="false">IF(Cron_Uso!AX21="","",IF(INT(Cron_Uso!AX21/Frota!$L21)&gt;INT(Cron_Uso!AW21/Frota!$L21),IF(N(VLOOKUP(Frota!$B21,Premissas!$A$39:$E$43,5,0))&gt;0,IF(MOD(INT(Cron_Uso!AX21/Frota!$L21)*Frota!$L21,N(VLOOKUP(Frota!$B21,Premissas!$A$39:$E$43,5,0)))=0,"B",IF(N(VLOOKUP(Frota!$B21,Premissas!$A$39:$E$43,4,0))&gt;0,IF(MOD(INT(Cron_Uso!AX21/Frota!$L21)*Frota!$L21,N(VLOOKUP(Frota!$B21,Premissas!$A$39:$E$43,4,0)))=0,"A","S"),"S")),IF(N(VLOOKUP(Frota!$B21,Premissas!$A$39:$E$43,4,0))&gt;0,IF(MOD(INT(Cron_Uso!AX21/Frota!$L21)*Frota!$L21,N(VLOOKUP(Frota!$B21,Premissas!$A$39:$E$43,4,0)))=0,"A","S"),"S")),""))</f>
        <v/>
      </c>
      <c r="AY21" s="16" t="str">
        <f aca="false">IF(Cron_Uso!AY21="","",IF(INT(Cron_Uso!AY21/Frota!$L21)&gt;INT(Cron_Uso!AX21/Frota!$L21),IF(N(VLOOKUP(Frota!$B21,Premissas!$A$39:$E$43,5,0))&gt;0,IF(MOD(INT(Cron_Uso!AY21/Frota!$L21)*Frota!$L21,N(VLOOKUP(Frota!$B21,Premissas!$A$39:$E$43,5,0)))=0,"B",IF(N(VLOOKUP(Frota!$B21,Premissas!$A$39:$E$43,4,0))&gt;0,IF(MOD(INT(Cron_Uso!AY21/Frota!$L21)*Frota!$L21,N(VLOOKUP(Frota!$B21,Premissas!$A$39:$E$43,4,0)))=0,"A","S"),"S")),IF(N(VLOOKUP(Frota!$B21,Premissas!$A$39:$E$43,4,0))&gt;0,IF(MOD(INT(Cron_Uso!AY21/Frota!$L21)*Frota!$L21,N(VLOOKUP(Frota!$B21,Premissas!$A$39:$E$43,4,0)))=0,"A","S"),"S")),""))</f>
        <v/>
      </c>
      <c r="AZ21" s="16" t="str">
        <f aca="false">IF(Cron_Uso!AZ21="","",IF(INT(Cron_Uso!AZ21/Frota!$L21)&gt;INT(Cron_Uso!AY21/Frota!$L21),IF(N(VLOOKUP(Frota!$B21,Premissas!$A$39:$E$43,5,0))&gt;0,IF(MOD(INT(Cron_Uso!AZ21/Frota!$L21)*Frota!$L21,N(VLOOKUP(Frota!$B21,Premissas!$A$39:$E$43,5,0)))=0,"B",IF(N(VLOOKUP(Frota!$B21,Premissas!$A$39:$E$43,4,0))&gt;0,IF(MOD(INT(Cron_Uso!AZ21/Frota!$L21)*Frota!$L21,N(VLOOKUP(Frota!$B21,Premissas!$A$39:$E$43,4,0)))=0,"A","S"),"S")),IF(N(VLOOKUP(Frota!$B21,Premissas!$A$39:$E$43,4,0))&gt;0,IF(MOD(INT(Cron_Uso!AZ21/Frota!$L21)*Frota!$L21,N(VLOOKUP(Frota!$B21,Premissas!$A$39:$E$43,4,0)))=0,"A","S"),"S")),""))</f>
        <v/>
      </c>
      <c r="BA21" s="16" t="str">
        <f aca="false">IF(Cron_Uso!BA21="","",IF(INT(Cron_Uso!BA21/Frota!$L21)&gt;INT(Cron_Uso!AZ21/Frota!$L21),IF(N(VLOOKUP(Frota!$B21,Premissas!$A$39:$E$43,5,0))&gt;0,IF(MOD(INT(Cron_Uso!BA21/Frota!$L21)*Frota!$L21,N(VLOOKUP(Frota!$B21,Premissas!$A$39:$E$43,5,0)))=0,"B",IF(N(VLOOKUP(Frota!$B21,Premissas!$A$39:$E$43,4,0))&gt;0,IF(MOD(INT(Cron_Uso!BA21/Frota!$L21)*Frota!$L21,N(VLOOKUP(Frota!$B21,Premissas!$A$39:$E$43,4,0)))=0,"A","S"),"S")),IF(N(VLOOKUP(Frota!$B21,Premissas!$A$39:$E$43,4,0))&gt;0,IF(MOD(INT(Cron_Uso!BA21/Frota!$L21)*Frota!$L21,N(VLOOKUP(Frota!$B21,Premissas!$A$39:$E$43,4,0)))=0,"A","S"),"S")),""))</f>
        <v/>
      </c>
    </row>
    <row r="22" customFormat="false" ht="15" hidden="false" customHeight="false" outlineLevel="0" collapsed="false">
      <c r="A22" s="6" t="str">
        <f aca="false">IF(Frota!$A22="","",Frota!$A22)</f>
        <v/>
      </c>
      <c r="B22" s="16" t="str">
        <f aca="false">IF(Cron_Uso!B22="","",IF(INT(Cron_Uso!B22/Frota!$L22)&gt;INT(Frota!$I22/Frota!$L22),IF(N(VLOOKUP(Frota!$B22,Premissas!$A$39:$E$43,5,0))&gt;0,IF(MOD(INT(Cron_Uso!B22/Frota!$L22)*Frota!$L22,N(VLOOKUP(Frota!$B22,Premissas!$A$39:$E$43,5,0)))=0,"B",IF(N(VLOOKUP(Frota!$B22,Premissas!$A$39:$E$43,4,0))&gt;0,IF(MOD(INT(Cron_Uso!B22/Frota!$L22)*Frota!$L22,N(VLOOKUP(Frota!$B22,Premissas!$A$39:$E$43,4,0)))=0,"A","S"),"S")),IF(N(VLOOKUP(Frota!$B22,Premissas!$A$39:$E$43,4,0))&gt;0,IF(MOD(INT(Cron_Uso!B22/Frota!$L22)*Frota!$L22,N(VLOOKUP(Frota!$B22,Premissas!$A$39:$E$43,4,0)))=0,"A","S"),"S")),""))</f>
        <v/>
      </c>
      <c r="C22" s="16" t="str">
        <f aca="false">IF(Cron_Uso!C22="","",IF(INT(Cron_Uso!C22/Frota!$L22)&gt;INT(Cron_Uso!B22/Frota!$L22),IF(N(VLOOKUP(Frota!$B22,Premissas!$A$39:$E$43,5,0))&gt;0,IF(MOD(INT(Cron_Uso!C22/Frota!$L22)*Frota!$L22,N(VLOOKUP(Frota!$B22,Premissas!$A$39:$E$43,5,0)))=0,"B",IF(N(VLOOKUP(Frota!$B22,Premissas!$A$39:$E$43,4,0))&gt;0,IF(MOD(INT(Cron_Uso!C22/Frota!$L22)*Frota!$L22,N(VLOOKUP(Frota!$B22,Premissas!$A$39:$E$43,4,0)))=0,"A","S"),"S")),IF(N(VLOOKUP(Frota!$B22,Premissas!$A$39:$E$43,4,0))&gt;0,IF(MOD(INT(Cron_Uso!C22/Frota!$L22)*Frota!$L22,N(VLOOKUP(Frota!$B22,Premissas!$A$39:$E$43,4,0)))=0,"A","S"),"S")),""))</f>
        <v/>
      </c>
      <c r="D22" s="16" t="str">
        <f aca="false">IF(Cron_Uso!D22="","",IF(INT(Cron_Uso!D22/Frota!$L22)&gt;INT(Cron_Uso!C22/Frota!$L22),IF(N(VLOOKUP(Frota!$B22,Premissas!$A$39:$E$43,5,0))&gt;0,IF(MOD(INT(Cron_Uso!D22/Frota!$L22)*Frota!$L22,N(VLOOKUP(Frota!$B22,Premissas!$A$39:$E$43,5,0)))=0,"B",IF(N(VLOOKUP(Frota!$B22,Premissas!$A$39:$E$43,4,0))&gt;0,IF(MOD(INT(Cron_Uso!D22/Frota!$L22)*Frota!$L22,N(VLOOKUP(Frota!$B22,Premissas!$A$39:$E$43,4,0)))=0,"A","S"),"S")),IF(N(VLOOKUP(Frota!$B22,Premissas!$A$39:$E$43,4,0))&gt;0,IF(MOD(INT(Cron_Uso!D22/Frota!$L22)*Frota!$L22,N(VLOOKUP(Frota!$B22,Premissas!$A$39:$E$43,4,0)))=0,"A","S"),"S")),""))</f>
        <v/>
      </c>
      <c r="E22" s="16" t="str">
        <f aca="false">IF(Cron_Uso!E22="","",IF(INT(Cron_Uso!E22/Frota!$L22)&gt;INT(Cron_Uso!D22/Frota!$L22),IF(N(VLOOKUP(Frota!$B22,Premissas!$A$39:$E$43,5,0))&gt;0,IF(MOD(INT(Cron_Uso!E22/Frota!$L22)*Frota!$L22,N(VLOOKUP(Frota!$B22,Premissas!$A$39:$E$43,5,0)))=0,"B",IF(N(VLOOKUP(Frota!$B22,Premissas!$A$39:$E$43,4,0))&gt;0,IF(MOD(INT(Cron_Uso!E22/Frota!$L22)*Frota!$L22,N(VLOOKUP(Frota!$B22,Premissas!$A$39:$E$43,4,0)))=0,"A","S"),"S")),IF(N(VLOOKUP(Frota!$B22,Premissas!$A$39:$E$43,4,0))&gt;0,IF(MOD(INT(Cron_Uso!E22/Frota!$L22)*Frota!$L22,N(VLOOKUP(Frota!$B22,Premissas!$A$39:$E$43,4,0)))=0,"A","S"),"S")),""))</f>
        <v/>
      </c>
      <c r="F22" s="16" t="str">
        <f aca="false">IF(Cron_Uso!F22="","",IF(INT(Cron_Uso!F22/Frota!$L22)&gt;INT(Cron_Uso!E22/Frota!$L22),IF(N(VLOOKUP(Frota!$B22,Premissas!$A$39:$E$43,5,0))&gt;0,IF(MOD(INT(Cron_Uso!F22/Frota!$L22)*Frota!$L22,N(VLOOKUP(Frota!$B22,Premissas!$A$39:$E$43,5,0)))=0,"B",IF(N(VLOOKUP(Frota!$B22,Premissas!$A$39:$E$43,4,0))&gt;0,IF(MOD(INT(Cron_Uso!F22/Frota!$L22)*Frota!$L22,N(VLOOKUP(Frota!$B22,Premissas!$A$39:$E$43,4,0)))=0,"A","S"),"S")),IF(N(VLOOKUP(Frota!$B22,Premissas!$A$39:$E$43,4,0))&gt;0,IF(MOD(INT(Cron_Uso!F22/Frota!$L22)*Frota!$L22,N(VLOOKUP(Frota!$B22,Premissas!$A$39:$E$43,4,0)))=0,"A","S"),"S")),""))</f>
        <v/>
      </c>
      <c r="G22" s="16" t="str">
        <f aca="false">IF(Cron_Uso!G22="","",IF(INT(Cron_Uso!G22/Frota!$L22)&gt;INT(Cron_Uso!F22/Frota!$L22),IF(N(VLOOKUP(Frota!$B22,Premissas!$A$39:$E$43,5,0))&gt;0,IF(MOD(INT(Cron_Uso!G22/Frota!$L22)*Frota!$L22,N(VLOOKUP(Frota!$B22,Premissas!$A$39:$E$43,5,0)))=0,"B",IF(N(VLOOKUP(Frota!$B22,Premissas!$A$39:$E$43,4,0))&gt;0,IF(MOD(INT(Cron_Uso!G22/Frota!$L22)*Frota!$L22,N(VLOOKUP(Frota!$B22,Premissas!$A$39:$E$43,4,0)))=0,"A","S"),"S")),IF(N(VLOOKUP(Frota!$B22,Premissas!$A$39:$E$43,4,0))&gt;0,IF(MOD(INT(Cron_Uso!G22/Frota!$L22)*Frota!$L22,N(VLOOKUP(Frota!$B22,Premissas!$A$39:$E$43,4,0)))=0,"A","S"),"S")),""))</f>
        <v/>
      </c>
      <c r="H22" s="16" t="str">
        <f aca="false">IF(Cron_Uso!H22="","",IF(INT(Cron_Uso!H22/Frota!$L22)&gt;INT(Cron_Uso!G22/Frota!$L22),IF(N(VLOOKUP(Frota!$B22,Premissas!$A$39:$E$43,5,0))&gt;0,IF(MOD(INT(Cron_Uso!H22/Frota!$L22)*Frota!$L22,N(VLOOKUP(Frota!$B22,Premissas!$A$39:$E$43,5,0)))=0,"B",IF(N(VLOOKUP(Frota!$B22,Premissas!$A$39:$E$43,4,0))&gt;0,IF(MOD(INT(Cron_Uso!H22/Frota!$L22)*Frota!$L22,N(VLOOKUP(Frota!$B22,Premissas!$A$39:$E$43,4,0)))=0,"A","S"),"S")),IF(N(VLOOKUP(Frota!$B22,Premissas!$A$39:$E$43,4,0))&gt;0,IF(MOD(INT(Cron_Uso!H22/Frota!$L22)*Frota!$L22,N(VLOOKUP(Frota!$B22,Premissas!$A$39:$E$43,4,0)))=0,"A","S"),"S")),""))</f>
        <v/>
      </c>
      <c r="I22" s="16" t="str">
        <f aca="false">IF(Cron_Uso!I22="","",IF(INT(Cron_Uso!I22/Frota!$L22)&gt;INT(Cron_Uso!H22/Frota!$L22),IF(N(VLOOKUP(Frota!$B22,Premissas!$A$39:$E$43,5,0))&gt;0,IF(MOD(INT(Cron_Uso!I22/Frota!$L22)*Frota!$L22,N(VLOOKUP(Frota!$B22,Premissas!$A$39:$E$43,5,0)))=0,"B",IF(N(VLOOKUP(Frota!$B22,Premissas!$A$39:$E$43,4,0))&gt;0,IF(MOD(INT(Cron_Uso!I22/Frota!$L22)*Frota!$L22,N(VLOOKUP(Frota!$B22,Premissas!$A$39:$E$43,4,0)))=0,"A","S"),"S")),IF(N(VLOOKUP(Frota!$B22,Premissas!$A$39:$E$43,4,0))&gt;0,IF(MOD(INT(Cron_Uso!I22/Frota!$L22)*Frota!$L22,N(VLOOKUP(Frota!$B22,Premissas!$A$39:$E$43,4,0)))=0,"A","S"),"S")),""))</f>
        <v/>
      </c>
      <c r="J22" s="16" t="str">
        <f aca="false">IF(Cron_Uso!J22="","",IF(INT(Cron_Uso!J22/Frota!$L22)&gt;INT(Cron_Uso!I22/Frota!$L22),IF(N(VLOOKUP(Frota!$B22,Premissas!$A$39:$E$43,5,0))&gt;0,IF(MOD(INT(Cron_Uso!J22/Frota!$L22)*Frota!$L22,N(VLOOKUP(Frota!$B22,Premissas!$A$39:$E$43,5,0)))=0,"B",IF(N(VLOOKUP(Frota!$B22,Premissas!$A$39:$E$43,4,0))&gt;0,IF(MOD(INT(Cron_Uso!J22/Frota!$L22)*Frota!$L22,N(VLOOKUP(Frota!$B22,Premissas!$A$39:$E$43,4,0)))=0,"A","S"),"S")),IF(N(VLOOKUP(Frota!$B22,Premissas!$A$39:$E$43,4,0))&gt;0,IF(MOD(INT(Cron_Uso!J22/Frota!$L22)*Frota!$L22,N(VLOOKUP(Frota!$B22,Premissas!$A$39:$E$43,4,0)))=0,"A","S"),"S")),""))</f>
        <v/>
      </c>
      <c r="K22" s="16" t="str">
        <f aca="false">IF(Cron_Uso!K22="","",IF(INT(Cron_Uso!K22/Frota!$L22)&gt;INT(Cron_Uso!J22/Frota!$L22),IF(N(VLOOKUP(Frota!$B22,Premissas!$A$39:$E$43,5,0))&gt;0,IF(MOD(INT(Cron_Uso!K22/Frota!$L22)*Frota!$L22,N(VLOOKUP(Frota!$B22,Premissas!$A$39:$E$43,5,0)))=0,"B",IF(N(VLOOKUP(Frota!$B22,Premissas!$A$39:$E$43,4,0))&gt;0,IF(MOD(INT(Cron_Uso!K22/Frota!$L22)*Frota!$L22,N(VLOOKUP(Frota!$B22,Premissas!$A$39:$E$43,4,0)))=0,"A","S"),"S")),IF(N(VLOOKUP(Frota!$B22,Premissas!$A$39:$E$43,4,0))&gt;0,IF(MOD(INT(Cron_Uso!K22/Frota!$L22)*Frota!$L22,N(VLOOKUP(Frota!$B22,Premissas!$A$39:$E$43,4,0)))=0,"A","S"),"S")),""))</f>
        <v/>
      </c>
      <c r="L22" s="16" t="str">
        <f aca="false">IF(Cron_Uso!L22="","",IF(INT(Cron_Uso!L22/Frota!$L22)&gt;INT(Cron_Uso!K22/Frota!$L22),IF(N(VLOOKUP(Frota!$B22,Premissas!$A$39:$E$43,5,0))&gt;0,IF(MOD(INT(Cron_Uso!L22/Frota!$L22)*Frota!$L22,N(VLOOKUP(Frota!$B22,Premissas!$A$39:$E$43,5,0)))=0,"B",IF(N(VLOOKUP(Frota!$B22,Premissas!$A$39:$E$43,4,0))&gt;0,IF(MOD(INT(Cron_Uso!L22/Frota!$L22)*Frota!$L22,N(VLOOKUP(Frota!$B22,Premissas!$A$39:$E$43,4,0)))=0,"A","S"),"S")),IF(N(VLOOKUP(Frota!$B22,Premissas!$A$39:$E$43,4,0))&gt;0,IF(MOD(INT(Cron_Uso!L22/Frota!$L22)*Frota!$L22,N(VLOOKUP(Frota!$B22,Premissas!$A$39:$E$43,4,0)))=0,"A","S"),"S")),""))</f>
        <v/>
      </c>
      <c r="M22" s="16" t="str">
        <f aca="false">IF(Cron_Uso!M22="","",IF(INT(Cron_Uso!M22/Frota!$L22)&gt;INT(Cron_Uso!L22/Frota!$L22),IF(N(VLOOKUP(Frota!$B22,Premissas!$A$39:$E$43,5,0))&gt;0,IF(MOD(INT(Cron_Uso!M22/Frota!$L22)*Frota!$L22,N(VLOOKUP(Frota!$B22,Premissas!$A$39:$E$43,5,0)))=0,"B",IF(N(VLOOKUP(Frota!$B22,Premissas!$A$39:$E$43,4,0))&gt;0,IF(MOD(INT(Cron_Uso!M22/Frota!$L22)*Frota!$L22,N(VLOOKUP(Frota!$B22,Premissas!$A$39:$E$43,4,0)))=0,"A","S"),"S")),IF(N(VLOOKUP(Frota!$B22,Premissas!$A$39:$E$43,4,0))&gt;0,IF(MOD(INT(Cron_Uso!M22/Frota!$L22)*Frota!$L22,N(VLOOKUP(Frota!$B22,Premissas!$A$39:$E$43,4,0)))=0,"A","S"),"S")),""))</f>
        <v/>
      </c>
      <c r="N22" s="16" t="str">
        <f aca="false">IF(Cron_Uso!N22="","",IF(INT(Cron_Uso!N22/Frota!$L22)&gt;INT(Cron_Uso!M22/Frota!$L22),IF(N(VLOOKUP(Frota!$B22,Premissas!$A$39:$E$43,5,0))&gt;0,IF(MOD(INT(Cron_Uso!N22/Frota!$L22)*Frota!$L22,N(VLOOKUP(Frota!$B22,Premissas!$A$39:$E$43,5,0)))=0,"B",IF(N(VLOOKUP(Frota!$B22,Premissas!$A$39:$E$43,4,0))&gt;0,IF(MOD(INT(Cron_Uso!N22/Frota!$L22)*Frota!$L22,N(VLOOKUP(Frota!$B22,Premissas!$A$39:$E$43,4,0)))=0,"A","S"),"S")),IF(N(VLOOKUP(Frota!$B22,Premissas!$A$39:$E$43,4,0))&gt;0,IF(MOD(INT(Cron_Uso!N22/Frota!$L22)*Frota!$L22,N(VLOOKUP(Frota!$B22,Premissas!$A$39:$E$43,4,0)))=0,"A","S"),"S")),""))</f>
        <v/>
      </c>
      <c r="O22" s="16" t="str">
        <f aca="false">IF(Cron_Uso!O22="","",IF(INT(Cron_Uso!O22/Frota!$L22)&gt;INT(Cron_Uso!N22/Frota!$L22),IF(N(VLOOKUP(Frota!$B22,Premissas!$A$39:$E$43,5,0))&gt;0,IF(MOD(INT(Cron_Uso!O22/Frota!$L22)*Frota!$L22,N(VLOOKUP(Frota!$B22,Premissas!$A$39:$E$43,5,0)))=0,"B",IF(N(VLOOKUP(Frota!$B22,Premissas!$A$39:$E$43,4,0))&gt;0,IF(MOD(INT(Cron_Uso!O22/Frota!$L22)*Frota!$L22,N(VLOOKUP(Frota!$B22,Premissas!$A$39:$E$43,4,0)))=0,"A","S"),"S")),IF(N(VLOOKUP(Frota!$B22,Premissas!$A$39:$E$43,4,0))&gt;0,IF(MOD(INT(Cron_Uso!O22/Frota!$L22)*Frota!$L22,N(VLOOKUP(Frota!$B22,Premissas!$A$39:$E$43,4,0)))=0,"A","S"),"S")),""))</f>
        <v/>
      </c>
      <c r="P22" s="16" t="str">
        <f aca="false">IF(Cron_Uso!P22="","",IF(INT(Cron_Uso!P22/Frota!$L22)&gt;INT(Cron_Uso!O22/Frota!$L22),IF(N(VLOOKUP(Frota!$B22,Premissas!$A$39:$E$43,5,0))&gt;0,IF(MOD(INT(Cron_Uso!P22/Frota!$L22)*Frota!$L22,N(VLOOKUP(Frota!$B22,Premissas!$A$39:$E$43,5,0)))=0,"B",IF(N(VLOOKUP(Frota!$B22,Premissas!$A$39:$E$43,4,0))&gt;0,IF(MOD(INT(Cron_Uso!P22/Frota!$L22)*Frota!$L22,N(VLOOKUP(Frota!$B22,Premissas!$A$39:$E$43,4,0)))=0,"A","S"),"S")),IF(N(VLOOKUP(Frota!$B22,Premissas!$A$39:$E$43,4,0))&gt;0,IF(MOD(INT(Cron_Uso!P22/Frota!$L22)*Frota!$L22,N(VLOOKUP(Frota!$B22,Premissas!$A$39:$E$43,4,0)))=0,"A","S"),"S")),""))</f>
        <v/>
      </c>
      <c r="Q22" s="16" t="str">
        <f aca="false">IF(Cron_Uso!Q22="","",IF(INT(Cron_Uso!Q22/Frota!$L22)&gt;INT(Cron_Uso!P22/Frota!$L22),IF(N(VLOOKUP(Frota!$B22,Premissas!$A$39:$E$43,5,0))&gt;0,IF(MOD(INT(Cron_Uso!Q22/Frota!$L22)*Frota!$L22,N(VLOOKUP(Frota!$B22,Premissas!$A$39:$E$43,5,0)))=0,"B",IF(N(VLOOKUP(Frota!$B22,Premissas!$A$39:$E$43,4,0))&gt;0,IF(MOD(INT(Cron_Uso!Q22/Frota!$L22)*Frota!$L22,N(VLOOKUP(Frota!$B22,Premissas!$A$39:$E$43,4,0)))=0,"A","S"),"S")),IF(N(VLOOKUP(Frota!$B22,Premissas!$A$39:$E$43,4,0))&gt;0,IF(MOD(INT(Cron_Uso!Q22/Frota!$L22)*Frota!$L22,N(VLOOKUP(Frota!$B22,Premissas!$A$39:$E$43,4,0)))=0,"A","S"),"S")),""))</f>
        <v/>
      </c>
      <c r="R22" s="16" t="str">
        <f aca="false">IF(Cron_Uso!R22="","",IF(INT(Cron_Uso!R22/Frota!$L22)&gt;INT(Cron_Uso!Q22/Frota!$L22),IF(N(VLOOKUP(Frota!$B22,Premissas!$A$39:$E$43,5,0))&gt;0,IF(MOD(INT(Cron_Uso!R22/Frota!$L22)*Frota!$L22,N(VLOOKUP(Frota!$B22,Premissas!$A$39:$E$43,5,0)))=0,"B",IF(N(VLOOKUP(Frota!$B22,Premissas!$A$39:$E$43,4,0))&gt;0,IF(MOD(INT(Cron_Uso!R22/Frota!$L22)*Frota!$L22,N(VLOOKUP(Frota!$B22,Premissas!$A$39:$E$43,4,0)))=0,"A","S"),"S")),IF(N(VLOOKUP(Frota!$B22,Premissas!$A$39:$E$43,4,0))&gt;0,IF(MOD(INT(Cron_Uso!R22/Frota!$L22)*Frota!$L22,N(VLOOKUP(Frota!$B22,Premissas!$A$39:$E$43,4,0)))=0,"A","S"),"S")),""))</f>
        <v/>
      </c>
      <c r="S22" s="16" t="str">
        <f aca="false">IF(Cron_Uso!S22="","",IF(INT(Cron_Uso!S22/Frota!$L22)&gt;INT(Cron_Uso!R22/Frota!$L22),IF(N(VLOOKUP(Frota!$B22,Premissas!$A$39:$E$43,5,0))&gt;0,IF(MOD(INT(Cron_Uso!S22/Frota!$L22)*Frota!$L22,N(VLOOKUP(Frota!$B22,Premissas!$A$39:$E$43,5,0)))=0,"B",IF(N(VLOOKUP(Frota!$B22,Premissas!$A$39:$E$43,4,0))&gt;0,IF(MOD(INT(Cron_Uso!S22/Frota!$L22)*Frota!$L22,N(VLOOKUP(Frota!$B22,Premissas!$A$39:$E$43,4,0)))=0,"A","S"),"S")),IF(N(VLOOKUP(Frota!$B22,Premissas!$A$39:$E$43,4,0))&gt;0,IF(MOD(INT(Cron_Uso!S22/Frota!$L22)*Frota!$L22,N(VLOOKUP(Frota!$B22,Premissas!$A$39:$E$43,4,0)))=0,"A","S"),"S")),""))</f>
        <v/>
      </c>
      <c r="T22" s="16" t="str">
        <f aca="false">IF(Cron_Uso!T22="","",IF(INT(Cron_Uso!T22/Frota!$L22)&gt;INT(Cron_Uso!S22/Frota!$L22),IF(N(VLOOKUP(Frota!$B22,Premissas!$A$39:$E$43,5,0))&gt;0,IF(MOD(INT(Cron_Uso!T22/Frota!$L22)*Frota!$L22,N(VLOOKUP(Frota!$B22,Premissas!$A$39:$E$43,5,0)))=0,"B",IF(N(VLOOKUP(Frota!$B22,Premissas!$A$39:$E$43,4,0))&gt;0,IF(MOD(INT(Cron_Uso!T22/Frota!$L22)*Frota!$L22,N(VLOOKUP(Frota!$B22,Premissas!$A$39:$E$43,4,0)))=0,"A","S"),"S")),IF(N(VLOOKUP(Frota!$B22,Premissas!$A$39:$E$43,4,0))&gt;0,IF(MOD(INT(Cron_Uso!T22/Frota!$L22)*Frota!$L22,N(VLOOKUP(Frota!$B22,Premissas!$A$39:$E$43,4,0)))=0,"A","S"),"S")),""))</f>
        <v/>
      </c>
      <c r="U22" s="16" t="str">
        <f aca="false">IF(Cron_Uso!U22="","",IF(INT(Cron_Uso!U22/Frota!$L22)&gt;INT(Cron_Uso!T22/Frota!$L22),IF(N(VLOOKUP(Frota!$B22,Premissas!$A$39:$E$43,5,0))&gt;0,IF(MOD(INT(Cron_Uso!U22/Frota!$L22)*Frota!$L22,N(VLOOKUP(Frota!$B22,Premissas!$A$39:$E$43,5,0)))=0,"B",IF(N(VLOOKUP(Frota!$B22,Premissas!$A$39:$E$43,4,0))&gt;0,IF(MOD(INT(Cron_Uso!U22/Frota!$L22)*Frota!$L22,N(VLOOKUP(Frota!$B22,Premissas!$A$39:$E$43,4,0)))=0,"A","S"),"S")),IF(N(VLOOKUP(Frota!$B22,Premissas!$A$39:$E$43,4,0))&gt;0,IF(MOD(INT(Cron_Uso!U22/Frota!$L22)*Frota!$L22,N(VLOOKUP(Frota!$B22,Premissas!$A$39:$E$43,4,0)))=0,"A","S"),"S")),""))</f>
        <v/>
      </c>
      <c r="V22" s="16" t="str">
        <f aca="false">IF(Cron_Uso!V22="","",IF(INT(Cron_Uso!V22/Frota!$L22)&gt;INT(Cron_Uso!U22/Frota!$L22),IF(N(VLOOKUP(Frota!$B22,Premissas!$A$39:$E$43,5,0))&gt;0,IF(MOD(INT(Cron_Uso!V22/Frota!$L22)*Frota!$L22,N(VLOOKUP(Frota!$B22,Premissas!$A$39:$E$43,5,0)))=0,"B",IF(N(VLOOKUP(Frota!$B22,Premissas!$A$39:$E$43,4,0))&gt;0,IF(MOD(INT(Cron_Uso!V22/Frota!$L22)*Frota!$L22,N(VLOOKUP(Frota!$B22,Premissas!$A$39:$E$43,4,0)))=0,"A","S"),"S")),IF(N(VLOOKUP(Frota!$B22,Premissas!$A$39:$E$43,4,0))&gt;0,IF(MOD(INT(Cron_Uso!V22/Frota!$L22)*Frota!$L22,N(VLOOKUP(Frota!$B22,Premissas!$A$39:$E$43,4,0)))=0,"A","S"),"S")),""))</f>
        <v/>
      </c>
      <c r="W22" s="16" t="str">
        <f aca="false">IF(Cron_Uso!W22="","",IF(INT(Cron_Uso!W22/Frota!$L22)&gt;INT(Cron_Uso!V22/Frota!$L22),IF(N(VLOOKUP(Frota!$B22,Premissas!$A$39:$E$43,5,0))&gt;0,IF(MOD(INT(Cron_Uso!W22/Frota!$L22)*Frota!$L22,N(VLOOKUP(Frota!$B22,Premissas!$A$39:$E$43,5,0)))=0,"B",IF(N(VLOOKUP(Frota!$B22,Premissas!$A$39:$E$43,4,0))&gt;0,IF(MOD(INT(Cron_Uso!W22/Frota!$L22)*Frota!$L22,N(VLOOKUP(Frota!$B22,Premissas!$A$39:$E$43,4,0)))=0,"A","S"),"S")),IF(N(VLOOKUP(Frota!$B22,Premissas!$A$39:$E$43,4,0))&gt;0,IF(MOD(INT(Cron_Uso!W22/Frota!$L22)*Frota!$L22,N(VLOOKUP(Frota!$B22,Premissas!$A$39:$E$43,4,0)))=0,"A","S"),"S")),""))</f>
        <v/>
      </c>
      <c r="X22" s="16" t="str">
        <f aca="false">IF(Cron_Uso!X22="","",IF(INT(Cron_Uso!X22/Frota!$L22)&gt;INT(Cron_Uso!W22/Frota!$L22),IF(N(VLOOKUP(Frota!$B22,Premissas!$A$39:$E$43,5,0))&gt;0,IF(MOD(INT(Cron_Uso!X22/Frota!$L22)*Frota!$L22,N(VLOOKUP(Frota!$B22,Premissas!$A$39:$E$43,5,0)))=0,"B",IF(N(VLOOKUP(Frota!$B22,Premissas!$A$39:$E$43,4,0))&gt;0,IF(MOD(INT(Cron_Uso!X22/Frota!$L22)*Frota!$L22,N(VLOOKUP(Frota!$B22,Premissas!$A$39:$E$43,4,0)))=0,"A","S"),"S")),IF(N(VLOOKUP(Frota!$B22,Premissas!$A$39:$E$43,4,0))&gt;0,IF(MOD(INT(Cron_Uso!X22/Frota!$L22)*Frota!$L22,N(VLOOKUP(Frota!$B22,Premissas!$A$39:$E$43,4,0)))=0,"A","S"),"S")),""))</f>
        <v/>
      </c>
      <c r="Y22" s="16" t="str">
        <f aca="false">IF(Cron_Uso!Y22="","",IF(INT(Cron_Uso!Y22/Frota!$L22)&gt;INT(Cron_Uso!X22/Frota!$L22),IF(N(VLOOKUP(Frota!$B22,Premissas!$A$39:$E$43,5,0))&gt;0,IF(MOD(INT(Cron_Uso!Y22/Frota!$L22)*Frota!$L22,N(VLOOKUP(Frota!$B22,Premissas!$A$39:$E$43,5,0)))=0,"B",IF(N(VLOOKUP(Frota!$B22,Premissas!$A$39:$E$43,4,0))&gt;0,IF(MOD(INT(Cron_Uso!Y22/Frota!$L22)*Frota!$L22,N(VLOOKUP(Frota!$B22,Premissas!$A$39:$E$43,4,0)))=0,"A","S"),"S")),IF(N(VLOOKUP(Frota!$B22,Premissas!$A$39:$E$43,4,0))&gt;0,IF(MOD(INT(Cron_Uso!Y22/Frota!$L22)*Frota!$L22,N(VLOOKUP(Frota!$B22,Premissas!$A$39:$E$43,4,0)))=0,"A","S"),"S")),""))</f>
        <v/>
      </c>
      <c r="Z22" s="16" t="str">
        <f aca="false">IF(Cron_Uso!Z22="","",IF(INT(Cron_Uso!Z22/Frota!$L22)&gt;INT(Cron_Uso!Y22/Frota!$L22),IF(N(VLOOKUP(Frota!$B22,Premissas!$A$39:$E$43,5,0))&gt;0,IF(MOD(INT(Cron_Uso!Z22/Frota!$L22)*Frota!$L22,N(VLOOKUP(Frota!$B22,Premissas!$A$39:$E$43,5,0)))=0,"B",IF(N(VLOOKUP(Frota!$B22,Premissas!$A$39:$E$43,4,0))&gt;0,IF(MOD(INT(Cron_Uso!Z22/Frota!$L22)*Frota!$L22,N(VLOOKUP(Frota!$B22,Premissas!$A$39:$E$43,4,0)))=0,"A","S"),"S")),IF(N(VLOOKUP(Frota!$B22,Premissas!$A$39:$E$43,4,0))&gt;0,IF(MOD(INT(Cron_Uso!Z22/Frota!$L22)*Frota!$L22,N(VLOOKUP(Frota!$B22,Premissas!$A$39:$E$43,4,0)))=0,"A","S"),"S")),""))</f>
        <v/>
      </c>
      <c r="AA22" s="16" t="str">
        <f aca="false">IF(Cron_Uso!AA22="","",IF(INT(Cron_Uso!AA22/Frota!$L22)&gt;INT(Cron_Uso!Z22/Frota!$L22),IF(N(VLOOKUP(Frota!$B22,Premissas!$A$39:$E$43,5,0))&gt;0,IF(MOD(INT(Cron_Uso!AA22/Frota!$L22)*Frota!$L22,N(VLOOKUP(Frota!$B22,Premissas!$A$39:$E$43,5,0)))=0,"B",IF(N(VLOOKUP(Frota!$B22,Premissas!$A$39:$E$43,4,0))&gt;0,IF(MOD(INT(Cron_Uso!AA22/Frota!$L22)*Frota!$L22,N(VLOOKUP(Frota!$B22,Premissas!$A$39:$E$43,4,0)))=0,"A","S"),"S")),IF(N(VLOOKUP(Frota!$B22,Premissas!$A$39:$E$43,4,0))&gt;0,IF(MOD(INT(Cron_Uso!AA22/Frota!$L22)*Frota!$L22,N(VLOOKUP(Frota!$B22,Premissas!$A$39:$E$43,4,0)))=0,"A","S"),"S")),""))</f>
        <v/>
      </c>
      <c r="AB22" s="16" t="str">
        <f aca="false">IF(Cron_Uso!AB22="","",IF(INT(Cron_Uso!AB22/Frota!$L22)&gt;INT(Cron_Uso!AA22/Frota!$L22),IF(N(VLOOKUP(Frota!$B22,Premissas!$A$39:$E$43,5,0))&gt;0,IF(MOD(INT(Cron_Uso!AB22/Frota!$L22)*Frota!$L22,N(VLOOKUP(Frota!$B22,Premissas!$A$39:$E$43,5,0)))=0,"B",IF(N(VLOOKUP(Frota!$B22,Premissas!$A$39:$E$43,4,0))&gt;0,IF(MOD(INT(Cron_Uso!AB22/Frota!$L22)*Frota!$L22,N(VLOOKUP(Frota!$B22,Premissas!$A$39:$E$43,4,0)))=0,"A","S"),"S")),IF(N(VLOOKUP(Frota!$B22,Premissas!$A$39:$E$43,4,0))&gt;0,IF(MOD(INT(Cron_Uso!AB22/Frota!$L22)*Frota!$L22,N(VLOOKUP(Frota!$B22,Premissas!$A$39:$E$43,4,0)))=0,"A","S"),"S")),""))</f>
        <v/>
      </c>
      <c r="AC22" s="16" t="str">
        <f aca="false">IF(Cron_Uso!AC22="","",IF(INT(Cron_Uso!AC22/Frota!$L22)&gt;INT(Cron_Uso!AB22/Frota!$L22),IF(N(VLOOKUP(Frota!$B22,Premissas!$A$39:$E$43,5,0))&gt;0,IF(MOD(INT(Cron_Uso!AC22/Frota!$L22)*Frota!$L22,N(VLOOKUP(Frota!$B22,Premissas!$A$39:$E$43,5,0)))=0,"B",IF(N(VLOOKUP(Frota!$B22,Premissas!$A$39:$E$43,4,0))&gt;0,IF(MOD(INT(Cron_Uso!AC22/Frota!$L22)*Frota!$L22,N(VLOOKUP(Frota!$B22,Premissas!$A$39:$E$43,4,0)))=0,"A","S"),"S")),IF(N(VLOOKUP(Frota!$B22,Premissas!$A$39:$E$43,4,0))&gt;0,IF(MOD(INT(Cron_Uso!AC22/Frota!$L22)*Frota!$L22,N(VLOOKUP(Frota!$B22,Premissas!$A$39:$E$43,4,0)))=0,"A","S"),"S")),""))</f>
        <v/>
      </c>
      <c r="AD22" s="16" t="str">
        <f aca="false">IF(Cron_Uso!AD22="","",IF(INT(Cron_Uso!AD22/Frota!$L22)&gt;INT(Cron_Uso!AC22/Frota!$L22),IF(N(VLOOKUP(Frota!$B22,Premissas!$A$39:$E$43,5,0))&gt;0,IF(MOD(INT(Cron_Uso!AD22/Frota!$L22)*Frota!$L22,N(VLOOKUP(Frota!$B22,Premissas!$A$39:$E$43,5,0)))=0,"B",IF(N(VLOOKUP(Frota!$B22,Premissas!$A$39:$E$43,4,0))&gt;0,IF(MOD(INT(Cron_Uso!AD22/Frota!$L22)*Frota!$L22,N(VLOOKUP(Frota!$B22,Premissas!$A$39:$E$43,4,0)))=0,"A","S"),"S")),IF(N(VLOOKUP(Frota!$B22,Premissas!$A$39:$E$43,4,0))&gt;0,IF(MOD(INT(Cron_Uso!AD22/Frota!$L22)*Frota!$L22,N(VLOOKUP(Frota!$B22,Premissas!$A$39:$E$43,4,0)))=0,"A","S"),"S")),""))</f>
        <v/>
      </c>
      <c r="AE22" s="16" t="str">
        <f aca="false">IF(Cron_Uso!AE22="","",IF(INT(Cron_Uso!AE22/Frota!$L22)&gt;INT(Cron_Uso!AD22/Frota!$L22),IF(N(VLOOKUP(Frota!$B22,Premissas!$A$39:$E$43,5,0))&gt;0,IF(MOD(INT(Cron_Uso!AE22/Frota!$L22)*Frota!$L22,N(VLOOKUP(Frota!$B22,Premissas!$A$39:$E$43,5,0)))=0,"B",IF(N(VLOOKUP(Frota!$B22,Premissas!$A$39:$E$43,4,0))&gt;0,IF(MOD(INT(Cron_Uso!AE22/Frota!$L22)*Frota!$L22,N(VLOOKUP(Frota!$B22,Premissas!$A$39:$E$43,4,0)))=0,"A","S"),"S")),IF(N(VLOOKUP(Frota!$B22,Premissas!$A$39:$E$43,4,0))&gt;0,IF(MOD(INT(Cron_Uso!AE22/Frota!$L22)*Frota!$L22,N(VLOOKUP(Frota!$B22,Premissas!$A$39:$E$43,4,0)))=0,"A","S"),"S")),""))</f>
        <v/>
      </c>
      <c r="AF22" s="16" t="str">
        <f aca="false">IF(Cron_Uso!AF22="","",IF(INT(Cron_Uso!AF22/Frota!$L22)&gt;INT(Cron_Uso!AE22/Frota!$L22),IF(N(VLOOKUP(Frota!$B22,Premissas!$A$39:$E$43,5,0))&gt;0,IF(MOD(INT(Cron_Uso!AF22/Frota!$L22)*Frota!$L22,N(VLOOKUP(Frota!$B22,Premissas!$A$39:$E$43,5,0)))=0,"B",IF(N(VLOOKUP(Frota!$B22,Premissas!$A$39:$E$43,4,0))&gt;0,IF(MOD(INT(Cron_Uso!AF22/Frota!$L22)*Frota!$L22,N(VLOOKUP(Frota!$B22,Premissas!$A$39:$E$43,4,0)))=0,"A","S"),"S")),IF(N(VLOOKUP(Frota!$B22,Premissas!$A$39:$E$43,4,0))&gt;0,IF(MOD(INT(Cron_Uso!AF22/Frota!$L22)*Frota!$L22,N(VLOOKUP(Frota!$B22,Premissas!$A$39:$E$43,4,0)))=0,"A","S"),"S")),""))</f>
        <v/>
      </c>
      <c r="AG22" s="16" t="str">
        <f aca="false">IF(Cron_Uso!AG22="","",IF(INT(Cron_Uso!AG22/Frota!$L22)&gt;INT(Cron_Uso!AF22/Frota!$L22),IF(N(VLOOKUP(Frota!$B22,Premissas!$A$39:$E$43,5,0))&gt;0,IF(MOD(INT(Cron_Uso!AG22/Frota!$L22)*Frota!$L22,N(VLOOKUP(Frota!$B22,Premissas!$A$39:$E$43,5,0)))=0,"B",IF(N(VLOOKUP(Frota!$B22,Premissas!$A$39:$E$43,4,0))&gt;0,IF(MOD(INT(Cron_Uso!AG22/Frota!$L22)*Frota!$L22,N(VLOOKUP(Frota!$B22,Premissas!$A$39:$E$43,4,0)))=0,"A","S"),"S")),IF(N(VLOOKUP(Frota!$B22,Premissas!$A$39:$E$43,4,0))&gt;0,IF(MOD(INT(Cron_Uso!AG22/Frota!$L22)*Frota!$L22,N(VLOOKUP(Frota!$B22,Premissas!$A$39:$E$43,4,0)))=0,"A","S"),"S")),""))</f>
        <v/>
      </c>
      <c r="AH22" s="16" t="str">
        <f aca="false">IF(Cron_Uso!AH22="","",IF(INT(Cron_Uso!AH22/Frota!$L22)&gt;INT(Cron_Uso!AG22/Frota!$L22),IF(N(VLOOKUP(Frota!$B22,Premissas!$A$39:$E$43,5,0))&gt;0,IF(MOD(INT(Cron_Uso!AH22/Frota!$L22)*Frota!$L22,N(VLOOKUP(Frota!$B22,Premissas!$A$39:$E$43,5,0)))=0,"B",IF(N(VLOOKUP(Frota!$B22,Premissas!$A$39:$E$43,4,0))&gt;0,IF(MOD(INT(Cron_Uso!AH22/Frota!$L22)*Frota!$L22,N(VLOOKUP(Frota!$B22,Premissas!$A$39:$E$43,4,0)))=0,"A","S"),"S")),IF(N(VLOOKUP(Frota!$B22,Premissas!$A$39:$E$43,4,0))&gt;0,IF(MOD(INT(Cron_Uso!AH22/Frota!$L22)*Frota!$L22,N(VLOOKUP(Frota!$B22,Premissas!$A$39:$E$43,4,0)))=0,"A","S"),"S")),""))</f>
        <v/>
      </c>
      <c r="AI22" s="16" t="str">
        <f aca="false">IF(Cron_Uso!AI22="","",IF(INT(Cron_Uso!AI22/Frota!$L22)&gt;INT(Cron_Uso!AH22/Frota!$L22),IF(N(VLOOKUP(Frota!$B22,Premissas!$A$39:$E$43,5,0))&gt;0,IF(MOD(INT(Cron_Uso!AI22/Frota!$L22)*Frota!$L22,N(VLOOKUP(Frota!$B22,Premissas!$A$39:$E$43,5,0)))=0,"B",IF(N(VLOOKUP(Frota!$B22,Premissas!$A$39:$E$43,4,0))&gt;0,IF(MOD(INT(Cron_Uso!AI22/Frota!$L22)*Frota!$L22,N(VLOOKUP(Frota!$B22,Premissas!$A$39:$E$43,4,0)))=0,"A","S"),"S")),IF(N(VLOOKUP(Frota!$B22,Premissas!$A$39:$E$43,4,0))&gt;0,IF(MOD(INT(Cron_Uso!AI22/Frota!$L22)*Frota!$L22,N(VLOOKUP(Frota!$B22,Premissas!$A$39:$E$43,4,0)))=0,"A","S"),"S")),""))</f>
        <v/>
      </c>
      <c r="AJ22" s="16" t="str">
        <f aca="false">IF(Cron_Uso!AJ22="","",IF(INT(Cron_Uso!AJ22/Frota!$L22)&gt;INT(Cron_Uso!AI22/Frota!$L22),IF(N(VLOOKUP(Frota!$B22,Premissas!$A$39:$E$43,5,0))&gt;0,IF(MOD(INT(Cron_Uso!AJ22/Frota!$L22)*Frota!$L22,N(VLOOKUP(Frota!$B22,Premissas!$A$39:$E$43,5,0)))=0,"B",IF(N(VLOOKUP(Frota!$B22,Premissas!$A$39:$E$43,4,0))&gt;0,IF(MOD(INT(Cron_Uso!AJ22/Frota!$L22)*Frota!$L22,N(VLOOKUP(Frota!$B22,Premissas!$A$39:$E$43,4,0)))=0,"A","S"),"S")),IF(N(VLOOKUP(Frota!$B22,Premissas!$A$39:$E$43,4,0))&gt;0,IF(MOD(INT(Cron_Uso!AJ22/Frota!$L22)*Frota!$L22,N(VLOOKUP(Frota!$B22,Premissas!$A$39:$E$43,4,0)))=0,"A","S"),"S")),""))</f>
        <v/>
      </c>
      <c r="AK22" s="16" t="str">
        <f aca="false">IF(Cron_Uso!AK22="","",IF(INT(Cron_Uso!AK22/Frota!$L22)&gt;INT(Cron_Uso!AJ22/Frota!$L22),IF(N(VLOOKUP(Frota!$B22,Premissas!$A$39:$E$43,5,0))&gt;0,IF(MOD(INT(Cron_Uso!AK22/Frota!$L22)*Frota!$L22,N(VLOOKUP(Frota!$B22,Premissas!$A$39:$E$43,5,0)))=0,"B",IF(N(VLOOKUP(Frota!$B22,Premissas!$A$39:$E$43,4,0))&gt;0,IF(MOD(INT(Cron_Uso!AK22/Frota!$L22)*Frota!$L22,N(VLOOKUP(Frota!$B22,Premissas!$A$39:$E$43,4,0)))=0,"A","S"),"S")),IF(N(VLOOKUP(Frota!$B22,Premissas!$A$39:$E$43,4,0))&gt;0,IF(MOD(INT(Cron_Uso!AK22/Frota!$L22)*Frota!$L22,N(VLOOKUP(Frota!$B22,Premissas!$A$39:$E$43,4,0)))=0,"A","S"),"S")),""))</f>
        <v/>
      </c>
      <c r="AL22" s="16" t="str">
        <f aca="false">IF(Cron_Uso!AL22="","",IF(INT(Cron_Uso!AL22/Frota!$L22)&gt;INT(Cron_Uso!AK22/Frota!$L22),IF(N(VLOOKUP(Frota!$B22,Premissas!$A$39:$E$43,5,0))&gt;0,IF(MOD(INT(Cron_Uso!AL22/Frota!$L22)*Frota!$L22,N(VLOOKUP(Frota!$B22,Premissas!$A$39:$E$43,5,0)))=0,"B",IF(N(VLOOKUP(Frota!$B22,Premissas!$A$39:$E$43,4,0))&gt;0,IF(MOD(INT(Cron_Uso!AL22/Frota!$L22)*Frota!$L22,N(VLOOKUP(Frota!$B22,Premissas!$A$39:$E$43,4,0)))=0,"A","S"),"S")),IF(N(VLOOKUP(Frota!$B22,Premissas!$A$39:$E$43,4,0))&gt;0,IF(MOD(INT(Cron_Uso!AL22/Frota!$L22)*Frota!$L22,N(VLOOKUP(Frota!$B22,Premissas!$A$39:$E$43,4,0)))=0,"A","S"),"S")),""))</f>
        <v/>
      </c>
      <c r="AM22" s="16" t="str">
        <f aca="false">IF(Cron_Uso!AM22="","",IF(INT(Cron_Uso!AM22/Frota!$L22)&gt;INT(Cron_Uso!AL22/Frota!$L22),IF(N(VLOOKUP(Frota!$B22,Premissas!$A$39:$E$43,5,0))&gt;0,IF(MOD(INT(Cron_Uso!AM22/Frota!$L22)*Frota!$L22,N(VLOOKUP(Frota!$B22,Premissas!$A$39:$E$43,5,0)))=0,"B",IF(N(VLOOKUP(Frota!$B22,Premissas!$A$39:$E$43,4,0))&gt;0,IF(MOD(INT(Cron_Uso!AM22/Frota!$L22)*Frota!$L22,N(VLOOKUP(Frota!$B22,Premissas!$A$39:$E$43,4,0)))=0,"A","S"),"S")),IF(N(VLOOKUP(Frota!$B22,Premissas!$A$39:$E$43,4,0))&gt;0,IF(MOD(INT(Cron_Uso!AM22/Frota!$L22)*Frota!$L22,N(VLOOKUP(Frota!$B22,Premissas!$A$39:$E$43,4,0)))=0,"A","S"),"S")),""))</f>
        <v/>
      </c>
      <c r="AN22" s="16" t="str">
        <f aca="false">IF(Cron_Uso!AN22="","",IF(INT(Cron_Uso!AN22/Frota!$L22)&gt;INT(Cron_Uso!AM22/Frota!$L22),IF(N(VLOOKUP(Frota!$B22,Premissas!$A$39:$E$43,5,0))&gt;0,IF(MOD(INT(Cron_Uso!AN22/Frota!$L22)*Frota!$L22,N(VLOOKUP(Frota!$B22,Premissas!$A$39:$E$43,5,0)))=0,"B",IF(N(VLOOKUP(Frota!$B22,Premissas!$A$39:$E$43,4,0))&gt;0,IF(MOD(INT(Cron_Uso!AN22/Frota!$L22)*Frota!$L22,N(VLOOKUP(Frota!$B22,Premissas!$A$39:$E$43,4,0)))=0,"A","S"),"S")),IF(N(VLOOKUP(Frota!$B22,Premissas!$A$39:$E$43,4,0))&gt;0,IF(MOD(INT(Cron_Uso!AN22/Frota!$L22)*Frota!$L22,N(VLOOKUP(Frota!$B22,Premissas!$A$39:$E$43,4,0)))=0,"A","S"),"S")),""))</f>
        <v/>
      </c>
      <c r="AO22" s="16" t="str">
        <f aca="false">IF(Cron_Uso!AO22="","",IF(INT(Cron_Uso!AO22/Frota!$L22)&gt;INT(Cron_Uso!AN22/Frota!$L22),IF(N(VLOOKUP(Frota!$B22,Premissas!$A$39:$E$43,5,0))&gt;0,IF(MOD(INT(Cron_Uso!AO22/Frota!$L22)*Frota!$L22,N(VLOOKUP(Frota!$B22,Premissas!$A$39:$E$43,5,0)))=0,"B",IF(N(VLOOKUP(Frota!$B22,Premissas!$A$39:$E$43,4,0))&gt;0,IF(MOD(INT(Cron_Uso!AO22/Frota!$L22)*Frota!$L22,N(VLOOKUP(Frota!$B22,Premissas!$A$39:$E$43,4,0)))=0,"A","S"),"S")),IF(N(VLOOKUP(Frota!$B22,Premissas!$A$39:$E$43,4,0))&gt;0,IF(MOD(INT(Cron_Uso!AO22/Frota!$L22)*Frota!$L22,N(VLOOKUP(Frota!$B22,Premissas!$A$39:$E$43,4,0)))=0,"A","S"),"S")),""))</f>
        <v/>
      </c>
      <c r="AP22" s="16" t="str">
        <f aca="false">IF(Cron_Uso!AP22="","",IF(INT(Cron_Uso!AP22/Frota!$L22)&gt;INT(Cron_Uso!AO22/Frota!$L22),IF(N(VLOOKUP(Frota!$B22,Premissas!$A$39:$E$43,5,0))&gt;0,IF(MOD(INT(Cron_Uso!AP22/Frota!$L22)*Frota!$L22,N(VLOOKUP(Frota!$B22,Premissas!$A$39:$E$43,5,0)))=0,"B",IF(N(VLOOKUP(Frota!$B22,Premissas!$A$39:$E$43,4,0))&gt;0,IF(MOD(INT(Cron_Uso!AP22/Frota!$L22)*Frota!$L22,N(VLOOKUP(Frota!$B22,Premissas!$A$39:$E$43,4,0)))=0,"A","S"),"S")),IF(N(VLOOKUP(Frota!$B22,Premissas!$A$39:$E$43,4,0))&gt;0,IF(MOD(INT(Cron_Uso!AP22/Frota!$L22)*Frota!$L22,N(VLOOKUP(Frota!$B22,Premissas!$A$39:$E$43,4,0)))=0,"A","S"),"S")),""))</f>
        <v/>
      </c>
      <c r="AQ22" s="16" t="str">
        <f aca="false">IF(Cron_Uso!AQ22="","",IF(INT(Cron_Uso!AQ22/Frota!$L22)&gt;INT(Cron_Uso!AP22/Frota!$L22),IF(N(VLOOKUP(Frota!$B22,Premissas!$A$39:$E$43,5,0))&gt;0,IF(MOD(INT(Cron_Uso!AQ22/Frota!$L22)*Frota!$L22,N(VLOOKUP(Frota!$B22,Premissas!$A$39:$E$43,5,0)))=0,"B",IF(N(VLOOKUP(Frota!$B22,Premissas!$A$39:$E$43,4,0))&gt;0,IF(MOD(INT(Cron_Uso!AQ22/Frota!$L22)*Frota!$L22,N(VLOOKUP(Frota!$B22,Premissas!$A$39:$E$43,4,0)))=0,"A","S"),"S")),IF(N(VLOOKUP(Frota!$B22,Premissas!$A$39:$E$43,4,0))&gt;0,IF(MOD(INT(Cron_Uso!AQ22/Frota!$L22)*Frota!$L22,N(VLOOKUP(Frota!$B22,Premissas!$A$39:$E$43,4,0)))=0,"A","S"),"S")),""))</f>
        <v/>
      </c>
      <c r="AR22" s="16" t="str">
        <f aca="false">IF(Cron_Uso!AR22="","",IF(INT(Cron_Uso!AR22/Frota!$L22)&gt;INT(Cron_Uso!AQ22/Frota!$L22),IF(N(VLOOKUP(Frota!$B22,Premissas!$A$39:$E$43,5,0))&gt;0,IF(MOD(INT(Cron_Uso!AR22/Frota!$L22)*Frota!$L22,N(VLOOKUP(Frota!$B22,Premissas!$A$39:$E$43,5,0)))=0,"B",IF(N(VLOOKUP(Frota!$B22,Premissas!$A$39:$E$43,4,0))&gt;0,IF(MOD(INT(Cron_Uso!AR22/Frota!$L22)*Frota!$L22,N(VLOOKUP(Frota!$B22,Premissas!$A$39:$E$43,4,0)))=0,"A","S"),"S")),IF(N(VLOOKUP(Frota!$B22,Premissas!$A$39:$E$43,4,0))&gt;0,IF(MOD(INT(Cron_Uso!AR22/Frota!$L22)*Frota!$L22,N(VLOOKUP(Frota!$B22,Premissas!$A$39:$E$43,4,0)))=0,"A","S"),"S")),""))</f>
        <v/>
      </c>
      <c r="AS22" s="16" t="str">
        <f aca="false">IF(Cron_Uso!AS22="","",IF(INT(Cron_Uso!AS22/Frota!$L22)&gt;INT(Cron_Uso!AR22/Frota!$L22),IF(N(VLOOKUP(Frota!$B22,Premissas!$A$39:$E$43,5,0))&gt;0,IF(MOD(INT(Cron_Uso!AS22/Frota!$L22)*Frota!$L22,N(VLOOKUP(Frota!$B22,Premissas!$A$39:$E$43,5,0)))=0,"B",IF(N(VLOOKUP(Frota!$B22,Premissas!$A$39:$E$43,4,0))&gt;0,IF(MOD(INT(Cron_Uso!AS22/Frota!$L22)*Frota!$L22,N(VLOOKUP(Frota!$B22,Premissas!$A$39:$E$43,4,0)))=0,"A","S"),"S")),IF(N(VLOOKUP(Frota!$B22,Premissas!$A$39:$E$43,4,0))&gt;0,IF(MOD(INT(Cron_Uso!AS22/Frota!$L22)*Frota!$L22,N(VLOOKUP(Frota!$B22,Premissas!$A$39:$E$43,4,0)))=0,"A","S"),"S")),""))</f>
        <v/>
      </c>
      <c r="AT22" s="16" t="str">
        <f aca="false">IF(Cron_Uso!AT22="","",IF(INT(Cron_Uso!AT22/Frota!$L22)&gt;INT(Cron_Uso!AS22/Frota!$L22),IF(N(VLOOKUP(Frota!$B22,Premissas!$A$39:$E$43,5,0))&gt;0,IF(MOD(INT(Cron_Uso!AT22/Frota!$L22)*Frota!$L22,N(VLOOKUP(Frota!$B22,Premissas!$A$39:$E$43,5,0)))=0,"B",IF(N(VLOOKUP(Frota!$B22,Premissas!$A$39:$E$43,4,0))&gt;0,IF(MOD(INT(Cron_Uso!AT22/Frota!$L22)*Frota!$L22,N(VLOOKUP(Frota!$B22,Premissas!$A$39:$E$43,4,0)))=0,"A","S"),"S")),IF(N(VLOOKUP(Frota!$B22,Premissas!$A$39:$E$43,4,0))&gt;0,IF(MOD(INT(Cron_Uso!AT22/Frota!$L22)*Frota!$L22,N(VLOOKUP(Frota!$B22,Premissas!$A$39:$E$43,4,0)))=0,"A","S"),"S")),""))</f>
        <v/>
      </c>
      <c r="AU22" s="16" t="str">
        <f aca="false">IF(Cron_Uso!AU22="","",IF(INT(Cron_Uso!AU22/Frota!$L22)&gt;INT(Cron_Uso!AT22/Frota!$L22),IF(N(VLOOKUP(Frota!$B22,Premissas!$A$39:$E$43,5,0))&gt;0,IF(MOD(INT(Cron_Uso!AU22/Frota!$L22)*Frota!$L22,N(VLOOKUP(Frota!$B22,Premissas!$A$39:$E$43,5,0)))=0,"B",IF(N(VLOOKUP(Frota!$B22,Premissas!$A$39:$E$43,4,0))&gt;0,IF(MOD(INT(Cron_Uso!AU22/Frota!$L22)*Frota!$L22,N(VLOOKUP(Frota!$B22,Premissas!$A$39:$E$43,4,0)))=0,"A","S"),"S")),IF(N(VLOOKUP(Frota!$B22,Premissas!$A$39:$E$43,4,0))&gt;0,IF(MOD(INT(Cron_Uso!AU22/Frota!$L22)*Frota!$L22,N(VLOOKUP(Frota!$B22,Premissas!$A$39:$E$43,4,0)))=0,"A","S"),"S")),""))</f>
        <v/>
      </c>
      <c r="AV22" s="16" t="str">
        <f aca="false">IF(Cron_Uso!AV22="","",IF(INT(Cron_Uso!AV22/Frota!$L22)&gt;INT(Cron_Uso!AU22/Frota!$L22),IF(N(VLOOKUP(Frota!$B22,Premissas!$A$39:$E$43,5,0))&gt;0,IF(MOD(INT(Cron_Uso!AV22/Frota!$L22)*Frota!$L22,N(VLOOKUP(Frota!$B22,Premissas!$A$39:$E$43,5,0)))=0,"B",IF(N(VLOOKUP(Frota!$B22,Premissas!$A$39:$E$43,4,0))&gt;0,IF(MOD(INT(Cron_Uso!AV22/Frota!$L22)*Frota!$L22,N(VLOOKUP(Frota!$B22,Premissas!$A$39:$E$43,4,0)))=0,"A","S"),"S")),IF(N(VLOOKUP(Frota!$B22,Premissas!$A$39:$E$43,4,0))&gt;0,IF(MOD(INT(Cron_Uso!AV22/Frota!$L22)*Frota!$L22,N(VLOOKUP(Frota!$B22,Premissas!$A$39:$E$43,4,0)))=0,"A","S"),"S")),""))</f>
        <v/>
      </c>
      <c r="AW22" s="16" t="str">
        <f aca="false">IF(Cron_Uso!AW22="","",IF(INT(Cron_Uso!AW22/Frota!$L22)&gt;INT(Cron_Uso!AV22/Frota!$L22),IF(N(VLOOKUP(Frota!$B22,Premissas!$A$39:$E$43,5,0))&gt;0,IF(MOD(INT(Cron_Uso!AW22/Frota!$L22)*Frota!$L22,N(VLOOKUP(Frota!$B22,Premissas!$A$39:$E$43,5,0)))=0,"B",IF(N(VLOOKUP(Frota!$B22,Premissas!$A$39:$E$43,4,0))&gt;0,IF(MOD(INT(Cron_Uso!AW22/Frota!$L22)*Frota!$L22,N(VLOOKUP(Frota!$B22,Premissas!$A$39:$E$43,4,0)))=0,"A","S"),"S")),IF(N(VLOOKUP(Frota!$B22,Premissas!$A$39:$E$43,4,0))&gt;0,IF(MOD(INT(Cron_Uso!AW22/Frota!$L22)*Frota!$L22,N(VLOOKUP(Frota!$B22,Premissas!$A$39:$E$43,4,0)))=0,"A","S"),"S")),""))</f>
        <v/>
      </c>
      <c r="AX22" s="16" t="str">
        <f aca="false">IF(Cron_Uso!AX22="","",IF(INT(Cron_Uso!AX22/Frota!$L22)&gt;INT(Cron_Uso!AW22/Frota!$L22),IF(N(VLOOKUP(Frota!$B22,Premissas!$A$39:$E$43,5,0))&gt;0,IF(MOD(INT(Cron_Uso!AX22/Frota!$L22)*Frota!$L22,N(VLOOKUP(Frota!$B22,Premissas!$A$39:$E$43,5,0)))=0,"B",IF(N(VLOOKUP(Frota!$B22,Premissas!$A$39:$E$43,4,0))&gt;0,IF(MOD(INT(Cron_Uso!AX22/Frota!$L22)*Frota!$L22,N(VLOOKUP(Frota!$B22,Premissas!$A$39:$E$43,4,0)))=0,"A","S"),"S")),IF(N(VLOOKUP(Frota!$B22,Premissas!$A$39:$E$43,4,0))&gt;0,IF(MOD(INT(Cron_Uso!AX22/Frota!$L22)*Frota!$L22,N(VLOOKUP(Frota!$B22,Premissas!$A$39:$E$43,4,0)))=0,"A","S"),"S")),""))</f>
        <v/>
      </c>
      <c r="AY22" s="16" t="str">
        <f aca="false">IF(Cron_Uso!AY22="","",IF(INT(Cron_Uso!AY22/Frota!$L22)&gt;INT(Cron_Uso!AX22/Frota!$L22),IF(N(VLOOKUP(Frota!$B22,Premissas!$A$39:$E$43,5,0))&gt;0,IF(MOD(INT(Cron_Uso!AY22/Frota!$L22)*Frota!$L22,N(VLOOKUP(Frota!$B22,Premissas!$A$39:$E$43,5,0)))=0,"B",IF(N(VLOOKUP(Frota!$B22,Premissas!$A$39:$E$43,4,0))&gt;0,IF(MOD(INT(Cron_Uso!AY22/Frota!$L22)*Frota!$L22,N(VLOOKUP(Frota!$B22,Premissas!$A$39:$E$43,4,0)))=0,"A","S"),"S")),IF(N(VLOOKUP(Frota!$B22,Premissas!$A$39:$E$43,4,0))&gt;0,IF(MOD(INT(Cron_Uso!AY22/Frota!$L22)*Frota!$L22,N(VLOOKUP(Frota!$B22,Premissas!$A$39:$E$43,4,0)))=0,"A","S"),"S")),""))</f>
        <v/>
      </c>
      <c r="AZ22" s="16" t="str">
        <f aca="false">IF(Cron_Uso!AZ22="","",IF(INT(Cron_Uso!AZ22/Frota!$L22)&gt;INT(Cron_Uso!AY22/Frota!$L22),IF(N(VLOOKUP(Frota!$B22,Premissas!$A$39:$E$43,5,0))&gt;0,IF(MOD(INT(Cron_Uso!AZ22/Frota!$L22)*Frota!$L22,N(VLOOKUP(Frota!$B22,Premissas!$A$39:$E$43,5,0)))=0,"B",IF(N(VLOOKUP(Frota!$B22,Premissas!$A$39:$E$43,4,0))&gt;0,IF(MOD(INT(Cron_Uso!AZ22/Frota!$L22)*Frota!$L22,N(VLOOKUP(Frota!$B22,Premissas!$A$39:$E$43,4,0)))=0,"A","S"),"S")),IF(N(VLOOKUP(Frota!$B22,Premissas!$A$39:$E$43,4,0))&gt;0,IF(MOD(INT(Cron_Uso!AZ22/Frota!$L22)*Frota!$L22,N(VLOOKUP(Frota!$B22,Premissas!$A$39:$E$43,4,0)))=0,"A","S"),"S")),""))</f>
        <v/>
      </c>
      <c r="BA22" s="16" t="str">
        <f aca="false">IF(Cron_Uso!BA22="","",IF(INT(Cron_Uso!BA22/Frota!$L22)&gt;INT(Cron_Uso!AZ22/Frota!$L22),IF(N(VLOOKUP(Frota!$B22,Premissas!$A$39:$E$43,5,0))&gt;0,IF(MOD(INT(Cron_Uso!BA22/Frota!$L22)*Frota!$L22,N(VLOOKUP(Frota!$B22,Premissas!$A$39:$E$43,5,0)))=0,"B",IF(N(VLOOKUP(Frota!$B22,Premissas!$A$39:$E$43,4,0))&gt;0,IF(MOD(INT(Cron_Uso!BA22/Frota!$L22)*Frota!$L22,N(VLOOKUP(Frota!$B22,Premissas!$A$39:$E$43,4,0)))=0,"A","S"),"S")),IF(N(VLOOKUP(Frota!$B22,Premissas!$A$39:$E$43,4,0))&gt;0,IF(MOD(INT(Cron_Uso!BA22/Frota!$L22)*Frota!$L22,N(VLOOKUP(Frota!$B22,Premissas!$A$39:$E$43,4,0)))=0,"A","S"),"S")),""))</f>
        <v/>
      </c>
    </row>
    <row r="23" customFormat="false" ht="15" hidden="false" customHeight="false" outlineLevel="0" collapsed="false">
      <c r="A23" s="6" t="str">
        <f aca="false">IF(Frota!$A23="","",Frota!$A23)</f>
        <v/>
      </c>
      <c r="B23" s="16" t="str">
        <f aca="false">IF(Cron_Uso!B23="","",IF(INT(Cron_Uso!B23/Frota!$L23)&gt;INT(Frota!$I23/Frota!$L23),IF(N(VLOOKUP(Frota!$B23,Premissas!$A$39:$E$43,5,0))&gt;0,IF(MOD(INT(Cron_Uso!B23/Frota!$L23)*Frota!$L23,N(VLOOKUP(Frota!$B23,Premissas!$A$39:$E$43,5,0)))=0,"B",IF(N(VLOOKUP(Frota!$B23,Premissas!$A$39:$E$43,4,0))&gt;0,IF(MOD(INT(Cron_Uso!B23/Frota!$L23)*Frota!$L23,N(VLOOKUP(Frota!$B23,Premissas!$A$39:$E$43,4,0)))=0,"A","S"),"S")),IF(N(VLOOKUP(Frota!$B23,Premissas!$A$39:$E$43,4,0))&gt;0,IF(MOD(INT(Cron_Uso!B23/Frota!$L23)*Frota!$L23,N(VLOOKUP(Frota!$B23,Premissas!$A$39:$E$43,4,0)))=0,"A","S"),"S")),""))</f>
        <v/>
      </c>
      <c r="C23" s="16" t="str">
        <f aca="false">IF(Cron_Uso!C23="","",IF(INT(Cron_Uso!C23/Frota!$L23)&gt;INT(Cron_Uso!B23/Frota!$L23),IF(N(VLOOKUP(Frota!$B23,Premissas!$A$39:$E$43,5,0))&gt;0,IF(MOD(INT(Cron_Uso!C23/Frota!$L23)*Frota!$L23,N(VLOOKUP(Frota!$B23,Premissas!$A$39:$E$43,5,0)))=0,"B",IF(N(VLOOKUP(Frota!$B23,Premissas!$A$39:$E$43,4,0))&gt;0,IF(MOD(INT(Cron_Uso!C23/Frota!$L23)*Frota!$L23,N(VLOOKUP(Frota!$B23,Premissas!$A$39:$E$43,4,0)))=0,"A","S"),"S")),IF(N(VLOOKUP(Frota!$B23,Premissas!$A$39:$E$43,4,0))&gt;0,IF(MOD(INT(Cron_Uso!C23/Frota!$L23)*Frota!$L23,N(VLOOKUP(Frota!$B23,Premissas!$A$39:$E$43,4,0)))=0,"A","S"),"S")),""))</f>
        <v/>
      </c>
      <c r="D23" s="16" t="str">
        <f aca="false">IF(Cron_Uso!D23="","",IF(INT(Cron_Uso!D23/Frota!$L23)&gt;INT(Cron_Uso!C23/Frota!$L23),IF(N(VLOOKUP(Frota!$B23,Premissas!$A$39:$E$43,5,0))&gt;0,IF(MOD(INT(Cron_Uso!D23/Frota!$L23)*Frota!$L23,N(VLOOKUP(Frota!$B23,Premissas!$A$39:$E$43,5,0)))=0,"B",IF(N(VLOOKUP(Frota!$B23,Premissas!$A$39:$E$43,4,0))&gt;0,IF(MOD(INT(Cron_Uso!D23/Frota!$L23)*Frota!$L23,N(VLOOKUP(Frota!$B23,Premissas!$A$39:$E$43,4,0)))=0,"A","S"),"S")),IF(N(VLOOKUP(Frota!$B23,Premissas!$A$39:$E$43,4,0))&gt;0,IF(MOD(INT(Cron_Uso!D23/Frota!$L23)*Frota!$L23,N(VLOOKUP(Frota!$B23,Premissas!$A$39:$E$43,4,0)))=0,"A","S"),"S")),""))</f>
        <v/>
      </c>
      <c r="E23" s="16" t="str">
        <f aca="false">IF(Cron_Uso!E23="","",IF(INT(Cron_Uso!E23/Frota!$L23)&gt;INT(Cron_Uso!D23/Frota!$L23),IF(N(VLOOKUP(Frota!$B23,Premissas!$A$39:$E$43,5,0))&gt;0,IF(MOD(INT(Cron_Uso!E23/Frota!$L23)*Frota!$L23,N(VLOOKUP(Frota!$B23,Premissas!$A$39:$E$43,5,0)))=0,"B",IF(N(VLOOKUP(Frota!$B23,Premissas!$A$39:$E$43,4,0))&gt;0,IF(MOD(INT(Cron_Uso!E23/Frota!$L23)*Frota!$L23,N(VLOOKUP(Frota!$B23,Premissas!$A$39:$E$43,4,0)))=0,"A","S"),"S")),IF(N(VLOOKUP(Frota!$B23,Premissas!$A$39:$E$43,4,0))&gt;0,IF(MOD(INT(Cron_Uso!E23/Frota!$L23)*Frota!$L23,N(VLOOKUP(Frota!$B23,Premissas!$A$39:$E$43,4,0)))=0,"A","S"),"S")),""))</f>
        <v/>
      </c>
      <c r="F23" s="16" t="str">
        <f aca="false">IF(Cron_Uso!F23="","",IF(INT(Cron_Uso!F23/Frota!$L23)&gt;INT(Cron_Uso!E23/Frota!$L23),IF(N(VLOOKUP(Frota!$B23,Premissas!$A$39:$E$43,5,0))&gt;0,IF(MOD(INT(Cron_Uso!F23/Frota!$L23)*Frota!$L23,N(VLOOKUP(Frota!$B23,Premissas!$A$39:$E$43,5,0)))=0,"B",IF(N(VLOOKUP(Frota!$B23,Premissas!$A$39:$E$43,4,0))&gt;0,IF(MOD(INT(Cron_Uso!F23/Frota!$L23)*Frota!$L23,N(VLOOKUP(Frota!$B23,Premissas!$A$39:$E$43,4,0)))=0,"A","S"),"S")),IF(N(VLOOKUP(Frota!$B23,Premissas!$A$39:$E$43,4,0))&gt;0,IF(MOD(INT(Cron_Uso!F23/Frota!$L23)*Frota!$L23,N(VLOOKUP(Frota!$B23,Premissas!$A$39:$E$43,4,0)))=0,"A","S"),"S")),""))</f>
        <v/>
      </c>
      <c r="G23" s="16" t="str">
        <f aca="false">IF(Cron_Uso!G23="","",IF(INT(Cron_Uso!G23/Frota!$L23)&gt;INT(Cron_Uso!F23/Frota!$L23),IF(N(VLOOKUP(Frota!$B23,Premissas!$A$39:$E$43,5,0))&gt;0,IF(MOD(INT(Cron_Uso!G23/Frota!$L23)*Frota!$L23,N(VLOOKUP(Frota!$B23,Premissas!$A$39:$E$43,5,0)))=0,"B",IF(N(VLOOKUP(Frota!$B23,Premissas!$A$39:$E$43,4,0))&gt;0,IF(MOD(INT(Cron_Uso!G23/Frota!$L23)*Frota!$L23,N(VLOOKUP(Frota!$B23,Premissas!$A$39:$E$43,4,0)))=0,"A","S"),"S")),IF(N(VLOOKUP(Frota!$B23,Premissas!$A$39:$E$43,4,0))&gt;0,IF(MOD(INT(Cron_Uso!G23/Frota!$L23)*Frota!$L23,N(VLOOKUP(Frota!$B23,Premissas!$A$39:$E$43,4,0)))=0,"A","S"),"S")),""))</f>
        <v/>
      </c>
      <c r="H23" s="16" t="str">
        <f aca="false">IF(Cron_Uso!H23="","",IF(INT(Cron_Uso!H23/Frota!$L23)&gt;INT(Cron_Uso!G23/Frota!$L23),IF(N(VLOOKUP(Frota!$B23,Premissas!$A$39:$E$43,5,0))&gt;0,IF(MOD(INT(Cron_Uso!H23/Frota!$L23)*Frota!$L23,N(VLOOKUP(Frota!$B23,Premissas!$A$39:$E$43,5,0)))=0,"B",IF(N(VLOOKUP(Frota!$B23,Premissas!$A$39:$E$43,4,0))&gt;0,IF(MOD(INT(Cron_Uso!H23/Frota!$L23)*Frota!$L23,N(VLOOKUP(Frota!$B23,Premissas!$A$39:$E$43,4,0)))=0,"A","S"),"S")),IF(N(VLOOKUP(Frota!$B23,Premissas!$A$39:$E$43,4,0))&gt;0,IF(MOD(INT(Cron_Uso!H23/Frota!$L23)*Frota!$L23,N(VLOOKUP(Frota!$B23,Premissas!$A$39:$E$43,4,0)))=0,"A","S"),"S")),""))</f>
        <v/>
      </c>
      <c r="I23" s="16" t="str">
        <f aca="false">IF(Cron_Uso!I23="","",IF(INT(Cron_Uso!I23/Frota!$L23)&gt;INT(Cron_Uso!H23/Frota!$L23),IF(N(VLOOKUP(Frota!$B23,Premissas!$A$39:$E$43,5,0))&gt;0,IF(MOD(INT(Cron_Uso!I23/Frota!$L23)*Frota!$L23,N(VLOOKUP(Frota!$B23,Premissas!$A$39:$E$43,5,0)))=0,"B",IF(N(VLOOKUP(Frota!$B23,Premissas!$A$39:$E$43,4,0))&gt;0,IF(MOD(INT(Cron_Uso!I23/Frota!$L23)*Frota!$L23,N(VLOOKUP(Frota!$B23,Premissas!$A$39:$E$43,4,0)))=0,"A","S"),"S")),IF(N(VLOOKUP(Frota!$B23,Premissas!$A$39:$E$43,4,0))&gt;0,IF(MOD(INT(Cron_Uso!I23/Frota!$L23)*Frota!$L23,N(VLOOKUP(Frota!$B23,Premissas!$A$39:$E$43,4,0)))=0,"A","S"),"S")),""))</f>
        <v/>
      </c>
      <c r="J23" s="16" t="str">
        <f aca="false">IF(Cron_Uso!J23="","",IF(INT(Cron_Uso!J23/Frota!$L23)&gt;INT(Cron_Uso!I23/Frota!$L23),IF(N(VLOOKUP(Frota!$B23,Premissas!$A$39:$E$43,5,0))&gt;0,IF(MOD(INT(Cron_Uso!J23/Frota!$L23)*Frota!$L23,N(VLOOKUP(Frota!$B23,Premissas!$A$39:$E$43,5,0)))=0,"B",IF(N(VLOOKUP(Frota!$B23,Premissas!$A$39:$E$43,4,0))&gt;0,IF(MOD(INT(Cron_Uso!J23/Frota!$L23)*Frota!$L23,N(VLOOKUP(Frota!$B23,Premissas!$A$39:$E$43,4,0)))=0,"A","S"),"S")),IF(N(VLOOKUP(Frota!$B23,Premissas!$A$39:$E$43,4,0))&gt;0,IF(MOD(INT(Cron_Uso!J23/Frota!$L23)*Frota!$L23,N(VLOOKUP(Frota!$B23,Premissas!$A$39:$E$43,4,0)))=0,"A","S"),"S")),""))</f>
        <v/>
      </c>
      <c r="K23" s="16" t="str">
        <f aca="false">IF(Cron_Uso!K23="","",IF(INT(Cron_Uso!K23/Frota!$L23)&gt;INT(Cron_Uso!J23/Frota!$L23),IF(N(VLOOKUP(Frota!$B23,Premissas!$A$39:$E$43,5,0))&gt;0,IF(MOD(INT(Cron_Uso!K23/Frota!$L23)*Frota!$L23,N(VLOOKUP(Frota!$B23,Premissas!$A$39:$E$43,5,0)))=0,"B",IF(N(VLOOKUP(Frota!$B23,Premissas!$A$39:$E$43,4,0))&gt;0,IF(MOD(INT(Cron_Uso!K23/Frota!$L23)*Frota!$L23,N(VLOOKUP(Frota!$B23,Premissas!$A$39:$E$43,4,0)))=0,"A","S"),"S")),IF(N(VLOOKUP(Frota!$B23,Premissas!$A$39:$E$43,4,0))&gt;0,IF(MOD(INT(Cron_Uso!K23/Frota!$L23)*Frota!$L23,N(VLOOKUP(Frota!$B23,Premissas!$A$39:$E$43,4,0)))=0,"A","S"),"S")),""))</f>
        <v/>
      </c>
      <c r="L23" s="16" t="str">
        <f aca="false">IF(Cron_Uso!L23="","",IF(INT(Cron_Uso!L23/Frota!$L23)&gt;INT(Cron_Uso!K23/Frota!$L23),IF(N(VLOOKUP(Frota!$B23,Premissas!$A$39:$E$43,5,0))&gt;0,IF(MOD(INT(Cron_Uso!L23/Frota!$L23)*Frota!$L23,N(VLOOKUP(Frota!$B23,Premissas!$A$39:$E$43,5,0)))=0,"B",IF(N(VLOOKUP(Frota!$B23,Premissas!$A$39:$E$43,4,0))&gt;0,IF(MOD(INT(Cron_Uso!L23/Frota!$L23)*Frota!$L23,N(VLOOKUP(Frota!$B23,Premissas!$A$39:$E$43,4,0)))=0,"A","S"),"S")),IF(N(VLOOKUP(Frota!$B23,Premissas!$A$39:$E$43,4,0))&gt;0,IF(MOD(INT(Cron_Uso!L23/Frota!$L23)*Frota!$L23,N(VLOOKUP(Frota!$B23,Premissas!$A$39:$E$43,4,0)))=0,"A","S"),"S")),""))</f>
        <v/>
      </c>
      <c r="M23" s="16" t="str">
        <f aca="false">IF(Cron_Uso!M23="","",IF(INT(Cron_Uso!M23/Frota!$L23)&gt;INT(Cron_Uso!L23/Frota!$L23),IF(N(VLOOKUP(Frota!$B23,Premissas!$A$39:$E$43,5,0))&gt;0,IF(MOD(INT(Cron_Uso!M23/Frota!$L23)*Frota!$L23,N(VLOOKUP(Frota!$B23,Premissas!$A$39:$E$43,5,0)))=0,"B",IF(N(VLOOKUP(Frota!$B23,Premissas!$A$39:$E$43,4,0))&gt;0,IF(MOD(INT(Cron_Uso!M23/Frota!$L23)*Frota!$L23,N(VLOOKUP(Frota!$B23,Premissas!$A$39:$E$43,4,0)))=0,"A","S"),"S")),IF(N(VLOOKUP(Frota!$B23,Premissas!$A$39:$E$43,4,0))&gt;0,IF(MOD(INT(Cron_Uso!M23/Frota!$L23)*Frota!$L23,N(VLOOKUP(Frota!$B23,Premissas!$A$39:$E$43,4,0)))=0,"A","S"),"S")),""))</f>
        <v/>
      </c>
      <c r="N23" s="16" t="str">
        <f aca="false">IF(Cron_Uso!N23="","",IF(INT(Cron_Uso!N23/Frota!$L23)&gt;INT(Cron_Uso!M23/Frota!$L23),IF(N(VLOOKUP(Frota!$B23,Premissas!$A$39:$E$43,5,0))&gt;0,IF(MOD(INT(Cron_Uso!N23/Frota!$L23)*Frota!$L23,N(VLOOKUP(Frota!$B23,Premissas!$A$39:$E$43,5,0)))=0,"B",IF(N(VLOOKUP(Frota!$B23,Premissas!$A$39:$E$43,4,0))&gt;0,IF(MOD(INT(Cron_Uso!N23/Frota!$L23)*Frota!$L23,N(VLOOKUP(Frota!$B23,Premissas!$A$39:$E$43,4,0)))=0,"A","S"),"S")),IF(N(VLOOKUP(Frota!$B23,Premissas!$A$39:$E$43,4,0))&gt;0,IF(MOD(INT(Cron_Uso!N23/Frota!$L23)*Frota!$L23,N(VLOOKUP(Frota!$B23,Premissas!$A$39:$E$43,4,0)))=0,"A","S"),"S")),""))</f>
        <v/>
      </c>
      <c r="O23" s="16" t="str">
        <f aca="false">IF(Cron_Uso!O23="","",IF(INT(Cron_Uso!O23/Frota!$L23)&gt;INT(Cron_Uso!N23/Frota!$L23),IF(N(VLOOKUP(Frota!$B23,Premissas!$A$39:$E$43,5,0))&gt;0,IF(MOD(INT(Cron_Uso!O23/Frota!$L23)*Frota!$L23,N(VLOOKUP(Frota!$B23,Premissas!$A$39:$E$43,5,0)))=0,"B",IF(N(VLOOKUP(Frota!$B23,Premissas!$A$39:$E$43,4,0))&gt;0,IF(MOD(INT(Cron_Uso!O23/Frota!$L23)*Frota!$L23,N(VLOOKUP(Frota!$B23,Premissas!$A$39:$E$43,4,0)))=0,"A","S"),"S")),IF(N(VLOOKUP(Frota!$B23,Premissas!$A$39:$E$43,4,0))&gt;0,IF(MOD(INT(Cron_Uso!O23/Frota!$L23)*Frota!$L23,N(VLOOKUP(Frota!$B23,Premissas!$A$39:$E$43,4,0)))=0,"A","S"),"S")),""))</f>
        <v/>
      </c>
      <c r="P23" s="16" t="str">
        <f aca="false">IF(Cron_Uso!P23="","",IF(INT(Cron_Uso!P23/Frota!$L23)&gt;INT(Cron_Uso!O23/Frota!$L23),IF(N(VLOOKUP(Frota!$B23,Premissas!$A$39:$E$43,5,0))&gt;0,IF(MOD(INT(Cron_Uso!P23/Frota!$L23)*Frota!$L23,N(VLOOKUP(Frota!$B23,Premissas!$A$39:$E$43,5,0)))=0,"B",IF(N(VLOOKUP(Frota!$B23,Premissas!$A$39:$E$43,4,0))&gt;0,IF(MOD(INT(Cron_Uso!P23/Frota!$L23)*Frota!$L23,N(VLOOKUP(Frota!$B23,Premissas!$A$39:$E$43,4,0)))=0,"A","S"),"S")),IF(N(VLOOKUP(Frota!$B23,Premissas!$A$39:$E$43,4,0))&gt;0,IF(MOD(INT(Cron_Uso!P23/Frota!$L23)*Frota!$L23,N(VLOOKUP(Frota!$B23,Premissas!$A$39:$E$43,4,0)))=0,"A","S"),"S")),""))</f>
        <v/>
      </c>
      <c r="Q23" s="16" t="str">
        <f aca="false">IF(Cron_Uso!Q23="","",IF(INT(Cron_Uso!Q23/Frota!$L23)&gt;INT(Cron_Uso!P23/Frota!$L23),IF(N(VLOOKUP(Frota!$B23,Premissas!$A$39:$E$43,5,0))&gt;0,IF(MOD(INT(Cron_Uso!Q23/Frota!$L23)*Frota!$L23,N(VLOOKUP(Frota!$B23,Premissas!$A$39:$E$43,5,0)))=0,"B",IF(N(VLOOKUP(Frota!$B23,Premissas!$A$39:$E$43,4,0))&gt;0,IF(MOD(INT(Cron_Uso!Q23/Frota!$L23)*Frota!$L23,N(VLOOKUP(Frota!$B23,Premissas!$A$39:$E$43,4,0)))=0,"A","S"),"S")),IF(N(VLOOKUP(Frota!$B23,Premissas!$A$39:$E$43,4,0))&gt;0,IF(MOD(INT(Cron_Uso!Q23/Frota!$L23)*Frota!$L23,N(VLOOKUP(Frota!$B23,Premissas!$A$39:$E$43,4,0)))=0,"A","S"),"S")),""))</f>
        <v/>
      </c>
      <c r="R23" s="16" t="str">
        <f aca="false">IF(Cron_Uso!R23="","",IF(INT(Cron_Uso!R23/Frota!$L23)&gt;INT(Cron_Uso!Q23/Frota!$L23),IF(N(VLOOKUP(Frota!$B23,Premissas!$A$39:$E$43,5,0))&gt;0,IF(MOD(INT(Cron_Uso!R23/Frota!$L23)*Frota!$L23,N(VLOOKUP(Frota!$B23,Premissas!$A$39:$E$43,5,0)))=0,"B",IF(N(VLOOKUP(Frota!$B23,Premissas!$A$39:$E$43,4,0))&gt;0,IF(MOD(INT(Cron_Uso!R23/Frota!$L23)*Frota!$L23,N(VLOOKUP(Frota!$B23,Premissas!$A$39:$E$43,4,0)))=0,"A","S"),"S")),IF(N(VLOOKUP(Frota!$B23,Premissas!$A$39:$E$43,4,0))&gt;0,IF(MOD(INT(Cron_Uso!R23/Frota!$L23)*Frota!$L23,N(VLOOKUP(Frota!$B23,Premissas!$A$39:$E$43,4,0)))=0,"A","S"),"S")),""))</f>
        <v/>
      </c>
      <c r="S23" s="16" t="str">
        <f aca="false">IF(Cron_Uso!S23="","",IF(INT(Cron_Uso!S23/Frota!$L23)&gt;INT(Cron_Uso!R23/Frota!$L23),IF(N(VLOOKUP(Frota!$B23,Premissas!$A$39:$E$43,5,0))&gt;0,IF(MOD(INT(Cron_Uso!S23/Frota!$L23)*Frota!$L23,N(VLOOKUP(Frota!$B23,Premissas!$A$39:$E$43,5,0)))=0,"B",IF(N(VLOOKUP(Frota!$B23,Premissas!$A$39:$E$43,4,0))&gt;0,IF(MOD(INT(Cron_Uso!S23/Frota!$L23)*Frota!$L23,N(VLOOKUP(Frota!$B23,Premissas!$A$39:$E$43,4,0)))=0,"A","S"),"S")),IF(N(VLOOKUP(Frota!$B23,Premissas!$A$39:$E$43,4,0))&gt;0,IF(MOD(INT(Cron_Uso!S23/Frota!$L23)*Frota!$L23,N(VLOOKUP(Frota!$B23,Premissas!$A$39:$E$43,4,0)))=0,"A","S"),"S")),""))</f>
        <v/>
      </c>
      <c r="T23" s="16" t="str">
        <f aca="false">IF(Cron_Uso!T23="","",IF(INT(Cron_Uso!T23/Frota!$L23)&gt;INT(Cron_Uso!S23/Frota!$L23),IF(N(VLOOKUP(Frota!$B23,Premissas!$A$39:$E$43,5,0))&gt;0,IF(MOD(INT(Cron_Uso!T23/Frota!$L23)*Frota!$L23,N(VLOOKUP(Frota!$B23,Premissas!$A$39:$E$43,5,0)))=0,"B",IF(N(VLOOKUP(Frota!$B23,Premissas!$A$39:$E$43,4,0))&gt;0,IF(MOD(INT(Cron_Uso!T23/Frota!$L23)*Frota!$L23,N(VLOOKUP(Frota!$B23,Premissas!$A$39:$E$43,4,0)))=0,"A","S"),"S")),IF(N(VLOOKUP(Frota!$B23,Premissas!$A$39:$E$43,4,0))&gt;0,IF(MOD(INT(Cron_Uso!T23/Frota!$L23)*Frota!$L23,N(VLOOKUP(Frota!$B23,Premissas!$A$39:$E$43,4,0)))=0,"A","S"),"S")),""))</f>
        <v/>
      </c>
      <c r="U23" s="16" t="str">
        <f aca="false">IF(Cron_Uso!U23="","",IF(INT(Cron_Uso!U23/Frota!$L23)&gt;INT(Cron_Uso!T23/Frota!$L23),IF(N(VLOOKUP(Frota!$B23,Premissas!$A$39:$E$43,5,0))&gt;0,IF(MOD(INT(Cron_Uso!U23/Frota!$L23)*Frota!$L23,N(VLOOKUP(Frota!$B23,Premissas!$A$39:$E$43,5,0)))=0,"B",IF(N(VLOOKUP(Frota!$B23,Premissas!$A$39:$E$43,4,0))&gt;0,IF(MOD(INT(Cron_Uso!U23/Frota!$L23)*Frota!$L23,N(VLOOKUP(Frota!$B23,Premissas!$A$39:$E$43,4,0)))=0,"A","S"),"S")),IF(N(VLOOKUP(Frota!$B23,Premissas!$A$39:$E$43,4,0))&gt;0,IF(MOD(INT(Cron_Uso!U23/Frota!$L23)*Frota!$L23,N(VLOOKUP(Frota!$B23,Premissas!$A$39:$E$43,4,0)))=0,"A","S"),"S")),""))</f>
        <v/>
      </c>
      <c r="V23" s="16" t="str">
        <f aca="false">IF(Cron_Uso!V23="","",IF(INT(Cron_Uso!V23/Frota!$L23)&gt;INT(Cron_Uso!U23/Frota!$L23),IF(N(VLOOKUP(Frota!$B23,Premissas!$A$39:$E$43,5,0))&gt;0,IF(MOD(INT(Cron_Uso!V23/Frota!$L23)*Frota!$L23,N(VLOOKUP(Frota!$B23,Premissas!$A$39:$E$43,5,0)))=0,"B",IF(N(VLOOKUP(Frota!$B23,Premissas!$A$39:$E$43,4,0))&gt;0,IF(MOD(INT(Cron_Uso!V23/Frota!$L23)*Frota!$L23,N(VLOOKUP(Frota!$B23,Premissas!$A$39:$E$43,4,0)))=0,"A","S"),"S")),IF(N(VLOOKUP(Frota!$B23,Premissas!$A$39:$E$43,4,0))&gt;0,IF(MOD(INT(Cron_Uso!V23/Frota!$L23)*Frota!$L23,N(VLOOKUP(Frota!$B23,Premissas!$A$39:$E$43,4,0)))=0,"A","S"),"S")),""))</f>
        <v/>
      </c>
      <c r="W23" s="16" t="str">
        <f aca="false">IF(Cron_Uso!W23="","",IF(INT(Cron_Uso!W23/Frota!$L23)&gt;INT(Cron_Uso!V23/Frota!$L23),IF(N(VLOOKUP(Frota!$B23,Premissas!$A$39:$E$43,5,0))&gt;0,IF(MOD(INT(Cron_Uso!W23/Frota!$L23)*Frota!$L23,N(VLOOKUP(Frota!$B23,Premissas!$A$39:$E$43,5,0)))=0,"B",IF(N(VLOOKUP(Frota!$B23,Premissas!$A$39:$E$43,4,0))&gt;0,IF(MOD(INT(Cron_Uso!W23/Frota!$L23)*Frota!$L23,N(VLOOKUP(Frota!$B23,Premissas!$A$39:$E$43,4,0)))=0,"A","S"),"S")),IF(N(VLOOKUP(Frota!$B23,Premissas!$A$39:$E$43,4,0))&gt;0,IF(MOD(INT(Cron_Uso!W23/Frota!$L23)*Frota!$L23,N(VLOOKUP(Frota!$B23,Premissas!$A$39:$E$43,4,0)))=0,"A","S"),"S")),""))</f>
        <v/>
      </c>
      <c r="X23" s="16" t="str">
        <f aca="false">IF(Cron_Uso!X23="","",IF(INT(Cron_Uso!X23/Frota!$L23)&gt;INT(Cron_Uso!W23/Frota!$L23),IF(N(VLOOKUP(Frota!$B23,Premissas!$A$39:$E$43,5,0))&gt;0,IF(MOD(INT(Cron_Uso!X23/Frota!$L23)*Frota!$L23,N(VLOOKUP(Frota!$B23,Premissas!$A$39:$E$43,5,0)))=0,"B",IF(N(VLOOKUP(Frota!$B23,Premissas!$A$39:$E$43,4,0))&gt;0,IF(MOD(INT(Cron_Uso!X23/Frota!$L23)*Frota!$L23,N(VLOOKUP(Frota!$B23,Premissas!$A$39:$E$43,4,0)))=0,"A","S"),"S")),IF(N(VLOOKUP(Frota!$B23,Premissas!$A$39:$E$43,4,0))&gt;0,IF(MOD(INT(Cron_Uso!X23/Frota!$L23)*Frota!$L23,N(VLOOKUP(Frota!$B23,Premissas!$A$39:$E$43,4,0)))=0,"A","S"),"S")),""))</f>
        <v/>
      </c>
      <c r="Y23" s="16" t="str">
        <f aca="false">IF(Cron_Uso!Y23="","",IF(INT(Cron_Uso!Y23/Frota!$L23)&gt;INT(Cron_Uso!X23/Frota!$L23),IF(N(VLOOKUP(Frota!$B23,Premissas!$A$39:$E$43,5,0))&gt;0,IF(MOD(INT(Cron_Uso!Y23/Frota!$L23)*Frota!$L23,N(VLOOKUP(Frota!$B23,Premissas!$A$39:$E$43,5,0)))=0,"B",IF(N(VLOOKUP(Frota!$B23,Premissas!$A$39:$E$43,4,0))&gt;0,IF(MOD(INT(Cron_Uso!Y23/Frota!$L23)*Frota!$L23,N(VLOOKUP(Frota!$B23,Premissas!$A$39:$E$43,4,0)))=0,"A","S"),"S")),IF(N(VLOOKUP(Frota!$B23,Premissas!$A$39:$E$43,4,0))&gt;0,IF(MOD(INT(Cron_Uso!Y23/Frota!$L23)*Frota!$L23,N(VLOOKUP(Frota!$B23,Premissas!$A$39:$E$43,4,0)))=0,"A","S"),"S")),""))</f>
        <v/>
      </c>
      <c r="Z23" s="16" t="str">
        <f aca="false">IF(Cron_Uso!Z23="","",IF(INT(Cron_Uso!Z23/Frota!$L23)&gt;INT(Cron_Uso!Y23/Frota!$L23),IF(N(VLOOKUP(Frota!$B23,Premissas!$A$39:$E$43,5,0))&gt;0,IF(MOD(INT(Cron_Uso!Z23/Frota!$L23)*Frota!$L23,N(VLOOKUP(Frota!$B23,Premissas!$A$39:$E$43,5,0)))=0,"B",IF(N(VLOOKUP(Frota!$B23,Premissas!$A$39:$E$43,4,0))&gt;0,IF(MOD(INT(Cron_Uso!Z23/Frota!$L23)*Frota!$L23,N(VLOOKUP(Frota!$B23,Premissas!$A$39:$E$43,4,0)))=0,"A","S"),"S")),IF(N(VLOOKUP(Frota!$B23,Premissas!$A$39:$E$43,4,0))&gt;0,IF(MOD(INT(Cron_Uso!Z23/Frota!$L23)*Frota!$L23,N(VLOOKUP(Frota!$B23,Premissas!$A$39:$E$43,4,0)))=0,"A","S"),"S")),""))</f>
        <v/>
      </c>
      <c r="AA23" s="16" t="str">
        <f aca="false">IF(Cron_Uso!AA23="","",IF(INT(Cron_Uso!AA23/Frota!$L23)&gt;INT(Cron_Uso!Z23/Frota!$L23),IF(N(VLOOKUP(Frota!$B23,Premissas!$A$39:$E$43,5,0))&gt;0,IF(MOD(INT(Cron_Uso!AA23/Frota!$L23)*Frota!$L23,N(VLOOKUP(Frota!$B23,Premissas!$A$39:$E$43,5,0)))=0,"B",IF(N(VLOOKUP(Frota!$B23,Premissas!$A$39:$E$43,4,0))&gt;0,IF(MOD(INT(Cron_Uso!AA23/Frota!$L23)*Frota!$L23,N(VLOOKUP(Frota!$B23,Premissas!$A$39:$E$43,4,0)))=0,"A","S"),"S")),IF(N(VLOOKUP(Frota!$B23,Premissas!$A$39:$E$43,4,0))&gt;0,IF(MOD(INT(Cron_Uso!AA23/Frota!$L23)*Frota!$L23,N(VLOOKUP(Frota!$B23,Premissas!$A$39:$E$43,4,0)))=0,"A","S"),"S")),""))</f>
        <v/>
      </c>
      <c r="AB23" s="16" t="str">
        <f aca="false">IF(Cron_Uso!AB23="","",IF(INT(Cron_Uso!AB23/Frota!$L23)&gt;INT(Cron_Uso!AA23/Frota!$L23),IF(N(VLOOKUP(Frota!$B23,Premissas!$A$39:$E$43,5,0))&gt;0,IF(MOD(INT(Cron_Uso!AB23/Frota!$L23)*Frota!$L23,N(VLOOKUP(Frota!$B23,Premissas!$A$39:$E$43,5,0)))=0,"B",IF(N(VLOOKUP(Frota!$B23,Premissas!$A$39:$E$43,4,0))&gt;0,IF(MOD(INT(Cron_Uso!AB23/Frota!$L23)*Frota!$L23,N(VLOOKUP(Frota!$B23,Premissas!$A$39:$E$43,4,0)))=0,"A","S"),"S")),IF(N(VLOOKUP(Frota!$B23,Premissas!$A$39:$E$43,4,0))&gt;0,IF(MOD(INT(Cron_Uso!AB23/Frota!$L23)*Frota!$L23,N(VLOOKUP(Frota!$B23,Premissas!$A$39:$E$43,4,0)))=0,"A","S"),"S")),""))</f>
        <v/>
      </c>
      <c r="AC23" s="16" t="str">
        <f aca="false">IF(Cron_Uso!AC23="","",IF(INT(Cron_Uso!AC23/Frota!$L23)&gt;INT(Cron_Uso!AB23/Frota!$L23),IF(N(VLOOKUP(Frota!$B23,Premissas!$A$39:$E$43,5,0))&gt;0,IF(MOD(INT(Cron_Uso!AC23/Frota!$L23)*Frota!$L23,N(VLOOKUP(Frota!$B23,Premissas!$A$39:$E$43,5,0)))=0,"B",IF(N(VLOOKUP(Frota!$B23,Premissas!$A$39:$E$43,4,0))&gt;0,IF(MOD(INT(Cron_Uso!AC23/Frota!$L23)*Frota!$L23,N(VLOOKUP(Frota!$B23,Premissas!$A$39:$E$43,4,0)))=0,"A","S"),"S")),IF(N(VLOOKUP(Frota!$B23,Premissas!$A$39:$E$43,4,0))&gt;0,IF(MOD(INT(Cron_Uso!AC23/Frota!$L23)*Frota!$L23,N(VLOOKUP(Frota!$B23,Premissas!$A$39:$E$43,4,0)))=0,"A","S"),"S")),""))</f>
        <v/>
      </c>
      <c r="AD23" s="16" t="str">
        <f aca="false">IF(Cron_Uso!AD23="","",IF(INT(Cron_Uso!AD23/Frota!$L23)&gt;INT(Cron_Uso!AC23/Frota!$L23),IF(N(VLOOKUP(Frota!$B23,Premissas!$A$39:$E$43,5,0))&gt;0,IF(MOD(INT(Cron_Uso!AD23/Frota!$L23)*Frota!$L23,N(VLOOKUP(Frota!$B23,Premissas!$A$39:$E$43,5,0)))=0,"B",IF(N(VLOOKUP(Frota!$B23,Premissas!$A$39:$E$43,4,0))&gt;0,IF(MOD(INT(Cron_Uso!AD23/Frota!$L23)*Frota!$L23,N(VLOOKUP(Frota!$B23,Premissas!$A$39:$E$43,4,0)))=0,"A","S"),"S")),IF(N(VLOOKUP(Frota!$B23,Premissas!$A$39:$E$43,4,0))&gt;0,IF(MOD(INT(Cron_Uso!AD23/Frota!$L23)*Frota!$L23,N(VLOOKUP(Frota!$B23,Premissas!$A$39:$E$43,4,0)))=0,"A","S"),"S")),""))</f>
        <v/>
      </c>
      <c r="AE23" s="16" t="str">
        <f aca="false">IF(Cron_Uso!AE23="","",IF(INT(Cron_Uso!AE23/Frota!$L23)&gt;INT(Cron_Uso!AD23/Frota!$L23),IF(N(VLOOKUP(Frota!$B23,Premissas!$A$39:$E$43,5,0))&gt;0,IF(MOD(INT(Cron_Uso!AE23/Frota!$L23)*Frota!$L23,N(VLOOKUP(Frota!$B23,Premissas!$A$39:$E$43,5,0)))=0,"B",IF(N(VLOOKUP(Frota!$B23,Premissas!$A$39:$E$43,4,0))&gt;0,IF(MOD(INT(Cron_Uso!AE23/Frota!$L23)*Frota!$L23,N(VLOOKUP(Frota!$B23,Premissas!$A$39:$E$43,4,0)))=0,"A","S"),"S")),IF(N(VLOOKUP(Frota!$B23,Premissas!$A$39:$E$43,4,0))&gt;0,IF(MOD(INT(Cron_Uso!AE23/Frota!$L23)*Frota!$L23,N(VLOOKUP(Frota!$B23,Premissas!$A$39:$E$43,4,0)))=0,"A","S"),"S")),""))</f>
        <v/>
      </c>
      <c r="AF23" s="16" t="str">
        <f aca="false">IF(Cron_Uso!AF23="","",IF(INT(Cron_Uso!AF23/Frota!$L23)&gt;INT(Cron_Uso!AE23/Frota!$L23),IF(N(VLOOKUP(Frota!$B23,Premissas!$A$39:$E$43,5,0))&gt;0,IF(MOD(INT(Cron_Uso!AF23/Frota!$L23)*Frota!$L23,N(VLOOKUP(Frota!$B23,Premissas!$A$39:$E$43,5,0)))=0,"B",IF(N(VLOOKUP(Frota!$B23,Premissas!$A$39:$E$43,4,0))&gt;0,IF(MOD(INT(Cron_Uso!AF23/Frota!$L23)*Frota!$L23,N(VLOOKUP(Frota!$B23,Premissas!$A$39:$E$43,4,0)))=0,"A","S"),"S")),IF(N(VLOOKUP(Frota!$B23,Premissas!$A$39:$E$43,4,0))&gt;0,IF(MOD(INT(Cron_Uso!AF23/Frota!$L23)*Frota!$L23,N(VLOOKUP(Frota!$B23,Premissas!$A$39:$E$43,4,0)))=0,"A","S"),"S")),""))</f>
        <v/>
      </c>
      <c r="AG23" s="16" t="str">
        <f aca="false">IF(Cron_Uso!AG23="","",IF(INT(Cron_Uso!AG23/Frota!$L23)&gt;INT(Cron_Uso!AF23/Frota!$L23),IF(N(VLOOKUP(Frota!$B23,Premissas!$A$39:$E$43,5,0))&gt;0,IF(MOD(INT(Cron_Uso!AG23/Frota!$L23)*Frota!$L23,N(VLOOKUP(Frota!$B23,Premissas!$A$39:$E$43,5,0)))=0,"B",IF(N(VLOOKUP(Frota!$B23,Premissas!$A$39:$E$43,4,0))&gt;0,IF(MOD(INT(Cron_Uso!AG23/Frota!$L23)*Frota!$L23,N(VLOOKUP(Frota!$B23,Premissas!$A$39:$E$43,4,0)))=0,"A","S"),"S")),IF(N(VLOOKUP(Frota!$B23,Premissas!$A$39:$E$43,4,0))&gt;0,IF(MOD(INT(Cron_Uso!AG23/Frota!$L23)*Frota!$L23,N(VLOOKUP(Frota!$B23,Premissas!$A$39:$E$43,4,0)))=0,"A","S"),"S")),""))</f>
        <v/>
      </c>
      <c r="AH23" s="16" t="str">
        <f aca="false">IF(Cron_Uso!AH23="","",IF(INT(Cron_Uso!AH23/Frota!$L23)&gt;INT(Cron_Uso!AG23/Frota!$L23),IF(N(VLOOKUP(Frota!$B23,Premissas!$A$39:$E$43,5,0))&gt;0,IF(MOD(INT(Cron_Uso!AH23/Frota!$L23)*Frota!$L23,N(VLOOKUP(Frota!$B23,Premissas!$A$39:$E$43,5,0)))=0,"B",IF(N(VLOOKUP(Frota!$B23,Premissas!$A$39:$E$43,4,0))&gt;0,IF(MOD(INT(Cron_Uso!AH23/Frota!$L23)*Frota!$L23,N(VLOOKUP(Frota!$B23,Premissas!$A$39:$E$43,4,0)))=0,"A","S"),"S")),IF(N(VLOOKUP(Frota!$B23,Premissas!$A$39:$E$43,4,0))&gt;0,IF(MOD(INT(Cron_Uso!AH23/Frota!$L23)*Frota!$L23,N(VLOOKUP(Frota!$B23,Premissas!$A$39:$E$43,4,0)))=0,"A","S"),"S")),""))</f>
        <v/>
      </c>
      <c r="AI23" s="16" t="str">
        <f aca="false">IF(Cron_Uso!AI23="","",IF(INT(Cron_Uso!AI23/Frota!$L23)&gt;INT(Cron_Uso!AH23/Frota!$L23),IF(N(VLOOKUP(Frota!$B23,Premissas!$A$39:$E$43,5,0))&gt;0,IF(MOD(INT(Cron_Uso!AI23/Frota!$L23)*Frota!$L23,N(VLOOKUP(Frota!$B23,Premissas!$A$39:$E$43,5,0)))=0,"B",IF(N(VLOOKUP(Frota!$B23,Premissas!$A$39:$E$43,4,0))&gt;0,IF(MOD(INT(Cron_Uso!AI23/Frota!$L23)*Frota!$L23,N(VLOOKUP(Frota!$B23,Premissas!$A$39:$E$43,4,0)))=0,"A","S"),"S")),IF(N(VLOOKUP(Frota!$B23,Premissas!$A$39:$E$43,4,0))&gt;0,IF(MOD(INT(Cron_Uso!AI23/Frota!$L23)*Frota!$L23,N(VLOOKUP(Frota!$B23,Premissas!$A$39:$E$43,4,0)))=0,"A","S"),"S")),""))</f>
        <v/>
      </c>
      <c r="AJ23" s="16" t="str">
        <f aca="false">IF(Cron_Uso!AJ23="","",IF(INT(Cron_Uso!AJ23/Frota!$L23)&gt;INT(Cron_Uso!AI23/Frota!$L23),IF(N(VLOOKUP(Frota!$B23,Premissas!$A$39:$E$43,5,0))&gt;0,IF(MOD(INT(Cron_Uso!AJ23/Frota!$L23)*Frota!$L23,N(VLOOKUP(Frota!$B23,Premissas!$A$39:$E$43,5,0)))=0,"B",IF(N(VLOOKUP(Frota!$B23,Premissas!$A$39:$E$43,4,0))&gt;0,IF(MOD(INT(Cron_Uso!AJ23/Frota!$L23)*Frota!$L23,N(VLOOKUP(Frota!$B23,Premissas!$A$39:$E$43,4,0)))=0,"A","S"),"S")),IF(N(VLOOKUP(Frota!$B23,Premissas!$A$39:$E$43,4,0))&gt;0,IF(MOD(INT(Cron_Uso!AJ23/Frota!$L23)*Frota!$L23,N(VLOOKUP(Frota!$B23,Premissas!$A$39:$E$43,4,0)))=0,"A","S"),"S")),""))</f>
        <v/>
      </c>
      <c r="AK23" s="16" t="str">
        <f aca="false">IF(Cron_Uso!AK23="","",IF(INT(Cron_Uso!AK23/Frota!$L23)&gt;INT(Cron_Uso!AJ23/Frota!$L23),IF(N(VLOOKUP(Frota!$B23,Premissas!$A$39:$E$43,5,0))&gt;0,IF(MOD(INT(Cron_Uso!AK23/Frota!$L23)*Frota!$L23,N(VLOOKUP(Frota!$B23,Premissas!$A$39:$E$43,5,0)))=0,"B",IF(N(VLOOKUP(Frota!$B23,Premissas!$A$39:$E$43,4,0))&gt;0,IF(MOD(INT(Cron_Uso!AK23/Frota!$L23)*Frota!$L23,N(VLOOKUP(Frota!$B23,Premissas!$A$39:$E$43,4,0)))=0,"A","S"),"S")),IF(N(VLOOKUP(Frota!$B23,Premissas!$A$39:$E$43,4,0))&gt;0,IF(MOD(INT(Cron_Uso!AK23/Frota!$L23)*Frota!$L23,N(VLOOKUP(Frota!$B23,Premissas!$A$39:$E$43,4,0)))=0,"A","S"),"S")),""))</f>
        <v/>
      </c>
      <c r="AL23" s="16" t="str">
        <f aca="false">IF(Cron_Uso!AL23="","",IF(INT(Cron_Uso!AL23/Frota!$L23)&gt;INT(Cron_Uso!AK23/Frota!$L23),IF(N(VLOOKUP(Frota!$B23,Premissas!$A$39:$E$43,5,0))&gt;0,IF(MOD(INT(Cron_Uso!AL23/Frota!$L23)*Frota!$L23,N(VLOOKUP(Frota!$B23,Premissas!$A$39:$E$43,5,0)))=0,"B",IF(N(VLOOKUP(Frota!$B23,Premissas!$A$39:$E$43,4,0))&gt;0,IF(MOD(INT(Cron_Uso!AL23/Frota!$L23)*Frota!$L23,N(VLOOKUP(Frota!$B23,Premissas!$A$39:$E$43,4,0)))=0,"A","S"),"S")),IF(N(VLOOKUP(Frota!$B23,Premissas!$A$39:$E$43,4,0))&gt;0,IF(MOD(INT(Cron_Uso!AL23/Frota!$L23)*Frota!$L23,N(VLOOKUP(Frota!$B23,Premissas!$A$39:$E$43,4,0)))=0,"A","S"),"S")),""))</f>
        <v/>
      </c>
      <c r="AM23" s="16" t="str">
        <f aca="false">IF(Cron_Uso!AM23="","",IF(INT(Cron_Uso!AM23/Frota!$L23)&gt;INT(Cron_Uso!AL23/Frota!$L23),IF(N(VLOOKUP(Frota!$B23,Premissas!$A$39:$E$43,5,0))&gt;0,IF(MOD(INT(Cron_Uso!AM23/Frota!$L23)*Frota!$L23,N(VLOOKUP(Frota!$B23,Premissas!$A$39:$E$43,5,0)))=0,"B",IF(N(VLOOKUP(Frota!$B23,Premissas!$A$39:$E$43,4,0))&gt;0,IF(MOD(INT(Cron_Uso!AM23/Frota!$L23)*Frota!$L23,N(VLOOKUP(Frota!$B23,Premissas!$A$39:$E$43,4,0)))=0,"A","S"),"S")),IF(N(VLOOKUP(Frota!$B23,Premissas!$A$39:$E$43,4,0))&gt;0,IF(MOD(INT(Cron_Uso!AM23/Frota!$L23)*Frota!$L23,N(VLOOKUP(Frota!$B23,Premissas!$A$39:$E$43,4,0)))=0,"A","S"),"S")),""))</f>
        <v/>
      </c>
      <c r="AN23" s="16" t="str">
        <f aca="false">IF(Cron_Uso!AN23="","",IF(INT(Cron_Uso!AN23/Frota!$L23)&gt;INT(Cron_Uso!AM23/Frota!$L23),IF(N(VLOOKUP(Frota!$B23,Premissas!$A$39:$E$43,5,0))&gt;0,IF(MOD(INT(Cron_Uso!AN23/Frota!$L23)*Frota!$L23,N(VLOOKUP(Frota!$B23,Premissas!$A$39:$E$43,5,0)))=0,"B",IF(N(VLOOKUP(Frota!$B23,Premissas!$A$39:$E$43,4,0))&gt;0,IF(MOD(INT(Cron_Uso!AN23/Frota!$L23)*Frota!$L23,N(VLOOKUP(Frota!$B23,Premissas!$A$39:$E$43,4,0)))=0,"A","S"),"S")),IF(N(VLOOKUP(Frota!$B23,Premissas!$A$39:$E$43,4,0))&gt;0,IF(MOD(INT(Cron_Uso!AN23/Frota!$L23)*Frota!$L23,N(VLOOKUP(Frota!$B23,Premissas!$A$39:$E$43,4,0)))=0,"A","S"),"S")),""))</f>
        <v/>
      </c>
      <c r="AO23" s="16" t="str">
        <f aca="false">IF(Cron_Uso!AO23="","",IF(INT(Cron_Uso!AO23/Frota!$L23)&gt;INT(Cron_Uso!AN23/Frota!$L23),IF(N(VLOOKUP(Frota!$B23,Premissas!$A$39:$E$43,5,0))&gt;0,IF(MOD(INT(Cron_Uso!AO23/Frota!$L23)*Frota!$L23,N(VLOOKUP(Frota!$B23,Premissas!$A$39:$E$43,5,0)))=0,"B",IF(N(VLOOKUP(Frota!$B23,Premissas!$A$39:$E$43,4,0))&gt;0,IF(MOD(INT(Cron_Uso!AO23/Frota!$L23)*Frota!$L23,N(VLOOKUP(Frota!$B23,Premissas!$A$39:$E$43,4,0)))=0,"A","S"),"S")),IF(N(VLOOKUP(Frota!$B23,Premissas!$A$39:$E$43,4,0))&gt;0,IF(MOD(INT(Cron_Uso!AO23/Frota!$L23)*Frota!$L23,N(VLOOKUP(Frota!$B23,Premissas!$A$39:$E$43,4,0)))=0,"A","S"),"S")),""))</f>
        <v/>
      </c>
      <c r="AP23" s="16" t="str">
        <f aca="false">IF(Cron_Uso!AP23="","",IF(INT(Cron_Uso!AP23/Frota!$L23)&gt;INT(Cron_Uso!AO23/Frota!$L23),IF(N(VLOOKUP(Frota!$B23,Premissas!$A$39:$E$43,5,0))&gt;0,IF(MOD(INT(Cron_Uso!AP23/Frota!$L23)*Frota!$L23,N(VLOOKUP(Frota!$B23,Premissas!$A$39:$E$43,5,0)))=0,"B",IF(N(VLOOKUP(Frota!$B23,Premissas!$A$39:$E$43,4,0))&gt;0,IF(MOD(INT(Cron_Uso!AP23/Frota!$L23)*Frota!$L23,N(VLOOKUP(Frota!$B23,Premissas!$A$39:$E$43,4,0)))=0,"A","S"),"S")),IF(N(VLOOKUP(Frota!$B23,Premissas!$A$39:$E$43,4,0))&gt;0,IF(MOD(INT(Cron_Uso!AP23/Frota!$L23)*Frota!$L23,N(VLOOKUP(Frota!$B23,Premissas!$A$39:$E$43,4,0)))=0,"A","S"),"S")),""))</f>
        <v/>
      </c>
      <c r="AQ23" s="16" t="str">
        <f aca="false">IF(Cron_Uso!AQ23="","",IF(INT(Cron_Uso!AQ23/Frota!$L23)&gt;INT(Cron_Uso!AP23/Frota!$L23),IF(N(VLOOKUP(Frota!$B23,Premissas!$A$39:$E$43,5,0))&gt;0,IF(MOD(INT(Cron_Uso!AQ23/Frota!$L23)*Frota!$L23,N(VLOOKUP(Frota!$B23,Premissas!$A$39:$E$43,5,0)))=0,"B",IF(N(VLOOKUP(Frota!$B23,Premissas!$A$39:$E$43,4,0))&gt;0,IF(MOD(INT(Cron_Uso!AQ23/Frota!$L23)*Frota!$L23,N(VLOOKUP(Frota!$B23,Premissas!$A$39:$E$43,4,0)))=0,"A","S"),"S")),IF(N(VLOOKUP(Frota!$B23,Premissas!$A$39:$E$43,4,0))&gt;0,IF(MOD(INT(Cron_Uso!AQ23/Frota!$L23)*Frota!$L23,N(VLOOKUP(Frota!$B23,Premissas!$A$39:$E$43,4,0)))=0,"A","S"),"S")),""))</f>
        <v/>
      </c>
      <c r="AR23" s="16" t="str">
        <f aca="false">IF(Cron_Uso!AR23="","",IF(INT(Cron_Uso!AR23/Frota!$L23)&gt;INT(Cron_Uso!AQ23/Frota!$L23),IF(N(VLOOKUP(Frota!$B23,Premissas!$A$39:$E$43,5,0))&gt;0,IF(MOD(INT(Cron_Uso!AR23/Frota!$L23)*Frota!$L23,N(VLOOKUP(Frota!$B23,Premissas!$A$39:$E$43,5,0)))=0,"B",IF(N(VLOOKUP(Frota!$B23,Premissas!$A$39:$E$43,4,0))&gt;0,IF(MOD(INT(Cron_Uso!AR23/Frota!$L23)*Frota!$L23,N(VLOOKUP(Frota!$B23,Premissas!$A$39:$E$43,4,0)))=0,"A","S"),"S")),IF(N(VLOOKUP(Frota!$B23,Premissas!$A$39:$E$43,4,0))&gt;0,IF(MOD(INT(Cron_Uso!AR23/Frota!$L23)*Frota!$L23,N(VLOOKUP(Frota!$B23,Premissas!$A$39:$E$43,4,0)))=0,"A","S"),"S")),""))</f>
        <v/>
      </c>
      <c r="AS23" s="16" t="str">
        <f aca="false">IF(Cron_Uso!AS23="","",IF(INT(Cron_Uso!AS23/Frota!$L23)&gt;INT(Cron_Uso!AR23/Frota!$L23),IF(N(VLOOKUP(Frota!$B23,Premissas!$A$39:$E$43,5,0))&gt;0,IF(MOD(INT(Cron_Uso!AS23/Frota!$L23)*Frota!$L23,N(VLOOKUP(Frota!$B23,Premissas!$A$39:$E$43,5,0)))=0,"B",IF(N(VLOOKUP(Frota!$B23,Premissas!$A$39:$E$43,4,0))&gt;0,IF(MOD(INT(Cron_Uso!AS23/Frota!$L23)*Frota!$L23,N(VLOOKUP(Frota!$B23,Premissas!$A$39:$E$43,4,0)))=0,"A","S"),"S")),IF(N(VLOOKUP(Frota!$B23,Premissas!$A$39:$E$43,4,0))&gt;0,IF(MOD(INT(Cron_Uso!AS23/Frota!$L23)*Frota!$L23,N(VLOOKUP(Frota!$B23,Premissas!$A$39:$E$43,4,0)))=0,"A","S"),"S")),""))</f>
        <v/>
      </c>
      <c r="AT23" s="16" t="str">
        <f aca="false">IF(Cron_Uso!AT23="","",IF(INT(Cron_Uso!AT23/Frota!$L23)&gt;INT(Cron_Uso!AS23/Frota!$L23),IF(N(VLOOKUP(Frota!$B23,Premissas!$A$39:$E$43,5,0))&gt;0,IF(MOD(INT(Cron_Uso!AT23/Frota!$L23)*Frota!$L23,N(VLOOKUP(Frota!$B23,Premissas!$A$39:$E$43,5,0)))=0,"B",IF(N(VLOOKUP(Frota!$B23,Premissas!$A$39:$E$43,4,0))&gt;0,IF(MOD(INT(Cron_Uso!AT23/Frota!$L23)*Frota!$L23,N(VLOOKUP(Frota!$B23,Premissas!$A$39:$E$43,4,0)))=0,"A","S"),"S")),IF(N(VLOOKUP(Frota!$B23,Premissas!$A$39:$E$43,4,0))&gt;0,IF(MOD(INT(Cron_Uso!AT23/Frota!$L23)*Frota!$L23,N(VLOOKUP(Frota!$B23,Premissas!$A$39:$E$43,4,0)))=0,"A","S"),"S")),""))</f>
        <v/>
      </c>
      <c r="AU23" s="16" t="str">
        <f aca="false">IF(Cron_Uso!AU23="","",IF(INT(Cron_Uso!AU23/Frota!$L23)&gt;INT(Cron_Uso!AT23/Frota!$L23),IF(N(VLOOKUP(Frota!$B23,Premissas!$A$39:$E$43,5,0))&gt;0,IF(MOD(INT(Cron_Uso!AU23/Frota!$L23)*Frota!$L23,N(VLOOKUP(Frota!$B23,Premissas!$A$39:$E$43,5,0)))=0,"B",IF(N(VLOOKUP(Frota!$B23,Premissas!$A$39:$E$43,4,0))&gt;0,IF(MOD(INT(Cron_Uso!AU23/Frota!$L23)*Frota!$L23,N(VLOOKUP(Frota!$B23,Premissas!$A$39:$E$43,4,0)))=0,"A","S"),"S")),IF(N(VLOOKUP(Frota!$B23,Premissas!$A$39:$E$43,4,0))&gt;0,IF(MOD(INT(Cron_Uso!AU23/Frota!$L23)*Frota!$L23,N(VLOOKUP(Frota!$B23,Premissas!$A$39:$E$43,4,0)))=0,"A","S"),"S")),""))</f>
        <v/>
      </c>
      <c r="AV23" s="16" t="str">
        <f aca="false">IF(Cron_Uso!AV23="","",IF(INT(Cron_Uso!AV23/Frota!$L23)&gt;INT(Cron_Uso!AU23/Frota!$L23),IF(N(VLOOKUP(Frota!$B23,Premissas!$A$39:$E$43,5,0))&gt;0,IF(MOD(INT(Cron_Uso!AV23/Frota!$L23)*Frota!$L23,N(VLOOKUP(Frota!$B23,Premissas!$A$39:$E$43,5,0)))=0,"B",IF(N(VLOOKUP(Frota!$B23,Premissas!$A$39:$E$43,4,0))&gt;0,IF(MOD(INT(Cron_Uso!AV23/Frota!$L23)*Frota!$L23,N(VLOOKUP(Frota!$B23,Premissas!$A$39:$E$43,4,0)))=0,"A","S"),"S")),IF(N(VLOOKUP(Frota!$B23,Premissas!$A$39:$E$43,4,0))&gt;0,IF(MOD(INT(Cron_Uso!AV23/Frota!$L23)*Frota!$L23,N(VLOOKUP(Frota!$B23,Premissas!$A$39:$E$43,4,0)))=0,"A","S"),"S")),""))</f>
        <v/>
      </c>
      <c r="AW23" s="16" t="str">
        <f aca="false">IF(Cron_Uso!AW23="","",IF(INT(Cron_Uso!AW23/Frota!$L23)&gt;INT(Cron_Uso!AV23/Frota!$L23),IF(N(VLOOKUP(Frota!$B23,Premissas!$A$39:$E$43,5,0))&gt;0,IF(MOD(INT(Cron_Uso!AW23/Frota!$L23)*Frota!$L23,N(VLOOKUP(Frota!$B23,Premissas!$A$39:$E$43,5,0)))=0,"B",IF(N(VLOOKUP(Frota!$B23,Premissas!$A$39:$E$43,4,0))&gt;0,IF(MOD(INT(Cron_Uso!AW23/Frota!$L23)*Frota!$L23,N(VLOOKUP(Frota!$B23,Premissas!$A$39:$E$43,4,0)))=0,"A","S"),"S")),IF(N(VLOOKUP(Frota!$B23,Premissas!$A$39:$E$43,4,0))&gt;0,IF(MOD(INT(Cron_Uso!AW23/Frota!$L23)*Frota!$L23,N(VLOOKUP(Frota!$B23,Premissas!$A$39:$E$43,4,0)))=0,"A","S"),"S")),""))</f>
        <v/>
      </c>
      <c r="AX23" s="16" t="str">
        <f aca="false">IF(Cron_Uso!AX23="","",IF(INT(Cron_Uso!AX23/Frota!$L23)&gt;INT(Cron_Uso!AW23/Frota!$L23),IF(N(VLOOKUP(Frota!$B23,Premissas!$A$39:$E$43,5,0))&gt;0,IF(MOD(INT(Cron_Uso!AX23/Frota!$L23)*Frota!$L23,N(VLOOKUP(Frota!$B23,Premissas!$A$39:$E$43,5,0)))=0,"B",IF(N(VLOOKUP(Frota!$B23,Premissas!$A$39:$E$43,4,0))&gt;0,IF(MOD(INT(Cron_Uso!AX23/Frota!$L23)*Frota!$L23,N(VLOOKUP(Frota!$B23,Premissas!$A$39:$E$43,4,0)))=0,"A","S"),"S")),IF(N(VLOOKUP(Frota!$B23,Premissas!$A$39:$E$43,4,0))&gt;0,IF(MOD(INT(Cron_Uso!AX23/Frota!$L23)*Frota!$L23,N(VLOOKUP(Frota!$B23,Premissas!$A$39:$E$43,4,0)))=0,"A","S"),"S")),""))</f>
        <v/>
      </c>
      <c r="AY23" s="16" t="str">
        <f aca="false">IF(Cron_Uso!AY23="","",IF(INT(Cron_Uso!AY23/Frota!$L23)&gt;INT(Cron_Uso!AX23/Frota!$L23),IF(N(VLOOKUP(Frota!$B23,Premissas!$A$39:$E$43,5,0))&gt;0,IF(MOD(INT(Cron_Uso!AY23/Frota!$L23)*Frota!$L23,N(VLOOKUP(Frota!$B23,Premissas!$A$39:$E$43,5,0)))=0,"B",IF(N(VLOOKUP(Frota!$B23,Premissas!$A$39:$E$43,4,0))&gt;0,IF(MOD(INT(Cron_Uso!AY23/Frota!$L23)*Frota!$L23,N(VLOOKUP(Frota!$B23,Premissas!$A$39:$E$43,4,0)))=0,"A","S"),"S")),IF(N(VLOOKUP(Frota!$B23,Premissas!$A$39:$E$43,4,0))&gt;0,IF(MOD(INT(Cron_Uso!AY23/Frota!$L23)*Frota!$L23,N(VLOOKUP(Frota!$B23,Premissas!$A$39:$E$43,4,0)))=0,"A","S"),"S")),""))</f>
        <v/>
      </c>
      <c r="AZ23" s="16" t="str">
        <f aca="false">IF(Cron_Uso!AZ23="","",IF(INT(Cron_Uso!AZ23/Frota!$L23)&gt;INT(Cron_Uso!AY23/Frota!$L23),IF(N(VLOOKUP(Frota!$B23,Premissas!$A$39:$E$43,5,0))&gt;0,IF(MOD(INT(Cron_Uso!AZ23/Frota!$L23)*Frota!$L23,N(VLOOKUP(Frota!$B23,Premissas!$A$39:$E$43,5,0)))=0,"B",IF(N(VLOOKUP(Frota!$B23,Premissas!$A$39:$E$43,4,0))&gt;0,IF(MOD(INT(Cron_Uso!AZ23/Frota!$L23)*Frota!$L23,N(VLOOKUP(Frota!$B23,Premissas!$A$39:$E$43,4,0)))=0,"A","S"),"S")),IF(N(VLOOKUP(Frota!$B23,Premissas!$A$39:$E$43,4,0))&gt;0,IF(MOD(INT(Cron_Uso!AZ23/Frota!$L23)*Frota!$L23,N(VLOOKUP(Frota!$B23,Premissas!$A$39:$E$43,4,0)))=0,"A","S"),"S")),""))</f>
        <v/>
      </c>
      <c r="BA23" s="16" t="str">
        <f aca="false">IF(Cron_Uso!BA23="","",IF(INT(Cron_Uso!BA23/Frota!$L23)&gt;INT(Cron_Uso!AZ23/Frota!$L23),IF(N(VLOOKUP(Frota!$B23,Premissas!$A$39:$E$43,5,0))&gt;0,IF(MOD(INT(Cron_Uso!BA23/Frota!$L23)*Frota!$L23,N(VLOOKUP(Frota!$B23,Premissas!$A$39:$E$43,5,0)))=0,"B",IF(N(VLOOKUP(Frota!$B23,Premissas!$A$39:$E$43,4,0))&gt;0,IF(MOD(INT(Cron_Uso!BA23/Frota!$L23)*Frota!$L23,N(VLOOKUP(Frota!$B23,Premissas!$A$39:$E$43,4,0)))=0,"A","S"),"S")),IF(N(VLOOKUP(Frota!$B23,Premissas!$A$39:$E$43,4,0))&gt;0,IF(MOD(INT(Cron_Uso!BA23/Frota!$L23)*Frota!$L23,N(VLOOKUP(Frota!$B23,Premissas!$A$39:$E$43,4,0)))=0,"A","S"),"S")),""))</f>
        <v/>
      </c>
    </row>
    <row r="24" customFormat="false" ht="15" hidden="false" customHeight="false" outlineLevel="0" collapsed="false">
      <c r="A24" s="6" t="str">
        <f aca="false">IF(Frota!$A24="","",Frota!$A24)</f>
        <v/>
      </c>
      <c r="B24" s="16" t="str">
        <f aca="false">IF(Cron_Uso!B24="","",IF(INT(Cron_Uso!B24/Frota!$L24)&gt;INT(Frota!$I24/Frota!$L24),IF(N(VLOOKUP(Frota!$B24,Premissas!$A$39:$E$43,5,0))&gt;0,IF(MOD(INT(Cron_Uso!B24/Frota!$L24)*Frota!$L24,N(VLOOKUP(Frota!$B24,Premissas!$A$39:$E$43,5,0)))=0,"B",IF(N(VLOOKUP(Frota!$B24,Premissas!$A$39:$E$43,4,0))&gt;0,IF(MOD(INT(Cron_Uso!B24/Frota!$L24)*Frota!$L24,N(VLOOKUP(Frota!$B24,Premissas!$A$39:$E$43,4,0)))=0,"A","S"),"S")),IF(N(VLOOKUP(Frota!$B24,Premissas!$A$39:$E$43,4,0))&gt;0,IF(MOD(INT(Cron_Uso!B24/Frota!$L24)*Frota!$L24,N(VLOOKUP(Frota!$B24,Premissas!$A$39:$E$43,4,0)))=0,"A","S"),"S")),""))</f>
        <v/>
      </c>
      <c r="C24" s="16" t="str">
        <f aca="false">IF(Cron_Uso!C24="","",IF(INT(Cron_Uso!C24/Frota!$L24)&gt;INT(Cron_Uso!B24/Frota!$L24),IF(N(VLOOKUP(Frota!$B24,Premissas!$A$39:$E$43,5,0))&gt;0,IF(MOD(INT(Cron_Uso!C24/Frota!$L24)*Frota!$L24,N(VLOOKUP(Frota!$B24,Premissas!$A$39:$E$43,5,0)))=0,"B",IF(N(VLOOKUP(Frota!$B24,Premissas!$A$39:$E$43,4,0))&gt;0,IF(MOD(INT(Cron_Uso!C24/Frota!$L24)*Frota!$L24,N(VLOOKUP(Frota!$B24,Premissas!$A$39:$E$43,4,0)))=0,"A","S"),"S")),IF(N(VLOOKUP(Frota!$B24,Premissas!$A$39:$E$43,4,0))&gt;0,IF(MOD(INT(Cron_Uso!C24/Frota!$L24)*Frota!$L24,N(VLOOKUP(Frota!$B24,Premissas!$A$39:$E$43,4,0)))=0,"A","S"),"S")),""))</f>
        <v/>
      </c>
      <c r="D24" s="16" t="str">
        <f aca="false">IF(Cron_Uso!D24="","",IF(INT(Cron_Uso!D24/Frota!$L24)&gt;INT(Cron_Uso!C24/Frota!$L24),IF(N(VLOOKUP(Frota!$B24,Premissas!$A$39:$E$43,5,0))&gt;0,IF(MOD(INT(Cron_Uso!D24/Frota!$L24)*Frota!$L24,N(VLOOKUP(Frota!$B24,Premissas!$A$39:$E$43,5,0)))=0,"B",IF(N(VLOOKUP(Frota!$B24,Premissas!$A$39:$E$43,4,0))&gt;0,IF(MOD(INT(Cron_Uso!D24/Frota!$L24)*Frota!$L24,N(VLOOKUP(Frota!$B24,Premissas!$A$39:$E$43,4,0)))=0,"A","S"),"S")),IF(N(VLOOKUP(Frota!$B24,Premissas!$A$39:$E$43,4,0))&gt;0,IF(MOD(INT(Cron_Uso!D24/Frota!$L24)*Frota!$L24,N(VLOOKUP(Frota!$B24,Premissas!$A$39:$E$43,4,0)))=0,"A","S"),"S")),""))</f>
        <v/>
      </c>
      <c r="E24" s="16" t="str">
        <f aca="false">IF(Cron_Uso!E24="","",IF(INT(Cron_Uso!E24/Frota!$L24)&gt;INT(Cron_Uso!D24/Frota!$L24),IF(N(VLOOKUP(Frota!$B24,Premissas!$A$39:$E$43,5,0))&gt;0,IF(MOD(INT(Cron_Uso!E24/Frota!$L24)*Frota!$L24,N(VLOOKUP(Frota!$B24,Premissas!$A$39:$E$43,5,0)))=0,"B",IF(N(VLOOKUP(Frota!$B24,Premissas!$A$39:$E$43,4,0))&gt;0,IF(MOD(INT(Cron_Uso!E24/Frota!$L24)*Frota!$L24,N(VLOOKUP(Frota!$B24,Premissas!$A$39:$E$43,4,0)))=0,"A","S"),"S")),IF(N(VLOOKUP(Frota!$B24,Premissas!$A$39:$E$43,4,0))&gt;0,IF(MOD(INT(Cron_Uso!E24/Frota!$L24)*Frota!$L24,N(VLOOKUP(Frota!$B24,Premissas!$A$39:$E$43,4,0)))=0,"A","S"),"S")),""))</f>
        <v/>
      </c>
      <c r="F24" s="16" t="str">
        <f aca="false">IF(Cron_Uso!F24="","",IF(INT(Cron_Uso!F24/Frota!$L24)&gt;INT(Cron_Uso!E24/Frota!$L24),IF(N(VLOOKUP(Frota!$B24,Premissas!$A$39:$E$43,5,0))&gt;0,IF(MOD(INT(Cron_Uso!F24/Frota!$L24)*Frota!$L24,N(VLOOKUP(Frota!$B24,Premissas!$A$39:$E$43,5,0)))=0,"B",IF(N(VLOOKUP(Frota!$B24,Premissas!$A$39:$E$43,4,0))&gt;0,IF(MOD(INT(Cron_Uso!F24/Frota!$L24)*Frota!$L24,N(VLOOKUP(Frota!$B24,Premissas!$A$39:$E$43,4,0)))=0,"A","S"),"S")),IF(N(VLOOKUP(Frota!$B24,Premissas!$A$39:$E$43,4,0))&gt;0,IF(MOD(INT(Cron_Uso!F24/Frota!$L24)*Frota!$L24,N(VLOOKUP(Frota!$B24,Premissas!$A$39:$E$43,4,0)))=0,"A","S"),"S")),""))</f>
        <v/>
      </c>
      <c r="G24" s="16" t="str">
        <f aca="false">IF(Cron_Uso!G24="","",IF(INT(Cron_Uso!G24/Frota!$L24)&gt;INT(Cron_Uso!F24/Frota!$L24),IF(N(VLOOKUP(Frota!$B24,Premissas!$A$39:$E$43,5,0))&gt;0,IF(MOD(INT(Cron_Uso!G24/Frota!$L24)*Frota!$L24,N(VLOOKUP(Frota!$B24,Premissas!$A$39:$E$43,5,0)))=0,"B",IF(N(VLOOKUP(Frota!$B24,Premissas!$A$39:$E$43,4,0))&gt;0,IF(MOD(INT(Cron_Uso!G24/Frota!$L24)*Frota!$L24,N(VLOOKUP(Frota!$B24,Premissas!$A$39:$E$43,4,0)))=0,"A","S"),"S")),IF(N(VLOOKUP(Frota!$B24,Premissas!$A$39:$E$43,4,0))&gt;0,IF(MOD(INT(Cron_Uso!G24/Frota!$L24)*Frota!$L24,N(VLOOKUP(Frota!$B24,Premissas!$A$39:$E$43,4,0)))=0,"A","S"),"S")),""))</f>
        <v/>
      </c>
      <c r="H24" s="16" t="str">
        <f aca="false">IF(Cron_Uso!H24="","",IF(INT(Cron_Uso!H24/Frota!$L24)&gt;INT(Cron_Uso!G24/Frota!$L24),IF(N(VLOOKUP(Frota!$B24,Premissas!$A$39:$E$43,5,0))&gt;0,IF(MOD(INT(Cron_Uso!H24/Frota!$L24)*Frota!$L24,N(VLOOKUP(Frota!$B24,Premissas!$A$39:$E$43,5,0)))=0,"B",IF(N(VLOOKUP(Frota!$B24,Premissas!$A$39:$E$43,4,0))&gt;0,IF(MOD(INT(Cron_Uso!H24/Frota!$L24)*Frota!$L24,N(VLOOKUP(Frota!$B24,Premissas!$A$39:$E$43,4,0)))=0,"A","S"),"S")),IF(N(VLOOKUP(Frota!$B24,Premissas!$A$39:$E$43,4,0))&gt;0,IF(MOD(INT(Cron_Uso!H24/Frota!$L24)*Frota!$L24,N(VLOOKUP(Frota!$B24,Premissas!$A$39:$E$43,4,0)))=0,"A","S"),"S")),""))</f>
        <v/>
      </c>
      <c r="I24" s="16" t="str">
        <f aca="false">IF(Cron_Uso!I24="","",IF(INT(Cron_Uso!I24/Frota!$L24)&gt;INT(Cron_Uso!H24/Frota!$L24),IF(N(VLOOKUP(Frota!$B24,Premissas!$A$39:$E$43,5,0))&gt;0,IF(MOD(INT(Cron_Uso!I24/Frota!$L24)*Frota!$L24,N(VLOOKUP(Frota!$B24,Premissas!$A$39:$E$43,5,0)))=0,"B",IF(N(VLOOKUP(Frota!$B24,Premissas!$A$39:$E$43,4,0))&gt;0,IF(MOD(INT(Cron_Uso!I24/Frota!$L24)*Frota!$L24,N(VLOOKUP(Frota!$B24,Premissas!$A$39:$E$43,4,0)))=0,"A","S"),"S")),IF(N(VLOOKUP(Frota!$B24,Premissas!$A$39:$E$43,4,0))&gt;0,IF(MOD(INT(Cron_Uso!I24/Frota!$L24)*Frota!$L24,N(VLOOKUP(Frota!$B24,Premissas!$A$39:$E$43,4,0)))=0,"A","S"),"S")),""))</f>
        <v/>
      </c>
      <c r="J24" s="16" t="str">
        <f aca="false">IF(Cron_Uso!J24="","",IF(INT(Cron_Uso!J24/Frota!$L24)&gt;INT(Cron_Uso!I24/Frota!$L24),IF(N(VLOOKUP(Frota!$B24,Premissas!$A$39:$E$43,5,0))&gt;0,IF(MOD(INT(Cron_Uso!J24/Frota!$L24)*Frota!$L24,N(VLOOKUP(Frota!$B24,Premissas!$A$39:$E$43,5,0)))=0,"B",IF(N(VLOOKUP(Frota!$B24,Premissas!$A$39:$E$43,4,0))&gt;0,IF(MOD(INT(Cron_Uso!J24/Frota!$L24)*Frota!$L24,N(VLOOKUP(Frota!$B24,Premissas!$A$39:$E$43,4,0)))=0,"A","S"),"S")),IF(N(VLOOKUP(Frota!$B24,Premissas!$A$39:$E$43,4,0))&gt;0,IF(MOD(INT(Cron_Uso!J24/Frota!$L24)*Frota!$L24,N(VLOOKUP(Frota!$B24,Premissas!$A$39:$E$43,4,0)))=0,"A","S"),"S")),""))</f>
        <v/>
      </c>
      <c r="K24" s="16" t="str">
        <f aca="false">IF(Cron_Uso!K24="","",IF(INT(Cron_Uso!K24/Frota!$L24)&gt;INT(Cron_Uso!J24/Frota!$L24),IF(N(VLOOKUP(Frota!$B24,Premissas!$A$39:$E$43,5,0))&gt;0,IF(MOD(INT(Cron_Uso!K24/Frota!$L24)*Frota!$L24,N(VLOOKUP(Frota!$B24,Premissas!$A$39:$E$43,5,0)))=0,"B",IF(N(VLOOKUP(Frota!$B24,Premissas!$A$39:$E$43,4,0))&gt;0,IF(MOD(INT(Cron_Uso!K24/Frota!$L24)*Frota!$L24,N(VLOOKUP(Frota!$B24,Premissas!$A$39:$E$43,4,0)))=0,"A","S"),"S")),IF(N(VLOOKUP(Frota!$B24,Premissas!$A$39:$E$43,4,0))&gt;0,IF(MOD(INT(Cron_Uso!K24/Frota!$L24)*Frota!$L24,N(VLOOKUP(Frota!$B24,Premissas!$A$39:$E$43,4,0)))=0,"A","S"),"S")),""))</f>
        <v/>
      </c>
      <c r="L24" s="16" t="str">
        <f aca="false">IF(Cron_Uso!L24="","",IF(INT(Cron_Uso!L24/Frota!$L24)&gt;INT(Cron_Uso!K24/Frota!$L24),IF(N(VLOOKUP(Frota!$B24,Premissas!$A$39:$E$43,5,0))&gt;0,IF(MOD(INT(Cron_Uso!L24/Frota!$L24)*Frota!$L24,N(VLOOKUP(Frota!$B24,Premissas!$A$39:$E$43,5,0)))=0,"B",IF(N(VLOOKUP(Frota!$B24,Premissas!$A$39:$E$43,4,0))&gt;0,IF(MOD(INT(Cron_Uso!L24/Frota!$L24)*Frota!$L24,N(VLOOKUP(Frota!$B24,Premissas!$A$39:$E$43,4,0)))=0,"A","S"),"S")),IF(N(VLOOKUP(Frota!$B24,Premissas!$A$39:$E$43,4,0))&gt;0,IF(MOD(INT(Cron_Uso!L24/Frota!$L24)*Frota!$L24,N(VLOOKUP(Frota!$B24,Premissas!$A$39:$E$43,4,0)))=0,"A","S"),"S")),""))</f>
        <v/>
      </c>
      <c r="M24" s="16" t="str">
        <f aca="false">IF(Cron_Uso!M24="","",IF(INT(Cron_Uso!M24/Frota!$L24)&gt;INT(Cron_Uso!L24/Frota!$L24),IF(N(VLOOKUP(Frota!$B24,Premissas!$A$39:$E$43,5,0))&gt;0,IF(MOD(INT(Cron_Uso!M24/Frota!$L24)*Frota!$L24,N(VLOOKUP(Frota!$B24,Premissas!$A$39:$E$43,5,0)))=0,"B",IF(N(VLOOKUP(Frota!$B24,Premissas!$A$39:$E$43,4,0))&gt;0,IF(MOD(INT(Cron_Uso!M24/Frota!$L24)*Frota!$L24,N(VLOOKUP(Frota!$B24,Premissas!$A$39:$E$43,4,0)))=0,"A","S"),"S")),IF(N(VLOOKUP(Frota!$B24,Premissas!$A$39:$E$43,4,0))&gt;0,IF(MOD(INT(Cron_Uso!M24/Frota!$L24)*Frota!$L24,N(VLOOKUP(Frota!$B24,Premissas!$A$39:$E$43,4,0)))=0,"A","S"),"S")),""))</f>
        <v/>
      </c>
      <c r="N24" s="16" t="str">
        <f aca="false">IF(Cron_Uso!N24="","",IF(INT(Cron_Uso!N24/Frota!$L24)&gt;INT(Cron_Uso!M24/Frota!$L24),IF(N(VLOOKUP(Frota!$B24,Premissas!$A$39:$E$43,5,0))&gt;0,IF(MOD(INT(Cron_Uso!N24/Frota!$L24)*Frota!$L24,N(VLOOKUP(Frota!$B24,Premissas!$A$39:$E$43,5,0)))=0,"B",IF(N(VLOOKUP(Frota!$B24,Premissas!$A$39:$E$43,4,0))&gt;0,IF(MOD(INT(Cron_Uso!N24/Frota!$L24)*Frota!$L24,N(VLOOKUP(Frota!$B24,Premissas!$A$39:$E$43,4,0)))=0,"A","S"),"S")),IF(N(VLOOKUP(Frota!$B24,Premissas!$A$39:$E$43,4,0))&gt;0,IF(MOD(INT(Cron_Uso!N24/Frota!$L24)*Frota!$L24,N(VLOOKUP(Frota!$B24,Premissas!$A$39:$E$43,4,0)))=0,"A","S"),"S")),""))</f>
        <v/>
      </c>
      <c r="O24" s="16" t="str">
        <f aca="false">IF(Cron_Uso!O24="","",IF(INT(Cron_Uso!O24/Frota!$L24)&gt;INT(Cron_Uso!N24/Frota!$L24),IF(N(VLOOKUP(Frota!$B24,Premissas!$A$39:$E$43,5,0))&gt;0,IF(MOD(INT(Cron_Uso!O24/Frota!$L24)*Frota!$L24,N(VLOOKUP(Frota!$B24,Premissas!$A$39:$E$43,5,0)))=0,"B",IF(N(VLOOKUP(Frota!$B24,Premissas!$A$39:$E$43,4,0))&gt;0,IF(MOD(INT(Cron_Uso!O24/Frota!$L24)*Frota!$L24,N(VLOOKUP(Frota!$B24,Premissas!$A$39:$E$43,4,0)))=0,"A","S"),"S")),IF(N(VLOOKUP(Frota!$B24,Premissas!$A$39:$E$43,4,0))&gt;0,IF(MOD(INT(Cron_Uso!O24/Frota!$L24)*Frota!$L24,N(VLOOKUP(Frota!$B24,Premissas!$A$39:$E$43,4,0)))=0,"A","S"),"S")),""))</f>
        <v/>
      </c>
      <c r="P24" s="16" t="str">
        <f aca="false">IF(Cron_Uso!P24="","",IF(INT(Cron_Uso!P24/Frota!$L24)&gt;INT(Cron_Uso!O24/Frota!$L24),IF(N(VLOOKUP(Frota!$B24,Premissas!$A$39:$E$43,5,0))&gt;0,IF(MOD(INT(Cron_Uso!P24/Frota!$L24)*Frota!$L24,N(VLOOKUP(Frota!$B24,Premissas!$A$39:$E$43,5,0)))=0,"B",IF(N(VLOOKUP(Frota!$B24,Premissas!$A$39:$E$43,4,0))&gt;0,IF(MOD(INT(Cron_Uso!P24/Frota!$L24)*Frota!$L24,N(VLOOKUP(Frota!$B24,Premissas!$A$39:$E$43,4,0)))=0,"A","S"),"S")),IF(N(VLOOKUP(Frota!$B24,Premissas!$A$39:$E$43,4,0))&gt;0,IF(MOD(INT(Cron_Uso!P24/Frota!$L24)*Frota!$L24,N(VLOOKUP(Frota!$B24,Premissas!$A$39:$E$43,4,0)))=0,"A","S"),"S")),""))</f>
        <v/>
      </c>
      <c r="Q24" s="16" t="str">
        <f aca="false">IF(Cron_Uso!Q24="","",IF(INT(Cron_Uso!Q24/Frota!$L24)&gt;INT(Cron_Uso!P24/Frota!$L24),IF(N(VLOOKUP(Frota!$B24,Premissas!$A$39:$E$43,5,0))&gt;0,IF(MOD(INT(Cron_Uso!Q24/Frota!$L24)*Frota!$L24,N(VLOOKUP(Frota!$B24,Premissas!$A$39:$E$43,5,0)))=0,"B",IF(N(VLOOKUP(Frota!$B24,Premissas!$A$39:$E$43,4,0))&gt;0,IF(MOD(INT(Cron_Uso!Q24/Frota!$L24)*Frota!$L24,N(VLOOKUP(Frota!$B24,Premissas!$A$39:$E$43,4,0)))=0,"A","S"),"S")),IF(N(VLOOKUP(Frota!$B24,Premissas!$A$39:$E$43,4,0))&gt;0,IF(MOD(INT(Cron_Uso!Q24/Frota!$L24)*Frota!$L24,N(VLOOKUP(Frota!$B24,Premissas!$A$39:$E$43,4,0)))=0,"A","S"),"S")),""))</f>
        <v/>
      </c>
      <c r="R24" s="16" t="str">
        <f aca="false">IF(Cron_Uso!R24="","",IF(INT(Cron_Uso!R24/Frota!$L24)&gt;INT(Cron_Uso!Q24/Frota!$L24),IF(N(VLOOKUP(Frota!$B24,Premissas!$A$39:$E$43,5,0))&gt;0,IF(MOD(INT(Cron_Uso!R24/Frota!$L24)*Frota!$L24,N(VLOOKUP(Frota!$B24,Premissas!$A$39:$E$43,5,0)))=0,"B",IF(N(VLOOKUP(Frota!$B24,Premissas!$A$39:$E$43,4,0))&gt;0,IF(MOD(INT(Cron_Uso!R24/Frota!$L24)*Frota!$L24,N(VLOOKUP(Frota!$B24,Premissas!$A$39:$E$43,4,0)))=0,"A","S"),"S")),IF(N(VLOOKUP(Frota!$B24,Premissas!$A$39:$E$43,4,0))&gt;0,IF(MOD(INT(Cron_Uso!R24/Frota!$L24)*Frota!$L24,N(VLOOKUP(Frota!$B24,Premissas!$A$39:$E$43,4,0)))=0,"A","S"),"S")),""))</f>
        <v/>
      </c>
      <c r="S24" s="16" t="str">
        <f aca="false">IF(Cron_Uso!S24="","",IF(INT(Cron_Uso!S24/Frota!$L24)&gt;INT(Cron_Uso!R24/Frota!$L24),IF(N(VLOOKUP(Frota!$B24,Premissas!$A$39:$E$43,5,0))&gt;0,IF(MOD(INT(Cron_Uso!S24/Frota!$L24)*Frota!$L24,N(VLOOKUP(Frota!$B24,Premissas!$A$39:$E$43,5,0)))=0,"B",IF(N(VLOOKUP(Frota!$B24,Premissas!$A$39:$E$43,4,0))&gt;0,IF(MOD(INT(Cron_Uso!S24/Frota!$L24)*Frota!$L24,N(VLOOKUP(Frota!$B24,Premissas!$A$39:$E$43,4,0)))=0,"A","S"),"S")),IF(N(VLOOKUP(Frota!$B24,Premissas!$A$39:$E$43,4,0))&gt;0,IF(MOD(INT(Cron_Uso!S24/Frota!$L24)*Frota!$L24,N(VLOOKUP(Frota!$B24,Premissas!$A$39:$E$43,4,0)))=0,"A","S"),"S")),""))</f>
        <v/>
      </c>
      <c r="T24" s="16" t="str">
        <f aca="false">IF(Cron_Uso!T24="","",IF(INT(Cron_Uso!T24/Frota!$L24)&gt;INT(Cron_Uso!S24/Frota!$L24),IF(N(VLOOKUP(Frota!$B24,Premissas!$A$39:$E$43,5,0))&gt;0,IF(MOD(INT(Cron_Uso!T24/Frota!$L24)*Frota!$L24,N(VLOOKUP(Frota!$B24,Premissas!$A$39:$E$43,5,0)))=0,"B",IF(N(VLOOKUP(Frota!$B24,Premissas!$A$39:$E$43,4,0))&gt;0,IF(MOD(INT(Cron_Uso!T24/Frota!$L24)*Frota!$L24,N(VLOOKUP(Frota!$B24,Premissas!$A$39:$E$43,4,0)))=0,"A","S"),"S")),IF(N(VLOOKUP(Frota!$B24,Premissas!$A$39:$E$43,4,0))&gt;0,IF(MOD(INT(Cron_Uso!T24/Frota!$L24)*Frota!$L24,N(VLOOKUP(Frota!$B24,Premissas!$A$39:$E$43,4,0)))=0,"A","S"),"S")),""))</f>
        <v/>
      </c>
      <c r="U24" s="16" t="str">
        <f aca="false">IF(Cron_Uso!U24="","",IF(INT(Cron_Uso!U24/Frota!$L24)&gt;INT(Cron_Uso!T24/Frota!$L24),IF(N(VLOOKUP(Frota!$B24,Premissas!$A$39:$E$43,5,0))&gt;0,IF(MOD(INT(Cron_Uso!U24/Frota!$L24)*Frota!$L24,N(VLOOKUP(Frota!$B24,Premissas!$A$39:$E$43,5,0)))=0,"B",IF(N(VLOOKUP(Frota!$B24,Premissas!$A$39:$E$43,4,0))&gt;0,IF(MOD(INT(Cron_Uso!U24/Frota!$L24)*Frota!$L24,N(VLOOKUP(Frota!$B24,Premissas!$A$39:$E$43,4,0)))=0,"A","S"),"S")),IF(N(VLOOKUP(Frota!$B24,Premissas!$A$39:$E$43,4,0))&gt;0,IF(MOD(INT(Cron_Uso!U24/Frota!$L24)*Frota!$L24,N(VLOOKUP(Frota!$B24,Premissas!$A$39:$E$43,4,0)))=0,"A","S"),"S")),""))</f>
        <v/>
      </c>
      <c r="V24" s="16" t="str">
        <f aca="false">IF(Cron_Uso!V24="","",IF(INT(Cron_Uso!V24/Frota!$L24)&gt;INT(Cron_Uso!U24/Frota!$L24),IF(N(VLOOKUP(Frota!$B24,Premissas!$A$39:$E$43,5,0))&gt;0,IF(MOD(INT(Cron_Uso!V24/Frota!$L24)*Frota!$L24,N(VLOOKUP(Frota!$B24,Premissas!$A$39:$E$43,5,0)))=0,"B",IF(N(VLOOKUP(Frota!$B24,Premissas!$A$39:$E$43,4,0))&gt;0,IF(MOD(INT(Cron_Uso!V24/Frota!$L24)*Frota!$L24,N(VLOOKUP(Frota!$B24,Premissas!$A$39:$E$43,4,0)))=0,"A","S"),"S")),IF(N(VLOOKUP(Frota!$B24,Premissas!$A$39:$E$43,4,0))&gt;0,IF(MOD(INT(Cron_Uso!V24/Frota!$L24)*Frota!$L24,N(VLOOKUP(Frota!$B24,Premissas!$A$39:$E$43,4,0)))=0,"A","S"),"S")),""))</f>
        <v/>
      </c>
      <c r="W24" s="16" t="str">
        <f aca="false">IF(Cron_Uso!W24="","",IF(INT(Cron_Uso!W24/Frota!$L24)&gt;INT(Cron_Uso!V24/Frota!$L24),IF(N(VLOOKUP(Frota!$B24,Premissas!$A$39:$E$43,5,0))&gt;0,IF(MOD(INT(Cron_Uso!W24/Frota!$L24)*Frota!$L24,N(VLOOKUP(Frota!$B24,Premissas!$A$39:$E$43,5,0)))=0,"B",IF(N(VLOOKUP(Frota!$B24,Premissas!$A$39:$E$43,4,0))&gt;0,IF(MOD(INT(Cron_Uso!W24/Frota!$L24)*Frota!$L24,N(VLOOKUP(Frota!$B24,Premissas!$A$39:$E$43,4,0)))=0,"A","S"),"S")),IF(N(VLOOKUP(Frota!$B24,Premissas!$A$39:$E$43,4,0))&gt;0,IF(MOD(INT(Cron_Uso!W24/Frota!$L24)*Frota!$L24,N(VLOOKUP(Frota!$B24,Premissas!$A$39:$E$43,4,0)))=0,"A","S"),"S")),""))</f>
        <v/>
      </c>
      <c r="X24" s="16" t="str">
        <f aca="false">IF(Cron_Uso!X24="","",IF(INT(Cron_Uso!X24/Frota!$L24)&gt;INT(Cron_Uso!W24/Frota!$L24),IF(N(VLOOKUP(Frota!$B24,Premissas!$A$39:$E$43,5,0))&gt;0,IF(MOD(INT(Cron_Uso!X24/Frota!$L24)*Frota!$L24,N(VLOOKUP(Frota!$B24,Premissas!$A$39:$E$43,5,0)))=0,"B",IF(N(VLOOKUP(Frota!$B24,Premissas!$A$39:$E$43,4,0))&gt;0,IF(MOD(INT(Cron_Uso!X24/Frota!$L24)*Frota!$L24,N(VLOOKUP(Frota!$B24,Premissas!$A$39:$E$43,4,0)))=0,"A","S"),"S")),IF(N(VLOOKUP(Frota!$B24,Premissas!$A$39:$E$43,4,0))&gt;0,IF(MOD(INT(Cron_Uso!X24/Frota!$L24)*Frota!$L24,N(VLOOKUP(Frota!$B24,Premissas!$A$39:$E$43,4,0)))=0,"A","S"),"S")),""))</f>
        <v/>
      </c>
      <c r="Y24" s="16" t="str">
        <f aca="false">IF(Cron_Uso!Y24="","",IF(INT(Cron_Uso!Y24/Frota!$L24)&gt;INT(Cron_Uso!X24/Frota!$L24),IF(N(VLOOKUP(Frota!$B24,Premissas!$A$39:$E$43,5,0))&gt;0,IF(MOD(INT(Cron_Uso!Y24/Frota!$L24)*Frota!$L24,N(VLOOKUP(Frota!$B24,Premissas!$A$39:$E$43,5,0)))=0,"B",IF(N(VLOOKUP(Frota!$B24,Premissas!$A$39:$E$43,4,0))&gt;0,IF(MOD(INT(Cron_Uso!Y24/Frota!$L24)*Frota!$L24,N(VLOOKUP(Frota!$B24,Premissas!$A$39:$E$43,4,0)))=0,"A","S"),"S")),IF(N(VLOOKUP(Frota!$B24,Premissas!$A$39:$E$43,4,0))&gt;0,IF(MOD(INT(Cron_Uso!Y24/Frota!$L24)*Frota!$L24,N(VLOOKUP(Frota!$B24,Premissas!$A$39:$E$43,4,0)))=0,"A","S"),"S")),""))</f>
        <v/>
      </c>
      <c r="Z24" s="16" t="str">
        <f aca="false">IF(Cron_Uso!Z24="","",IF(INT(Cron_Uso!Z24/Frota!$L24)&gt;INT(Cron_Uso!Y24/Frota!$L24),IF(N(VLOOKUP(Frota!$B24,Premissas!$A$39:$E$43,5,0))&gt;0,IF(MOD(INT(Cron_Uso!Z24/Frota!$L24)*Frota!$L24,N(VLOOKUP(Frota!$B24,Premissas!$A$39:$E$43,5,0)))=0,"B",IF(N(VLOOKUP(Frota!$B24,Premissas!$A$39:$E$43,4,0))&gt;0,IF(MOD(INT(Cron_Uso!Z24/Frota!$L24)*Frota!$L24,N(VLOOKUP(Frota!$B24,Premissas!$A$39:$E$43,4,0)))=0,"A","S"),"S")),IF(N(VLOOKUP(Frota!$B24,Premissas!$A$39:$E$43,4,0))&gt;0,IF(MOD(INT(Cron_Uso!Z24/Frota!$L24)*Frota!$L24,N(VLOOKUP(Frota!$B24,Premissas!$A$39:$E$43,4,0)))=0,"A","S"),"S")),""))</f>
        <v/>
      </c>
      <c r="AA24" s="16" t="str">
        <f aca="false">IF(Cron_Uso!AA24="","",IF(INT(Cron_Uso!AA24/Frota!$L24)&gt;INT(Cron_Uso!Z24/Frota!$L24),IF(N(VLOOKUP(Frota!$B24,Premissas!$A$39:$E$43,5,0))&gt;0,IF(MOD(INT(Cron_Uso!AA24/Frota!$L24)*Frota!$L24,N(VLOOKUP(Frota!$B24,Premissas!$A$39:$E$43,5,0)))=0,"B",IF(N(VLOOKUP(Frota!$B24,Premissas!$A$39:$E$43,4,0))&gt;0,IF(MOD(INT(Cron_Uso!AA24/Frota!$L24)*Frota!$L24,N(VLOOKUP(Frota!$B24,Premissas!$A$39:$E$43,4,0)))=0,"A","S"),"S")),IF(N(VLOOKUP(Frota!$B24,Premissas!$A$39:$E$43,4,0))&gt;0,IF(MOD(INT(Cron_Uso!AA24/Frota!$L24)*Frota!$L24,N(VLOOKUP(Frota!$B24,Premissas!$A$39:$E$43,4,0)))=0,"A","S"),"S")),""))</f>
        <v/>
      </c>
      <c r="AB24" s="16" t="str">
        <f aca="false">IF(Cron_Uso!AB24="","",IF(INT(Cron_Uso!AB24/Frota!$L24)&gt;INT(Cron_Uso!AA24/Frota!$L24),IF(N(VLOOKUP(Frota!$B24,Premissas!$A$39:$E$43,5,0))&gt;0,IF(MOD(INT(Cron_Uso!AB24/Frota!$L24)*Frota!$L24,N(VLOOKUP(Frota!$B24,Premissas!$A$39:$E$43,5,0)))=0,"B",IF(N(VLOOKUP(Frota!$B24,Premissas!$A$39:$E$43,4,0))&gt;0,IF(MOD(INT(Cron_Uso!AB24/Frota!$L24)*Frota!$L24,N(VLOOKUP(Frota!$B24,Premissas!$A$39:$E$43,4,0)))=0,"A","S"),"S")),IF(N(VLOOKUP(Frota!$B24,Premissas!$A$39:$E$43,4,0))&gt;0,IF(MOD(INT(Cron_Uso!AB24/Frota!$L24)*Frota!$L24,N(VLOOKUP(Frota!$B24,Premissas!$A$39:$E$43,4,0)))=0,"A","S"),"S")),""))</f>
        <v/>
      </c>
      <c r="AC24" s="16" t="str">
        <f aca="false">IF(Cron_Uso!AC24="","",IF(INT(Cron_Uso!AC24/Frota!$L24)&gt;INT(Cron_Uso!AB24/Frota!$L24),IF(N(VLOOKUP(Frota!$B24,Premissas!$A$39:$E$43,5,0))&gt;0,IF(MOD(INT(Cron_Uso!AC24/Frota!$L24)*Frota!$L24,N(VLOOKUP(Frota!$B24,Premissas!$A$39:$E$43,5,0)))=0,"B",IF(N(VLOOKUP(Frota!$B24,Premissas!$A$39:$E$43,4,0))&gt;0,IF(MOD(INT(Cron_Uso!AC24/Frota!$L24)*Frota!$L24,N(VLOOKUP(Frota!$B24,Premissas!$A$39:$E$43,4,0)))=0,"A","S"),"S")),IF(N(VLOOKUP(Frota!$B24,Premissas!$A$39:$E$43,4,0))&gt;0,IF(MOD(INT(Cron_Uso!AC24/Frota!$L24)*Frota!$L24,N(VLOOKUP(Frota!$B24,Premissas!$A$39:$E$43,4,0)))=0,"A","S"),"S")),""))</f>
        <v/>
      </c>
      <c r="AD24" s="16" t="str">
        <f aca="false">IF(Cron_Uso!AD24="","",IF(INT(Cron_Uso!AD24/Frota!$L24)&gt;INT(Cron_Uso!AC24/Frota!$L24),IF(N(VLOOKUP(Frota!$B24,Premissas!$A$39:$E$43,5,0))&gt;0,IF(MOD(INT(Cron_Uso!AD24/Frota!$L24)*Frota!$L24,N(VLOOKUP(Frota!$B24,Premissas!$A$39:$E$43,5,0)))=0,"B",IF(N(VLOOKUP(Frota!$B24,Premissas!$A$39:$E$43,4,0))&gt;0,IF(MOD(INT(Cron_Uso!AD24/Frota!$L24)*Frota!$L24,N(VLOOKUP(Frota!$B24,Premissas!$A$39:$E$43,4,0)))=0,"A","S"),"S")),IF(N(VLOOKUP(Frota!$B24,Premissas!$A$39:$E$43,4,0))&gt;0,IF(MOD(INT(Cron_Uso!AD24/Frota!$L24)*Frota!$L24,N(VLOOKUP(Frota!$B24,Premissas!$A$39:$E$43,4,0)))=0,"A","S"),"S")),""))</f>
        <v/>
      </c>
      <c r="AE24" s="16" t="str">
        <f aca="false">IF(Cron_Uso!AE24="","",IF(INT(Cron_Uso!AE24/Frota!$L24)&gt;INT(Cron_Uso!AD24/Frota!$L24),IF(N(VLOOKUP(Frota!$B24,Premissas!$A$39:$E$43,5,0))&gt;0,IF(MOD(INT(Cron_Uso!AE24/Frota!$L24)*Frota!$L24,N(VLOOKUP(Frota!$B24,Premissas!$A$39:$E$43,5,0)))=0,"B",IF(N(VLOOKUP(Frota!$B24,Premissas!$A$39:$E$43,4,0))&gt;0,IF(MOD(INT(Cron_Uso!AE24/Frota!$L24)*Frota!$L24,N(VLOOKUP(Frota!$B24,Premissas!$A$39:$E$43,4,0)))=0,"A","S"),"S")),IF(N(VLOOKUP(Frota!$B24,Premissas!$A$39:$E$43,4,0))&gt;0,IF(MOD(INT(Cron_Uso!AE24/Frota!$L24)*Frota!$L24,N(VLOOKUP(Frota!$B24,Premissas!$A$39:$E$43,4,0)))=0,"A","S"),"S")),""))</f>
        <v/>
      </c>
      <c r="AF24" s="16" t="str">
        <f aca="false">IF(Cron_Uso!AF24="","",IF(INT(Cron_Uso!AF24/Frota!$L24)&gt;INT(Cron_Uso!AE24/Frota!$L24),IF(N(VLOOKUP(Frota!$B24,Premissas!$A$39:$E$43,5,0))&gt;0,IF(MOD(INT(Cron_Uso!AF24/Frota!$L24)*Frota!$L24,N(VLOOKUP(Frota!$B24,Premissas!$A$39:$E$43,5,0)))=0,"B",IF(N(VLOOKUP(Frota!$B24,Premissas!$A$39:$E$43,4,0))&gt;0,IF(MOD(INT(Cron_Uso!AF24/Frota!$L24)*Frota!$L24,N(VLOOKUP(Frota!$B24,Premissas!$A$39:$E$43,4,0)))=0,"A","S"),"S")),IF(N(VLOOKUP(Frota!$B24,Premissas!$A$39:$E$43,4,0))&gt;0,IF(MOD(INT(Cron_Uso!AF24/Frota!$L24)*Frota!$L24,N(VLOOKUP(Frota!$B24,Premissas!$A$39:$E$43,4,0)))=0,"A","S"),"S")),""))</f>
        <v/>
      </c>
      <c r="AG24" s="16" t="str">
        <f aca="false">IF(Cron_Uso!AG24="","",IF(INT(Cron_Uso!AG24/Frota!$L24)&gt;INT(Cron_Uso!AF24/Frota!$L24),IF(N(VLOOKUP(Frota!$B24,Premissas!$A$39:$E$43,5,0))&gt;0,IF(MOD(INT(Cron_Uso!AG24/Frota!$L24)*Frota!$L24,N(VLOOKUP(Frota!$B24,Premissas!$A$39:$E$43,5,0)))=0,"B",IF(N(VLOOKUP(Frota!$B24,Premissas!$A$39:$E$43,4,0))&gt;0,IF(MOD(INT(Cron_Uso!AG24/Frota!$L24)*Frota!$L24,N(VLOOKUP(Frota!$B24,Premissas!$A$39:$E$43,4,0)))=0,"A","S"),"S")),IF(N(VLOOKUP(Frota!$B24,Premissas!$A$39:$E$43,4,0))&gt;0,IF(MOD(INT(Cron_Uso!AG24/Frota!$L24)*Frota!$L24,N(VLOOKUP(Frota!$B24,Premissas!$A$39:$E$43,4,0)))=0,"A","S"),"S")),""))</f>
        <v/>
      </c>
      <c r="AH24" s="16" t="str">
        <f aca="false">IF(Cron_Uso!AH24="","",IF(INT(Cron_Uso!AH24/Frota!$L24)&gt;INT(Cron_Uso!AG24/Frota!$L24),IF(N(VLOOKUP(Frota!$B24,Premissas!$A$39:$E$43,5,0))&gt;0,IF(MOD(INT(Cron_Uso!AH24/Frota!$L24)*Frota!$L24,N(VLOOKUP(Frota!$B24,Premissas!$A$39:$E$43,5,0)))=0,"B",IF(N(VLOOKUP(Frota!$B24,Premissas!$A$39:$E$43,4,0))&gt;0,IF(MOD(INT(Cron_Uso!AH24/Frota!$L24)*Frota!$L24,N(VLOOKUP(Frota!$B24,Premissas!$A$39:$E$43,4,0)))=0,"A","S"),"S")),IF(N(VLOOKUP(Frota!$B24,Premissas!$A$39:$E$43,4,0))&gt;0,IF(MOD(INT(Cron_Uso!AH24/Frota!$L24)*Frota!$L24,N(VLOOKUP(Frota!$B24,Premissas!$A$39:$E$43,4,0)))=0,"A","S"),"S")),""))</f>
        <v/>
      </c>
      <c r="AI24" s="16" t="str">
        <f aca="false">IF(Cron_Uso!AI24="","",IF(INT(Cron_Uso!AI24/Frota!$L24)&gt;INT(Cron_Uso!AH24/Frota!$L24),IF(N(VLOOKUP(Frota!$B24,Premissas!$A$39:$E$43,5,0))&gt;0,IF(MOD(INT(Cron_Uso!AI24/Frota!$L24)*Frota!$L24,N(VLOOKUP(Frota!$B24,Premissas!$A$39:$E$43,5,0)))=0,"B",IF(N(VLOOKUP(Frota!$B24,Premissas!$A$39:$E$43,4,0))&gt;0,IF(MOD(INT(Cron_Uso!AI24/Frota!$L24)*Frota!$L24,N(VLOOKUP(Frota!$B24,Premissas!$A$39:$E$43,4,0)))=0,"A","S"),"S")),IF(N(VLOOKUP(Frota!$B24,Premissas!$A$39:$E$43,4,0))&gt;0,IF(MOD(INT(Cron_Uso!AI24/Frota!$L24)*Frota!$L24,N(VLOOKUP(Frota!$B24,Premissas!$A$39:$E$43,4,0)))=0,"A","S"),"S")),""))</f>
        <v/>
      </c>
      <c r="AJ24" s="16" t="str">
        <f aca="false">IF(Cron_Uso!AJ24="","",IF(INT(Cron_Uso!AJ24/Frota!$L24)&gt;INT(Cron_Uso!AI24/Frota!$L24),IF(N(VLOOKUP(Frota!$B24,Premissas!$A$39:$E$43,5,0))&gt;0,IF(MOD(INT(Cron_Uso!AJ24/Frota!$L24)*Frota!$L24,N(VLOOKUP(Frota!$B24,Premissas!$A$39:$E$43,5,0)))=0,"B",IF(N(VLOOKUP(Frota!$B24,Premissas!$A$39:$E$43,4,0))&gt;0,IF(MOD(INT(Cron_Uso!AJ24/Frota!$L24)*Frota!$L24,N(VLOOKUP(Frota!$B24,Premissas!$A$39:$E$43,4,0)))=0,"A","S"),"S")),IF(N(VLOOKUP(Frota!$B24,Premissas!$A$39:$E$43,4,0))&gt;0,IF(MOD(INT(Cron_Uso!AJ24/Frota!$L24)*Frota!$L24,N(VLOOKUP(Frota!$B24,Premissas!$A$39:$E$43,4,0)))=0,"A","S"),"S")),""))</f>
        <v/>
      </c>
      <c r="AK24" s="16" t="str">
        <f aca="false">IF(Cron_Uso!AK24="","",IF(INT(Cron_Uso!AK24/Frota!$L24)&gt;INT(Cron_Uso!AJ24/Frota!$L24),IF(N(VLOOKUP(Frota!$B24,Premissas!$A$39:$E$43,5,0))&gt;0,IF(MOD(INT(Cron_Uso!AK24/Frota!$L24)*Frota!$L24,N(VLOOKUP(Frota!$B24,Premissas!$A$39:$E$43,5,0)))=0,"B",IF(N(VLOOKUP(Frota!$B24,Premissas!$A$39:$E$43,4,0))&gt;0,IF(MOD(INT(Cron_Uso!AK24/Frota!$L24)*Frota!$L24,N(VLOOKUP(Frota!$B24,Premissas!$A$39:$E$43,4,0)))=0,"A","S"),"S")),IF(N(VLOOKUP(Frota!$B24,Premissas!$A$39:$E$43,4,0))&gt;0,IF(MOD(INT(Cron_Uso!AK24/Frota!$L24)*Frota!$L24,N(VLOOKUP(Frota!$B24,Premissas!$A$39:$E$43,4,0)))=0,"A","S"),"S")),""))</f>
        <v/>
      </c>
      <c r="AL24" s="16" t="str">
        <f aca="false">IF(Cron_Uso!AL24="","",IF(INT(Cron_Uso!AL24/Frota!$L24)&gt;INT(Cron_Uso!AK24/Frota!$L24),IF(N(VLOOKUP(Frota!$B24,Premissas!$A$39:$E$43,5,0))&gt;0,IF(MOD(INT(Cron_Uso!AL24/Frota!$L24)*Frota!$L24,N(VLOOKUP(Frota!$B24,Premissas!$A$39:$E$43,5,0)))=0,"B",IF(N(VLOOKUP(Frota!$B24,Premissas!$A$39:$E$43,4,0))&gt;0,IF(MOD(INT(Cron_Uso!AL24/Frota!$L24)*Frota!$L24,N(VLOOKUP(Frota!$B24,Premissas!$A$39:$E$43,4,0)))=0,"A","S"),"S")),IF(N(VLOOKUP(Frota!$B24,Premissas!$A$39:$E$43,4,0))&gt;0,IF(MOD(INT(Cron_Uso!AL24/Frota!$L24)*Frota!$L24,N(VLOOKUP(Frota!$B24,Premissas!$A$39:$E$43,4,0)))=0,"A","S"),"S")),""))</f>
        <v/>
      </c>
      <c r="AM24" s="16" t="str">
        <f aca="false">IF(Cron_Uso!AM24="","",IF(INT(Cron_Uso!AM24/Frota!$L24)&gt;INT(Cron_Uso!AL24/Frota!$L24),IF(N(VLOOKUP(Frota!$B24,Premissas!$A$39:$E$43,5,0))&gt;0,IF(MOD(INT(Cron_Uso!AM24/Frota!$L24)*Frota!$L24,N(VLOOKUP(Frota!$B24,Premissas!$A$39:$E$43,5,0)))=0,"B",IF(N(VLOOKUP(Frota!$B24,Premissas!$A$39:$E$43,4,0))&gt;0,IF(MOD(INT(Cron_Uso!AM24/Frota!$L24)*Frota!$L24,N(VLOOKUP(Frota!$B24,Premissas!$A$39:$E$43,4,0)))=0,"A","S"),"S")),IF(N(VLOOKUP(Frota!$B24,Premissas!$A$39:$E$43,4,0))&gt;0,IF(MOD(INT(Cron_Uso!AM24/Frota!$L24)*Frota!$L24,N(VLOOKUP(Frota!$B24,Premissas!$A$39:$E$43,4,0)))=0,"A","S"),"S")),""))</f>
        <v/>
      </c>
      <c r="AN24" s="16" t="str">
        <f aca="false">IF(Cron_Uso!AN24="","",IF(INT(Cron_Uso!AN24/Frota!$L24)&gt;INT(Cron_Uso!AM24/Frota!$L24),IF(N(VLOOKUP(Frota!$B24,Premissas!$A$39:$E$43,5,0))&gt;0,IF(MOD(INT(Cron_Uso!AN24/Frota!$L24)*Frota!$L24,N(VLOOKUP(Frota!$B24,Premissas!$A$39:$E$43,5,0)))=0,"B",IF(N(VLOOKUP(Frota!$B24,Premissas!$A$39:$E$43,4,0))&gt;0,IF(MOD(INT(Cron_Uso!AN24/Frota!$L24)*Frota!$L24,N(VLOOKUP(Frota!$B24,Premissas!$A$39:$E$43,4,0)))=0,"A","S"),"S")),IF(N(VLOOKUP(Frota!$B24,Premissas!$A$39:$E$43,4,0))&gt;0,IF(MOD(INT(Cron_Uso!AN24/Frota!$L24)*Frota!$L24,N(VLOOKUP(Frota!$B24,Premissas!$A$39:$E$43,4,0)))=0,"A","S"),"S")),""))</f>
        <v/>
      </c>
      <c r="AO24" s="16" t="str">
        <f aca="false">IF(Cron_Uso!AO24="","",IF(INT(Cron_Uso!AO24/Frota!$L24)&gt;INT(Cron_Uso!AN24/Frota!$L24),IF(N(VLOOKUP(Frota!$B24,Premissas!$A$39:$E$43,5,0))&gt;0,IF(MOD(INT(Cron_Uso!AO24/Frota!$L24)*Frota!$L24,N(VLOOKUP(Frota!$B24,Premissas!$A$39:$E$43,5,0)))=0,"B",IF(N(VLOOKUP(Frota!$B24,Premissas!$A$39:$E$43,4,0))&gt;0,IF(MOD(INT(Cron_Uso!AO24/Frota!$L24)*Frota!$L24,N(VLOOKUP(Frota!$B24,Premissas!$A$39:$E$43,4,0)))=0,"A","S"),"S")),IF(N(VLOOKUP(Frota!$B24,Premissas!$A$39:$E$43,4,0))&gt;0,IF(MOD(INT(Cron_Uso!AO24/Frota!$L24)*Frota!$L24,N(VLOOKUP(Frota!$B24,Premissas!$A$39:$E$43,4,0)))=0,"A","S"),"S")),""))</f>
        <v/>
      </c>
      <c r="AP24" s="16" t="str">
        <f aca="false">IF(Cron_Uso!AP24="","",IF(INT(Cron_Uso!AP24/Frota!$L24)&gt;INT(Cron_Uso!AO24/Frota!$L24),IF(N(VLOOKUP(Frota!$B24,Premissas!$A$39:$E$43,5,0))&gt;0,IF(MOD(INT(Cron_Uso!AP24/Frota!$L24)*Frota!$L24,N(VLOOKUP(Frota!$B24,Premissas!$A$39:$E$43,5,0)))=0,"B",IF(N(VLOOKUP(Frota!$B24,Premissas!$A$39:$E$43,4,0))&gt;0,IF(MOD(INT(Cron_Uso!AP24/Frota!$L24)*Frota!$L24,N(VLOOKUP(Frota!$B24,Premissas!$A$39:$E$43,4,0)))=0,"A","S"),"S")),IF(N(VLOOKUP(Frota!$B24,Premissas!$A$39:$E$43,4,0))&gt;0,IF(MOD(INT(Cron_Uso!AP24/Frota!$L24)*Frota!$L24,N(VLOOKUP(Frota!$B24,Premissas!$A$39:$E$43,4,0)))=0,"A","S"),"S")),""))</f>
        <v/>
      </c>
      <c r="AQ24" s="16" t="str">
        <f aca="false">IF(Cron_Uso!AQ24="","",IF(INT(Cron_Uso!AQ24/Frota!$L24)&gt;INT(Cron_Uso!AP24/Frota!$L24),IF(N(VLOOKUP(Frota!$B24,Premissas!$A$39:$E$43,5,0))&gt;0,IF(MOD(INT(Cron_Uso!AQ24/Frota!$L24)*Frota!$L24,N(VLOOKUP(Frota!$B24,Premissas!$A$39:$E$43,5,0)))=0,"B",IF(N(VLOOKUP(Frota!$B24,Premissas!$A$39:$E$43,4,0))&gt;0,IF(MOD(INT(Cron_Uso!AQ24/Frota!$L24)*Frota!$L24,N(VLOOKUP(Frota!$B24,Premissas!$A$39:$E$43,4,0)))=0,"A","S"),"S")),IF(N(VLOOKUP(Frota!$B24,Premissas!$A$39:$E$43,4,0))&gt;0,IF(MOD(INT(Cron_Uso!AQ24/Frota!$L24)*Frota!$L24,N(VLOOKUP(Frota!$B24,Premissas!$A$39:$E$43,4,0)))=0,"A","S"),"S")),""))</f>
        <v/>
      </c>
      <c r="AR24" s="16" t="str">
        <f aca="false">IF(Cron_Uso!AR24="","",IF(INT(Cron_Uso!AR24/Frota!$L24)&gt;INT(Cron_Uso!AQ24/Frota!$L24),IF(N(VLOOKUP(Frota!$B24,Premissas!$A$39:$E$43,5,0))&gt;0,IF(MOD(INT(Cron_Uso!AR24/Frota!$L24)*Frota!$L24,N(VLOOKUP(Frota!$B24,Premissas!$A$39:$E$43,5,0)))=0,"B",IF(N(VLOOKUP(Frota!$B24,Premissas!$A$39:$E$43,4,0))&gt;0,IF(MOD(INT(Cron_Uso!AR24/Frota!$L24)*Frota!$L24,N(VLOOKUP(Frota!$B24,Premissas!$A$39:$E$43,4,0)))=0,"A","S"),"S")),IF(N(VLOOKUP(Frota!$B24,Premissas!$A$39:$E$43,4,0))&gt;0,IF(MOD(INT(Cron_Uso!AR24/Frota!$L24)*Frota!$L24,N(VLOOKUP(Frota!$B24,Premissas!$A$39:$E$43,4,0)))=0,"A","S"),"S")),""))</f>
        <v/>
      </c>
      <c r="AS24" s="16" t="str">
        <f aca="false">IF(Cron_Uso!AS24="","",IF(INT(Cron_Uso!AS24/Frota!$L24)&gt;INT(Cron_Uso!AR24/Frota!$L24),IF(N(VLOOKUP(Frota!$B24,Premissas!$A$39:$E$43,5,0))&gt;0,IF(MOD(INT(Cron_Uso!AS24/Frota!$L24)*Frota!$L24,N(VLOOKUP(Frota!$B24,Premissas!$A$39:$E$43,5,0)))=0,"B",IF(N(VLOOKUP(Frota!$B24,Premissas!$A$39:$E$43,4,0))&gt;0,IF(MOD(INT(Cron_Uso!AS24/Frota!$L24)*Frota!$L24,N(VLOOKUP(Frota!$B24,Premissas!$A$39:$E$43,4,0)))=0,"A","S"),"S")),IF(N(VLOOKUP(Frota!$B24,Premissas!$A$39:$E$43,4,0))&gt;0,IF(MOD(INT(Cron_Uso!AS24/Frota!$L24)*Frota!$L24,N(VLOOKUP(Frota!$B24,Premissas!$A$39:$E$43,4,0)))=0,"A","S"),"S")),""))</f>
        <v/>
      </c>
      <c r="AT24" s="16" t="str">
        <f aca="false">IF(Cron_Uso!AT24="","",IF(INT(Cron_Uso!AT24/Frota!$L24)&gt;INT(Cron_Uso!AS24/Frota!$L24),IF(N(VLOOKUP(Frota!$B24,Premissas!$A$39:$E$43,5,0))&gt;0,IF(MOD(INT(Cron_Uso!AT24/Frota!$L24)*Frota!$L24,N(VLOOKUP(Frota!$B24,Premissas!$A$39:$E$43,5,0)))=0,"B",IF(N(VLOOKUP(Frota!$B24,Premissas!$A$39:$E$43,4,0))&gt;0,IF(MOD(INT(Cron_Uso!AT24/Frota!$L24)*Frota!$L24,N(VLOOKUP(Frota!$B24,Premissas!$A$39:$E$43,4,0)))=0,"A","S"),"S")),IF(N(VLOOKUP(Frota!$B24,Premissas!$A$39:$E$43,4,0))&gt;0,IF(MOD(INT(Cron_Uso!AT24/Frota!$L24)*Frota!$L24,N(VLOOKUP(Frota!$B24,Premissas!$A$39:$E$43,4,0)))=0,"A","S"),"S")),""))</f>
        <v/>
      </c>
      <c r="AU24" s="16" t="str">
        <f aca="false">IF(Cron_Uso!AU24="","",IF(INT(Cron_Uso!AU24/Frota!$L24)&gt;INT(Cron_Uso!AT24/Frota!$L24),IF(N(VLOOKUP(Frota!$B24,Premissas!$A$39:$E$43,5,0))&gt;0,IF(MOD(INT(Cron_Uso!AU24/Frota!$L24)*Frota!$L24,N(VLOOKUP(Frota!$B24,Premissas!$A$39:$E$43,5,0)))=0,"B",IF(N(VLOOKUP(Frota!$B24,Premissas!$A$39:$E$43,4,0))&gt;0,IF(MOD(INT(Cron_Uso!AU24/Frota!$L24)*Frota!$L24,N(VLOOKUP(Frota!$B24,Premissas!$A$39:$E$43,4,0)))=0,"A","S"),"S")),IF(N(VLOOKUP(Frota!$B24,Premissas!$A$39:$E$43,4,0))&gt;0,IF(MOD(INT(Cron_Uso!AU24/Frota!$L24)*Frota!$L24,N(VLOOKUP(Frota!$B24,Premissas!$A$39:$E$43,4,0)))=0,"A","S"),"S")),""))</f>
        <v/>
      </c>
      <c r="AV24" s="16" t="str">
        <f aca="false">IF(Cron_Uso!AV24="","",IF(INT(Cron_Uso!AV24/Frota!$L24)&gt;INT(Cron_Uso!AU24/Frota!$L24),IF(N(VLOOKUP(Frota!$B24,Premissas!$A$39:$E$43,5,0))&gt;0,IF(MOD(INT(Cron_Uso!AV24/Frota!$L24)*Frota!$L24,N(VLOOKUP(Frota!$B24,Premissas!$A$39:$E$43,5,0)))=0,"B",IF(N(VLOOKUP(Frota!$B24,Premissas!$A$39:$E$43,4,0))&gt;0,IF(MOD(INT(Cron_Uso!AV24/Frota!$L24)*Frota!$L24,N(VLOOKUP(Frota!$B24,Premissas!$A$39:$E$43,4,0)))=0,"A","S"),"S")),IF(N(VLOOKUP(Frota!$B24,Premissas!$A$39:$E$43,4,0))&gt;0,IF(MOD(INT(Cron_Uso!AV24/Frota!$L24)*Frota!$L24,N(VLOOKUP(Frota!$B24,Premissas!$A$39:$E$43,4,0)))=0,"A","S"),"S")),""))</f>
        <v/>
      </c>
      <c r="AW24" s="16" t="str">
        <f aca="false">IF(Cron_Uso!AW24="","",IF(INT(Cron_Uso!AW24/Frota!$L24)&gt;INT(Cron_Uso!AV24/Frota!$L24),IF(N(VLOOKUP(Frota!$B24,Premissas!$A$39:$E$43,5,0))&gt;0,IF(MOD(INT(Cron_Uso!AW24/Frota!$L24)*Frota!$L24,N(VLOOKUP(Frota!$B24,Premissas!$A$39:$E$43,5,0)))=0,"B",IF(N(VLOOKUP(Frota!$B24,Premissas!$A$39:$E$43,4,0))&gt;0,IF(MOD(INT(Cron_Uso!AW24/Frota!$L24)*Frota!$L24,N(VLOOKUP(Frota!$B24,Premissas!$A$39:$E$43,4,0)))=0,"A","S"),"S")),IF(N(VLOOKUP(Frota!$B24,Premissas!$A$39:$E$43,4,0))&gt;0,IF(MOD(INT(Cron_Uso!AW24/Frota!$L24)*Frota!$L24,N(VLOOKUP(Frota!$B24,Premissas!$A$39:$E$43,4,0)))=0,"A","S"),"S")),""))</f>
        <v/>
      </c>
      <c r="AX24" s="16" t="str">
        <f aca="false">IF(Cron_Uso!AX24="","",IF(INT(Cron_Uso!AX24/Frota!$L24)&gt;INT(Cron_Uso!AW24/Frota!$L24),IF(N(VLOOKUP(Frota!$B24,Premissas!$A$39:$E$43,5,0))&gt;0,IF(MOD(INT(Cron_Uso!AX24/Frota!$L24)*Frota!$L24,N(VLOOKUP(Frota!$B24,Premissas!$A$39:$E$43,5,0)))=0,"B",IF(N(VLOOKUP(Frota!$B24,Premissas!$A$39:$E$43,4,0))&gt;0,IF(MOD(INT(Cron_Uso!AX24/Frota!$L24)*Frota!$L24,N(VLOOKUP(Frota!$B24,Premissas!$A$39:$E$43,4,0)))=0,"A","S"),"S")),IF(N(VLOOKUP(Frota!$B24,Premissas!$A$39:$E$43,4,0))&gt;0,IF(MOD(INT(Cron_Uso!AX24/Frota!$L24)*Frota!$L24,N(VLOOKUP(Frota!$B24,Premissas!$A$39:$E$43,4,0)))=0,"A","S"),"S")),""))</f>
        <v/>
      </c>
      <c r="AY24" s="16" t="str">
        <f aca="false">IF(Cron_Uso!AY24="","",IF(INT(Cron_Uso!AY24/Frota!$L24)&gt;INT(Cron_Uso!AX24/Frota!$L24),IF(N(VLOOKUP(Frota!$B24,Premissas!$A$39:$E$43,5,0))&gt;0,IF(MOD(INT(Cron_Uso!AY24/Frota!$L24)*Frota!$L24,N(VLOOKUP(Frota!$B24,Premissas!$A$39:$E$43,5,0)))=0,"B",IF(N(VLOOKUP(Frota!$B24,Premissas!$A$39:$E$43,4,0))&gt;0,IF(MOD(INT(Cron_Uso!AY24/Frota!$L24)*Frota!$L24,N(VLOOKUP(Frota!$B24,Premissas!$A$39:$E$43,4,0)))=0,"A","S"),"S")),IF(N(VLOOKUP(Frota!$B24,Premissas!$A$39:$E$43,4,0))&gt;0,IF(MOD(INT(Cron_Uso!AY24/Frota!$L24)*Frota!$L24,N(VLOOKUP(Frota!$B24,Premissas!$A$39:$E$43,4,0)))=0,"A","S"),"S")),""))</f>
        <v/>
      </c>
      <c r="AZ24" s="16" t="str">
        <f aca="false">IF(Cron_Uso!AZ24="","",IF(INT(Cron_Uso!AZ24/Frota!$L24)&gt;INT(Cron_Uso!AY24/Frota!$L24),IF(N(VLOOKUP(Frota!$B24,Premissas!$A$39:$E$43,5,0))&gt;0,IF(MOD(INT(Cron_Uso!AZ24/Frota!$L24)*Frota!$L24,N(VLOOKUP(Frota!$B24,Premissas!$A$39:$E$43,5,0)))=0,"B",IF(N(VLOOKUP(Frota!$B24,Premissas!$A$39:$E$43,4,0))&gt;0,IF(MOD(INT(Cron_Uso!AZ24/Frota!$L24)*Frota!$L24,N(VLOOKUP(Frota!$B24,Premissas!$A$39:$E$43,4,0)))=0,"A","S"),"S")),IF(N(VLOOKUP(Frota!$B24,Premissas!$A$39:$E$43,4,0))&gt;0,IF(MOD(INT(Cron_Uso!AZ24/Frota!$L24)*Frota!$L24,N(VLOOKUP(Frota!$B24,Premissas!$A$39:$E$43,4,0)))=0,"A","S"),"S")),""))</f>
        <v/>
      </c>
      <c r="BA24" s="16" t="str">
        <f aca="false">IF(Cron_Uso!BA24="","",IF(INT(Cron_Uso!BA24/Frota!$L24)&gt;INT(Cron_Uso!AZ24/Frota!$L24),IF(N(VLOOKUP(Frota!$B24,Premissas!$A$39:$E$43,5,0))&gt;0,IF(MOD(INT(Cron_Uso!BA24/Frota!$L24)*Frota!$L24,N(VLOOKUP(Frota!$B24,Premissas!$A$39:$E$43,5,0)))=0,"B",IF(N(VLOOKUP(Frota!$B24,Premissas!$A$39:$E$43,4,0))&gt;0,IF(MOD(INT(Cron_Uso!BA24/Frota!$L24)*Frota!$L24,N(VLOOKUP(Frota!$B24,Premissas!$A$39:$E$43,4,0)))=0,"A","S"),"S")),IF(N(VLOOKUP(Frota!$B24,Premissas!$A$39:$E$43,4,0))&gt;0,IF(MOD(INT(Cron_Uso!BA24/Frota!$L24)*Frota!$L24,N(VLOOKUP(Frota!$B24,Premissas!$A$39:$E$43,4,0)))=0,"A","S"),"S")),""))</f>
        <v/>
      </c>
    </row>
    <row r="25" customFormat="false" ht="15" hidden="false" customHeight="false" outlineLevel="0" collapsed="false">
      <c r="A25" s="6" t="str">
        <f aca="false">IF(Frota!$A25="","",Frota!$A25)</f>
        <v/>
      </c>
      <c r="B25" s="16" t="str">
        <f aca="false">IF(Cron_Uso!B25="","",IF(INT(Cron_Uso!B25/Frota!$L25)&gt;INT(Frota!$I25/Frota!$L25),IF(N(VLOOKUP(Frota!$B25,Premissas!$A$39:$E$43,5,0))&gt;0,IF(MOD(INT(Cron_Uso!B25/Frota!$L25)*Frota!$L25,N(VLOOKUP(Frota!$B25,Premissas!$A$39:$E$43,5,0)))=0,"B",IF(N(VLOOKUP(Frota!$B25,Premissas!$A$39:$E$43,4,0))&gt;0,IF(MOD(INT(Cron_Uso!B25/Frota!$L25)*Frota!$L25,N(VLOOKUP(Frota!$B25,Premissas!$A$39:$E$43,4,0)))=0,"A","S"),"S")),IF(N(VLOOKUP(Frota!$B25,Premissas!$A$39:$E$43,4,0))&gt;0,IF(MOD(INT(Cron_Uso!B25/Frota!$L25)*Frota!$L25,N(VLOOKUP(Frota!$B25,Premissas!$A$39:$E$43,4,0)))=0,"A","S"),"S")),""))</f>
        <v/>
      </c>
      <c r="C25" s="16" t="str">
        <f aca="false">IF(Cron_Uso!C25="","",IF(INT(Cron_Uso!C25/Frota!$L25)&gt;INT(Cron_Uso!B25/Frota!$L25),IF(N(VLOOKUP(Frota!$B25,Premissas!$A$39:$E$43,5,0))&gt;0,IF(MOD(INT(Cron_Uso!C25/Frota!$L25)*Frota!$L25,N(VLOOKUP(Frota!$B25,Premissas!$A$39:$E$43,5,0)))=0,"B",IF(N(VLOOKUP(Frota!$B25,Premissas!$A$39:$E$43,4,0))&gt;0,IF(MOD(INT(Cron_Uso!C25/Frota!$L25)*Frota!$L25,N(VLOOKUP(Frota!$B25,Premissas!$A$39:$E$43,4,0)))=0,"A","S"),"S")),IF(N(VLOOKUP(Frota!$B25,Premissas!$A$39:$E$43,4,0))&gt;0,IF(MOD(INT(Cron_Uso!C25/Frota!$L25)*Frota!$L25,N(VLOOKUP(Frota!$B25,Premissas!$A$39:$E$43,4,0)))=0,"A","S"),"S")),""))</f>
        <v/>
      </c>
      <c r="D25" s="16" t="str">
        <f aca="false">IF(Cron_Uso!D25="","",IF(INT(Cron_Uso!D25/Frota!$L25)&gt;INT(Cron_Uso!C25/Frota!$L25),IF(N(VLOOKUP(Frota!$B25,Premissas!$A$39:$E$43,5,0))&gt;0,IF(MOD(INT(Cron_Uso!D25/Frota!$L25)*Frota!$L25,N(VLOOKUP(Frota!$B25,Premissas!$A$39:$E$43,5,0)))=0,"B",IF(N(VLOOKUP(Frota!$B25,Premissas!$A$39:$E$43,4,0))&gt;0,IF(MOD(INT(Cron_Uso!D25/Frota!$L25)*Frota!$L25,N(VLOOKUP(Frota!$B25,Premissas!$A$39:$E$43,4,0)))=0,"A","S"),"S")),IF(N(VLOOKUP(Frota!$B25,Premissas!$A$39:$E$43,4,0))&gt;0,IF(MOD(INT(Cron_Uso!D25/Frota!$L25)*Frota!$L25,N(VLOOKUP(Frota!$B25,Premissas!$A$39:$E$43,4,0)))=0,"A","S"),"S")),""))</f>
        <v/>
      </c>
      <c r="E25" s="16" t="str">
        <f aca="false">IF(Cron_Uso!E25="","",IF(INT(Cron_Uso!E25/Frota!$L25)&gt;INT(Cron_Uso!D25/Frota!$L25),IF(N(VLOOKUP(Frota!$B25,Premissas!$A$39:$E$43,5,0))&gt;0,IF(MOD(INT(Cron_Uso!E25/Frota!$L25)*Frota!$L25,N(VLOOKUP(Frota!$B25,Premissas!$A$39:$E$43,5,0)))=0,"B",IF(N(VLOOKUP(Frota!$B25,Premissas!$A$39:$E$43,4,0))&gt;0,IF(MOD(INT(Cron_Uso!E25/Frota!$L25)*Frota!$L25,N(VLOOKUP(Frota!$B25,Premissas!$A$39:$E$43,4,0)))=0,"A","S"),"S")),IF(N(VLOOKUP(Frota!$B25,Premissas!$A$39:$E$43,4,0))&gt;0,IF(MOD(INT(Cron_Uso!E25/Frota!$L25)*Frota!$L25,N(VLOOKUP(Frota!$B25,Premissas!$A$39:$E$43,4,0)))=0,"A","S"),"S")),""))</f>
        <v/>
      </c>
      <c r="F25" s="16" t="str">
        <f aca="false">IF(Cron_Uso!F25="","",IF(INT(Cron_Uso!F25/Frota!$L25)&gt;INT(Cron_Uso!E25/Frota!$L25),IF(N(VLOOKUP(Frota!$B25,Premissas!$A$39:$E$43,5,0))&gt;0,IF(MOD(INT(Cron_Uso!F25/Frota!$L25)*Frota!$L25,N(VLOOKUP(Frota!$B25,Premissas!$A$39:$E$43,5,0)))=0,"B",IF(N(VLOOKUP(Frota!$B25,Premissas!$A$39:$E$43,4,0))&gt;0,IF(MOD(INT(Cron_Uso!F25/Frota!$L25)*Frota!$L25,N(VLOOKUP(Frota!$B25,Premissas!$A$39:$E$43,4,0)))=0,"A","S"),"S")),IF(N(VLOOKUP(Frota!$B25,Premissas!$A$39:$E$43,4,0))&gt;0,IF(MOD(INT(Cron_Uso!F25/Frota!$L25)*Frota!$L25,N(VLOOKUP(Frota!$B25,Premissas!$A$39:$E$43,4,0)))=0,"A","S"),"S")),""))</f>
        <v/>
      </c>
      <c r="G25" s="16" t="str">
        <f aca="false">IF(Cron_Uso!G25="","",IF(INT(Cron_Uso!G25/Frota!$L25)&gt;INT(Cron_Uso!F25/Frota!$L25),IF(N(VLOOKUP(Frota!$B25,Premissas!$A$39:$E$43,5,0))&gt;0,IF(MOD(INT(Cron_Uso!G25/Frota!$L25)*Frota!$L25,N(VLOOKUP(Frota!$B25,Premissas!$A$39:$E$43,5,0)))=0,"B",IF(N(VLOOKUP(Frota!$B25,Premissas!$A$39:$E$43,4,0))&gt;0,IF(MOD(INT(Cron_Uso!G25/Frota!$L25)*Frota!$L25,N(VLOOKUP(Frota!$B25,Premissas!$A$39:$E$43,4,0)))=0,"A","S"),"S")),IF(N(VLOOKUP(Frota!$B25,Premissas!$A$39:$E$43,4,0))&gt;0,IF(MOD(INT(Cron_Uso!G25/Frota!$L25)*Frota!$L25,N(VLOOKUP(Frota!$B25,Premissas!$A$39:$E$43,4,0)))=0,"A","S"),"S")),""))</f>
        <v/>
      </c>
      <c r="H25" s="16" t="str">
        <f aca="false">IF(Cron_Uso!H25="","",IF(INT(Cron_Uso!H25/Frota!$L25)&gt;INT(Cron_Uso!G25/Frota!$L25),IF(N(VLOOKUP(Frota!$B25,Premissas!$A$39:$E$43,5,0))&gt;0,IF(MOD(INT(Cron_Uso!H25/Frota!$L25)*Frota!$L25,N(VLOOKUP(Frota!$B25,Premissas!$A$39:$E$43,5,0)))=0,"B",IF(N(VLOOKUP(Frota!$B25,Premissas!$A$39:$E$43,4,0))&gt;0,IF(MOD(INT(Cron_Uso!H25/Frota!$L25)*Frota!$L25,N(VLOOKUP(Frota!$B25,Premissas!$A$39:$E$43,4,0)))=0,"A","S"),"S")),IF(N(VLOOKUP(Frota!$B25,Premissas!$A$39:$E$43,4,0))&gt;0,IF(MOD(INT(Cron_Uso!H25/Frota!$L25)*Frota!$L25,N(VLOOKUP(Frota!$B25,Premissas!$A$39:$E$43,4,0)))=0,"A","S"),"S")),""))</f>
        <v/>
      </c>
      <c r="I25" s="16" t="str">
        <f aca="false">IF(Cron_Uso!I25="","",IF(INT(Cron_Uso!I25/Frota!$L25)&gt;INT(Cron_Uso!H25/Frota!$L25),IF(N(VLOOKUP(Frota!$B25,Premissas!$A$39:$E$43,5,0))&gt;0,IF(MOD(INT(Cron_Uso!I25/Frota!$L25)*Frota!$L25,N(VLOOKUP(Frota!$B25,Premissas!$A$39:$E$43,5,0)))=0,"B",IF(N(VLOOKUP(Frota!$B25,Premissas!$A$39:$E$43,4,0))&gt;0,IF(MOD(INT(Cron_Uso!I25/Frota!$L25)*Frota!$L25,N(VLOOKUP(Frota!$B25,Premissas!$A$39:$E$43,4,0)))=0,"A","S"),"S")),IF(N(VLOOKUP(Frota!$B25,Premissas!$A$39:$E$43,4,0))&gt;0,IF(MOD(INT(Cron_Uso!I25/Frota!$L25)*Frota!$L25,N(VLOOKUP(Frota!$B25,Premissas!$A$39:$E$43,4,0)))=0,"A","S"),"S")),""))</f>
        <v/>
      </c>
      <c r="J25" s="16" t="str">
        <f aca="false">IF(Cron_Uso!J25="","",IF(INT(Cron_Uso!J25/Frota!$L25)&gt;INT(Cron_Uso!I25/Frota!$L25),IF(N(VLOOKUP(Frota!$B25,Premissas!$A$39:$E$43,5,0))&gt;0,IF(MOD(INT(Cron_Uso!J25/Frota!$L25)*Frota!$L25,N(VLOOKUP(Frota!$B25,Premissas!$A$39:$E$43,5,0)))=0,"B",IF(N(VLOOKUP(Frota!$B25,Premissas!$A$39:$E$43,4,0))&gt;0,IF(MOD(INT(Cron_Uso!J25/Frota!$L25)*Frota!$L25,N(VLOOKUP(Frota!$B25,Premissas!$A$39:$E$43,4,0)))=0,"A","S"),"S")),IF(N(VLOOKUP(Frota!$B25,Premissas!$A$39:$E$43,4,0))&gt;0,IF(MOD(INT(Cron_Uso!J25/Frota!$L25)*Frota!$L25,N(VLOOKUP(Frota!$B25,Premissas!$A$39:$E$43,4,0)))=0,"A","S"),"S")),""))</f>
        <v/>
      </c>
      <c r="K25" s="16" t="str">
        <f aca="false">IF(Cron_Uso!K25="","",IF(INT(Cron_Uso!K25/Frota!$L25)&gt;INT(Cron_Uso!J25/Frota!$L25),IF(N(VLOOKUP(Frota!$B25,Premissas!$A$39:$E$43,5,0))&gt;0,IF(MOD(INT(Cron_Uso!K25/Frota!$L25)*Frota!$L25,N(VLOOKUP(Frota!$B25,Premissas!$A$39:$E$43,5,0)))=0,"B",IF(N(VLOOKUP(Frota!$B25,Premissas!$A$39:$E$43,4,0))&gt;0,IF(MOD(INT(Cron_Uso!K25/Frota!$L25)*Frota!$L25,N(VLOOKUP(Frota!$B25,Premissas!$A$39:$E$43,4,0)))=0,"A","S"),"S")),IF(N(VLOOKUP(Frota!$B25,Premissas!$A$39:$E$43,4,0))&gt;0,IF(MOD(INT(Cron_Uso!K25/Frota!$L25)*Frota!$L25,N(VLOOKUP(Frota!$B25,Premissas!$A$39:$E$43,4,0)))=0,"A","S"),"S")),""))</f>
        <v/>
      </c>
      <c r="L25" s="16" t="str">
        <f aca="false">IF(Cron_Uso!L25="","",IF(INT(Cron_Uso!L25/Frota!$L25)&gt;INT(Cron_Uso!K25/Frota!$L25),IF(N(VLOOKUP(Frota!$B25,Premissas!$A$39:$E$43,5,0))&gt;0,IF(MOD(INT(Cron_Uso!L25/Frota!$L25)*Frota!$L25,N(VLOOKUP(Frota!$B25,Premissas!$A$39:$E$43,5,0)))=0,"B",IF(N(VLOOKUP(Frota!$B25,Premissas!$A$39:$E$43,4,0))&gt;0,IF(MOD(INT(Cron_Uso!L25/Frota!$L25)*Frota!$L25,N(VLOOKUP(Frota!$B25,Premissas!$A$39:$E$43,4,0)))=0,"A","S"),"S")),IF(N(VLOOKUP(Frota!$B25,Premissas!$A$39:$E$43,4,0))&gt;0,IF(MOD(INT(Cron_Uso!L25/Frota!$L25)*Frota!$L25,N(VLOOKUP(Frota!$B25,Premissas!$A$39:$E$43,4,0)))=0,"A","S"),"S")),""))</f>
        <v/>
      </c>
      <c r="M25" s="16" t="str">
        <f aca="false">IF(Cron_Uso!M25="","",IF(INT(Cron_Uso!M25/Frota!$L25)&gt;INT(Cron_Uso!L25/Frota!$L25),IF(N(VLOOKUP(Frota!$B25,Premissas!$A$39:$E$43,5,0))&gt;0,IF(MOD(INT(Cron_Uso!M25/Frota!$L25)*Frota!$L25,N(VLOOKUP(Frota!$B25,Premissas!$A$39:$E$43,5,0)))=0,"B",IF(N(VLOOKUP(Frota!$B25,Premissas!$A$39:$E$43,4,0))&gt;0,IF(MOD(INT(Cron_Uso!M25/Frota!$L25)*Frota!$L25,N(VLOOKUP(Frota!$B25,Premissas!$A$39:$E$43,4,0)))=0,"A","S"),"S")),IF(N(VLOOKUP(Frota!$B25,Premissas!$A$39:$E$43,4,0))&gt;0,IF(MOD(INT(Cron_Uso!M25/Frota!$L25)*Frota!$L25,N(VLOOKUP(Frota!$B25,Premissas!$A$39:$E$43,4,0)))=0,"A","S"),"S")),""))</f>
        <v/>
      </c>
      <c r="N25" s="16" t="str">
        <f aca="false">IF(Cron_Uso!N25="","",IF(INT(Cron_Uso!N25/Frota!$L25)&gt;INT(Cron_Uso!M25/Frota!$L25),IF(N(VLOOKUP(Frota!$B25,Premissas!$A$39:$E$43,5,0))&gt;0,IF(MOD(INT(Cron_Uso!N25/Frota!$L25)*Frota!$L25,N(VLOOKUP(Frota!$B25,Premissas!$A$39:$E$43,5,0)))=0,"B",IF(N(VLOOKUP(Frota!$B25,Premissas!$A$39:$E$43,4,0))&gt;0,IF(MOD(INT(Cron_Uso!N25/Frota!$L25)*Frota!$L25,N(VLOOKUP(Frota!$B25,Premissas!$A$39:$E$43,4,0)))=0,"A","S"),"S")),IF(N(VLOOKUP(Frota!$B25,Premissas!$A$39:$E$43,4,0))&gt;0,IF(MOD(INT(Cron_Uso!N25/Frota!$L25)*Frota!$L25,N(VLOOKUP(Frota!$B25,Premissas!$A$39:$E$43,4,0)))=0,"A","S"),"S")),""))</f>
        <v/>
      </c>
      <c r="O25" s="16" t="str">
        <f aca="false">IF(Cron_Uso!O25="","",IF(INT(Cron_Uso!O25/Frota!$L25)&gt;INT(Cron_Uso!N25/Frota!$L25),IF(N(VLOOKUP(Frota!$B25,Premissas!$A$39:$E$43,5,0))&gt;0,IF(MOD(INT(Cron_Uso!O25/Frota!$L25)*Frota!$L25,N(VLOOKUP(Frota!$B25,Premissas!$A$39:$E$43,5,0)))=0,"B",IF(N(VLOOKUP(Frota!$B25,Premissas!$A$39:$E$43,4,0))&gt;0,IF(MOD(INT(Cron_Uso!O25/Frota!$L25)*Frota!$L25,N(VLOOKUP(Frota!$B25,Premissas!$A$39:$E$43,4,0)))=0,"A","S"),"S")),IF(N(VLOOKUP(Frota!$B25,Premissas!$A$39:$E$43,4,0))&gt;0,IF(MOD(INT(Cron_Uso!O25/Frota!$L25)*Frota!$L25,N(VLOOKUP(Frota!$B25,Premissas!$A$39:$E$43,4,0)))=0,"A","S"),"S")),""))</f>
        <v/>
      </c>
      <c r="P25" s="16" t="str">
        <f aca="false">IF(Cron_Uso!P25="","",IF(INT(Cron_Uso!P25/Frota!$L25)&gt;INT(Cron_Uso!O25/Frota!$L25),IF(N(VLOOKUP(Frota!$B25,Premissas!$A$39:$E$43,5,0))&gt;0,IF(MOD(INT(Cron_Uso!P25/Frota!$L25)*Frota!$L25,N(VLOOKUP(Frota!$B25,Premissas!$A$39:$E$43,5,0)))=0,"B",IF(N(VLOOKUP(Frota!$B25,Premissas!$A$39:$E$43,4,0))&gt;0,IF(MOD(INT(Cron_Uso!P25/Frota!$L25)*Frota!$L25,N(VLOOKUP(Frota!$B25,Premissas!$A$39:$E$43,4,0)))=0,"A","S"),"S")),IF(N(VLOOKUP(Frota!$B25,Premissas!$A$39:$E$43,4,0))&gt;0,IF(MOD(INT(Cron_Uso!P25/Frota!$L25)*Frota!$L25,N(VLOOKUP(Frota!$B25,Premissas!$A$39:$E$43,4,0)))=0,"A","S"),"S")),""))</f>
        <v/>
      </c>
      <c r="Q25" s="16" t="str">
        <f aca="false">IF(Cron_Uso!Q25="","",IF(INT(Cron_Uso!Q25/Frota!$L25)&gt;INT(Cron_Uso!P25/Frota!$L25),IF(N(VLOOKUP(Frota!$B25,Premissas!$A$39:$E$43,5,0))&gt;0,IF(MOD(INT(Cron_Uso!Q25/Frota!$L25)*Frota!$L25,N(VLOOKUP(Frota!$B25,Premissas!$A$39:$E$43,5,0)))=0,"B",IF(N(VLOOKUP(Frota!$B25,Premissas!$A$39:$E$43,4,0))&gt;0,IF(MOD(INT(Cron_Uso!Q25/Frota!$L25)*Frota!$L25,N(VLOOKUP(Frota!$B25,Premissas!$A$39:$E$43,4,0)))=0,"A","S"),"S")),IF(N(VLOOKUP(Frota!$B25,Premissas!$A$39:$E$43,4,0))&gt;0,IF(MOD(INT(Cron_Uso!Q25/Frota!$L25)*Frota!$L25,N(VLOOKUP(Frota!$B25,Premissas!$A$39:$E$43,4,0)))=0,"A","S"),"S")),""))</f>
        <v/>
      </c>
      <c r="R25" s="16" t="str">
        <f aca="false">IF(Cron_Uso!R25="","",IF(INT(Cron_Uso!R25/Frota!$L25)&gt;INT(Cron_Uso!Q25/Frota!$L25),IF(N(VLOOKUP(Frota!$B25,Premissas!$A$39:$E$43,5,0))&gt;0,IF(MOD(INT(Cron_Uso!R25/Frota!$L25)*Frota!$L25,N(VLOOKUP(Frota!$B25,Premissas!$A$39:$E$43,5,0)))=0,"B",IF(N(VLOOKUP(Frota!$B25,Premissas!$A$39:$E$43,4,0))&gt;0,IF(MOD(INT(Cron_Uso!R25/Frota!$L25)*Frota!$L25,N(VLOOKUP(Frota!$B25,Premissas!$A$39:$E$43,4,0)))=0,"A","S"),"S")),IF(N(VLOOKUP(Frota!$B25,Premissas!$A$39:$E$43,4,0))&gt;0,IF(MOD(INT(Cron_Uso!R25/Frota!$L25)*Frota!$L25,N(VLOOKUP(Frota!$B25,Premissas!$A$39:$E$43,4,0)))=0,"A","S"),"S")),""))</f>
        <v/>
      </c>
      <c r="S25" s="16" t="str">
        <f aca="false">IF(Cron_Uso!S25="","",IF(INT(Cron_Uso!S25/Frota!$L25)&gt;INT(Cron_Uso!R25/Frota!$L25),IF(N(VLOOKUP(Frota!$B25,Premissas!$A$39:$E$43,5,0))&gt;0,IF(MOD(INT(Cron_Uso!S25/Frota!$L25)*Frota!$L25,N(VLOOKUP(Frota!$B25,Premissas!$A$39:$E$43,5,0)))=0,"B",IF(N(VLOOKUP(Frota!$B25,Premissas!$A$39:$E$43,4,0))&gt;0,IF(MOD(INT(Cron_Uso!S25/Frota!$L25)*Frota!$L25,N(VLOOKUP(Frota!$B25,Premissas!$A$39:$E$43,4,0)))=0,"A","S"),"S")),IF(N(VLOOKUP(Frota!$B25,Premissas!$A$39:$E$43,4,0))&gt;0,IF(MOD(INT(Cron_Uso!S25/Frota!$L25)*Frota!$L25,N(VLOOKUP(Frota!$B25,Premissas!$A$39:$E$43,4,0)))=0,"A","S"),"S")),""))</f>
        <v/>
      </c>
      <c r="T25" s="16" t="str">
        <f aca="false">IF(Cron_Uso!T25="","",IF(INT(Cron_Uso!T25/Frota!$L25)&gt;INT(Cron_Uso!S25/Frota!$L25),IF(N(VLOOKUP(Frota!$B25,Premissas!$A$39:$E$43,5,0))&gt;0,IF(MOD(INT(Cron_Uso!T25/Frota!$L25)*Frota!$L25,N(VLOOKUP(Frota!$B25,Premissas!$A$39:$E$43,5,0)))=0,"B",IF(N(VLOOKUP(Frota!$B25,Premissas!$A$39:$E$43,4,0))&gt;0,IF(MOD(INT(Cron_Uso!T25/Frota!$L25)*Frota!$L25,N(VLOOKUP(Frota!$B25,Premissas!$A$39:$E$43,4,0)))=0,"A","S"),"S")),IF(N(VLOOKUP(Frota!$B25,Premissas!$A$39:$E$43,4,0))&gt;0,IF(MOD(INT(Cron_Uso!T25/Frota!$L25)*Frota!$L25,N(VLOOKUP(Frota!$B25,Premissas!$A$39:$E$43,4,0)))=0,"A","S"),"S")),""))</f>
        <v/>
      </c>
      <c r="U25" s="16" t="str">
        <f aca="false">IF(Cron_Uso!U25="","",IF(INT(Cron_Uso!U25/Frota!$L25)&gt;INT(Cron_Uso!T25/Frota!$L25),IF(N(VLOOKUP(Frota!$B25,Premissas!$A$39:$E$43,5,0))&gt;0,IF(MOD(INT(Cron_Uso!U25/Frota!$L25)*Frota!$L25,N(VLOOKUP(Frota!$B25,Premissas!$A$39:$E$43,5,0)))=0,"B",IF(N(VLOOKUP(Frota!$B25,Premissas!$A$39:$E$43,4,0))&gt;0,IF(MOD(INT(Cron_Uso!U25/Frota!$L25)*Frota!$L25,N(VLOOKUP(Frota!$B25,Premissas!$A$39:$E$43,4,0)))=0,"A","S"),"S")),IF(N(VLOOKUP(Frota!$B25,Premissas!$A$39:$E$43,4,0))&gt;0,IF(MOD(INT(Cron_Uso!U25/Frota!$L25)*Frota!$L25,N(VLOOKUP(Frota!$B25,Premissas!$A$39:$E$43,4,0)))=0,"A","S"),"S")),""))</f>
        <v/>
      </c>
      <c r="V25" s="16" t="str">
        <f aca="false">IF(Cron_Uso!V25="","",IF(INT(Cron_Uso!V25/Frota!$L25)&gt;INT(Cron_Uso!U25/Frota!$L25),IF(N(VLOOKUP(Frota!$B25,Premissas!$A$39:$E$43,5,0))&gt;0,IF(MOD(INT(Cron_Uso!V25/Frota!$L25)*Frota!$L25,N(VLOOKUP(Frota!$B25,Premissas!$A$39:$E$43,5,0)))=0,"B",IF(N(VLOOKUP(Frota!$B25,Premissas!$A$39:$E$43,4,0))&gt;0,IF(MOD(INT(Cron_Uso!V25/Frota!$L25)*Frota!$L25,N(VLOOKUP(Frota!$B25,Premissas!$A$39:$E$43,4,0)))=0,"A","S"),"S")),IF(N(VLOOKUP(Frota!$B25,Premissas!$A$39:$E$43,4,0))&gt;0,IF(MOD(INT(Cron_Uso!V25/Frota!$L25)*Frota!$L25,N(VLOOKUP(Frota!$B25,Premissas!$A$39:$E$43,4,0)))=0,"A","S"),"S")),""))</f>
        <v/>
      </c>
      <c r="W25" s="16" t="str">
        <f aca="false">IF(Cron_Uso!W25="","",IF(INT(Cron_Uso!W25/Frota!$L25)&gt;INT(Cron_Uso!V25/Frota!$L25),IF(N(VLOOKUP(Frota!$B25,Premissas!$A$39:$E$43,5,0))&gt;0,IF(MOD(INT(Cron_Uso!W25/Frota!$L25)*Frota!$L25,N(VLOOKUP(Frota!$B25,Premissas!$A$39:$E$43,5,0)))=0,"B",IF(N(VLOOKUP(Frota!$B25,Premissas!$A$39:$E$43,4,0))&gt;0,IF(MOD(INT(Cron_Uso!W25/Frota!$L25)*Frota!$L25,N(VLOOKUP(Frota!$B25,Premissas!$A$39:$E$43,4,0)))=0,"A","S"),"S")),IF(N(VLOOKUP(Frota!$B25,Premissas!$A$39:$E$43,4,0))&gt;0,IF(MOD(INT(Cron_Uso!W25/Frota!$L25)*Frota!$L25,N(VLOOKUP(Frota!$B25,Premissas!$A$39:$E$43,4,0)))=0,"A","S"),"S")),""))</f>
        <v/>
      </c>
      <c r="X25" s="16" t="str">
        <f aca="false">IF(Cron_Uso!X25="","",IF(INT(Cron_Uso!X25/Frota!$L25)&gt;INT(Cron_Uso!W25/Frota!$L25),IF(N(VLOOKUP(Frota!$B25,Premissas!$A$39:$E$43,5,0))&gt;0,IF(MOD(INT(Cron_Uso!X25/Frota!$L25)*Frota!$L25,N(VLOOKUP(Frota!$B25,Premissas!$A$39:$E$43,5,0)))=0,"B",IF(N(VLOOKUP(Frota!$B25,Premissas!$A$39:$E$43,4,0))&gt;0,IF(MOD(INT(Cron_Uso!X25/Frota!$L25)*Frota!$L25,N(VLOOKUP(Frota!$B25,Premissas!$A$39:$E$43,4,0)))=0,"A","S"),"S")),IF(N(VLOOKUP(Frota!$B25,Premissas!$A$39:$E$43,4,0))&gt;0,IF(MOD(INT(Cron_Uso!X25/Frota!$L25)*Frota!$L25,N(VLOOKUP(Frota!$B25,Premissas!$A$39:$E$43,4,0)))=0,"A","S"),"S")),""))</f>
        <v/>
      </c>
      <c r="Y25" s="16" t="str">
        <f aca="false">IF(Cron_Uso!Y25="","",IF(INT(Cron_Uso!Y25/Frota!$L25)&gt;INT(Cron_Uso!X25/Frota!$L25),IF(N(VLOOKUP(Frota!$B25,Premissas!$A$39:$E$43,5,0))&gt;0,IF(MOD(INT(Cron_Uso!Y25/Frota!$L25)*Frota!$L25,N(VLOOKUP(Frota!$B25,Premissas!$A$39:$E$43,5,0)))=0,"B",IF(N(VLOOKUP(Frota!$B25,Premissas!$A$39:$E$43,4,0))&gt;0,IF(MOD(INT(Cron_Uso!Y25/Frota!$L25)*Frota!$L25,N(VLOOKUP(Frota!$B25,Premissas!$A$39:$E$43,4,0)))=0,"A","S"),"S")),IF(N(VLOOKUP(Frota!$B25,Premissas!$A$39:$E$43,4,0))&gt;0,IF(MOD(INT(Cron_Uso!Y25/Frota!$L25)*Frota!$L25,N(VLOOKUP(Frota!$B25,Premissas!$A$39:$E$43,4,0)))=0,"A","S"),"S")),""))</f>
        <v/>
      </c>
      <c r="Z25" s="16" t="str">
        <f aca="false">IF(Cron_Uso!Z25="","",IF(INT(Cron_Uso!Z25/Frota!$L25)&gt;INT(Cron_Uso!Y25/Frota!$L25),IF(N(VLOOKUP(Frota!$B25,Premissas!$A$39:$E$43,5,0))&gt;0,IF(MOD(INT(Cron_Uso!Z25/Frota!$L25)*Frota!$L25,N(VLOOKUP(Frota!$B25,Premissas!$A$39:$E$43,5,0)))=0,"B",IF(N(VLOOKUP(Frota!$B25,Premissas!$A$39:$E$43,4,0))&gt;0,IF(MOD(INT(Cron_Uso!Z25/Frota!$L25)*Frota!$L25,N(VLOOKUP(Frota!$B25,Premissas!$A$39:$E$43,4,0)))=0,"A","S"),"S")),IF(N(VLOOKUP(Frota!$B25,Premissas!$A$39:$E$43,4,0))&gt;0,IF(MOD(INT(Cron_Uso!Z25/Frota!$L25)*Frota!$L25,N(VLOOKUP(Frota!$B25,Premissas!$A$39:$E$43,4,0)))=0,"A","S"),"S")),""))</f>
        <v/>
      </c>
      <c r="AA25" s="16" t="str">
        <f aca="false">IF(Cron_Uso!AA25="","",IF(INT(Cron_Uso!AA25/Frota!$L25)&gt;INT(Cron_Uso!Z25/Frota!$L25),IF(N(VLOOKUP(Frota!$B25,Premissas!$A$39:$E$43,5,0))&gt;0,IF(MOD(INT(Cron_Uso!AA25/Frota!$L25)*Frota!$L25,N(VLOOKUP(Frota!$B25,Premissas!$A$39:$E$43,5,0)))=0,"B",IF(N(VLOOKUP(Frota!$B25,Premissas!$A$39:$E$43,4,0))&gt;0,IF(MOD(INT(Cron_Uso!AA25/Frota!$L25)*Frota!$L25,N(VLOOKUP(Frota!$B25,Premissas!$A$39:$E$43,4,0)))=0,"A","S"),"S")),IF(N(VLOOKUP(Frota!$B25,Premissas!$A$39:$E$43,4,0))&gt;0,IF(MOD(INT(Cron_Uso!AA25/Frota!$L25)*Frota!$L25,N(VLOOKUP(Frota!$B25,Premissas!$A$39:$E$43,4,0)))=0,"A","S"),"S")),""))</f>
        <v/>
      </c>
      <c r="AB25" s="16" t="str">
        <f aca="false">IF(Cron_Uso!AB25="","",IF(INT(Cron_Uso!AB25/Frota!$L25)&gt;INT(Cron_Uso!AA25/Frota!$L25),IF(N(VLOOKUP(Frota!$B25,Premissas!$A$39:$E$43,5,0))&gt;0,IF(MOD(INT(Cron_Uso!AB25/Frota!$L25)*Frota!$L25,N(VLOOKUP(Frota!$B25,Premissas!$A$39:$E$43,5,0)))=0,"B",IF(N(VLOOKUP(Frota!$B25,Premissas!$A$39:$E$43,4,0))&gt;0,IF(MOD(INT(Cron_Uso!AB25/Frota!$L25)*Frota!$L25,N(VLOOKUP(Frota!$B25,Premissas!$A$39:$E$43,4,0)))=0,"A","S"),"S")),IF(N(VLOOKUP(Frota!$B25,Premissas!$A$39:$E$43,4,0))&gt;0,IF(MOD(INT(Cron_Uso!AB25/Frota!$L25)*Frota!$L25,N(VLOOKUP(Frota!$B25,Premissas!$A$39:$E$43,4,0)))=0,"A","S"),"S")),""))</f>
        <v/>
      </c>
      <c r="AC25" s="16" t="str">
        <f aca="false">IF(Cron_Uso!AC25="","",IF(INT(Cron_Uso!AC25/Frota!$L25)&gt;INT(Cron_Uso!AB25/Frota!$L25),IF(N(VLOOKUP(Frota!$B25,Premissas!$A$39:$E$43,5,0))&gt;0,IF(MOD(INT(Cron_Uso!AC25/Frota!$L25)*Frota!$L25,N(VLOOKUP(Frota!$B25,Premissas!$A$39:$E$43,5,0)))=0,"B",IF(N(VLOOKUP(Frota!$B25,Premissas!$A$39:$E$43,4,0))&gt;0,IF(MOD(INT(Cron_Uso!AC25/Frota!$L25)*Frota!$L25,N(VLOOKUP(Frota!$B25,Premissas!$A$39:$E$43,4,0)))=0,"A","S"),"S")),IF(N(VLOOKUP(Frota!$B25,Premissas!$A$39:$E$43,4,0))&gt;0,IF(MOD(INT(Cron_Uso!AC25/Frota!$L25)*Frota!$L25,N(VLOOKUP(Frota!$B25,Premissas!$A$39:$E$43,4,0)))=0,"A","S"),"S")),""))</f>
        <v/>
      </c>
      <c r="AD25" s="16" t="str">
        <f aca="false">IF(Cron_Uso!AD25="","",IF(INT(Cron_Uso!AD25/Frota!$L25)&gt;INT(Cron_Uso!AC25/Frota!$L25),IF(N(VLOOKUP(Frota!$B25,Premissas!$A$39:$E$43,5,0))&gt;0,IF(MOD(INT(Cron_Uso!AD25/Frota!$L25)*Frota!$L25,N(VLOOKUP(Frota!$B25,Premissas!$A$39:$E$43,5,0)))=0,"B",IF(N(VLOOKUP(Frota!$B25,Premissas!$A$39:$E$43,4,0))&gt;0,IF(MOD(INT(Cron_Uso!AD25/Frota!$L25)*Frota!$L25,N(VLOOKUP(Frota!$B25,Premissas!$A$39:$E$43,4,0)))=0,"A","S"),"S")),IF(N(VLOOKUP(Frota!$B25,Premissas!$A$39:$E$43,4,0))&gt;0,IF(MOD(INT(Cron_Uso!AD25/Frota!$L25)*Frota!$L25,N(VLOOKUP(Frota!$B25,Premissas!$A$39:$E$43,4,0)))=0,"A","S"),"S")),""))</f>
        <v/>
      </c>
      <c r="AE25" s="16" t="str">
        <f aca="false">IF(Cron_Uso!AE25="","",IF(INT(Cron_Uso!AE25/Frota!$L25)&gt;INT(Cron_Uso!AD25/Frota!$L25),IF(N(VLOOKUP(Frota!$B25,Premissas!$A$39:$E$43,5,0))&gt;0,IF(MOD(INT(Cron_Uso!AE25/Frota!$L25)*Frota!$L25,N(VLOOKUP(Frota!$B25,Premissas!$A$39:$E$43,5,0)))=0,"B",IF(N(VLOOKUP(Frota!$B25,Premissas!$A$39:$E$43,4,0))&gt;0,IF(MOD(INT(Cron_Uso!AE25/Frota!$L25)*Frota!$L25,N(VLOOKUP(Frota!$B25,Premissas!$A$39:$E$43,4,0)))=0,"A","S"),"S")),IF(N(VLOOKUP(Frota!$B25,Premissas!$A$39:$E$43,4,0))&gt;0,IF(MOD(INT(Cron_Uso!AE25/Frota!$L25)*Frota!$L25,N(VLOOKUP(Frota!$B25,Premissas!$A$39:$E$43,4,0)))=0,"A","S"),"S")),""))</f>
        <v/>
      </c>
      <c r="AF25" s="16" t="str">
        <f aca="false">IF(Cron_Uso!AF25="","",IF(INT(Cron_Uso!AF25/Frota!$L25)&gt;INT(Cron_Uso!AE25/Frota!$L25),IF(N(VLOOKUP(Frota!$B25,Premissas!$A$39:$E$43,5,0))&gt;0,IF(MOD(INT(Cron_Uso!AF25/Frota!$L25)*Frota!$L25,N(VLOOKUP(Frota!$B25,Premissas!$A$39:$E$43,5,0)))=0,"B",IF(N(VLOOKUP(Frota!$B25,Premissas!$A$39:$E$43,4,0))&gt;0,IF(MOD(INT(Cron_Uso!AF25/Frota!$L25)*Frota!$L25,N(VLOOKUP(Frota!$B25,Premissas!$A$39:$E$43,4,0)))=0,"A","S"),"S")),IF(N(VLOOKUP(Frota!$B25,Premissas!$A$39:$E$43,4,0))&gt;0,IF(MOD(INT(Cron_Uso!AF25/Frota!$L25)*Frota!$L25,N(VLOOKUP(Frota!$B25,Premissas!$A$39:$E$43,4,0)))=0,"A","S"),"S")),""))</f>
        <v/>
      </c>
      <c r="AG25" s="16" t="str">
        <f aca="false">IF(Cron_Uso!AG25="","",IF(INT(Cron_Uso!AG25/Frota!$L25)&gt;INT(Cron_Uso!AF25/Frota!$L25),IF(N(VLOOKUP(Frota!$B25,Premissas!$A$39:$E$43,5,0))&gt;0,IF(MOD(INT(Cron_Uso!AG25/Frota!$L25)*Frota!$L25,N(VLOOKUP(Frota!$B25,Premissas!$A$39:$E$43,5,0)))=0,"B",IF(N(VLOOKUP(Frota!$B25,Premissas!$A$39:$E$43,4,0))&gt;0,IF(MOD(INT(Cron_Uso!AG25/Frota!$L25)*Frota!$L25,N(VLOOKUP(Frota!$B25,Premissas!$A$39:$E$43,4,0)))=0,"A","S"),"S")),IF(N(VLOOKUP(Frota!$B25,Premissas!$A$39:$E$43,4,0))&gt;0,IF(MOD(INT(Cron_Uso!AG25/Frota!$L25)*Frota!$L25,N(VLOOKUP(Frota!$B25,Premissas!$A$39:$E$43,4,0)))=0,"A","S"),"S")),""))</f>
        <v/>
      </c>
      <c r="AH25" s="16" t="str">
        <f aca="false">IF(Cron_Uso!AH25="","",IF(INT(Cron_Uso!AH25/Frota!$L25)&gt;INT(Cron_Uso!AG25/Frota!$L25),IF(N(VLOOKUP(Frota!$B25,Premissas!$A$39:$E$43,5,0))&gt;0,IF(MOD(INT(Cron_Uso!AH25/Frota!$L25)*Frota!$L25,N(VLOOKUP(Frota!$B25,Premissas!$A$39:$E$43,5,0)))=0,"B",IF(N(VLOOKUP(Frota!$B25,Premissas!$A$39:$E$43,4,0))&gt;0,IF(MOD(INT(Cron_Uso!AH25/Frota!$L25)*Frota!$L25,N(VLOOKUP(Frota!$B25,Premissas!$A$39:$E$43,4,0)))=0,"A","S"),"S")),IF(N(VLOOKUP(Frota!$B25,Premissas!$A$39:$E$43,4,0))&gt;0,IF(MOD(INT(Cron_Uso!AH25/Frota!$L25)*Frota!$L25,N(VLOOKUP(Frota!$B25,Premissas!$A$39:$E$43,4,0)))=0,"A","S"),"S")),""))</f>
        <v/>
      </c>
      <c r="AI25" s="16" t="str">
        <f aca="false">IF(Cron_Uso!AI25="","",IF(INT(Cron_Uso!AI25/Frota!$L25)&gt;INT(Cron_Uso!AH25/Frota!$L25),IF(N(VLOOKUP(Frota!$B25,Premissas!$A$39:$E$43,5,0))&gt;0,IF(MOD(INT(Cron_Uso!AI25/Frota!$L25)*Frota!$L25,N(VLOOKUP(Frota!$B25,Premissas!$A$39:$E$43,5,0)))=0,"B",IF(N(VLOOKUP(Frota!$B25,Premissas!$A$39:$E$43,4,0))&gt;0,IF(MOD(INT(Cron_Uso!AI25/Frota!$L25)*Frota!$L25,N(VLOOKUP(Frota!$B25,Premissas!$A$39:$E$43,4,0)))=0,"A","S"),"S")),IF(N(VLOOKUP(Frota!$B25,Premissas!$A$39:$E$43,4,0))&gt;0,IF(MOD(INT(Cron_Uso!AI25/Frota!$L25)*Frota!$L25,N(VLOOKUP(Frota!$B25,Premissas!$A$39:$E$43,4,0)))=0,"A","S"),"S")),""))</f>
        <v/>
      </c>
      <c r="AJ25" s="16" t="str">
        <f aca="false">IF(Cron_Uso!AJ25="","",IF(INT(Cron_Uso!AJ25/Frota!$L25)&gt;INT(Cron_Uso!AI25/Frota!$L25),IF(N(VLOOKUP(Frota!$B25,Premissas!$A$39:$E$43,5,0))&gt;0,IF(MOD(INT(Cron_Uso!AJ25/Frota!$L25)*Frota!$L25,N(VLOOKUP(Frota!$B25,Premissas!$A$39:$E$43,5,0)))=0,"B",IF(N(VLOOKUP(Frota!$B25,Premissas!$A$39:$E$43,4,0))&gt;0,IF(MOD(INT(Cron_Uso!AJ25/Frota!$L25)*Frota!$L25,N(VLOOKUP(Frota!$B25,Premissas!$A$39:$E$43,4,0)))=0,"A","S"),"S")),IF(N(VLOOKUP(Frota!$B25,Premissas!$A$39:$E$43,4,0))&gt;0,IF(MOD(INT(Cron_Uso!AJ25/Frota!$L25)*Frota!$L25,N(VLOOKUP(Frota!$B25,Premissas!$A$39:$E$43,4,0)))=0,"A","S"),"S")),""))</f>
        <v/>
      </c>
      <c r="AK25" s="16" t="str">
        <f aca="false">IF(Cron_Uso!AK25="","",IF(INT(Cron_Uso!AK25/Frota!$L25)&gt;INT(Cron_Uso!AJ25/Frota!$L25),IF(N(VLOOKUP(Frota!$B25,Premissas!$A$39:$E$43,5,0))&gt;0,IF(MOD(INT(Cron_Uso!AK25/Frota!$L25)*Frota!$L25,N(VLOOKUP(Frota!$B25,Premissas!$A$39:$E$43,5,0)))=0,"B",IF(N(VLOOKUP(Frota!$B25,Premissas!$A$39:$E$43,4,0))&gt;0,IF(MOD(INT(Cron_Uso!AK25/Frota!$L25)*Frota!$L25,N(VLOOKUP(Frota!$B25,Premissas!$A$39:$E$43,4,0)))=0,"A","S"),"S")),IF(N(VLOOKUP(Frota!$B25,Premissas!$A$39:$E$43,4,0))&gt;0,IF(MOD(INT(Cron_Uso!AK25/Frota!$L25)*Frota!$L25,N(VLOOKUP(Frota!$B25,Premissas!$A$39:$E$43,4,0)))=0,"A","S"),"S")),""))</f>
        <v/>
      </c>
      <c r="AL25" s="16" t="str">
        <f aca="false">IF(Cron_Uso!AL25="","",IF(INT(Cron_Uso!AL25/Frota!$L25)&gt;INT(Cron_Uso!AK25/Frota!$L25),IF(N(VLOOKUP(Frota!$B25,Premissas!$A$39:$E$43,5,0))&gt;0,IF(MOD(INT(Cron_Uso!AL25/Frota!$L25)*Frota!$L25,N(VLOOKUP(Frota!$B25,Premissas!$A$39:$E$43,5,0)))=0,"B",IF(N(VLOOKUP(Frota!$B25,Premissas!$A$39:$E$43,4,0))&gt;0,IF(MOD(INT(Cron_Uso!AL25/Frota!$L25)*Frota!$L25,N(VLOOKUP(Frota!$B25,Premissas!$A$39:$E$43,4,0)))=0,"A","S"),"S")),IF(N(VLOOKUP(Frota!$B25,Premissas!$A$39:$E$43,4,0))&gt;0,IF(MOD(INT(Cron_Uso!AL25/Frota!$L25)*Frota!$L25,N(VLOOKUP(Frota!$B25,Premissas!$A$39:$E$43,4,0)))=0,"A","S"),"S")),""))</f>
        <v/>
      </c>
      <c r="AM25" s="16" t="str">
        <f aca="false">IF(Cron_Uso!AM25="","",IF(INT(Cron_Uso!AM25/Frota!$L25)&gt;INT(Cron_Uso!AL25/Frota!$L25),IF(N(VLOOKUP(Frota!$B25,Premissas!$A$39:$E$43,5,0))&gt;0,IF(MOD(INT(Cron_Uso!AM25/Frota!$L25)*Frota!$L25,N(VLOOKUP(Frota!$B25,Premissas!$A$39:$E$43,5,0)))=0,"B",IF(N(VLOOKUP(Frota!$B25,Premissas!$A$39:$E$43,4,0))&gt;0,IF(MOD(INT(Cron_Uso!AM25/Frota!$L25)*Frota!$L25,N(VLOOKUP(Frota!$B25,Premissas!$A$39:$E$43,4,0)))=0,"A","S"),"S")),IF(N(VLOOKUP(Frota!$B25,Premissas!$A$39:$E$43,4,0))&gt;0,IF(MOD(INT(Cron_Uso!AM25/Frota!$L25)*Frota!$L25,N(VLOOKUP(Frota!$B25,Premissas!$A$39:$E$43,4,0)))=0,"A","S"),"S")),""))</f>
        <v/>
      </c>
      <c r="AN25" s="16" t="str">
        <f aca="false">IF(Cron_Uso!AN25="","",IF(INT(Cron_Uso!AN25/Frota!$L25)&gt;INT(Cron_Uso!AM25/Frota!$L25),IF(N(VLOOKUP(Frota!$B25,Premissas!$A$39:$E$43,5,0))&gt;0,IF(MOD(INT(Cron_Uso!AN25/Frota!$L25)*Frota!$L25,N(VLOOKUP(Frota!$B25,Premissas!$A$39:$E$43,5,0)))=0,"B",IF(N(VLOOKUP(Frota!$B25,Premissas!$A$39:$E$43,4,0))&gt;0,IF(MOD(INT(Cron_Uso!AN25/Frota!$L25)*Frota!$L25,N(VLOOKUP(Frota!$B25,Premissas!$A$39:$E$43,4,0)))=0,"A","S"),"S")),IF(N(VLOOKUP(Frota!$B25,Premissas!$A$39:$E$43,4,0))&gt;0,IF(MOD(INT(Cron_Uso!AN25/Frota!$L25)*Frota!$L25,N(VLOOKUP(Frota!$B25,Premissas!$A$39:$E$43,4,0)))=0,"A","S"),"S")),""))</f>
        <v/>
      </c>
      <c r="AO25" s="16" t="str">
        <f aca="false">IF(Cron_Uso!AO25="","",IF(INT(Cron_Uso!AO25/Frota!$L25)&gt;INT(Cron_Uso!AN25/Frota!$L25),IF(N(VLOOKUP(Frota!$B25,Premissas!$A$39:$E$43,5,0))&gt;0,IF(MOD(INT(Cron_Uso!AO25/Frota!$L25)*Frota!$L25,N(VLOOKUP(Frota!$B25,Premissas!$A$39:$E$43,5,0)))=0,"B",IF(N(VLOOKUP(Frota!$B25,Premissas!$A$39:$E$43,4,0))&gt;0,IF(MOD(INT(Cron_Uso!AO25/Frota!$L25)*Frota!$L25,N(VLOOKUP(Frota!$B25,Premissas!$A$39:$E$43,4,0)))=0,"A","S"),"S")),IF(N(VLOOKUP(Frota!$B25,Premissas!$A$39:$E$43,4,0))&gt;0,IF(MOD(INT(Cron_Uso!AO25/Frota!$L25)*Frota!$L25,N(VLOOKUP(Frota!$B25,Premissas!$A$39:$E$43,4,0)))=0,"A","S"),"S")),""))</f>
        <v/>
      </c>
      <c r="AP25" s="16" t="str">
        <f aca="false">IF(Cron_Uso!AP25="","",IF(INT(Cron_Uso!AP25/Frota!$L25)&gt;INT(Cron_Uso!AO25/Frota!$L25),IF(N(VLOOKUP(Frota!$B25,Premissas!$A$39:$E$43,5,0))&gt;0,IF(MOD(INT(Cron_Uso!AP25/Frota!$L25)*Frota!$L25,N(VLOOKUP(Frota!$B25,Premissas!$A$39:$E$43,5,0)))=0,"B",IF(N(VLOOKUP(Frota!$B25,Premissas!$A$39:$E$43,4,0))&gt;0,IF(MOD(INT(Cron_Uso!AP25/Frota!$L25)*Frota!$L25,N(VLOOKUP(Frota!$B25,Premissas!$A$39:$E$43,4,0)))=0,"A","S"),"S")),IF(N(VLOOKUP(Frota!$B25,Premissas!$A$39:$E$43,4,0))&gt;0,IF(MOD(INT(Cron_Uso!AP25/Frota!$L25)*Frota!$L25,N(VLOOKUP(Frota!$B25,Premissas!$A$39:$E$43,4,0)))=0,"A","S"),"S")),""))</f>
        <v/>
      </c>
      <c r="AQ25" s="16" t="str">
        <f aca="false">IF(Cron_Uso!AQ25="","",IF(INT(Cron_Uso!AQ25/Frota!$L25)&gt;INT(Cron_Uso!AP25/Frota!$L25),IF(N(VLOOKUP(Frota!$B25,Premissas!$A$39:$E$43,5,0))&gt;0,IF(MOD(INT(Cron_Uso!AQ25/Frota!$L25)*Frota!$L25,N(VLOOKUP(Frota!$B25,Premissas!$A$39:$E$43,5,0)))=0,"B",IF(N(VLOOKUP(Frota!$B25,Premissas!$A$39:$E$43,4,0))&gt;0,IF(MOD(INT(Cron_Uso!AQ25/Frota!$L25)*Frota!$L25,N(VLOOKUP(Frota!$B25,Premissas!$A$39:$E$43,4,0)))=0,"A","S"),"S")),IF(N(VLOOKUP(Frota!$B25,Premissas!$A$39:$E$43,4,0))&gt;0,IF(MOD(INT(Cron_Uso!AQ25/Frota!$L25)*Frota!$L25,N(VLOOKUP(Frota!$B25,Premissas!$A$39:$E$43,4,0)))=0,"A","S"),"S")),""))</f>
        <v/>
      </c>
      <c r="AR25" s="16" t="str">
        <f aca="false">IF(Cron_Uso!AR25="","",IF(INT(Cron_Uso!AR25/Frota!$L25)&gt;INT(Cron_Uso!AQ25/Frota!$L25),IF(N(VLOOKUP(Frota!$B25,Premissas!$A$39:$E$43,5,0))&gt;0,IF(MOD(INT(Cron_Uso!AR25/Frota!$L25)*Frota!$L25,N(VLOOKUP(Frota!$B25,Premissas!$A$39:$E$43,5,0)))=0,"B",IF(N(VLOOKUP(Frota!$B25,Premissas!$A$39:$E$43,4,0))&gt;0,IF(MOD(INT(Cron_Uso!AR25/Frota!$L25)*Frota!$L25,N(VLOOKUP(Frota!$B25,Premissas!$A$39:$E$43,4,0)))=0,"A","S"),"S")),IF(N(VLOOKUP(Frota!$B25,Premissas!$A$39:$E$43,4,0))&gt;0,IF(MOD(INT(Cron_Uso!AR25/Frota!$L25)*Frota!$L25,N(VLOOKUP(Frota!$B25,Premissas!$A$39:$E$43,4,0)))=0,"A","S"),"S")),""))</f>
        <v/>
      </c>
      <c r="AS25" s="16" t="str">
        <f aca="false">IF(Cron_Uso!AS25="","",IF(INT(Cron_Uso!AS25/Frota!$L25)&gt;INT(Cron_Uso!AR25/Frota!$L25),IF(N(VLOOKUP(Frota!$B25,Premissas!$A$39:$E$43,5,0))&gt;0,IF(MOD(INT(Cron_Uso!AS25/Frota!$L25)*Frota!$L25,N(VLOOKUP(Frota!$B25,Premissas!$A$39:$E$43,5,0)))=0,"B",IF(N(VLOOKUP(Frota!$B25,Premissas!$A$39:$E$43,4,0))&gt;0,IF(MOD(INT(Cron_Uso!AS25/Frota!$L25)*Frota!$L25,N(VLOOKUP(Frota!$B25,Premissas!$A$39:$E$43,4,0)))=0,"A","S"),"S")),IF(N(VLOOKUP(Frota!$B25,Premissas!$A$39:$E$43,4,0))&gt;0,IF(MOD(INT(Cron_Uso!AS25/Frota!$L25)*Frota!$L25,N(VLOOKUP(Frota!$B25,Premissas!$A$39:$E$43,4,0)))=0,"A","S"),"S")),""))</f>
        <v/>
      </c>
      <c r="AT25" s="16" t="str">
        <f aca="false">IF(Cron_Uso!AT25="","",IF(INT(Cron_Uso!AT25/Frota!$L25)&gt;INT(Cron_Uso!AS25/Frota!$L25),IF(N(VLOOKUP(Frota!$B25,Premissas!$A$39:$E$43,5,0))&gt;0,IF(MOD(INT(Cron_Uso!AT25/Frota!$L25)*Frota!$L25,N(VLOOKUP(Frota!$B25,Premissas!$A$39:$E$43,5,0)))=0,"B",IF(N(VLOOKUP(Frota!$B25,Premissas!$A$39:$E$43,4,0))&gt;0,IF(MOD(INT(Cron_Uso!AT25/Frota!$L25)*Frota!$L25,N(VLOOKUP(Frota!$B25,Premissas!$A$39:$E$43,4,0)))=0,"A","S"),"S")),IF(N(VLOOKUP(Frota!$B25,Premissas!$A$39:$E$43,4,0))&gt;0,IF(MOD(INT(Cron_Uso!AT25/Frota!$L25)*Frota!$L25,N(VLOOKUP(Frota!$B25,Premissas!$A$39:$E$43,4,0)))=0,"A","S"),"S")),""))</f>
        <v/>
      </c>
      <c r="AU25" s="16" t="str">
        <f aca="false">IF(Cron_Uso!AU25="","",IF(INT(Cron_Uso!AU25/Frota!$L25)&gt;INT(Cron_Uso!AT25/Frota!$L25),IF(N(VLOOKUP(Frota!$B25,Premissas!$A$39:$E$43,5,0))&gt;0,IF(MOD(INT(Cron_Uso!AU25/Frota!$L25)*Frota!$L25,N(VLOOKUP(Frota!$B25,Premissas!$A$39:$E$43,5,0)))=0,"B",IF(N(VLOOKUP(Frota!$B25,Premissas!$A$39:$E$43,4,0))&gt;0,IF(MOD(INT(Cron_Uso!AU25/Frota!$L25)*Frota!$L25,N(VLOOKUP(Frota!$B25,Premissas!$A$39:$E$43,4,0)))=0,"A","S"),"S")),IF(N(VLOOKUP(Frota!$B25,Premissas!$A$39:$E$43,4,0))&gt;0,IF(MOD(INT(Cron_Uso!AU25/Frota!$L25)*Frota!$L25,N(VLOOKUP(Frota!$B25,Premissas!$A$39:$E$43,4,0)))=0,"A","S"),"S")),""))</f>
        <v/>
      </c>
      <c r="AV25" s="16" t="str">
        <f aca="false">IF(Cron_Uso!AV25="","",IF(INT(Cron_Uso!AV25/Frota!$L25)&gt;INT(Cron_Uso!AU25/Frota!$L25),IF(N(VLOOKUP(Frota!$B25,Premissas!$A$39:$E$43,5,0))&gt;0,IF(MOD(INT(Cron_Uso!AV25/Frota!$L25)*Frota!$L25,N(VLOOKUP(Frota!$B25,Premissas!$A$39:$E$43,5,0)))=0,"B",IF(N(VLOOKUP(Frota!$B25,Premissas!$A$39:$E$43,4,0))&gt;0,IF(MOD(INT(Cron_Uso!AV25/Frota!$L25)*Frota!$L25,N(VLOOKUP(Frota!$B25,Premissas!$A$39:$E$43,4,0)))=0,"A","S"),"S")),IF(N(VLOOKUP(Frota!$B25,Premissas!$A$39:$E$43,4,0))&gt;0,IF(MOD(INT(Cron_Uso!AV25/Frota!$L25)*Frota!$L25,N(VLOOKUP(Frota!$B25,Premissas!$A$39:$E$43,4,0)))=0,"A","S"),"S")),""))</f>
        <v/>
      </c>
      <c r="AW25" s="16" t="str">
        <f aca="false">IF(Cron_Uso!AW25="","",IF(INT(Cron_Uso!AW25/Frota!$L25)&gt;INT(Cron_Uso!AV25/Frota!$L25),IF(N(VLOOKUP(Frota!$B25,Premissas!$A$39:$E$43,5,0))&gt;0,IF(MOD(INT(Cron_Uso!AW25/Frota!$L25)*Frota!$L25,N(VLOOKUP(Frota!$B25,Premissas!$A$39:$E$43,5,0)))=0,"B",IF(N(VLOOKUP(Frota!$B25,Premissas!$A$39:$E$43,4,0))&gt;0,IF(MOD(INT(Cron_Uso!AW25/Frota!$L25)*Frota!$L25,N(VLOOKUP(Frota!$B25,Premissas!$A$39:$E$43,4,0)))=0,"A","S"),"S")),IF(N(VLOOKUP(Frota!$B25,Premissas!$A$39:$E$43,4,0))&gt;0,IF(MOD(INT(Cron_Uso!AW25/Frota!$L25)*Frota!$L25,N(VLOOKUP(Frota!$B25,Premissas!$A$39:$E$43,4,0)))=0,"A","S"),"S")),""))</f>
        <v/>
      </c>
      <c r="AX25" s="16" t="str">
        <f aca="false">IF(Cron_Uso!AX25="","",IF(INT(Cron_Uso!AX25/Frota!$L25)&gt;INT(Cron_Uso!AW25/Frota!$L25),IF(N(VLOOKUP(Frota!$B25,Premissas!$A$39:$E$43,5,0))&gt;0,IF(MOD(INT(Cron_Uso!AX25/Frota!$L25)*Frota!$L25,N(VLOOKUP(Frota!$B25,Premissas!$A$39:$E$43,5,0)))=0,"B",IF(N(VLOOKUP(Frota!$B25,Premissas!$A$39:$E$43,4,0))&gt;0,IF(MOD(INT(Cron_Uso!AX25/Frota!$L25)*Frota!$L25,N(VLOOKUP(Frota!$B25,Premissas!$A$39:$E$43,4,0)))=0,"A","S"),"S")),IF(N(VLOOKUP(Frota!$B25,Premissas!$A$39:$E$43,4,0))&gt;0,IF(MOD(INT(Cron_Uso!AX25/Frota!$L25)*Frota!$L25,N(VLOOKUP(Frota!$B25,Premissas!$A$39:$E$43,4,0)))=0,"A","S"),"S")),""))</f>
        <v/>
      </c>
      <c r="AY25" s="16" t="str">
        <f aca="false">IF(Cron_Uso!AY25="","",IF(INT(Cron_Uso!AY25/Frota!$L25)&gt;INT(Cron_Uso!AX25/Frota!$L25),IF(N(VLOOKUP(Frota!$B25,Premissas!$A$39:$E$43,5,0))&gt;0,IF(MOD(INT(Cron_Uso!AY25/Frota!$L25)*Frota!$L25,N(VLOOKUP(Frota!$B25,Premissas!$A$39:$E$43,5,0)))=0,"B",IF(N(VLOOKUP(Frota!$B25,Premissas!$A$39:$E$43,4,0))&gt;0,IF(MOD(INT(Cron_Uso!AY25/Frota!$L25)*Frota!$L25,N(VLOOKUP(Frota!$B25,Premissas!$A$39:$E$43,4,0)))=0,"A","S"),"S")),IF(N(VLOOKUP(Frota!$B25,Premissas!$A$39:$E$43,4,0))&gt;0,IF(MOD(INT(Cron_Uso!AY25/Frota!$L25)*Frota!$L25,N(VLOOKUP(Frota!$B25,Premissas!$A$39:$E$43,4,0)))=0,"A","S"),"S")),""))</f>
        <v/>
      </c>
      <c r="AZ25" s="16" t="str">
        <f aca="false">IF(Cron_Uso!AZ25="","",IF(INT(Cron_Uso!AZ25/Frota!$L25)&gt;INT(Cron_Uso!AY25/Frota!$L25),IF(N(VLOOKUP(Frota!$B25,Premissas!$A$39:$E$43,5,0))&gt;0,IF(MOD(INT(Cron_Uso!AZ25/Frota!$L25)*Frota!$L25,N(VLOOKUP(Frota!$B25,Premissas!$A$39:$E$43,5,0)))=0,"B",IF(N(VLOOKUP(Frota!$B25,Premissas!$A$39:$E$43,4,0))&gt;0,IF(MOD(INT(Cron_Uso!AZ25/Frota!$L25)*Frota!$L25,N(VLOOKUP(Frota!$B25,Premissas!$A$39:$E$43,4,0)))=0,"A","S"),"S")),IF(N(VLOOKUP(Frota!$B25,Premissas!$A$39:$E$43,4,0))&gt;0,IF(MOD(INT(Cron_Uso!AZ25/Frota!$L25)*Frota!$L25,N(VLOOKUP(Frota!$B25,Premissas!$A$39:$E$43,4,0)))=0,"A","S"),"S")),""))</f>
        <v/>
      </c>
      <c r="BA25" s="16" t="str">
        <f aca="false">IF(Cron_Uso!BA25="","",IF(INT(Cron_Uso!BA25/Frota!$L25)&gt;INT(Cron_Uso!AZ25/Frota!$L25),IF(N(VLOOKUP(Frota!$B25,Premissas!$A$39:$E$43,5,0))&gt;0,IF(MOD(INT(Cron_Uso!BA25/Frota!$L25)*Frota!$L25,N(VLOOKUP(Frota!$B25,Premissas!$A$39:$E$43,5,0)))=0,"B",IF(N(VLOOKUP(Frota!$B25,Premissas!$A$39:$E$43,4,0))&gt;0,IF(MOD(INT(Cron_Uso!BA25/Frota!$L25)*Frota!$L25,N(VLOOKUP(Frota!$B25,Premissas!$A$39:$E$43,4,0)))=0,"A","S"),"S")),IF(N(VLOOKUP(Frota!$B25,Premissas!$A$39:$E$43,4,0))&gt;0,IF(MOD(INT(Cron_Uso!BA25/Frota!$L25)*Frota!$L25,N(VLOOKUP(Frota!$B25,Premissas!$A$39:$E$43,4,0)))=0,"A","S"),"S")),""))</f>
        <v/>
      </c>
    </row>
    <row r="26" customFormat="false" ht="15" hidden="false" customHeight="false" outlineLevel="0" collapsed="false">
      <c r="A26" s="6" t="str">
        <f aca="false">IF(Frota!$A26="","",Frota!$A26)</f>
        <v/>
      </c>
      <c r="B26" s="16" t="str">
        <f aca="false">IF(Cron_Uso!B26="","",IF(INT(Cron_Uso!B26/Frota!$L26)&gt;INT(Frota!$I26/Frota!$L26),IF(N(VLOOKUP(Frota!$B26,Premissas!$A$39:$E$43,5,0))&gt;0,IF(MOD(INT(Cron_Uso!B26/Frota!$L26)*Frota!$L26,N(VLOOKUP(Frota!$B26,Premissas!$A$39:$E$43,5,0)))=0,"B",IF(N(VLOOKUP(Frota!$B26,Premissas!$A$39:$E$43,4,0))&gt;0,IF(MOD(INT(Cron_Uso!B26/Frota!$L26)*Frota!$L26,N(VLOOKUP(Frota!$B26,Premissas!$A$39:$E$43,4,0)))=0,"A","S"),"S")),IF(N(VLOOKUP(Frota!$B26,Premissas!$A$39:$E$43,4,0))&gt;0,IF(MOD(INT(Cron_Uso!B26/Frota!$L26)*Frota!$L26,N(VLOOKUP(Frota!$B26,Premissas!$A$39:$E$43,4,0)))=0,"A","S"),"S")),""))</f>
        <v/>
      </c>
      <c r="C26" s="16" t="str">
        <f aca="false">IF(Cron_Uso!C26="","",IF(INT(Cron_Uso!C26/Frota!$L26)&gt;INT(Cron_Uso!B26/Frota!$L26),IF(N(VLOOKUP(Frota!$B26,Premissas!$A$39:$E$43,5,0))&gt;0,IF(MOD(INT(Cron_Uso!C26/Frota!$L26)*Frota!$L26,N(VLOOKUP(Frota!$B26,Premissas!$A$39:$E$43,5,0)))=0,"B",IF(N(VLOOKUP(Frota!$B26,Premissas!$A$39:$E$43,4,0))&gt;0,IF(MOD(INT(Cron_Uso!C26/Frota!$L26)*Frota!$L26,N(VLOOKUP(Frota!$B26,Premissas!$A$39:$E$43,4,0)))=0,"A","S"),"S")),IF(N(VLOOKUP(Frota!$B26,Premissas!$A$39:$E$43,4,0))&gt;0,IF(MOD(INT(Cron_Uso!C26/Frota!$L26)*Frota!$L26,N(VLOOKUP(Frota!$B26,Premissas!$A$39:$E$43,4,0)))=0,"A","S"),"S")),""))</f>
        <v/>
      </c>
      <c r="D26" s="16" t="str">
        <f aca="false">IF(Cron_Uso!D26="","",IF(INT(Cron_Uso!D26/Frota!$L26)&gt;INT(Cron_Uso!C26/Frota!$L26),IF(N(VLOOKUP(Frota!$B26,Premissas!$A$39:$E$43,5,0))&gt;0,IF(MOD(INT(Cron_Uso!D26/Frota!$L26)*Frota!$L26,N(VLOOKUP(Frota!$B26,Premissas!$A$39:$E$43,5,0)))=0,"B",IF(N(VLOOKUP(Frota!$B26,Premissas!$A$39:$E$43,4,0))&gt;0,IF(MOD(INT(Cron_Uso!D26/Frota!$L26)*Frota!$L26,N(VLOOKUP(Frota!$B26,Premissas!$A$39:$E$43,4,0)))=0,"A","S"),"S")),IF(N(VLOOKUP(Frota!$B26,Premissas!$A$39:$E$43,4,0))&gt;0,IF(MOD(INT(Cron_Uso!D26/Frota!$L26)*Frota!$L26,N(VLOOKUP(Frota!$B26,Premissas!$A$39:$E$43,4,0)))=0,"A","S"),"S")),""))</f>
        <v/>
      </c>
      <c r="E26" s="16" t="str">
        <f aca="false">IF(Cron_Uso!E26="","",IF(INT(Cron_Uso!E26/Frota!$L26)&gt;INT(Cron_Uso!D26/Frota!$L26),IF(N(VLOOKUP(Frota!$B26,Premissas!$A$39:$E$43,5,0))&gt;0,IF(MOD(INT(Cron_Uso!E26/Frota!$L26)*Frota!$L26,N(VLOOKUP(Frota!$B26,Premissas!$A$39:$E$43,5,0)))=0,"B",IF(N(VLOOKUP(Frota!$B26,Premissas!$A$39:$E$43,4,0))&gt;0,IF(MOD(INT(Cron_Uso!E26/Frota!$L26)*Frota!$L26,N(VLOOKUP(Frota!$B26,Premissas!$A$39:$E$43,4,0)))=0,"A","S"),"S")),IF(N(VLOOKUP(Frota!$B26,Premissas!$A$39:$E$43,4,0))&gt;0,IF(MOD(INT(Cron_Uso!E26/Frota!$L26)*Frota!$L26,N(VLOOKUP(Frota!$B26,Premissas!$A$39:$E$43,4,0)))=0,"A","S"),"S")),""))</f>
        <v/>
      </c>
      <c r="F26" s="16" t="str">
        <f aca="false">IF(Cron_Uso!F26="","",IF(INT(Cron_Uso!F26/Frota!$L26)&gt;INT(Cron_Uso!E26/Frota!$L26),IF(N(VLOOKUP(Frota!$B26,Premissas!$A$39:$E$43,5,0))&gt;0,IF(MOD(INT(Cron_Uso!F26/Frota!$L26)*Frota!$L26,N(VLOOKUP(Frota!$B26,Premissas!$A$39:$E$43,5,0)))=0,"B",IF(N(VLOOKUP(Frota!$B26,Premissas!$A$39:$E$43,4,0))&gt;0,IF(MOD(INT(Cron_Uso!F26/Frota!$L26)*Frota!$L26,N(VLOOKUP(Frota!$B26,Premissas!$A$39:$E$43,4,0)))=0,"A","S"),"S")),IF(N(VLOOKUP(Frota!$B26,Premissas!$A$39:$E$43,4,0))&gt;0,IF(MOD(INT(Cron_Uso!F26/Frota!$L26)*Frota!$L26,N(VLOOKUP(Frota!$B26,Premissas!$A$39:$E$43,4,0)))=0,"A","S"),"S")),""))</f>
        <v/>
      </c>
      <c r="G26" s="16" t="str">
        <f aca="false">IF(Cron_Uso!G26="","",IF(INT(Cron_Uso!G26/Frota!$L26)&gt;INT(Cron_Uso!F26/Frota!$L26),IF(N(VLOOKUP(Frota!$B26,Premissas!$A$39:$E$43,5,0))&gt;0,IF(MOD(INT(Cron_Uso!G26/Frota!$L26)*Frota!$L26,N(VLOOKUP(Frota!$B26,Premissas!$A$39:$E$43,5,0)))=0,"B",IF(N(VLOOKUP(Frota!$B26,Premissas!$A$39:$E$43,4,0))&gt;0,IF(MOD(INT(Cron_Uso!G26/Frota!$L26)*Frota!$L26,N(VLOOKUP(Frota!$B26,Premissas!$A$39:$E$43,4,0)))=0,"A","S"),"S")),IF(N(VLOOKUP(Frota!$B26,Premissas!$A$39:$E$43,4,0))&gt;0,IF(MOD(INT(Cron_Uso!G26/Frota!$L26)*Frota!$L26,N(VLOOKUP(Frota!$B26,Premissas!$A$39:$E$43,4,0)))=0,"A","S"),"S")),""))</f>
        <v/>
      </c>
      <c r="H26" s="16" t="str">
        <f aca="false">IF(Cron_Uso!H26="","",IF(INT(Cron_Uso!H26/Frota!$L26)&gt;INT(Cron_Uso!G26/Frota!$L26),IF(N(VLOOKUP(Frota!$B26,Premissas!$A$39:$E$43,5,0))&gt;0,IF(MOD(INT(Cron_Uso!H26/Frota!$L26)*Frota!$L26,N(VLOOKUP(Frota!$B26,Premissas!$A$39:$E$43,5,0)))=0,"B",IF(N(VLOOKUP(Frota!$B26,Premissas!$A$39:$E$43,4,0))&gt;0,IF(MOD(INT(Cron_Uso!H26/Frota!$L26)*Frota!$L26,N(VLOOKUP(Frota!$B26,Premissas!$A$39:$E$43,4,0)))=0,"A","S"),"S")),IF(N(VLOOKUP(Frota!$B26,Premissas!$A$39:$E$43,4,0))&gt;0,IF(MOD(INT(Cron_Uso!H26/Frota!$L26)*Frota!$L26,N(VLOOKUP(Frota!$B26,Premissas!$A$39:$E$43,4,0)))=0,"A","S"),"S")),""))</f>
        <v/>
      </c>
      <c r="I26" s="16" t="str">
        <f aca="false">IF(Cron_Uso!I26="","",IF(INT(Cron_Uso!I26/Frota!$L26)&gt;INT(Cron_Uso!H26/Frota!$L26),IF(N(VLOOKUP(Frota!$B26,Premissas!$A$39:$E$43,5,0))&gt;0,IF(MOD(INT(Cron_Uso!I26/Frota!$L26)*Frota!$L26,N(VLOOKUP(Frota!$B26,Premissas!$A$39:$E$43,5,0)))=0,"B",IF(N(VLOOKUP(Frota!$B26,Premissas!$A$39:$E$43,4,0))&gt;0,IF(MOD(INT(Cron_Uso!I26/Frota!$L26)*Frota!$L26,N(VLOOKUP(Frota!$B26,Premissas!$A$39:$E$43,4,0)))=0,"A","S"),"S")),IF(N(VLOOKUP(Frota!$B26,Premissas!$A$39:$E$43,4,0))&gt;0,IF(MOD(INT(Cron_Uso!I26/Frota!$L26)*Frota!$L26,N(VLOOKUP(Frota!$B26,Premissas!$A$39:$E$43,4,0)))=0,"A","S"),"S")),""))</f>
        <v/>
      </c>
      <c r="J26" s="16" t="str">
        <f aca="false">IF(Cron_Uso!J26="","",IF(INT(Cron_Uso!J26/Frota!$L26)&gt;INT(Cron_Uso!I26/Frota!$L26),IF(N(VLOOKUP(Frota!$B26,Premissas!$A$39:$E$43,5,0))&gt;0,IF(MOD(INT(Cron_Uso!J26/Frota!$L26)*Frota!$L26,N(VLOOKUP(Frota!$B26,Premissas!$A$39:$E$43,5,0)))=0,"B",IF(N(VLOOKUP(Frota!$B26,Premissas!$A$39:$E$43,4,0))&gt;0,IF(MOD(INT(Cron_Uso!J26/Frota!$L26)*Frota!$L26,N(VLOOKUP(Frota!$B26,Premissas!$A$39:$E$43,4,0)))=0,"A","S"),"S")),IF(N(VLOOKUP(Frota!$B26,Premissas!$A$39:$E$43,4,0))&gt;0,IF(MOD(INT(Cron_Uso!J26/Frota!$L26)*Frota!$L26,N(VLOOKUP(Frota!$B26,Premissas!$A$39:$E$43,4,0)))=0,"A","S"),"S")),""))</f>
        <v/>
      </c>
      <c r="K26" s="16" t="str">
        <f aca="false">IF(Cron_Uso!K26="","",IF(INT(Cron_Uso!K26/Frota!$L26)&gt;INT(Cron_Uso!J26/Frota!$L26),IF(N(VLOOKUP(Frota!$B26,Premissas!$A$39:$E$43,5,0))&gt;0,IF(MOD(INT(Cron_Uso!K26/Frota!$L26)*Frota!$L26,N(VLOOKUP(Frota!$B26,Premissas!$A$39:$E$43,5,0)))=0,"B",IF(N(VLOOKUP(Frota!$B26,Premissas!$A$39:$E$43,4,0))&gt;0,IF(MOD(INT(Cron_Uso!K26/Frota!$L26)*Frota!$L26,N(VLOOKUP(Frota!$B26,Premissas!$A$39:$E$43,4,0)))=0,"A","S"),"S")),IF(N(VLOOKUP(Frota!$B26,Premissas!$A$39:$E$43,4,0))&gt;0,IF(MOD(INT(Cron_Uso!K26/Frota!$L26)*Frota!$L26,N(VLOOKUP(Frota!$B26,Premissas!$A$39:$E$43,4,0)))=0,"A","S"),"S")),""))</f>
        <v/>
      </c>
      <c r="L26" s="16" t="str">
        <f aca="false">IF(Cron_Uso!L26="","",IF(INT(Cron_Uso!L26/Frota!$L26)&gt;INT(Cron_Uso!K26/Frota!$L26),IF(N(VLOOKUP(Frota!$B26,Premissas!$A$39:$E$43,5,0))&gt;0,IF(MOD(INT(Cron_Uso!L26/Frota!$L26)*Frota!$L26,N(VLOOKUP(Frota!$B26,Premissas!$A$39:$E$43,5,0)))=0,"B",IF(N(VLOOKUP(Frota!$B26,Premissas!$A$39:$E$43,4,0))&gt;0,IF(MOD(INT(Cron_Uso!L26/Frota!$L26)*Frota!$L26,N(VLOOKUP(Frota!$B26,Premissas!$A$39:$E$43,4,0)))=0,"A","S"),"S")),IF(N(VLOOKUP(Frota!$B26,Premissas!$A$39:$E$43,4,0))&gt;0,IF(MOD(INT(Cron_Uso!L26/Frota!$L26)*Frota!$L26,N(VLOOKUP(Frota!$B26,Premissas!$A$39:$E$43,4,0)))=0,"A","S"),"S")),""))</f>
        <v/>
      </c>
      <c r="M26" s="16" t="str">
        <f aca="false">IF(Cron_Uso!M26="","",IF(INT(Cron_Uso!M26/Frota!$L26)&gt;INT(Cron_Uso!L26/Frota!$L26),IF(N(VLOOKUP(Frota!$B26,Premissas!$A$39:$E$43,5,0))&gt;0,IF(MOD(INT(Cron_Uso!M26/Frota!$L26)*Frota!$L26,N(VLOOKUP(Frota!$B26,Premissas!$A$39:$E$43,5,0)))=0,"B",IF(N(VLOOKUP(Frota!$B26,Premissas!$A$39:$E$43,4,0))&gt;0,IF(MOD(INT(Cron_Uso!M26/Frota!$L26)*Frota!$L26,N(VLOOKUP(Frota!$B26,Premissas!$A$39:$E$43,4,0)))=0,"A","S"),"S")),IF(N(VLOOKUP(Frota!$B26,Premissas!$A$39:$E$43,4,0))&gt;0,IF(MOD(INT(Cron_Uso!M26/Frota!$L26)*Frota!$L26,N(VLOOKUP(Frota!$B26,Premissas!$A$39:$E$43,4,0)))=0,"A","S"),"S")),""))</f>
        <v/>
      </c>
      <c r="N26" s="16" t="str">
        <f aca="false">IF(Cron_Uso!N26="","",IF(INT(Cron_Uso!N26/Frota!$L26)&gt;INT(Cron_Uso!M26/Frota!$L26),IF(N(VLOOKUP(Frota!$B26,Premissas!$A$39:$E$43,5,0))&gt;0,IF(MOD(INT(Cron_Uso!N26/Frota!$L26)*Frota!$L26,N(VLOOKUP(Frota!$B26,Premissas!$A$39:$E$43,5,0)))=0,"B",IF(N(VLOOKUP(Frota!$B26,Premissas!$A$39:$E$43,4,0))&gt;0,IF(MOD(INT(Cron_Uso!N26/Frota!$L26)*Frota!$L26,N(VLOOKUP(Frota!$B26,Premissas!$A$39:$E$43,4,0)))=0,"A","S"),"S")),IF(N(VLOOKUP(Frota!$B26,Premissas!$A$39:$E$43,4,0))&gt;0,IF(MOD(INT(Cron_Uso!N26/Frota!$L26)*Frota!$L26,N(VLOOKUP(Frota!$B26,Premissas!$A$39:$E$43,4,0)))=0,"A","S"),"S")),""))</f>
        <v/>
      </c>
      <c r="O26" s="16" t="str">
        <f aca="false">IF(Cron_Uso!O26="","",IF(INT(Cron_Uso!O26/Frota!$L26)&gt;INT(Cron_Uso!N26/Frota!$L26),IF(N(VLOOKUP(Frota!$B26,Premissas!$A$39:$E$43,5,0))&gt;0,IF(MOD(INT(Cron_Uso!O26/Frota!$L26)*Frota!$L26,N(VLOOKUP(Frota!$B26,Premissas!$A$39:$E$43,5,0)))=0,"B",IF(N(VLOOKUP(Frota!$B26,Premissas!$A$39:$E$43,4,0))&gt;0,IF(MOD(INT(Cron_Uso!O26/Frota!$L26)*Frota!$L26,N(VLOOKUP(Frota!$B26,Premissas!$A$39:$E$43,4,0)))=0,"A","S"),"S")),IF(N(VLOOKUP(Frota!$B26,Premissas!$A$39:$E$43,4,0))&gt;0,IF(MOD(INT(Cron_Uso!O26/Frota!$L26)*Frota!$L26,N(VLOOKUP(Frota!$B26,Premissas!$A$39:$E$43,4,0)))=0,"A","S"),"S")),""))</f>
        <v/>
      </c>
      <c r="P26" s="16" t="str">
        <f aca="false">IF(Cron_Uso!P26="","",IF(INT(Cron_Uso!P26/Frota!$L26)&gt;INT(Cron_Uso!O26/Frota!$L26),IF(N(VLOOKUP(Frota!$B26,Premissas!$A$39:$E$43,5,0))&gt;0,IF(MOD(INT(Cron_Uso!P26/Frota!$L26)*Frota!$L26,N(VLOOKUP(Frota!$B26,Premissas!$A$39:$E$43,5,0)))=0,"B",IF(N(VLOOKUP(Frota!$B26,Premissas!$A$39:$E$43,4,0))&gt;0,IF(MOD(INT(Cron_Uso!P26/Frota!$L26)*Frota!$L26,N(VLOOKUP(Frota!$B26,Premissas!$A$39:$E$43,4,0)))=0,"A","S"),"S")),IF(N(VLOOKUP(Frota!$B26,Premissas!$A$39:$E$43,4,0))&gt;0,IF(MOD(INT(Cron_Uso!P26/Frota!$L26)*Frota!$L26,N(VLOOKUP(Frota!$B26,Premissas!$A$39:$E$43,4,0)))=0,"A","S"),"S")),""))</f>
        <v/>
      </c>
      <c r="Q26" s="16" t="str">
        <f aca="false">IF(Cron_Uso!Q26="","",IF(INT(Cron_Uso!Q26/Frota!$L26)&gt;INT(Cron_Uso!P26/Frota!$L26),IF(N(VLOOKUP(Frota!$B26,Premissas!$A$39:$E$43,5,0))&gt;0,IF(MOD(INT(Cron_Uso!Q26/Frota!$L26)*Frota!$L26,N(VLOOKUP(Frota!$B26,Premissas!$A$39:$E$43,5,0)))=0,"B",IF(N(VLOOKUP(Frota!$B26,Premissas!$A$39:$E$43,4,0))&gt;0,IF(MOD(INT(Cron_Uso!Q26/Frota!$L26)*Frota!$L26,N(VLOOKUP(Frota!$B26,Premissas!$A$39:$E$43,4,0)))=0,"A","S"),"S")),IF(N(VLOOKUP(Frota!$B26,Premissas!$A$39:$E$43,4,0))&gt;0,IF(MOD(INT(Cron_Uso!Q26/Frota!$L26)*Frota!$L26,N(VLOOKUP(Frota!$B26,Premissas!$A$39:$E$43,4,0)))=0,"A","S"),"S")),""))</f>
        <v/>
      </c>
      <c r="R26" s="16" t="str">
        <f aca="false">IF(Cron_Uso!R26="","",IF(INT(Cron_Uso!R26/Frota!$L26)&gt;INT(Cron_Uso!Q26/Frota!$L26),IF(N(VLOOKUP(Frota!$B26,Premissas!$A$39:$E$43,5,0))&gt;0,IF(MOD(INT(Cron_Uso!R26/Frota!$L26)*Frota!$L26,N(VLOOKUP(Frota!$B26,Premissas!$A$39:$E$43,5,0)))=0,"B",IF(N(VLOOKUP(Frota!$B26,Premissas!$A$39:$E$43,4,0))&gt;0,IF(MOD(INT(Cron_Uso!R26/Frota!$L26)*Frota!$L26,N(VLOOKUP(Frota!$B26,Premissas!$A$39:$E$43,4,0)))=0,"A","S"),"S")),IF(N(VLOOKUP(Frota!$B26,Premissas!$A$39:$E$43,4,0))&gt;0,IF(MOD(INT(Cron_Uso!R26/Frota!$L26)*Frota!$L26,N(VLOOKUP(Frota!$B26,Premissas!$A$39:$E$43,4,0)))=0,"A","S"),"S")),""))</f>
        <v/>
      </c>
      <c r="S26" s="16" t="str">
        <f aca="false">IF(Cron_Uso!S26="","",IF(INT(Cron_Uso!S26/Frota!$L26)&gt;INT(Cron_Uso!R26/Frota!$L26),IF(N(VLOOKUP(Frota!$B26,Premissas!$A$39:$E$43,5,0))&gt;0,IF(MOD(INT(Cron_Uso!S26/Frota!$L26)*Frota!$L26,N(VLOOKUP(Frota!$B26,Premissas!$A$39:$E$43,5,0)))=0,"B",IF(N(VLOOKUP(Frota!$B26,Premissas!$A$39:$E$43,4,0))&gt;0,IF(MOD(INT(Cron_Uso!S26/Frota!$L26)*Frota!$L26,N(VLOOKUP(Frota!$B26,Premissas!$A$39:$E$43,4,0)))=0,"A","S"),"S")),IF(N(VLOOKUP(Frota!$B26,Premissas!$A$39:$E$43,4,0))&gt;0,IF(MOD(INT(Cron_Uso!S26/Frota!$L26)*Frota!$L26,N(VLOOKUP(Frota!$B26,Premissas!$A$39:$E$43,4,0)))=0,"A","S"),"S")),""))</f>
        <v/>
      </c>
      <c r="T26" s="16" t="str">
        <f aca="false">IF(Cron_Uso!T26="","",IF(INT(Cron_Uso!T26/Frota!$L26)&gt;INT(Cron_Uso!S26/Frota!$L26),IF(N(VLOOKUP(Frota!$B26,Premissas!$A$39:$E$43,5,0))&gt;0,IF(MOD(INT(Cron_Uso!T26/Frota!$L26)*Frota!$L26,N(VLOOKUP(Frota!$B26,Premissas!$A$39:$E$43,5,0)))=0,"B",IF(N(VLOOKUP(Frota!$B26,Premissas!$A$39:$E$43,4,0))&gt;0,IF(MOD(INT(Cron_Uso!T26/Frota!$L26)*Frota!$L26,N(VLOOKUP(Frota!$B26,Premissas!$A$39:$E$43,4,0)))=0,"A","S"),"S")),IF(N(VLOOKUP(Frota!$B26,Premissas!$A$39:$E$43,4,0))&gt;0,IF(MOD(INT(Cron_Uso!T26/Frota!$L26)*Frota!$L26,N(VLOOKUP(Frota!$B26,Premissas!$A$39:$E$43,4,0)))=0,"A","S"),"S")),""))</f>
        <v/>
      </c>
      <c r="U26" s="16" t="str">
        <f aca="false">IF(Cron_Uso!U26="","",IF(INT(Cron_Uso!U26/Frota!$L26)&gt;INT(Cron_Uso!T26/Frota!$L26),IF(N(VLOOKUP(Frota!$B26,Premissas!$A$39:$E$43,5,0))&gt;0,IF(MOD(INT(Cron_Uso!U26/Frota!$L26)*Frota!$L26,N(VLOOKUP(Frota!$B26,Premissas!$A$39:$E$43,5,0)))=0,"B",IF(N(VLOOKUP(Frota!$B26,Premissas!$A$39:$E$43,4,0))&gt;0,IF(MOD(INT(Cron_Uso!U26/Frota!$L26)*Frota!$L26,N(VLOOKUP(Frota!$B26,Premissas!$A$39:$E$43,4,0)))=0,"A","S"),"S")),IF(N(VLOOKUP(Frota!$B26,Premissas!$A$39:$E$43,4,0))&gt;0,IF(MOD(INT(Cron_Uso!U26/Frota!$L26)*Frota!$L26,N(VLOOKUP(Frota!$B26,Premissas!$A$39:$E$43,4,0)))=0,"A","S"),"S")),""))</f>
        <v/>
      </c>
      <c r="V26" s="16" t="str">
        <f aca="false">IF(Cron_Uso!V26="","",IF(INT(Cron_Uso!V26/Frota!$L26)&gt;INT(Cron_Uso!U26/Frota!$L26),IF(N(VLOOKUP(Frota!$B26,Premissas!$A$39:$E$43,5,0))&gt;0,IF(MOD(INT(Cron_Uso!V26/Frota!$L26)*Frota!$L26,N(VLOOKUP(Frota!$B26,Premissas!$A$39:$E$43,5,0)))=0,"B",IF(N(VLOOKUP(Frota!$B26,Premissas!$A$39:$E$43,4,0))&gt;0,IF(MOD(INT(Cron_Uso!V26/Frota!$L26)*Frota!$L26,N(VLOOKUP(Frota!$B26,Premissas!$A$39:$E$43,4,0)))=0,"A","S"),"S")),IF(N(VLOOKUP(Frota!$B26,Premissas!$A$39:$E$43,4,0))&gt;0,IF(MOD(INT(Cron_Uso!V26/Frota!$L26)*Frota!$L26,N(VLOOKUP(Frota!$B26,Premissas!$A$39:$E$43,4,0)))=0,"A","S"),"S")),""))</f>
        <v/>
      </c>
      <c r="W26" s="16" t="str">
        <f aca="false">IF(Cron_Uso!W26="","",IF(INT(Cron_Uso!W26/Frota!$L26)&gt;INT(Cron_Uso!V26/Frota!$L26),IF(N(VLOOKUP(Frota!$B26,Premissas!$A$39:$E$43,5,0))&gt;0,IF(MOD(INT(Cron_Uso!W26/Frota!$L26)*Frota!$L26,N(VLOOKUP(Frota!$B26,Premissas!$A$39:$E$43,5,0)))=0,"B",IF(N(VLOOKUP(Frota!$B26,Premissas!$A$39:$E$43,4,0))&gt;0,IF(MOD(INT(Cron_Uso!W26/Frota!$L26)*Frota!$L26,N(VLOOKUP(Frota!$B26,Premissas!$A$39:$E$43,4,0)))=0,"A","S"),"S")),IF(N(VLOOKUP(Frota!$B26,Premissas!$A$39:$E$43,4,0))&gt;0,IF(MOD(INT(Cron_Uso!W26/Frota!$L26)*Frota!$L26,N(VLOOKUP(Frota!$B26,Premissas!$A$39:$E$43,4,0)))=0,"A","S"),"S")),""))</f>
        <v/>
      </c>
      <c r="X26" s="16" t="str">
        <f aca="false">IF(Cron_Uso!X26="","",IF(INT(Cron_Uso!X26/Frota!$L26)&gt;INT(Cron_Uso!W26/Frota!$L26),IF(N(VLOOKUP(Frota!$B26,Premissas!$A$39:$E$43,5,0))&gt;0,IF(MOD(INT(Cron_Uso!X26/Frota!$L26)*Frota!$L26,N(VLOOKUP(Frota!$B26,Premissas!$A$39:$E$43,5,0)))=0,"B",IF(N(VLOOKUP(Frota!$B26,Premissas!$A$39:$E$43,4,0))&gt;0,IF(MOD(INT(Cron_Uso!X26/Frota!$L26)*Frota!$L26,N(VLOOKUP(Frota!$B26,Premissas!$A$39:$E$43,4,0)))=0,"A","S"),"S")),IF(N(VLOOKUP(Frota!$B26,Premissas!$A$39:$E$43,4,0))&gt;0,IF(MOD(INT(Cron_Uso!X26/Frota!$L26)*Frota!$L26,N(VLOOKUP(Frota!$B26,Premissas!$A$39:$E$43,4,0)))=0,"A","S"),"S")),""))</f>
        <v/>
      </c>
      <c r="Y26" s="16" t="str">
        <f aca="false">IF(Cron_Uso!Y26="","",IF(INT(Cron_Uso!Y26/Frota!$L26)&gt;INT(Cron_Uso!X26/Frota!$L26),IF(N(VLOOKUP(Frota!$B26,Premissas!$A$39:$E$43,5,0))&gt;0,IF(MOD(INT(Cron_Uso!Y26/Frota!$L26)*Frota!$L26,N(VLOOKUP(Frota!$B26,Premissas!$A$39:$E$43,5,0)))=0,"B",IF(N(VLOOKUP(Frota!$B26,Premissas!$A$39:$E$43,4,0))&gt;0,IF(MOD(INT(Cron_Uso!Y26/Frota!$L26)*Frota!$L26,N(VLOOKUP(Frota!$B26,Premissas!$A$39:$E$43,4,0)))=0,"A","S"),"S")),IF(N(VLOOKUP(Frota!$B26,Premissas!$A$39:$E$43,4,0))&gt;0,IF(MOD(INT(Cron_Uso!Y26/Frota!$L26)*Frota!$L26,N(VLOOKUP(Frota!$B26,Premissas!$A$39:$E$43,4,0)))=0,"A","S"),"S")),""))</f>
        <v/>
      </c>
      <c r="Z26" s="16" t="str">
        <f aca="false">IF(Cron_Uso!Z26="","",IF(INT(Cron_Uso!Z26/Frota!$L26)&gt;INT(Cron_Uso!Y26/Frota!$L26),IF(N(VLOOKUP(Frota!$B26,Premissas!$A$39:$E$43,5,0))&gt;0,IF(MOD(INT(Cron_Uso!Z26/Frota!$L26)*Frota!$L26,N(VLOOKUP(Frota!$B26,Premissas!$A$39:$E$43,5,0)))=0,"B",IF(N(VLOOKUP(Frota!$B26,Premissas!$A$39:$E$43,4,0))&gt;0,IF(MOD(INT(Cron_Uso!Z26/Frota!$L26)*Frota!$L26,N(VLOOKUP(Frota!$B26,Premissas!$A$39:$E$43,4,0)))=0,"A","S"),"S")),IF(N(VLOOKUP(Frota!$B26,Premissas!$A$39:$E$43,4,0))&gt;0,IF(MOD(INT(Cron_Uso!Z26/Frota!$L26)*Frota!$L26,N(VLOOKUP(Frota!$B26,Premissas!$A$39:$E$43,4,0)))=0,"A","S"),"S")),""))</f>
        <v/>
      </c>
      <c r="AA26" s="16" t="str">
        <f aca="false">IF(Cron_Uso!AA26="","",IF(INT(Cron_Uso!AA26/Frota!$L26)&gt;INT(Cron_Uso!Z26/Frota!$L26),IF(N(VLOOKUP(Frota!$B26,Premissas!$A$39:$E$43,5,0))&gt;0,IF(MOD(INT(Cron_Uso!AA26/Frota!$L26)*Frota!$L26,N(VLOOKUP(Frota!$B26,Premissas!$A$39:$E$43,5,0)))=0,"B",IF(N(VLOOKUP(Frota!$B26,Premissas!$A$39:$E$43,4,0))&gt;0,IF(MOD(INT(Cron_Uso!AA26/Frota!$L26)*Frota!$L26,N(VLOOKUP(Frota!$B26,Premissas!$A$39:$E$43,4,0)))=0,"A","S"),"S")),IF(N(VLOOKUP(Frota!$B26,Premissas!$A$39:$E$43,4,0))&gt;0,IF(MOD(INT(Cron_Uso!AA26/Frota!$L26)*Frota!$L26,N(VLOOKUP(Frota!$B26,Premissas!$A$39:$E$43,4,0)))=0,"A","S"),"S")),""))</f>
        <v/>
      </c>
      <c r="AB26" s="16" t="str">
        <f aca="false">IF(Cron_Uso!AB26="","",IF(INT(Cron_Uso!AB26/Frota!$L26)&gt;INT(Cron_Uso!AA26/Frota!$L26),IF(N(VLOOKUP(Frota!$B26,Premissas!$A$39:$E$43,5,0))&gt;0,IF(MOD(INT(Cron_Uso!AB26/Frota!$L26)*Frota!$L26,N(VLOOKUP(Frota!$B26,Premissas!$A$39:$E$43,5,0)))=0,"B",IF(N(VLOOKUP(Frota!$B26,Premissas!$A$39:$E$43,4,0))&gt;0,IF(MOD(INT(Cron_Uso!AB26/Frota!$L26)*Frota!$L26,N(VLOOKUP(Frota!$B26,Premissas!$A$39:$E$43,4,0)))=0,"A","S"),"S")),IF(N(VLOOKUP(Frota!$B26,Premissas!$A$39:$E$43,4,0))&gt;0,IF(MOD(INT(Cron_Uso!AB26/Frota!$L26)*Frota!$L26,N(VLOOKUP(Frota!$B26,Premissas!$A$39:$E$43,4,0)))=0,"A","S"),"S")),""))</f>
        <v/>
      </c>
      <c r="AC26" s="16" t="str">
        <f aca="false">IF(Cron_Uso!AC26="","",IF(INT(Cron_Uso!AC26/Frota!$L26)&gt;INT(Cron_Uso!AB26/Frota!$L26),IF(N(VLOOKUP(Frota!$B26,Premissas!$A$39:$E$43,5,0))&gt;0,IF(MOD(INT(Cron_Uso!AC26/Frota!$L26)*Frota!$L26,N(VLOOKUP(Frota!$B26,Premissas!$A$39:$E$43,5,0)))=0,"B",IF(N(VLOOKUP(Frota!$B26,Premissas!$A$39:$E$43,4,0))&gt;0,IF(MOD(INT(Cron_Uso!AC26/Frota!$L26)*Frota!$L26,N(VLOOKUP(Frota!$B26,Premissas!$A$39:$E$43,4,0)))=0,"A","S"),"S")),IF(N(VLOOKUP(Frota!$B26,Premissas!$A$39:$E$43,4,0))&gt;0,IF(MOD(INT(Cron_Uso!AC26/Frota!$L26)*Frota!$L26,N(VLOOKUP(Frota!$B26,Premissas!$A$39:$E$43,4,0)))=0,"A","S"),"S")),""))</f>
        <v/>
      </c>
      <c r="AD26" s="16" t="str">
        <f aca="false">IF(Cron_Uso!AD26="","",IF(INT(Cron_Uso!AD26/Frota!$L26)&gt;INT(Cron_Uso!AC26/Frota!$L26),IF(N(VLOOKUP(Frota!$B26,Premissas!$A$39:$E$43,5,0))&gt;0,IF(MOD(INT(Cron_Uso!AD26/Frota!$L26)*Frota!$L26,N(VLOOKUP(Frota!$B26,Premissas!$A$39:$E$43,5,0)))=0,"B",IF(N(VLOOKUP(Frota!$B26,Premissas!$A$39:$E$43,4,0))&gt;0,IF(MOD(INT(Cron_Uso!AD26/Frota!$L26)*Frota!$L26,N(VLOOKUP(Frota!$B26,Premissas!$A$39:$E$43,4,0)))=0,"A","S"),"S")),IF(N(VLOOKUP(Frota!$B26,Premissas!$A$39:$E$43,4,0))&gt;0,IF(MOD(INT(Cron_Uso!AD26/Frota!$L26)*Frota!$L26,N(VLOOKUP(Frota!$B26,Premissas!$A$39:$E$43,4,0)))=0,"A","S"),"S")),""))</f>
        <v/>
      </c>
      <c r="AE26" s="16" t="str">
        <f aca="false">IF(Cron_Uso!AE26="","",IF(INT(Cron_Uso!AE26/Frota!$L26)&gt;INT(Cron_Uso!AD26/Frota!$L26),IF(N(VLOOKUP(Frota!$B26,Premissas!$A$39:$E$43,5,0))&gt;0,IF(MOD(INT(Cron_Uso!AE26/Frota!$L26)*Frota!$L26,N(VLOOKUP(Frota!$B26,Premissas!$A$39:$E$43,5,0)))=0,"B",IF(N(VLOOKUP(Frota!$B26,Premissas!$A$39:$E$43,4,0))&gt;0,IF(MOD(INT(Cron_Uso!AE26/Frota!$L26)*Frota!$L26,N(VLOOKUP(Frota!$B26,Premissas!$A$39:$E$43,4,0)))=0,"A","S"),"S")),IF(N(VLOOKUP(Frota!$B26,Premissas!$A$39:$E$43,4,0))&gt;0,IF(MOD(INT(Cron_Uso!AE26/Frota!$L26)*Frota!$L26,N(VLOOKUP(Frota!$B26,Premissas!$A$39:$E$43,4,0)))=0,"A","S"),"S")),""))</f>
        <v/>
      </c>
      <c r="AF26" s="16" t="str">
        <f aca="false">IF(Cron_Uso!AF26="","",IF(INT(Cron_Uso!AF26/Frota!$L26)&gt;INT(Cron_Uso!AE26/Frota!$L26),IF(N(VLOOKUP(Frota!$B26,Premissas!$A$39:$E$43,5,0))&gt;0,IF(MOD(INT(Cron_Uso!AF26/Frota!$L26)*Frota!$L26,N(VLOOKUP(Frota!$B26,Premissas!$A$39:$E$43,5,0)))=0,"B",IF(N(VLOOKUP(Frota!$B26,Premissas!$A$39:$E$43,4,0))&gt;0,IF(MOD(INT(Cron_Uso!AF26/Frota!$L26)*Frota!$L26,N(VLOOKUP(Frota!$B26,Premissas!$A$39:$E$43,4,0)))=0,"A","S"),"S")),IF(N(VLOOKUP(Frota!$B26,Premissas!$A$39:$E$43,4,0))&gt;0,IF(MOD(INT(Cron_Uso!AF26/Frota!$L26)*Frota!$L26,N(VLOOKUP(Frota!$B26,Premissas!$A$39:$E$43,4,0)))=0,"A","S"),"S")),""))</f>
        <v/>
      </c>
      <c r="AG26" s="16" t="str">
        <f aca="false">IF(Cron_Uso!AG26="","",IF(INT(Cron_Uso!AG26/Frota!$L26)&gt;INT(Cron_Uso!AF26/Frota!$L26),IF(N(VLOOKUP(Frota!$B26,Premissas!$A$39:$E$43,5,0))&gt;0,IF(MOD(INT(Cron_Uso!AG26/Frota!$L26)*Frota!$L26,N(VLOOKUP(Frota!$B26,Premissas!$A$39:$E$43,5,0)))=0,"B",IF(N(VLOOKUP(Frota!$B26,Premissas!$A$39:$E$43,4,0))&gt;0,IF(MOD(INT(Cron_Uso!AG26/Frota!$L26)*Frota!$L26,N(VLOOKUP(Frota!$B26,Premissas!$A$39:$E$43,4,0)))=0,"A","S"),"S")),IF(N(VLOOKUP(Frota!$B26,Premissas!$A$39:$E$43,4,0))&gt;0,IF(MOD(INT(Cron_Uso!AG26/Frota!$L26)*Frota!$L26,N(VLOOKUP(Frota!$B26,Premissas!$A$39:$E$43,4,0)))=0,"A","S"),"S")),""))</f>
        <v/>
      </c>
      <c r="AH26" s="16" t="str">
        <f aca="false">IF(Cron_Uso!AH26="","",IF(INT(Cron_Uso!AH26/Frota!$L26)&gt;INT(Cron_Uso!AG26/Frota!$L26),IF(N(VLOOKUP(Frota!$B26,Premissas!$A$39:$E$43,5,0))&gt;0,IF(MOD(INT(Cron_Uso!AH26/Frota!$L26)*Frota!$L26,N(VLOOKUP(Frota!$B26,Premissas!$A$39:$E$43,5,0)))=0,"B",IF(N(VLOOKUP(Frota!$B26,Premissas!$A$39:$E$43,4,0))&gt;0,IF(MOD(INT(Cron_Uso!AH26/Frota!$L26)*Frota!$L26,N(VLOOKUP(Frota!$B26,Premissas!$A$39:$E$43,4,0)))=0,"A","S"),"S")),IF(N(VLOOKUP(Frota!$B26,Premissas!$A$39:$E$43,4,0))&gt;0,IF(MOD(INT(Cron_Uso!AH26/Frota!$L26)*Frota!$L26,N(VLOOKUP(Frota!$B26,Premissas!$A$39:$E$43,4,0)))=0,"A","S"),"S")),""))</f>
        <v/>
      </c>
      <c r="AI26" s="16" t="str">
        <f aca="false">IF(Cron_Uso!AI26="","",IF(INT(Cron_Uso!AI26/Frota!$L26)&gt;INT(Cron_Uso!AH26/Frota!$L26),IF(N(VLOOKUP(Frota!$B26,Premissas!$A$39:$E$43,5,0))&gt;0,IF(MOD(INT(Cron_Uso!AI26/Frota!$L26)*Frota!$L26,N(VLOOKUP(Frota!$B26,Premissas!$A$39:$E$43,5,0)))=0,"B",IF(N(VLOOKUP(Frota!$B26,Premissas!$A$39:$E$43,4,0))&gt;0,IF(MOD(INT(Cron_Uso!AI26/Frota!$L26)*Frota!$L26,N(VLOOKUP(Frota!$B26,Premissas!$A$39:$E$43,4,0)))=0,"A","S"),"S")),IF(N(VLOOKUP(Frota!$B26,Premissas!$A$39:$E$43,4,0))&gt;0,IF(MOD(INT(Cron_Uso!AI26/Frota!$L26)*Frota!$L26,N(VLOOKUP(Frota!$B26,Premissas!$A$39:$E$43,4,0)))=0,"A","S"),"S")),""))</f>
        <v/>
      </c>
      <c r="AJ26" s="16" t="str">
        <f aca="false">IF(Cron_Uso!AJ26="","",IF(INT(Cron_Uso!AJ26/Frota!$L26)&gt;INT(Cron_Uso!AI26/Frota!$L26),IF(N(VLOOKUP(Frota!$B26,Premissas!$A$39:$E$43,5,0))&gt;0,IF(MOD(INT(Cron_Uso!AJ26/Frota!$L26)*Frota!$L26,N(VLOOKUP(Frota!$B26,Premissas!$A$39:$E$43,5,0)))=0,"B",IF(N(VLOOKUP(Frota!$B26,Premissas!$A$39:$E$43,4,0))&gt;0,IF(MOD(INT(Cron_Uso!AJ26/Frota!$L26)*Frota!$L26,N(VLOOKUP(Frota!$B26,Premissas!$A$39:$E$43,4,0)))=0,"A","S"),"S")),IF(N(VLOOKUP(Frota!$B26,Premissas!$A$39:$E$43,4,0))&gt;0,IF(MOD(INT(Cron_Uso!AJ26/Frota!$L26)*Frota!$L26,N(VLOOKUP(Frota!$B26,Premissas!$A$39:$E$43,4,0)))=0,"A","S"),"S")),""))</f>
        <v/>
      </c>
      <c r="AK26" s="16" t="str">
        <f aca="false">IF(Cron_Uso!AK26="","",IF(INT(Cron_Uso!AK26/Frota!$L26)&gt;INT(Cron_Uso!AJ26/Frota!$L26),IF(N(VLOOKUP(Frota!$B26,Premissas!$A$39:$E$43,5,0))&gt;0,IF(MOD(INT(Cron_Uso!AK26/Frota!$L26)*Frota!$L26,N(VLOOKUP(Frota!$B26,Premissas!$A$39:$E$43,5,0)))=0,"B",IF(N(VLOOKUP(Frota!$B26,Premissas!$A$39:$E$43,4,0))&gt;0,IF(MOD(INT(Cron_Uso!AK26/Frota!$L26)*Frota!$L26,N(VLOOKUP(Frota!$B26,Premissas!$A$39:$E$43,4,0)))=0,"A","S"),"S")),IF(N(VLOOKUP(Frota!$B26,Premissas!$A$39:$E$43,4,0))&gt;0,IF(MOD(INT(Cron_Uso!AK26/Frota!$L26)*Frota!$L26,N(VLOOKUP(Frota!$B26,Premissas!$A$39:$E$43,4,0)))=0,"A","S"),"S")),""))</f>
        <v/>
      </c>
      <c r="AL26" s="16" t="str">
        <f aca="false">IF(Cron_Uso!AL26="","",IF(INT(Cron_Uso!AL26/Frota!$L26)&gt;INT(Cron_Uso!AK26/Frota!$L26),IF(N(VLOOKUP(Frota!$B26,Premissas!$A$39:$E$43,5,0))&gt;0,IF(MOD(INT(Cron_Uso!AL26/Frota!$L26)*Frota!$L26,N(VLOOKUP(Frota!$B26,Premissas!$A$39:$E$43,5,0)))=0,"B",IF(N(VLOOKUP(Frota!$B26,Premissas!$A$39:$E$43,4,0))&gt;0,IF(MOD(INT(Cron_Uso!AL26/Frota!$L26)*Frota!$L26,N(VLOOKUP(Frota!$B26,Premissas!$A$39:$E$43,4,0)))=0,"A","S"),"S")),IF(N(VLOOKUP(Frota!$B26,Premissas!$A$39:$E$43,4,0))&gt;0,IF(MOD(INT(Cron_Uso!AL26/Frota!$L26)*Frota!$L26,N(VLOOKUP(Frota!$B26,Premissas!$A$39:$E$43,4,0)))=0,"A","S"),"S")),""))</f>
        <v/>
      </c>
      <c r="AM26" s="16" t="str">
        <f aca="false">IF(Cron_Uso!AM26="","",IF(INT(Cron_Uso!AM26/Frota!$L26)&gt;INT(Cron_Uso!AL26/Frota!$L26),IF(N(VLOOKUP(Frota!$B26,Premissas!$A$39:$E$43,5,0))&gt;0,IF(MOD(INT(Cron_Uso!AM26/Frota!$L26)*Frota!$L26,N(VLOOKUP(Frota!$B26,Premissas!$A$39:$E$43,5,0)))=0,"B",IF(N(VLOOKUP(Frota!$B26,Premissas!$A$39:$E$43,4,0))&gt;0,IF(MOD(INT(Cron_Uso!AM26/Frota!$L26)*Frota!$L26,N(VLOOKUP(Frota!$B26,Premissas!$A$39:$E$43,4,0)))=0,"A","S"),"S")),IF(N(VLOOKUP(Frota!$B26,Premissas!$A$39:$E$43,4,0))&gt;0,IF(MOD(INT(Cron_Uso!AM26/Frota!$L26)*Frota!$L26,N(VLOOKUP(Frota!$B26,Premissas!$A$39:$E$43,4,0)))=0,"A","S"),"S")),""))</f>
        <v/>
      </c>
      <c r="AN26" s="16" t="str">
        <f aca="false">IF(Cron_Uso!AN26="","",IF(INT(Cron_Uso!AN26/Frota!$L26)&gt;INT(Cron_Uso!AM26/Frota!$L26),IF(N(VLOOKUP(Frota!$B26,Premissas!$A$39:$E$43,5,0))&gt;0,IF(MOD(INT(Cron_Uso!AN26/Frota!$L26)*Frota!$L26,N(VLOOKUP(Frota!$B26,Premissas!$A$39:$E$43,5,0)))=0,"B",IF(N(VLOOKUP(Frota!$B26,Premissas!$A$39:$E$43,4,0))&gt;0,IF(MOD(INT(Cron_Uso!AN26/Frota!$L26)*Frota!$L26,N(VLOOKUP(Frota!$B26,Premissas!$A$39:$E$43,4,0)))=0,"A","S"),"S")),IF(N(VLOOKUP(Frota!$B26,Premissas!$A$39:$E$43,4,0))&gt;0,IF(MOD(INT(Cron_Uso!AN26/Frota!$L26)*Frota!$L26,N(VLOOKUP(Frota!$B26,Premissas!$A$39:$E$43,4,0)))=0,"A","S"),"S")),""))</f>
        <v/>
      </c>
      <c r="AO26" s="16" t="str">
        <f aca="false">IF(Cron_Uso!AO26="","",IF(INT(Cron_Uso!AO26/Frota!$L26)&gt;INT(Cron_Uso!AN26/Frota!$L26),IF(N(VLOOKUP(Frota!$B26,Premissas!$A$39:$E$43,5,0))&gt;0,IF(MOD(INT(Cron_Uso!AO26/Frota!$L26)*Frota!$L26,N(VLOOKUP(Frota!$B26,Premissas!$A$39:$E$43,5,0)))=0,"B",IF(N(VLOOKUP(Frota!$B26,Premissas!$A$39:$E$43,4,0))&gt;0,IF(MOD(INT(Cron_Uso!AO26/Frota!$L26)*Frota!$L26,N(VLOOKUP(Frota!$B26,Premissas!$A$39:$E$43,4,0)))=0,"A","S"),"S")),IF(N(VLOOKUP(Frota!$B26,Premissas!$A$39:$E$43,4,0))&gt;0,IF(MOD(INT(Cron_Uso!AO26/Frota!$L26)*Frota!$L26,N(VLOOKUP(Frota!$B26,Premissas!$A$39:$E$43,4,0)))=0,"A","S"),"S")),""))</f>
        <v/>
      </c>
      <c r="AP26" s="16" t="str">
        <f aca="false">IF(Cron_Uso!AP26="","",IF(INT(Cron_Uso!AP26/Frota!$L26)&gt;INT(Cron_Uso!AO26/Frota!$L26),IF(N(VLOOKUP(Frota!$B26,Premissas!$A$39:$E$43,5,0))&gt;0,IF(MOD(INT(Cron_Uso!AP26/Frota!$L26)*Frota!$L26,N(VLOOKUP(Frota!$B26,Premissas!$A$39:$E$43,5,0)))=0,"B",IF(N(VLOOKUP(Frota!$B26,Premissas!$A$39:$E$43,4,0))&gt;0,IF(MOD(INT(Cron_Uso!AP26/Frota!$L26)*Frota!$L26,N(VLOOKUP(Frota!$B26,Premissas!$A$39:$E$43,4,0)))=0,"A","S"),"S")),IF(N(VLOOKUP(Frota!$B26,Premissas!$A$39:$E$43,4,0))&gt;0,IF(MOD(INT(Cron_Uso!AP26/Frota!$L26)*Frota!$L26,N(VLOOKUP(Frota!$B26,Premissas!$A$39:$E$43,4,0)))=0,"A","S"),"S")),""))</f>
        <v/>
      </c>
      <c r="AQ26" s="16" t="str">
        <f aca="false">IF(Cron_Uso!AQ26="","",IF(INT(Cron_Uso!AQ26/Frota!$L26)&gt;INT(Cron_Uso!AP26/Frota!$L26),IF(N(VLOOKUP(Frota!$B26,Premissas!$A$39:$E$43,5,0))&gt;0,IF(MOD(INT(Cron_Uso!AQ26/Frota!$L26)*Frota!$L26,N(VLOOKUP(Frota!$B26,Premissas!$A$39:$E$43,5,0)))=0,"B",IF(N(VLOOKUP(Frota!$B26,Premissas!$A$39:$E$43,4,0))&gt;0,IF(MOD(INT(Cron_Uso!AQ26/Frota!$L26)*Frota!$L26,N(VLOOKUP(Frota!$B26,Premissas!$A$39:$E$43,4,0)))=0,"A","S"),"S")),IF(N(VLOOKUP(Frota!$B26,Premissas!$A$39:$E$43,4,0))&gt;0,IF(MOD(INT(Cron_Uso!AQ26/Frota!$L26)*Frota!$L26,N(VLOOKUP(Frota!$B26,Premissas!$A$39:$E$43,4,0)))=0,"A","S"),"S")),""))</f>
        <v/>
      </c>
      <c r="AR26" s="16" t="str">
        <f aca="false">IF(Cron_Uso!AR26="","",IF(INT(Cron_Uso!AR26/Frota!$L26)&gt;INT(Cron_Uso!AQ26/Frota!$L26),IF(N(VLOOKUP(Frota!$B26,Premissas!$A$39:$E$43,5,0))&gt;0,IF(MOD(INT(Cron_Uso!AR26/Frota!$L26)*Frota!$L26,N(VLOOKUP(Frota!$B26,Premissas!$A$39:$E$43,5,0)))=0,"B",IF(N(VLOOKUP(Frota!$B26,Premissas!$A$39:$E$43,4,0))&gt;0,IF(MOD(INT(Cron_Uso!AR26/Frota!$L26)*Frota!$L26,N(VLOOKUP(Frota!$B26,Premissas!$A$39:$E$43,4,0)))=0,"A","S"),"S")),IF(N(VLOOKUP(Frota!$B26,Premissas!$A$39:$E$43,4,0))&gt;0,IF(MOD(INT(Cron_Uso!AR26/Frota!$L26)*Frota!$L26,N(VLOOKUP(Frota!$B26,Premissas!$A$39:$E$43,4,0)))=0,"A","S"),"S")),""))</f>
        <v/>
      </c>
      <c r="AS26" s="16" t="str">
        <f aca="false">IF(Cron_Uso!AS26="","",IF(INT(Cron_Uso!AS26/Frota!$L26)&gt;INT(Cron_Uso!AR26/Frota!$L26),IF(N(VLOOKUP(Frota!$B26,Premissas!$A$39:$E$43,5,0))&gt;0,IF(MOD(INT(Cron_Uso!AS26/Frota!$L26)*Frota!$L26,N(VLOOKUP(Frota!$B26,Premissas!$A$39:$E$43,5,0)))=0,"B",IF(N(VLOOKUP(Frota!$B26,Premissas!$A$39:$E$43,4,0))&gt;0,IF(MOD(INT(Cron_Uso!AS26/Frota!$L26)*Frota!$L26,N(VLOOKUP(Frota!$B26,Premissas!$A$39:$E$43,4,0)))=0,"A","S"),"S")),IF(N(VLOOKUP(Frota!$B26,Premissas!$A$39:$E$43,4,0))&gt;0,IF(MOD(INT(Cron_Uso!AS26/Frota!$L26)*Frota!$L26,N(VLOOKUP(Frota!$B26,Premissas!$A$39:$E$43,4,0)))=0,"A","S"),"S")),""))</f>
        <v/>
      </c>
      <c r="AT26" s="16" t="str">
        <f aca="false">IF(Cron_Uso!AT26="","",IF(INT(Cron_Uso!AT26/Frota!$L26)&gt;INT(Cron_Uso!AS26/Frota!$L26),IF(N(VLOOKUP(Frota!$B26,Premissas!$A$39:$E$43,5,0))&gt;0,IF(MOD(INT(Cron_Uso!AT26/Frota!$L26)*Frota!$L26,N(VLOOKUP(Frota!$B26,Premissas!$A$39:$E$43,5,0)))=0,"B",IF(N(VLOOKUP(Frota!$B26,Premissas!$A$39:$E$43,4,0))&gt;0,IF(MOD(INT(Cron_Uso!AT26/Frota!$L26)*Frota!$L26,N(VLOOKUP(Frota!$B26,Premissas!$A$39:$E$43,4,0)))=0,"A","S"),"S")),IF(N(VLOOKUP(Frota!$B26,Premissas!$A$39:$E$43,4,0))&gt;0,IF(MOD(INT(Cron_Uso!AT26/Frota!$L26)*Frota!$L26,N(VLOOKUP(Frota!$B26,Premissas!$A$39:$E$43,4,0)))=0,"A","S"),"S")),""))</f>
        <v/>
      </c>
      <c r="AU26" s="16" t="str">
        <f aca="false">IF(Cron_Uso!AU26="","",IF(INT(Cron_Uso!AU26/Frota!$L26)&gt;INT(Cron_Uso!AT26/Frota!$L26),IF(N(VLOOKUP(Frota!$B26,Premissas!$A$39:$E$43,5,0))&gt;0,IF(MOD(INT(Cron_Uso!AU26/Frota!$L26)*Frota!$L26,N(VLOOKUP(Frota!$B26,Premissas!$A$39:$E$43,5,0)))=0,"B",IF(N(VLOOKUP(Frota!$B26,Premissas!$A$39:$E$43,4,0))&gt;0,IF(MOD(INT(Cron_Uso!AU26/Frota!$L26)*Frota!$L26,N(VLOOKUP(Frota!$B26,Premissas!$A$39:$E$43,4,0)))=0,"A","S"),"S")),IF(N(VLOOKUP(Frota!$B26,Premissas!$A$39:$E$43,4,0))&gt;0,IF(MOD(INT(Cron_Uso!AU26/Frota!$L26)*Frota!$L26,N(VLOOKUP(Frota!$B26,Premissas!$A$39:$E$43,4,0)))=0,"A","S"),"S")),""))</f>
        <v/>
      </c>
      <c r="AV26" s="16" t="str">
        <f aca="false">IF(Cron_Uso!AV26="","",IF(INT(Cron_Uso!AV26/Frota!$L26)&gt;INT(Cron_Uso!AU26/Frota!$L26),IF(N(VLOOKUP(Frota!$B26,Premissas!$A$39:$E$43,5,0))&gt;0,IF(MOD(INT(Cron_Uso!AV26/Frota!$L26)*Frota!$L26,N(VLOOKUP(Frota!$B26,Premissas!$A$39:$E$43,5,0)))=0,"B",IF(N(VLOOKUP(Frota!$B26,Premissas!$A$39:$E$43,4,0))&gt;0,IF(MOD(INT(Cron_Uso!AV26/Frota!$L26)*Frota!$L26,N(VLOOKUP(Frota!$B26,Premissas!$A$39:$E$43,4,0)))=0,"A","S"),"S")),IF(N(VLOOKUP(Frota!$B26,Premissas!$A$39:$E$43,4,0))&gt;0,IF(MOD(INT(Cron_Uso!AV26/Frota!$L26)*Frota!$L26,N(VLOOKUP(Frota!$B26,Premissas!$A$39:$E$43,4,0)))=0,"A","S"),"S")),""))</f>
        <v/>
      </c>
      <c r="AW26" s="16" t="str">
        <f aca="false">IF(Cron_Uso!AW26="","",IF(INT(Cron_Uso!AW26/Frota!$L26)&gt;INT(Cron_Uso!AV26/Frota!$L26),IF(N(VLOOKUP(Frota!$B26,Premissas!$A$39:$E$43,5,0))&gt;0,IF(MOD(INT(Cron_Uso!AW26/Frota!$L26)*Frota!$L26,N(VLOOKUP(Frota!$B26,Premissas!$A$39:$E$43,5,0)))=0,"B",IF(N(VLOOKUP(Frota!$B26,Premissas!$A$39:$E$43,4,0))&gt;0,IF(MOD(INT(Cron_Uso!AW26/Frota!$L26)*Frota!$L26,N(VLOOKUP(Frota!$B26,Premissas!$A$39:$E$43,4,0)))=0,"A","S"),"S")),IF(N(VLOOKUP(Frota!$B26,Premissas!$A$39:$E$43,4,0))&gt;0,IF(MOD(INT(Cron_Uso!AW26/Frota!$L26)*Frota!$L26,N(VLOOKUP(Frota!$B26,Premissas!$A$39:$E$43,4,0)))=0,"A","S"),"S")),""))</f>
        <v/>
      </c>
      <c r="AX26" s="16" t="str">
        <f aca="false">IF(Cron_Uso!AX26="","",IF(INT(Cron_Uso!AX26/Frota!$L26)&gt;INT(Cron_Uso!AW26/Frota!$L26),IF(N(VLOOKUP(Frota!$B26,Premissas!$A$39:$E$43,5,0))&gt;0,IF(MOD(INT(Cron_Uso!AX26/Frota!$L26)*Frota!$L26,N(VLOOKUP(Frota!$B26,Premissas!$A$39:$E$43,5,0)))=0,"B",IF(N(VLOOKUP(Frota!$B26,Premissas!$A$39:$E$43,4,0))&gt;0,IF(MOD(INT(Cron_Uso!AX26/Frota!$L26)*Frota!$L26,N(VLOOKUP(Frota!$B26,Premissas!$A$39:$E$43,4,0)))=0,"A","S"),"S")),IF(N(VLOOKUP(Frota!$B26,Premissas!$A$39:$E$43,4,0))&gt;0,IF(MOD(INT(Cron_Uso!AX26/Frota!$L26)*Frota!$L26,N(VLOOKUP(Frota!$B26,Premissas!$A$39:$E$43,4,0)))=0,"A","S"),"S")),""))</f>
        <v/>
      </c>
      <c r="AY26" s="16" t="str">
        <f aca="false">IF(Cron_Uso!AY26="","",IF(INT(Cron_Uso!AY26/Frota!$L26)&gt;INT(Cron_Uso!AX26/Frota!$L26),IF(N(VLOOKUP(Frota!$B26,Premissas!$A$39:$E$43,5,0))&gt;0,IF(MOD(INT(Cron_Uso!AY26/Frota!$L26)*Frota!$L26,N(VLOOKUP(Frota!$B26,Premissas!$A$39:$E$43,5,0)))=0,"B",IF(N(VLOOKUP(Frota!$B26,Premissas!$A$39:$E$43,4,0))&gt;0,IF(MOD(INT(Cron_Uso!AY26/Frota!$L26)*Frota!$L26,N(VLOOKUP(Frota!$B26,Premissas!$A$39:$E$43,4,0)))=0,"A","S"),"S")),IF(N(VLOOKUP(Frota!$B26,Premissas!$A$39:$E$43,4,0))&gt;0,IF(MOD(INT(Cron_Uso!AY26/Frota!$L26)*Frota!$L26,N(VLOOKUP(Frota!$B26,Premissas!$A$39:$E$43,4,0)))=0,"A","S"),"S")),""))</f>
        <v/>
      </c>
      <c r="AZ26" s="16" t="str">
        <f aca="false">IF(Cron_Uso!AZ26="","",IF(INT(Cron_Uso!AZ26/Frota!$L26)&gt;INT(Cron_Uso!AY26/Frota!$L26),IF(N(VLOOKUP(Frota!$B26,Premissas!$A$39:$E$43,5,0))&gt;0,IF(MOD(INT(Cron_Uso!AZ26/Frota!$L26)*Frota!$L26,N(VLOOKUP(Frota!$B26,Premissas!$A$39:$E$43,5,0)))=0,"B",IF(N(VLOOKUP(Frota!$B26,Premissas!$A$39:$E$43,4,0))&gt;0,IF(MOD(INT(Cron_Uso!AZ26/Frota!$L26)*Frota!$L26,N(VLOOKUP(Frota!$B26,Premissas!$A$39:$E$43,4,0)))=0,"A","S"),"S")),IF(N(VLOOKUP(Frota!$B26,Premissas!$A$39:$E$43,4,0))&gt;0,IF(MOD(INT(Cron_Uso!AZ26/Frota!$L26)*Frota!$L26,N(VLOOKUP(Frota!$B26,Premissas!$A$39:$E$43,4,0)))=0,"A","S"),"S")),""))</f>
        <v/>
      </c>
      <c r="BA26" s="16" t="str">
        <f aca="false">IF(Cron_Uso!BA26="","",IF(INT(Cron_Uso!BA26/Frota!$L26)&gt;INT(Cron_Uso!AZ26/Frota!$L26),IF(N(VLOOKUP(Frota!$B26,Premissas!$A$39:$E$43,5,0))&gt;0,IF(MOD(INT(Cron_Uso!BA26/Frota!$L26)*Frota!$L26,N(VLOOKUP(Frota!$B26,Premissas!$A$39:$E$43,5,0)))=0,"B",IF(N(VLOOKUP(Frota!$B26,Premissas!$A$39:$E$43,4,0))&gt;0,IF(MOD(INT(Cron_Uso!BA26/Frota!$L26)*Frota!$L26,N(VLOOKUP(Frota!$B26,Premissas!$A$39:$E$43,4,0)))=0,"A","S"),"S")),IF(N(VLOOKUP(Frota!$B26,Premissas!$A$39:$E$43,4,0))&gt;0,IF(MOD(INT(Cron_Uso!BA26/Frota!$L26)*Frota!$L26,N(VLOOKUP(Frota!$B26,Premissas!$A$39:$E$43,4,0)))=0,"A","S"),"S")),""))</f>
        <v/>
      </c>
    </row>
    <row r="27" customFormat="false" ht="15" hidden="false" customHeight="false" outlineLevel="0" collapsed="false">
      <c r="A27" s="6" t="str">
        <f aca="false">IF(Frota!$A27="","",Frota!$A27)</f>
        <v/>
      </c>
      <c r="B27" s="16" t="str">
        <f aca="false">IF(Cron_Uso!B27="","",IF(INT(Cron_Uso!B27/Frota!$L27)&gt;INT(Frota!$I27/Frota!$L27),IF(N(VLOOKUP(Frota!$B27,Premissas!$A$39:$E$43,5,0))&gt;0,IF(MOD(INT(Cron_Uso!B27/Frota!$L27)*Frota!$L27,N(VLOOKUP(Frota!$B27,Premissas!$A$39:$E$43,5,0)))=0,"B",IF(N(VLOOKUP(Frota!$B27,Premissas!$A$39:$E$43,4,0))&gt;0,IF(MOD(INT(Cron_Uso!B27/Frota!$L27)*Frota!$L27,N(VLOOKUP(Frota!$B27,Premissas!$A$39:$E$43,4,0)))=0,"A","S"),"S")),IF(N(VLOOKUP(Frota!$B27,Premissas!$A$39:$E$43,4,0))&gt;0,IF(MOD(INT(Cron_Uso!B27/Frota!$L27)*Frota!$L27,N(VLOOKUP(Frota!$B27,Premissas!$A$39:$E$43,4,0)))=0,"A","S"),"S")),""))</f>
        <v/>
      </c>
      <c r="C27" s="16" t="str">
        <f aca="false">IF(Cron_Uso!C27="","",IF(INT(Cron_Uso!C27/Frota!$L27)&gt;INT(Cron_Uso!B27/Frota!$L27),IF(N(VLOOKUP(Frota!$B27,Premissas!$A$39:$E$43,5,0))&gt;0,IF(MOD(INT(Cron_Uso!C27/Frota!$L27)*Frota!$L27,N(VLOOKUP(Frota!$B27,Premissas!$A$39:$E$43,5,0)))=0,"B",IF(N(VLOOKUP(Frota!$B27,Premissas!$A$39:$E$43,4,0))&gt;0,IF(MOD(INT(Cron_Uso!C27/Frota!$L27)*Frota!$L27,N(VLOOKUP(Frota!$B27,Premissas!$A$39:$E$43,4,0)))=0,"A","S"),"S")),IF(N(VLOOKUP(Frota!$B27,Premissas!$A$39:$E$43,4,0))&gt;0,IF(MOD(INT(Cron_Uso!C27/Frota!$L27)*Frota!$L27,N(VLOOKUP(Frota!$B27,Premissas!$A$39:$E$43,4,0)))=0,"A","S"),"S")),""))</f>
        <v/>
      </c>
      <c r="D27" s="16" t="str">
        <f aca="false">IF(Cron_Uso!D27="","",IF(INT(Cron_Uso!D27/Frota!$L27)&gt;INT(Cron_Uso!C27/Frota!$L27),IF(N(VLOOKUP(Frota!$B27,Premissas!$A$39:$E$43,5,0))&gt;0,IF(MOD(INT(Cron_Uso!D27/Frota!$L27)*Frota!$L27,N(VLOOKUP(Frota!$B27,Premissas!$A$39:$E$43,5,0)))=0,"B",IF(N(VLOOKUP(Frota!$B27,Premissas!$A$39:$E$43,4,0))&gt;0,IF(MOD(INT(Cron_Uso!D27/Frota!$L27)*Frota!$L27,N(VLOOKUP(Frota!$B27,Premissas!$A$39:$E$43,4,0)))=0,"A","S"),"S")),IF(N(VLOOKUP(Frota!$B27,Premissas!$A$39:$E$43,4,0))&gt;0,IF(MOD(INT(Cron_Uso!D27/Frota!$L27)*Frota!$L27,N(VLOOKUP(Frota!$B27,Premissas!$A$39:$E$43,4,0)))=0,"A","S"),"S")),""))</f>
        <v/>
      </c>
      <c r="E27" s="16" t="str">
        <f aca="false">IF(Cron_Uso!E27="","",IF(INT(Cron_Uso!E27/Frota!$L27)&gt;INT(Cron_Uso!D27/Frota!$L27),IF(N(VLOOKUP(Frota!$B27,Premissas!$A$39:$E$43,5,0))&gt;0,IF(MOD(INT(Cron_Uso!E27/Frota!$L27)*Frota!$L27,N(VLOOKUP(Frota!$B27,Premissas!$A$39:$E$43,5,0)))=0,"B",IF(N(VLOOKUP(Frota!$B27,Premissas!$A$39:$E$43,4,0))&gt;0,IF(MOD(INT(Cron_Uso!E27/Frota!$L27)*Frota!$L27,N(VLOOKUP(Frota!$B27,Premissas!$A$39:$E$43,4,0)))=0,"A","S"),"S")),IF(N(VLOOKUP(Frota!$B27,Premissas!$A$39:$E$43,4,0))&gt;0,IF(MOD(INT(Cron_Uso!E27/Frota!$L27)*Frota!$L27,N(VLOOKUP(Frota!$B27,Premissas!$A$39:$E$43,4,0)))=0,"A","S"),"S")),""))</f>
        <v/>
      </c>
      <c r="F27" s="16" t="str">
        <f aca="false">IF(Cron_Uso!F27="","",IF(INT(Cron_Uso!F27/Frota!$L27)&gt;INT(Cron_Uso!E27/Frota!$L27),IF(N(VLOOKUP(Frota!$B27,Premissas!$A$39:$E$43,5,0))&gt;0,IF(MOD(INT(Cron_Uso!F27/Frota!$L27)*Frota!$L27,N(VLOOKUP(Frota!$B27,Premissas!$A$39:$E$43,5,0)))=0,"B",IF(N(VLOOKUP(Frota!$B27,Premissas!$A$39:$E$43,4,0))&gt;0,IF(MOD(INT(Cron_Uso!F27/Frota!$L27)*Frota!$L27,N(VLOOKUP(Frota!$B27,Premissas!$A$39:$E$43,4,0)))=0,"A","S"),"S")),IF(N(VLOOKUP(Frota!$B27,Premissas!$A$39:$E$43,4,0))&gt;0,IF(MOD(INT(Cron_Uso!F27/Frota!$L27)*Frota!$L27,N(VLOOKUP(Frota!$B27,Premissas!$A$39:$E$43,4,0)))=0,"A","S"),"S")),""))</f>
        <v/>
      </c>
      <c r="G27" s="16" t="str">
        <f aca="false">IF(Cron_Uso!G27="","",IF(INT(Cron_Uso!G27/Frota!$L27)&gt;INT(Cron_Uso!F27/Frota!$L27),IF(N(VLOOKUP(Frota!$B27,Premissas!$A$39:$E$43,5,0))&gt;0,IF(MOD(INT(Cron_Uso!G27/Frota!$L27)*Frota!$L27,N(VLOOKUP(Frota!$B27,Premissas!$A$39:$E$43,5,0)))=0,"B",IF(N(VLOOKUP(Frota!$B27,Premissas!$A$39:$E$43,4,0))&gt;0,IF(MOD(INT(Cron_Uso!G27/Frota!$L27)*Frota!$L27,N(VLOOKUP(Frota!$B27,Premissas!$A$39:$E$43,4,0)))=0,"A","S"),"S")),IF(N(VLOOKUP(Frota!$B27,Premissas!$A$39:$E$43,4,0))&gt;0,IF(MOD(INT(Cron_Uso!G27/Frota!$L27)*Frota!$L27,N(VLOOKUP(Frota!$B27,Premissas!$A$39:$E$43,4,0)))=0,"A","S"),"S")),""))</f>
        <v/>
      </c>
      <c r="H27" s="16" t="str">
        <f aca="false">IF(Cron_Uso!H27="","",IF(INT(Cron_Uso!H27/Frota!$L27)&gt;INT(Cron_Uso!G27/Frota!$L27),IF(N(VLOOKUP(Frota!$B27,Premissas!$A$39:$E$43,5,0))&gt;0,IF(MOD(INT(Cron_Uso!H27/Frota!$L27)*Frota!$L27,N(VLOOKUP(Frota!$B27,Premissas!$A$39:$E$43,5,0)))=0,"B",IF(N(VLOOKUP(Frota!$B27,Premissas!$A$39:$E$43,4,0))&gt;0,IF(MOD(INT(Cron_Uso!H27/Frota!$L27)*Frota!$L27,N(VLOOKUP(Frota!$B27,Premissas!$A$39:$E$43,4,0)))=0,"A","S"),"S")),IF(N(VLOOKUP(Frota!$B27,Premissas!$A$39:$E$43,4,0))&gt;0,IF(MOD(INT(Cron_Uso!H27/Frota!$L27)*Frota!$L27,N(VLOOKUP(Frota!$B27,Premissas!$A$39:$E$43,4,0)))=0,"A","S"),"S")),""))</f>
        <v/>
      </c>
      <c r="I27" s="16" t="str">
        <f aca="false">IF(Cron_Uso!I27="","",IF(INT(Cron_Uso!I27/Frota!$L27)&gt;INT(Cron_Uso!H27/Frota!$L27),IF(N(VLOOKUP(Frota!$B27,Premissas!$A$39:$E$43,5,0))&gt;0,IF(MOD(INT(Cron_Uso!I27/Frota!$L27)*Frota!$L27,N(VLOOKUP(Frota!$B27,Premissas!$A$39:$E$43,5,0)))=0,"B",IF(N(VLOOKUP(Frota!$B27,Premissas!$A$39:$E$43,4,0))&gt;0,IF(MOD(INT(Cron_Uso!I27/Frota!$L27)*Frota!$L27,N(VLOOKUP(Frota!$B27,Premissas!$A$39:$E$43,4,0)))=0,"A","S"),"S")),IF(N(VLOOKUP(Frota!$B27,Premissas!$A$39:$E$43,4,0))&gt;0,IF(MOD(INT(Cron_Uso!I27/Frota!$L27)*Frota!$L27,N(VLOOKUP(Frota!$B27,Premissas!$A$39:$E$43,4,0)))=0,"A","S"),"S")),""))</f>
        <v/>
      </c>
      <c r="J27" s="16" t="str">
        <f aca="false">IF(Cron_Uso!J27="","",IF(INT(Cron_Uso!J27/Frota!$L27)&gt;INT(Cron_Uso!I27/Frota!$L27),IF(N(VLOOKUP(Frota!$B27,Premissas!$A$39:$E$43,5,0))&gt;0,IF(MOD(INT(Cron_Uso!J27/Frota!$L27)*Frota!$L27,N(VLOOKUP(Frota!$B27,Premissas!$A$39:$E$43,5,0)))=0,"B",IF(N(VLOOKUP(Frota!$B27,Premissas!$A$39:$E$43,4,0))&gt;0,IF(MOD(INT(Cron_Uso!J27/Frota!$L27)*Frota!$L27,N(VLOOKUP(Frota!$B27,Premissas!$A$39:$E$43,4,0)))=0,"A","S"),"S")),IF(N(VLOOKUP(Frota!$B27,Premissas!$A$39:$E$43,4,0))&gt;0,IF(MOD(INT(Cron_Uso!J27/Frota!$L27)*Frota!$L27,N(VLOOKUP(Frota!$B27,Premissas!$A$39:$E$43,4,0)))=0,"A","S"),"S")),""))</f>
        <v/>
      </c>
      <c r="K27" s="16" t="str">
        <f aca="false">IF(Cron_Uso!K27="","",IF(INT(Cron_Uso!K27/Frota!$L27)&gt;INT(Cron_Uso!J27/Frota!$L27),IF(N(VLOOKUP(Frota!$B27,Premissas!$A$39:$E$43,5,0))&gt;0,IF(MOD(INT(Cron_Uso!K27/Frota!$L27)*Frota!$L27,N(VLOOKUP(Frota!$B27,Premissas!$A$39:$E$43,5,0)))=0,"B",IF(N(VLOOKUP(Frota!$B27,Premissas!$A$39:$E$43,4,0))&gt;0,IF(MOD(INT(Cron_Uso!K27/Frota!$L27)*Frota!$L27,N(VLOOKUP(Frota!$B27,Premissas!$A$39:$E$43,4,0)))=0,"A","S"),"S")),IF(N(VLOOKUP(Frota!$B27,Premissas!$A$39:$E$43,4,0))&gt;0,IF(MOD(INT(Cron_Uso!K27/Frota!$L27)*Frota!$L27,N(VLOOKUP(Frota!$B27,Premissas!$A$39:$E$43,4,0)))=0,"A","S"),"S")),""))</f>
        <v/>
      </c>
      <c r="L27" s="16" t="str">
        <f aca="false">IF(Cron_Uso!L27="","",IF(INT(Cron_Uso!L27/Frota!$L27)&gt;INT(Cron_Uso!K27/Frota!$L27),IF(N(VLOOKUP(Frota!$B27,Premissas!$A$39:$E$43,5,0))&gt;0,IF(MOD(INT(Cron_Uso!L27/Frota!$L27)*Frota!$L27,N(VLOOKUP(Frota!$B27,Premissas!$A$39:$E$43,5,0)))=0,"B",IF(N(VLOOKUP(Frota!$B27,Premissas!$A$39:$E$43,4,0))&gt;0,IF(MOD(INT(Cron_Uso!L27/Frota!$L27)*Frota!$L27,N(VLOOKUP(Frota!$B27,Premissas!$A$39:$E$43,4,0)))=0,"A","S"),"S")),IF(N(VLOOKUP(Frota!$B27,Premissas!$A$39:$E$43,4,0))&gt;0,IF(MOD(INT(Cron_Uso!L27/Frota!$L27)*Frota!$L27,N(VLOOKUP(Frota!$B27,Premissas!$A$39:$E$43,4,0)))=0,"A","S"),"S")),""))</f>
        <v/>
      </c>
      <c r="M27" s="16" t="str">
        <f aca="false">IF(Cron_Uso!M27="","",IF(INT(Cron_Uso!M27/Frota!$L27)&gt;INT(Cron_Uso!L27/Frota!$L27),IF(N(VLOOKUP(Frota!$B27,Premissas!$A$39:$E$43,5,0))&gt;0,IF(MOD(INT(Cron_Uso!M27/Frota!$L27)*Frota!$L27,N(VLOOKUP(Frota!$B27,Premissas!$A$39:$E$43,5,0)))=0,"B",IF(N(VLOOKUP(Frota!$B27,Premissas!$A$39:$E$43,4,0))&gt;0,IF(MOD(INT(Cron_Uso!M27/Frota!$L27)*Frota!$L27,N(VLOOKUP(Frota!$B27,Premissas!$A$39:$E$43,4,0)))=0,"A","S"),"S")),IF(N(VLOOKUP(Frota!$B27,Premissas!$A$39:$E$43,4,0))&gt;0,IF(MOD(INT(Cron_Uso!M27/Frota!$L27)*Frota!$L27,N(VLOOKUP(Frota!$B27,Premissas!$A$39:$E$43,4,0)))=0,"A","S"),"S")),""))</f>
        <v/>
      </c>
      <c r="N27" s="16" t="str">
        <f aca="false">IF(Cron_Uso!N27="","",IF(INT(Cron_Uso!N27/Frota!$L27)&gt;INT(Cron_Uso!M27/Frota!$L27),IF(N(VLOOKUP(Frota!$B27,Premissas!$A$39:$E$43,5,0))&gt;0,IF(MOD(INT(Cron_Uso!N27/Frota!$L27)*Frota!$L27,N(VLOOKUP(Frota!$B27,Premissas!$A$39:$E$43,5,0)))=0,"B",IF(N(VLOOKUP(Frota!$B27,Premissas!$A$39:$E$43,4,0))&gt;0,IF(MOD(INT(Cron_Uso!N27/Frota!$L27)*Frota!$L27,N(VLOOKUP(Frota!$B27,Premissas!$A$39:$E$43,4,0)))=0,"A","S"),"S")),IF(N(VLOOKUP(Frota!$B27,Premissas!$A$39:$E$43,4,0))&gt;0,IF(MOD(INT(Cron_Uso!N27/Frota!$L27)*Frota!$L27,N(VLOOKUP(Frota!$B27,Premissas!$A$39:$E$43,4,0)))=0,"A","S"),"S")),""))</f>
        <v/>
      </c>
      <c r="O27" s="16" t="str">
        <f aca="false">IF(Cron_Uso!O27="","",IF(INT(Cron_Uso!O27/Frota!$L27)&gt;INT(Cron_Uso!N27/Frota!$L27),IF(N(VLOOKUP(Frota!$B27,Premissas!$A$39:$E$43,5,0))&gt;0,IF(MOD(INT(Cron_Uso!O27/Frota!$L27)*Frota!$L27,N(VLOOKUP(Frota!$B27,Premissas!$A$39:$E$43,5,0)))=0,"B",IF(N(VLOOKUP(Frota!$B27,Premissas!$A$39:$E$43,4,0))&gt;0,IF(MOD(INT(Cron_Uso!O27/Frota!$L27)*Frota!$L27,N(VLOOKUP(Frota!$B27,Premissas!$A$39:$E$43,4,0)))=0,"A","S"),"S")),IF(N(VLOOKUP(Frota!$B27,Premissas!$A$39:$E$43,4,0))&gt;0,IF(MOD(INT(Cron_Uso!O27/Frota!$L27)*Frota!$L27,N(VLOOKUP(Frota!$B27,Premissas!$A$39:$E$43,4,0)))=0,"A","S"),"S")),""))</f>
        <v/>
      </c>
      <c r="P27" s="16" t="str">
        <f aca="false">IF(Cron_Uso!P27="","",IF(INT(Cron_Uso!P27/Frota!$L27)&gt;INT(Cron_Uso!O27/Frota!$L27),IF(N(VLOOKUP(Frota!$B27,Premissas!$A$39:$E$43,5,0))&gt;0,IF(MOD(INT(Cron_Uso!P27/Frota!$L27)*Frota!$L27,N(VLOOKUP(Frota!$B27,Premissas!$A$39:$E$43,5,0)))=0,"B",IF(N(VLOOKUP(Frota!$B27,Premissas!$A$39:$E$43,4,0))&gt;0,IF(MOD(INT(Cron_Uso!P27/Frota!$L27)*Frota!$L27,N(VLOOKUP(Frota!$B27,Premissas!$A$39:$E$43,4,0)))=0,"A","S"),"S")),IF(N(VLOOKUP(Frota!$B27,Premissas!$A$39:$E$43,4,0))&gt;0,IF(MOD(INT(Cron_Uso!P27/Frota!$L27)*Frota!$L27,N(VLOOKUP(Frota!$B27,Premissas!$A$39:$E$43,4,0)))=0,"A","S"),"S")),""))</f>
        <v/>
      </c>
      <c r="Q27" s="16" t="str">
        <f aca="false">IF(Cron_Uso!Q27="","",IF(INT(Cron_Uso!Q27/Frota!$L27)&gt;INT(Cron_Uso!P27/Frota!$L27),IF(N(VLOOKUP(Frota!$B27,Premissas!$A$39:$E$43,5,0))&gt;0,IF(MOD(INT(Cron_Uso!Q27/Frota!$L27)*Frota!$L27,N(VLOOKUP(Frota!$B27,Premissas!$A$39:$E$43,5,0)))=0,"B",IF(N(VLOOKUP(Frota!$B27,Premissas!$A$39:$E$43,4,0))&gt;0,IF(MOD(INT(Cron_Uso!Q27/Frota!$L27)*Frota!$L27,N(VLOOKUP(Frota!$B27,Premissas!$A$39:$E$43,4,0)))=0,"A","S"),"S")),IF(N(VLOOKUP(Frota!$B27,Premissas!$A$39:$E$43,4,0))&gt;0,IF(MOD(INT(Cron_Uso!Q27/Frota!$L27)*Frota!$L27,N(VLOOKUP(Frota!$B27,Premissas!$A$39:$E$43,4,0)))=0,"A","S"),"S")),""))</f>
        <v/>
      </c>
      <c r="R27" s="16" t="str">
        <f aca="false">IF(Cron_Uso!R27="","",IF(INT(Cron_Uso!R27/Frota!$L27)&gt;INT(Cron_Uso!Q27/Frota!$L27),IF(N(VLOOKUP(Frota!$B27,Premissas!$A$39:$E$43,5,0))&gt;0,IF(MOD(INT(Cron_Uso!R27/Frota!$L27)*Frota!$L27,N(VLOOKUP(Frota!$B27,Premissas!$A$39:$E$43,5,0)))=0,"B",IF(N(VLOOKUP(Frota!$B27,Premissas!$A$39:$E$43,4,0))&gt;0,IF(MOD(INT(Cron_Uso!R27/Frota!$L27)*Frota!$L27,N(VLOOKUP(Frota!$B27,Premissas!$A$39:$E$43,4,0)))=0,"A","S"),"S")),IF(N(VLOOKUP(Frota!$B27,Premissas!$A$39:$E$43,4,0))&gt;0,IF(MOD(INT(Cron_Uso!R27/Frota!$L27)*Frota!$L27,N(VLOOKUP(Frota!$B27,Premissas!$A$39:$E$43,4,0)))=0,"A","S"),"S")),""))</f>
        <v/>
      </c>
      <c r="S27" s="16" t="str">
        <f aca="false">IF(Cron_Uso!S27="","",IF(INT(Cron_Uso!S27/Frota!$L27)&gt;INT(Cron_Uso!R27/Frota!$L27),IF(N(VLOOKUP(Frota!$B27,Premissas!$A$39:$E$43,5,0))&gt;0,IF(MOD(INT(Cron_Uso!S27/Frota!$L27)*Frota!$L27,N(VLOOKUP(Frota!$B27,Premissas!$A$39:$E$43,5,0)))=0,"B",IF(N(VLOOKUP(Frota!$B27,Premissas!$A$39:$E$43,4,0))&gt;0,IF(MOD(INT(Cron_Uso!S27/Frota!$L27)*Frota!$L27,N(VLOOKUP(Frota!$B27,Premissas!$A$39:$E$43,4,0)))=0,"A","S"),"S")),IF(N(VLOOKUP(Frota!$B27,Premissas!$A$39:$E$43,4,0))&gt;0,IF(MOD(INT(Cron_Uso!S27/Frota!$L27)*Frota!$L27,N(VLOOKUP(Frota!$B27,Premissas!$A$39:$E$43,4,0)))=0,"A","S"),"S")),""))</f>
        <v/>
      </c>
      <c r="T27" s="16" t="str">
        <f aca="false">IF(Cron_Uso!T27="","",IF(INT(Cron_Uso!T27/Frota!$L27)&gt;INT(Cron_Uso!S27/Frota!$L27),IF(N(VLOOKUP(Frota!$B27,Premissas!$A$39:$E$43,5,0))&gt;0,IF(MOD(INT(Cron_Uso!T27/Frota!$L27)*Frota!$L27,N(VLOOKUP(Frota!$B27,Premissas!$A$39:$E$43,5,0)))=0,"B",IF(N(VLOOKUP(Frota!$B27,Premissas!$A$39:$E$43,4,0))&gt;0,IF(MOD(INT(Cron_Uso!T27/Frota!$L27)*Frota!$L27,N(VLOOKUP(Frota!$B27,Premissas!$A$39:$E$43,4,0)))=0,"A","S"),"S")),IF(N(VLOOKUP(Frota!$B27,Premissas!$A$39:$E$43,4,0))&gt;0,IF(MOD(INT(Cron_Uso!T27/Frota!$L27)*Frota!$L27,N(VLOOKUP(Frota!$B27,Premissas!$A$39:$E$43,4,0)))=0,"A","S"),"S")),""))</f>
        <v/>
      </c>
      <c r="U27" s="16" t="str">
        <f aca="false">IF(Cron_Uso!U27="","",IF(INT(Cron_Uso!U27/Frota!$L27)&gt;INT(Cron_Uso!T27/Frota!$L27),IF(N(VLOOKUP(Frota!$B27,Premissas!$A$39:$E$43,5,0))&gt;0,IF(MOD(INT(Cron_Uso!U27/Frota!$L27)*Frota!$L27,N(VLOOKUP(Frota!$B27,Premissas!$A$39:$E$43,5,0)))=0,"B",IF(N(VLOOKUP(Frota!$B27,Premissas!$A$39:$E$43,4,0))&gt;0,IF(MOD(INT(Cron_Uso!U27/Frota!$L27)*Frota!$L27,N(VLOOKUP(Frota!$B27,Premissas!$A$39:$E$43,4,0)))=0,"A","S"),"S")),IF(N(VLOOKUP(Frota!$B27,Premissas!$A$39:$E$43,4,0))&gt;0,IF(MOD(INT(Cron_Uso!U27/Frota!$L27)*Frota!$L27,N(VLOOKUP(Frota!$B27,Premissas!$A$39:$E$43,4,0)))=0,"A","S"),"S")),""))</f>
        <v/>
      </c>
      <c r="V27" s="16" t="str">
        <f aca="false">IF(Cron_Uso!V27="","",IF(INT(Cron_Uso!V27/Frota!$L27)&gt;INT(Cron_Uso!U27/Frota!$L27),IF(N(VLOOKUP(Frota!$B27,Premissas!$A$39:$E$43,5,0))&gt;0,IF(MOD(INT(Cron_Uso!V27/Frota!$L27)*Frota!$L27,N(VLOOKUP(Frota!$B27,Premissas!$A$39:$E$43,5,0)))=0,"B",IF(N(VLOOKUP(Frota!$B27,Premissas!$A$39:$E$43,4,0))&gt;0,IF(MOD(INT(Cron_Uso!V27/Frota!$L27)*Frota!$L27,N(VLOOKUP(Frota!$B27,Premissas!$A$39:$E$43,4,0)))=0,"A","S"),"S")),IF(N(VLOOKUP(Frota!$B27,Premissas!$A$39:$E$43,4,0))&gt;0,IF(MOD(INT(Cron_Uso!V27/Frota!$L27)*Frota!$L27,N(VLOOKUP(Frota!$B27,Premissas!$A$39:$E$43,4,0)))=0,"A","S"),"S")),""))</f>
        <v/>
      </c>
      <c r="W27" s="16" t="str">
        <f aca="false">IF(Cron_Uso!W27="","",IF(INT(Cron_Uso!W27/Frota!$L27)&gt;INT(Cron_Uso!V27/Frota!$L27),IF(N(VLOOKUP(Frota!$B27,Premissas!$A$39:$E$43,5,0))&gt;0,IF(MOD(INT(Cron_Uso!W27/Frota!$L27)*Frota!$L27,N(VLOOKUP(Frota!$B27,Premissas!$A$39:$E$43,5,0)))=0,"B",IF(N(VLOOKUP(Frota!$B27,Premissas!$A$39:$E$43,4,0))&gt;0,IF(MOD(INT(Cron_Uso!W27/Frota!$L27)*Frota!$L27,N(VLOOKUP(Frota!$B27,Premissas!$A$39:$E$43,4,0)))=0,"A","S"),"S")),IF(N(VLOOKUP(Frota!$B27,Premissas!$A$39:$E$43,4,0))&gt;0,IF(MOD(INT(Cron_Uso!W27/Frota!$L27)*Frota!$L27,N(VLOOKUP(Frota!$B27,Premissas!$A$39:$E$43,4,0)))=0,"A","S"),"S")),""))</f>
        <v/>
      </c>
      <c r="X27" s="16" t="str">
        <f aca="false">IF(Cron_Uso!X27="","",IF(INT(Cron_Uso!X27/Frota!$L27)&gt;INT(Cron_Uso!W27/Frota!$L27),IF(N(VLOOKUP(Frota!$B27,Premissas!$A$39:$E$43,5,0))&gt;0,IF(MOD(INT(Cron_Uso!X27/Frota!$L27)*Frota!$L27,N(VLOOKUP(Frota!$B27,Premissas!$A$39:$E$43,5,0)))=0,"B",IF(N(VLOOKUP(Frota!$B27,Premissas!$A$39:$E$43,4,0))&gt;0,IF(MOD(INT(Cron_Uso!X27/Frota!$L27)*Frota!$L27,N(VLOOKUP(Frota!$B27,Premissas!$A$39:$E$43,4,0)))=0,"A","S"),"S")),IF(N(VLOOKUP(Frota!$B27,Premissas!$A$39:$E$43,4,0))&gt;0,IF(MOD(INT(Cron_Uso!X27/Frota!$L27)*Frota!$L27,N(VLOOKUP(Frota!$B27,Premissas!$A$39:$E$43,4,0)))=0,"A","S"),"S")),""))</f>
        <v/>
      </c>
      <c r="Y27" s="16" t="str">
        <f aca="false">IF(Cron_Uso!Y27="","",IF(INT(Cron_Uso!Y27/Frota!$L27)&gt;INT(Cron_Uso!X27/Frota!$L27),IF(N(VLOOKUP(Frota!$B27,Premissas!$A$39:$E$43,5,0))&gt;0,IF(MOD(INT(Cron_Uso!Y27/Frota!$L27)*Frota!$L27,N(VLOOKUP(Frota!$B27,Premissas!$A$39:$E$43,5,0)))=0,"B",IF(N(VLOOKUP(Frota!$B27,Premissas!$A$39:$E$43,4,0))&gt;0,IF(MOD(INT(Cron_Uso!Y27/Frota!$L27)*Frota!$L27,N(VLOOKUP(Frota!$B27,Premissas!$A$39:$E$43,4,0)))=0,"A","S"),"S")),IF(N(VLOOKUP(Frota!$B27,Premissas!$A$39:$E$43,4,0))&gt;0,IF(MOD(INT(Cron_Uso!Y27/Frota!$L27)*Frota!$L27,N(VLOOKUP(Frota!$B27,Premissas!$A$39:$E$43,4,0)))=0,"A","S"),"S")),""))</f>
        <v/>
      </c>
      <c r="Z27" s="16" t="str">
        <f aca="false">IF(Cron_Uso!Z27="","",IF(INT(Cron_Uso!Z27/Frota!$L27)&gt;INT(Cron_Uso!Y27/Frota!$L27),IF(N(VLOOKUP(Frota!$B27,Premissas!$A$39:$E$43,5,0))&gt;0,IF(MOD(INT(Cron_Uso!Z27/Frota!$L27)*Frota!$L27,N(VLOOKUP(Frota!$B27,Premissas!$A$39:$E$43,5,0)))=0,"B",IF(N(VLOOKUP(Frota!$B27,Premissas!$A$39:$E$43,4,0))&gt;0,IF(MOD(INT(Cron_Uso!Z27/Frota!$L27)*Frota!$L27,N(VLOOKUP(Frota!$B27,Premissas!$A$39:$E$43,4,0)))=0,"A","S"),"S")),IF(N(VLOOKUP(Frota!$B27,Premissas!$A$39:$E$43,4,0))&gt;0,IF(MOD(INT(Cron_Uso!Z27/Frota!$L27)*Frota!$L27,N(VLOOKUP(Frota!$B27,Premissas!$A$39:$E$43,4,0)))=0,"A","S"),"S")),""))</f>
        <v/>
      </c>
      <c r="AA27" s="16" t="str">
        <f aca="false">IF(Cron_Uso!AA27="","",IF(INT(Cron_Uso!AA27/Frota!$L27)&gt;INT(Cron_Uso!Z27/Frota!$L27),IF(N(VLOOKUP(Frota!$B27,Premissas!$A$39:$E$43,5,0))&gt;0,IF(MOD(INT(Cron_Uso!AA27/Frota!$L27)*Frota!$L27,N(VLOOKUP(Frota!$B27,Premissas!$A$39:$E$43,5,0)))=0,"B",IF(N(VLOOKUP(Frota!$B27,Premissas!$A$39:$E$43,4,0))&gt;0,IF(MOD(INT(Cron_Uso!AA27/Frota!$L27)*Frota!$L27,N(VLOOKUP(Frota!$B27,Premissas!$A$39:$E$43,4,0)))=0,"A","S"),"S")),IF(N(VLOOKUP(Frota!$B27,Premissas!$A$39:$E$43,4,0))&gt;0,IF(MOD(INT(Cron_Uso!AA27/Frota!$L27)*Frota!$L27,N(VLOOKUP(Frota!$B27,Premissas!$A$39:$E$43,4,0)))=0,"A","S"),"S")),""))</f>
        <v/>
      </c>
      <c r="AB27" s="16" t="str">
        <f aca="false">IF(Cron_Uso!AB27="","",IF(INT(Cron_Uso!AB27/Frota!$L27)&gt;INT(Cron_Uso!AA27/Frota!$L27),IF(N(VLOOKUP(Frota!$B27,Premissas!$A$39:$E$43,5,0))&gt;0,IF(MOD(INT(Cron_Uso!AB27/Frota!$L27)*Frota!$L27,N(VLOOKUP(Frota!$B27,Premissas!$A$39:$E$43,5,0)))=0,"B",IF(N(VLOOKUP(Frota!$B27,Premissas!$A$39:$E$43,4,0))&gt;0,IF(MOD(INT(Cron_Uso!AB27/Frota!$L27)*Frota!$L27,N(VLOOKUP(Frota!$B27,Premissas!$A$39:$E$43,4,0)))=0,"A","S"),"S")),IF(N(VLOOKUP(Frota!$B27,Premissas!$A$39:$E$43,4,0))&gt;0,IF(MOD(INT(Cron_Uso!AB27/Frota!$L27)*Frota!$L27,N(VLOOKUP(Frota!$B27,Premissas!$A$39:$E$43,4,0)))=0,"A","S"),"S")),""))</f>
        <v/>
      </c>
      <c r="AC27" s="16" t="str">
        <f aca="false">IF(Cron_Uso!AC27="","",IF(INT(Cron_Uso!AC27/Frota!$L27)&gt;INT(Cron_Uso!AB27/Frota!$L27),IF(N(VLOOKUP(Frota!$B27,Premissas!$A$39:$E$43,5,0))&gt;0,IF(MOD(INT(Cron_Uso!AC27/Frota!$L27)*Frota!$L27,N(VLOOKUP(Frota!$B27,Premissas!$A$39:$E$43,5,0)))=0,"B",IF(N(VLOOKUP(Frota!$B27,Premissas!$A$39:$E$43,4,0))&gt;0,IF(MOD(INT(Cron_Uso!AC27/Frota!$L27)*Frota!$L27,N(VLOOKUP(Frota!$B27,Premissas!$A$39:$E$43,4,0)))=0,"A","S"),"S")),IF(N(VLOOKUP(Frota!$B27,Premissas!$A$39:$E$43,4,0))&gt;0,IF(MOD(INT(Cron_Uso!AC27/Frota!$L27)*Frota!$L27,N(VLOOKUP(Frota!$B27,Premissas!$A$39:$E$43,4,0)))=0,"A","S"),"S")),""))</f>
        <v/>
      </c>
      <c r="AD27" s="16" t="str">
        <f aca="false">IF(Cron_Uso!AD27="","",IF(INT(Cron_Uso!AD27/Frota!$L27)&gt;INT(Cron_Uso!AC27/Frota!$L27),IF(N(VLOOKUP(Frota!$B27,Premissas!$A$39:$E$43,5,0))&gt;0,IF(MOD(INT(Cron_Uso!AD27/Frota!$L27)*Frota!$L27,N(VLOOKUP(Frota!$B27,Premissas!$A$39:$E$43,5,0)))=0,"B",IF(N(VLOOKUP(Frota!$B27,Premissas!$A$39:$E$43,4,0))&gt;0,IF(MOD(INT(Cron_Uso!AD27/Frota!$L27)*Frota!$L27,N(VLOOKUP(Frota!$B27,Premissas!$A$39:$E$43,4,0)))=0,"A","S"),"S")),IF(N(VLOOKUP(Frota!$B27,Premissas!$A$39:$E$43,4,0))&gt;0,IF(MOD(INT(Cron_Uso!AD27/Frota!$L27)*Frota!$L27,N(VLOOKUP(Frota!$B27,Premissas!$A$39:$E$43,4,0)))=0,"A","S"),"S")),""))</f>
        <v/>
      </c>
      <c r="AE27" s="16" t="str">
        <f aca="false">IF(Cron_Uso!AE27="","",IF(INT(Cron_Uso!AE27/Frota!$L27)&gt;INT(Cron_Uso!AD27/Frota!$L27),IF(N(VLOOKUP(Frota!$B27,Premissas!$A$39:$E$43,5,0))&gt;0,IF(MOD(INT(Cron_Uso!AE27/Frota!$L27)*Frota!$L27,N(VLOOKUP(Frota!$B27,Premissas!$A$39:$E$43,5,0)))=0,"B",IF(N(VLOOKUP(Frota!$B27,Premissas!$A$39:$E$43,4,0))&gt;0,IF(MOD(INT(Cron_Uso!AE27/Frota!$L27)*Frota!$L27,N(VLOOKUP(Frota!$B27,Premissas!$A$39:$E$43,4,0)))=0,"A","S"),"S")),IF(N(VLOOKUP(Frota!$B27,Premissas!$A$39:$E$43,4,0))&gt;0,IF(MOD(INT(Cron_Uso!AE27/Frota!$L27)*Frota!$L27,N(VLOOKUP(Frota!$B27,Premissas!$A$39:$E$43,4,0)))=0,"A","S"),"S")),""))</f>
        <v/>
      </c>
      <c r="AF27" s="16" t="str">
        <f aca="false">IF(Cron_Uso!AF27="","",IF(INT(Cron_Uso!AF27/Frota!$L27)&gt;INT(Cron_Uso!AE27/Frota!$L27),IF(N(VLOOKUP(Frota!$B27,Premissas!$A$39:$E$43,5,0))&gt;0,IF(MOD(INT(Cron_Uso!AF27/Frota!$L27)*Frota!$L27,N(VLOOKUP(Frota!$B27,Premissas!$A$39:$E$43,5,0)))=0,"B",IF(N(VLOOKUP(Frota!$B27,Premissas!$A$39:$E$43,4,0))&gt;0,IF(MOD(INT(Cron_Uso!AF27/Frota!$L27)*Frota!$L27,N(VLOOKUP(Frota!$B27,Premissas!$A$39:$E$43,4,0)))=0,"A","S"),"S")),IF(N(VLOOKUP(Frota!$B27,Premissas!$A$39:$E$43,4,0))&gt;0,IF(MOD(INT(Cron_Uso!AF27/Frota!$L27)*Frota!$L27,N(VLOOKUP(Frota!$B27,Premissas!$A$39:$E$43,4,0)))=0,"A","S"),"S")),""))</f>
        <v/>
      </c>
      <c r="AG27" s="16" t="str">
        <f aca="false">IF(Cron_Uso!AG27="","",IF(INT(Cron_Uso!AG27/Frota!$L27)&gt;INT(Cron_Uso!AF27/Frota!$L27),IF(N(VLOOKUP(Frota!$B27,Premissas!$A$39:$E$43,5,0))&gt;0,IF(MOD(INT(Cron_Uso!AG27/Frota!$L27)*Frota!$L27,N(VLOOKUP(Frota!$B27,Premissas!$A$39:$E$43,5,0)))=0,"B",IF(N(VLOOKUP(Frota!$B27,Premissas!$A$39:$E$43,4,0))&gt;0,IF(MOD(INT(Cron_Uso!AG27/Frota!$L27)*Frota!$L27,N(VLOOKUP(Frota!$B27,Premissas!$A$39:$E$43,4,0)))=0,"A","S"),"S")),IF(N(VLOOKUP(Frota!$B27,Premissas!$A$39:$E$43,4,0))&gt;0,IF(MOD(INT(Cron_Uso!AG27/Frota!$L27)*Frota!$L27,N(VLOOKUP(Frota!$B27,Premissas!$A$39:$E$43,4,0)))=0,"A","S"),"S")),""))</f>
        <v/>
      </c>
      <c r="AH27" s="16" t="str">
        <f aca="false">IF(Cron_Uso!AH27="","",IF(INT(Cron_Uso!AH27/Frota!$L27)&gt;INT(Cron_Uso!AG27/Frota!$L27),IF(N(VLOOKUP(Frota!$B27,Premissas!$A$39:$E$43,5,0))&gt;0,IF(MOD(INT(Cron_Uso!AH27/Frota!$L27)*Frota!$L27,N(VLOOKUP(Frota!$B27,Premissas!$A$39:$E$43,5,0)))=0,"B",IF(N(VLOOKUP(Frota!$B27,Premissas!$A$39:$E$43,4,0))&gt;0,IF(MOD(INT(Cron_Uso!AH27/Frota!$L27)*Frota!$L27,N(VLOOKUP(Frota!$B27,Premissas!$A$39:$E$43,4,0)))=0,"A","S"),"S")),IF(N(VLOOKUP(Frota!$B27,Premissas!$A$39:$E$43,4,0))&gt;0,IF(MOD(INT(Cron_Uso!AH27/Frota!$L27)*Frota!$L27,N(VLOOKUP(Frota!$B27,Premissas!$A$39:$E$43,4,0)))=0,"A","S"),"S")),""))</f>
        <v/>
      </c>
      <c r="AI27" s="16" t="str">
        <f aca="false">IF(Cron_Uso!AI27="","",IF(INT(Cron_Uso!AI27/Frota!$L27)&gt;INT(Cron_Uso!AH27/Frota!$L27),IF(N(VLOOKUP(Frota!$B27,Premissas!$A$39:$E$43,5,0))&gt;0,IF(MOD(INT(Cron_Uso!AI27/Frota!$L27)*Frota!$L27,N(VLOOKUP(Frota!$B27,Premissas!$A$39:$E$43,5,0)))=0,"B",IF(N(VLOOKUP(Frota!$B27,Premissas!$A$39:$E$43,4,0))&gt;0,IF(MOD(INT(Cron_Uso!AI27/Frota!$L27)*Frota!$L27,N(VLOOKUP(Frota!$B27,Premissas!$A$39:$E$43,4,0)))=0,"A","S"),"S")),IF(N(VLOOKUP(Frota!$B27,Premissas!$A$39:$E$43,4,0))&gt;0,IF(MOD(INT(Cron_Uso!AI27/Frota!$L27)*Frota!$L27,N(VLOOKUP(Frota!$B27,Premissas!$A$39:$E$43,4,0)))=0,"A","S"),"S")),""))</f>
        <v/>
      </c>
      <c r="AJ27" s="16" t="str">
        <f aca="false">IF(Cron_Uso!AJ27="","",IF(INT(Cron_Uso!AJ27/Frota!$L27)&gt;INT(Cron_Uso!AI27/Frota!$L27),IF(N(VLOOKUP(Frota!$B27,Premissas!$A$39:$E$43,5,0))&gt;0,IF(MOD(INT(Cron_Uso!AJ27/Frota!$L27)*Frota!$L27,N(VLOOKUP(Frota!$B27,Premissas!$A$39:$E$43,5,0)))=0,"B",IF(N(VLOOKUP(Frota!$B27,Premissas!$A$39:$E$43,4,0))&gt;0,IF(MOD(INT(Cron_Uso!AJ27/Frota!$L27)*Frota!$L27,N(VLOOKUP(Frota!$B27,Premissas!$A$39:$E$43,4,0)))=0,"A","S"),"S")),IF(N(VLOOKUP(Frota!$B27,Premissas!$A$39:$E$43,4,0))&gt;0,IF(MOD(INT(Cron_Uso!AJ27/Frota!$L27)*Frota!$L27,N(VLOOKUP(Frota!$B27,Premissas!$A$39:$E$43,4,0)))=0,"A","S"),"S")),""))</f>
        <v/>
      </c>
      <c r="AK27" s="16" t="str">
        <f aca="false">IF(Cron_Uso!AK27="","",IF(INT(Cron_Uso!AK27/Frota!$L27)&gt;INT(Cron_Uso!AJ27/Frota!$L27),IF(N(VLOOKUP(Frota!$B27,Premissas!$A$39:$E$43,5,0))&gt;0,IF(MOD(INT(Cron_Uso!AK27/Frota!$L27)*Frota!$L27,N(VLOOKUP(Frota!$B27,Premissas!$A$39:$E$43,5,0)))=0,"B",IF(N(VLOOKUP(Frota!$B27,Premissas!$A$39:$E$43,4,0))&gt;0,IF(MOD(INT(Cron_Uso!AK27/Frota!$L27)*Frota!$L27,N(VLOOKUP(Frota!$B27,Premissas!$A$39:$E$43,4,0)))=0,"A","S"),"S")),IF(N(VLOOKUP(Frota!$B27,Premissas!$A$39:$E$43,4,0))&gt;0,IF(MOD(INT(Cron_Uso!AK27/Frota!$L27)*Frota!$L27,N(VLOOKUP(Frota!$B27,Premissas!$A$39:$E$43,4,0)))=0,"A","S"),"S")),""))</f>
        <v/>
      </c>
      <c r="AL27" s="16" t="str">
        <f aca="false">IF(Cron_Uso!AL27="","",IF(INT(Cron_Uso!AL27/Frota!$L27)&gt;INT(Cron_Uso!AK27/Frota!$L27),IF(N(VLOOKUP(Frota!$B27,Premissas!$A$39:$E$43,5,0))&gt;0,IF(MOD(INT(Cron_Uso!AL27/Frota!$L27)*Frota!$L27,N(VLOOKUP(Frota!$B27,Premissas!$A$39:$E$43,5,0)))=0,"B",IF(N(VLOOKUP(Frota!$B27,Premissas!$A$39:$E$43,4,0))&gt;0,IF(MOD(INT(Cron_Uso!AL27/Frota!$L27)*Frota!$L27,N(VLOOKUP(Frota!$B27,Premissas!$A$39:$E$43,4,0)))=0,"A","S"),"S")),IF(N(VLOOKUP(Frota!$B27,Premissas!$A$39:$E$43,4,0))&gt;0,IF(MOD(INT(Cron_Uso!AL27/Frota!$L27)*Frota!$L27,N(VLOOKUP(Frota!$B27,Premissas!$A$39:$E$43,4,0)))=0,"A","S"),"S")),""))</f>
        <v/>
      </c>
      <c r="AM27" s="16" t="str">
        <f aca="false">IF(Cron_Uso!AM27="","",IF(INT(Cron_Uso!AM27/Frota!$L27)&gt;INT(Cron_Uso!AL27/Frota!$L27),IF(N(VLOOKUP(Frota!$B27,Premissas!$A$39:$E$43,5,0))&gt;0,IF(MOD(INT(Cron_Uso!AM27/Frota!$L27)*Frota!$L27,N(VLOOKUP(Frota!$B27,Premissas!$A$39:$E$43,5,0)))=0,"B",IF(N(VLOOKUP(Frota!$B27,Premissas!$A$39:$E$43,4,0))&gt;0,IF(MOD(INT(Cron_Uso!AM27/Frota!$L27)*Frota!$L27,N(VLOOKUP(Frota!$B27,Premissas!$A$39:$E$43,4,0)))=0,"A","S"),"S")),IF(N(VLOOKUP(Frota!$B27,Premissas!$A$39:$E$43,4,0))&gt;0,IF(MOD(INT(Cron_Uso!AM27/Frota!$L27)*Frota!$L27,N(VLOOKUP(Frota!$B27,Premissas!$A$39:$E$43,4,0)))=0,"A","S"),"S")),""))</f>
        <v/>
      </c>
      <c r="AN27" s="16" t="str">
        <f aca="false">IF(Cron_Uso!AN27="","",IF(INT(Cron_Uso!AN27/Frota!$L27)&gt;INT(Cron_Uso!AM27/Frota!$L27),IF(N(VLOOKUP(Frota!$B27,Premissas!$A$39:$E$43,5,0))&gt;0,IF(MOD(INT(Cron_Uso!AN27/Frota!$L27)*Frota!$L27,N(VLOOKUP(Frota!$B27,Premissas!$A$39:$E$43,5,0)))=0,"B",IF(N(VLOOKUP(Frota!$B27,Premissas!$A$39:$E$43,4,0))&gt;0,IF(MOD(INT(Cron_Uso!AN27/Frota!$L27)*Frota!$L27,N(VLOOKUP(Frota!$B27,Premissas!$A$39:$E$43,4,0)))=0,"A","S"),"S")),IF(N(VLOOKUP(Frota!$B27,Premissas!$A$39:$E$43,4,0))&gt;0,IF(MOD(INT(Cron_Uso!AN27/Frota!$L27)*Frota!$L27,N(VLOOKUP(Frota!$B27,Premissas!$A$39:$E$43,4,0)))=0,"A","S"),"S")),""))</f>
        <v/>
      </c>
      <c r="AO27" s="16" t="str">
        <f aca="false">IF(Cron_Uso!AO27="","",IF(INT(Cron_Uso!AO27/Frota!$L27)&gt;INT(Cron_Uso!AN27/Frota!$L27),IF(N(VLOOKUP(Frota!$B27,Premissas!$A$39:$E$43,5,0))&gt;0,IF(MOD(INT(Cron_Uso!AO27/Frota!$L27)*Frota!$L27,N(VLOOKUP(Frota!$B27,Premissas!$A$39:$E$43,5,0)))=0,"B",IF(N(VLOOKUP(Frota!$B27,Premissas!$A$39:$E$43,4,0))&gt;0,IF(MOD(INT(Cron_Uso!AO27/Frota!$L27)*Frota!$L27,N(VLOOKUP(Frota!$B27,Premissas!$A$39:$E$43,4,0)))=0,"A","S"),"S")),IF(N(VLOOKUP(Frota!$B27,Premissas!$A$39:$E$43,4,0))&gt;0,IF(MOD(INT(Cron_Uso!AO27/Frota!$L27)*Frota!$L27,N(VLOOKUP(Frota!$B27,Premissas!$A$39:$E$43,4,0)))=0,"A","S"),"S")),""))</f>
        <v/>
      </c>
      <c r="AP27" s="16" t="str">
        <f aca="false">IF(Cron_Uso!AP27="","",IF(INT(Cron_Uso!AP27/Frota!$L27)&gt;INT(Cron_Uso!AO27/Frota!$L27),IF(N(VLOOKUP(Frota!$B27,Premissas!$A$39:$E$43,5,0))&gt;0,IF(MOD(INT(Cron_Uso!AP27/Frota!$L27)*Frota!$L27,N(VLOOKUP(Frota!$B27,Premissas!$A$39:$E$43,5,0)))=0,"B",IF(N(VLOOKUP(Frota!$B27,Premissas!$A$39:$E$43,4,0))&gt;0,IF(MOD(INT(Cron_Uso!AP27/Frota!$L27)*Frota!$L27,N(VLOOKUP(Frota!$B27,Premissas!$A$39:$E$43,4,0)))=0,"A","S"),"S")),IF(N(VLOOKUP(Frota!$B27,Premissas!$A$39:$E$43,4,0))&gt;0,IF(MOD(INT(Cron_Uso!AP27/Frota!$L27)*Frota!$L27,N(VLOOKUP(Frota!$B27,Premissas!$A$39:$E$43,4,0)))=0,"A","S"),"S")),""))</f>
        <v/>
      </c>
      <c r="AQ27" s="16" t="str">
        <f aca="false">IF(Cron_Uso!AQ27="","",IF(INT(Cron_Uso!AQ27/Frota!$L27)&gt;INT(Cron_Uso!AP27/Frota!$L27),IF(N(VLOOKUP(Frota!$B27,Premissas!$A$39:$E$43,5,0))&gt;0,IF(MOD(INT(Cron_Uso!AQ27/Frota!$L27)*Frota!$L27,N(VLOOKUP(Frota!$B27,Premissas!$A$39:$E$43,5,0)))=0,"B",IF(N(VLOOKUP(Frota!$B27,Premissas!$A$39:$E$43,4,0))&gt;0,IF(MOD(INT(Cron_Uso!AQ27/Frota!$L27)*Frota!$L27,N(VLOOKUP(Frota!$B27,Premissas!$A$39:$E$43,4,0)))=0,"A","S"),"S")),IF(N(VLOOKUP(Frota!$B27,Premissas!$A$39:$E$43,4,0))&gt;0,IF(MOD(INT(Cron_Uso!AQ27/Frota!$L27)*Frota!$L27,N(VLOOKUP(Frota!$B27,Premissas!$A$39:$E$43,4,0)))=0,"A","S"),"S")),""))</f>
        <v/>
      </c>
      <c r="AR27" s="16" t="str">
        <f aca="false">IF(Cron_Uso!AR27="","",IF(INT(Cron_Uso!AR27/Frota!$L27)&gt;INT(Cron_Uso!AQ27/Frota!$L27),IF(N(VLOOKUP(Frota!$B27,Premissas!$A$39:$E$43,5,0))&gt;0,IF(MOD(INT(Cron_Uso!AR27/Frota!$L27)*Frota!$L27,N(VLOOKUP(Frota!$B27,Premissas!$A$39:$E$43,5,0)))=0,"B",IF(N(VLOOKUP(Frota!$B27,Premissas!$A$39:$E$43,4,0))&gt;0,IF(MOD(INT(Cron_Uso!AR27/Frota!$L27)*Frota!$L27,N(VLOOKUP(Frota!$B27,Premissas!$A$39:$E$43,4,0)))=0,"A","S"),"S")),IF(N(VLOOKUP(Frota!$B27,Premissas!$A$39:$E$43,4,0))&gt;0,IF(MOD(INT(Cron_Uso!AR27/Frota!$L27)*Frota!$L27,N(VLOOKUP(Frota!$B27,Premissas!$A$39:$E$43,4,0)))=0,"A","S"),"S")),""))</f>
        <v/>
      </c>
      <c r="AS27" s="16" t="str">
        <f aca="false">IF(Cron_Uso!AS27="","",IF(INT(Cron_Uso!AS27/Frota!$L27)&gt;INT(Cron_Uso!AR27/Frota!$L27),IF(N(VLOOKUP(Frota!$B27,Premissas!$A$39:$E$43,5,0))&gt;0,IF(MOD(INT(Cron_Uso!AS27/Frota!$L27)*Frota!$L27,N(VLOOKUP(Frota!$B27,Premissas!$A$39:$E$43,5,0)))=0,"B",IF(N(VLOOKUP(Frota!$B27,Premissas!$A$39:$E$43,4,0))&gt;0,IF(MOD(INT(Cron_Uso!AS27/Frota!$L27)*Frota!$L27,N(VLOOKUP(Frota!$B27,Premissas!$A$39:$E$43,4,0)))=0,"A","S"),"S")),IF(N(VLOOKUP(Frota!$B27,Premissas!$A$39:$E$43,4,0))&gt;0,IF(MOD(INT(Cron_Uso!AS27/Frota!$L27)*Frota!$L27,N(VLOOKUP(Frota!$B27,Premissas!$A$39:$E$43,4,0)))=0,"A","S"),"S")),""))</f>
        <v/>
      </c>
      <c r="AT27" s="16" t="str">
        <f aca="false">IF(Cron_Uso!AT27="","",IF(INT(Cron_Uso!AT27/Frota!$L27)&gt;INT(Cron_Uso!AS27/Frota!$L27),IF(N(VLOOKUP(Frota!$B27,Premissas!$A$39:$E$43,5,0))&gt;0,IF(MOD(INT(Cron_Uso!AT27/Frota!$L27)*Frota!$L27,N(VLOOKUP(Frota!$B27,Premissas!$A$39:$E$43,5,0)))=0,"B",IF(N(VLOOKUP(Frota!$B27,Premissas!$A$39:$E$43,4,0))&gt;0,IF(MOD(INT(Cron_Uso!AT27/Frota!$L27)*Frota!$L27,N(VLOOKUP(Frota!$B27,Premissas!$A$39:$E$43,4,0)))=0,"A","S"),"S")),IF(N(VLOOKUP(Frota!$B27,Premissas!$A$39:$E$43,4,0))&gt;0,IF(MOD(INT(Cron_Uso!AT27/Frota!$L27)*Frota!$L27,N(VLOOKUP(Frota!$B27,Premissas!$A$39:$E$43,4,0)))=0,"A","S"),"S")),""))</f>
        <v/>
      </c>
      <c r="AU27" s="16" t="str">
        <f aca="false">IF(Cron_Uso!AU27="","",IF(INT(Cron_Uso!AU27/Frota!$L27)&gt;INT(Cron_Uso!AT27/Frota!$L27),IF(N(VLOOKUP(Frota!$B27,Premissas!$A$39:$E$43,5,0))&gt;0,IF(MOD(INT(Cron_Uso!AU27/Frota!$L27)*Frota!$L27,N(VLOOKUP(Frota!$B27,Premissas!$A$39:$E$43,5,0)))=0,"B",IF(N(VLOOKUP(Frota!$B27,Premissas!$A$39:$E$43,4,0))&gt;0,IF(MOD(INT(Cron_Uso!AU27/Frota!$L27)*Frota!$L27,N(VLOOKUP(Frota!$B27,Premissas!$A$39:$E$43,4,0)))=0,"A","S"),"S")),IF(N(VLOOKUP(Frota!$B27,Premissas!$A$39:$E$43,4,0))&gt;0,IF(MOD(INT(Cron_Uso!AU27/Frota!$L27)*Frota!$L27,N(VLOOKUP(Frota!$B27,Premissas!$A$39:$E$43,4,0)))=0,"A","S"),"S")),""))</f>
        <v/>
      </c>
      <c r="AV27" s="16" t="str">
        <f aca="false">IF(Cron_Uso!AV27="","",IF(INT(Cron_Uso!AV27/Frota!$L27)&gt;INT(Cron_Uso!AU27/Frota!$L27),IF(N(VLOOKUP(Frota!$B27,Premissas!$A$39:$E$43,5,0))&gt;0,IF(MOD(INT(Cron_Uso!AV27/Frota!$L27)*Frota!$L27,N(VLOOKUP(Frota!$B27,Premissas!$A$39:$E$43,5,0)))=0,"B",IF(N(VLOOKUP(Frota!$B27,Premissas!$A$39:$E$43,4,0))&gt;0,IF(MOD(INT(Cron_Uso!AV27/Frota!$L27)*Frota!$L27,N(VLOOKUP(Frota!$B27,Premissas!$A$39:$E$43,4,0)))=0,"A","S"),"S")),IF(N(VLOOKUP(Frota!$B27,Premissas!$A$39:$E$43,4,0))&gt;0,IF(MOD(INT(Cron_Uso!AV27/Frota!$L27)*Frota!$L27,N(VLOOKUP(Frota!$B27,Premissas!$A$39:$E$43,4,0)))=0,"A","S"),"S")),""))</f>
        <v/>
      </c>
      <c r="AW27" s="16" t="str">
        <f aca="false">IF(Cron_Uso!AW27="","",IF(INT(Cron_Uso!AW27/Frota!$L27)&gt;INT(Cron_Uso!AV27/Frota!$L27),IF(N(VLOOKUP(Frota!$B27,Premissas!$A$39:$E$43,5,0))&gt;0,IF(MOD(INT(Cron_Uso!AW27/Frota!$L27)*Frota!$L27,N(VLOOKUP(Frota!$B27,Premissas!$A$39:$E$43,5,0)))=0,"B",IF(N(VLOOKUP(Frota!$B27,Premissas!$A$39:$E$43,4,0))&gt;0,IF(MOD(INT(Cron_Uso!AW27/Frota!$L27)*Frota!$L27,N(VLOOKUP(Frota!$B27,Premissas!$A$39:$E$43,4,0)))=0,"A","S"),"S")),IF(N(VLOOKUP(Frota!$B27,Premissas!$A$39:$E$43,4,0))&gt;0,IF(MOD(INT(Cron_Uso!AW27/Frota!$L27)*Frota!$L27,N(VLOOKUP(Frota!$B27,Premissas!$A$39:$E$43,4,0)))=0,"A","S"),"S")),""))</f>
        <v/>
      </c>
      <c r="AX27" s="16" t="str">
        <f aca="false">IF(Cron_Uso!AX27="","",IF(INT(Cron_Uso!AX27/Frota!$L27)&gt;INT(Cron_Uso!AW27/Frota!$L27),IF(N(VLOOKUP(Frota!$B27,Premissas!$A$39:$E$43,5,0))&gt;0,IF(MOD(INT(Cron_Uso!AX27/Frota!$L27)*Frota!$L27,N(VLOOKUP(Frota!$B27,Premissas!$A$39:$E$43,5,0)))=0,"B",IF(N(VLOOKUP(Frota!$B27,Premissas!$A$39:$E$43,4,0))&gt;0,IF(MOD(INT(Cron_Uso!AX27/Frota!$L27)*Frota!$L27,N(VLOOKUP(Frota!$B27,Premissas!$A$39:$E$43,4,0)))=0,"A","S"),"S")),IF(N(VLOOKUP(Frota!$B27,Premissas!$A$39:$E$43,4,0))&gt;0,IF(MOD(INT(Cron_Uso!AX27/Frota!$L27)*Frota!$L27,N(VLOOKUP(Frota!$B27,Premissas!$A$39:$E$43,4,0)))=0,"A","S"),"S")),""))</f>
        <v/>
      </c>
      <c r="AY27" s="16" t="str">
        <f aca="false">IF(Cron_Uso!AY27="","",IF(INT(Cron_Uso!AY27/Frota!$L27)&gt;INT(Cron_Uso!AX27/Frota!$L27),IF(N(VLOOKUP(Frota!$B27,Premissas!$A$39:$E$43,5,0))&gt;0,IF(MOD(INT(Cron_Uso!AY27/Frota!$L27)*Frota!$L27,N(VLOOKUP(Frota!$B27,Premissas!$A$39:$E$43,5,0)))=0,"B",IF(N(VLOOKUP(Frota!$B27,Premissas!$A$39:$E$43,4,0))&gt;0,IF(MOD(INT(Cron_Uso!AY27/Frota!$L27)*Frota!$L27,N(VLOOKUP(Frota!$B27,Premissas!$A$39:$E$43,4,0)))=0,"A","S"),"S")),IF(N(VLOOKUP(Frota!$B27,Premissas!$A$39:$E$43,4,0))&gt;0,IF(MOD(INT(Cron_Uso!AY27/Frota!$L27)*Frota!$L27,N(VLOOKUP(Frota!$B27,Premissas!$A$39:$E$43,4,0)))=0,"A","S"),"S")),""))</f>
        <v/>
      </c>
      <c r="AZ27" s="16" t="str">
        <f aca="false">IF(Cron_Uso!AZ27="","",IF(INT(Cron_Uso!AZ27/Frota!$L27)&gt;INT(Cron_Uso!AY27/Frota!$L27),IF(N(VLOOKUP(Frota!$B27,Premissas!$A$39:$E$43,5,0))&gt;0,IF(MOD(INT(Cron_Uso!AZ27/Frota!$L27)*Frota!$L27,N(VLOOKUP(Frota!$B27,Premissas!$A$39:$E$43,5,0)))=0,"B",IF(N(VLOOKUP(Frota!$B27,Premissas!$A$39:$E$43,4,0))&gt;0,IF(MOD(INT(Cron_Uso!AZ27/Frota!$L27)*Frota!$L27,N(VLOOKUP(Frota!$B27,Premissas!$A$39:$E$43,4,0)))=0,"A","S"),"S")),IF(N(VLOOKUP(Frota!$B27,Premissas!$A$39:$E$43,4,0))&gt;0,IF(MOD(INT(Cron_Uso!AZ27/Frota!$L27)*Frota!$L27,N(VLOOKUP(Frota!$B27,Premissas!$A$39:$E$43,4,0)))=0,"A","S"),"S")),""))</f>
        <v/>
      </c>
      <c r="BA27" s="16" t="str">
        <f aca="false">IF(Cron_Uso!BA27="","",IF(INT(Cron_Uso!BA27/Frota!$L27)&gt;INT(Cron_Uso!AZ27/Frota!$L27),IF(N(VLOOKUP(Frota!$B27,Premissas!$A$39:$E$43,5,0))&gt;0,IF(MOD(INT(Cron_Uso!BA27/Frota!$L27)*Frota!$L27,N(VLOOKUP(Frota!$B27,Premissas!$A$39:$E$43,5,0)))=0,"B",IF(N(VLOOKUP(Frota!$B27,Premissas!$A$39:$E$43,4,0))&gt;0,IF(MOD(INT(Cron_Uso!BA27/Frota!$L27)*Frota!$L27,N(VLOOKUP(Frota!$B27,Premissas!$A$39:$E$43,4,0)))=0,"A","S"),"S")),IF(N(VLOOKUP(Frota!$B27,Premissas!$A$39:$E$43,4,0))&gt;0,IF(MOD(INT(Cron_Uso!BA27/Frota!$L27)*Frota!$L27,N(VLOOKUP(Frota!$B27,Premissas!$A$39:$E$43,4,0)))=0,"A","S"),"S")),""))</f>
        <v/>
      </c>
    </row>
    <row r="28" customFormat="false" ht="15" hidden="false" customHeight="false" outlineLevel="0" collapsed="false">
      <c r="A28" s="6" t="str">
        <f aca="false">IF(Frota!$A28="","",Frota!$A28)</f>
        <v/>
      </c>
      <c r="B28" s="16" t="str">
        <f aca="false">IF(Cron_Uso!B28="","",IF(INT(Cron_Uso!B28/Frota!$L28)&gt;INT(Frota!$I28/Frota!$L28),IF(N(VLOOKUP(Frota!$B28,Premissas!$A$39:$E$43,5,0))&gt;0,IF(MOD(INT(Cron_Uso!B28/Frota!$L28)*Frota!$L28,N(VLOOKUP(Frota!$B28,Premissas!$A$39:$E$43,5,0)))=0,"B",IF(N(VLOOKUP(Frota!$B28,Premissas!$A$39:$E$43,4,0))&gt;0,IF(MOD(INT(Cron_Uso!B28/Frota!$L28)*Frota!$L28,N(VLOOKUP(Frota!$B28,Premissas!$A$39:$E$43,4,0)))=0,"A","S"),"S")),IF(N(VLOOKUP(Frota!$B28,Premissas!$A$39:$E$43,4,0))&gt;0,IF(MOD(INT(Cron_Uso!B28/Frota!$L28)*Frota!$L28,N(VLOOKUP(Frota!$B28,Premissas!$A$39:$E$43,4,0)))=0,"A","S"),"S")),""))</f>
        <v/>
      </c>
      <c r="C28" s="16" t="str">
        <f aca="false">IF(Cron_Uso!C28="","",IF(INT(Cron_Uso!C28/Frota!$L28)&gt;INT(Cron_Uso!B28/Frota!$L28),IF(N(VLOOKUP(Frota!$B28,Premissas!$A$39:$E$43,5,0))&gt;0,IF(MOD(INT(Cron_Uso!C28/Frota!$L28)*Frota!$L28,N(VLOOKUP(Frota!$B28,Premissas!$A$39:$E$43,5,0)))=0,"B",IF(N(VLOOKUP(Frota!$B28,Premissas!$A$39:$E$43,4,0))&gt;0,IF(MOD(INT(Cron_Uso!C28/Frota!$L28)*Frota!$L28,N(VLOOKUP(Frota!$B28,Premissas!$A$39:$E$43,4,0)))=0,"A","S"),"S")),IF(N(VLOOKUP(Frota!$B28,Premissas!$A$39:$E$43,4,0))&gt;0,IF(MOD(INT(Cron_Uso!C28/Frota!$L28)*Frota!$L28,N(VLOOKUP(Frota!$B28,Premissas!$A$39:$E$43,4,0)))=0,"A","S"),"S")),""))</f>
        <v/>
      </c>
      <c r="D28" s="16" t="str">
        <f aca="false">IF(Cron_Uso!D28="","",IF(INT(Cron_Uso!D28/Frota!$L28)&gt;INT(Cron_Uso!C28/Frota!$L28),IF(N(VLOOKUP(Frota!$B28,Premissas!$A$39:$E$43,5,0))&gt;0,IF(MOD(INT(Cron_Uso!D28/Frota!$L28)*Frota!$L28,N(VLOOKUP(Frota!$B28,Premissas!$A$39:$E$43,5,0)))=0,"B",IF(N(VLOOKUP(Frota!$B28,Premissas!$A$39:$E$43,4,0))&gt;0,IF(MOD(INT(Cron_Uso!D28/Frota!$L28)*Frota!$L28,N(VLOOKUP(Frota!$B28,Premissas!$A$39:$E$43,4,0)))=0,"A","S"),"S")),IF(N(VLOOKUP(Frota!$B28,Premissas!$A$39:$E$43,4,0))&gt;0,IF(MOD(INT(Cron_Uso!D28/Frota!$L28)*Frota!$L28,N(VLOOKUP(Frota!$B28,Premissas!$A$39:$E$43,4,0)))=0,"A","S"),"S")),""))</f>
        <v/>
      </c>
      <c r="E28" s="16" t="str">
        <f aca="false">IF(Cron_Uso!E28="","",IF(INT(Cron_Uso!E28/Frota!$L28)&gt;INT(Cron_Uso!D28/Frota!$L28),IF(N(VLOOKUP(Frota!$B28,Premissas!$A$39:$E$43,5,0))&gt;0,IF(MOD(INT(Cron_Uso!E28/Frota!$L28)*Frota!$L28,N(VLOOKUP(Frota!$B28,Premissas!$A$39:$E$43,5,0)))=0,"B",IF(N(VLOOKUP(Frota!$B28,Premissas!$A$39:$E$43,4,0))&gt;0,IF(MOD(INT(Cron_Uso!E28/Frota!$L28)*Frota!$L28,N(VLOOKUP(Frota!$B28,Premissas!$A$39:$E$43,4,0)))=0,"A","S"),"S")),IF(N(VLOOKUP(Frota!$B28,Premissas!$A$39:$E$43,4,0))&gt;0,IF(MOD(INT(Cron_Uso!E28/Frota!$L28)*Frota!$L28,N(VLOOKUP(Frota!$B28,Premissas!$A$39:$E$43,4,0)))=0,"A","S"),"S")),""))</f>
        <v/>
      </c>
      <c r="F28" s="16" t="str">
        <f aca="false">IF(Cron_Uso!F28="","",IF(INT(Cron_Uso!F28/Frota!$L28)&gt;INT(Cron_Uso!E28/Frota!$L28),IF(N(VLOOKUP(Frota!$B28,Premissas!$A$39:$E$43,5,0))&gt;0,IF(MOD(INT(Cron_Uso!F28/Frota!$L28)*Frota!$L28,N(VLOOKUP(Frota!$B28,Premissas!$A$39:$E$43,5,0)))=0,"B",IF(N(VLOOKUP(Frota!$B28,Premissas!$A$39:$E$43,4,0))&gt;0,IF(MOD(INT(Cron_Uso!F28/Frota!$L28)*Frota!$L28,N(VLOOKUP(Frota!$B28,Premissas!$A$39:$E$43,4,0)))=0,"A","S"),"S")),IF(N(VLOOKUP(Frota!$B28,Premissas!$A$39:$E$43,4,0))&gt;0,IF(MOD(INT(Cron_Uso!F28/Frota!$L28)*Frota!$L28,N(VLOOKUP(Frota!$B28,Premissas!$A$39:$E$43,4,0)))=0,"A","S"),"S")),""))</f>
        <v/>
      </c>
      <c r="G28" s="16" t="str">
        <f aca="false">IF(Cron_Uso!G28="","",IF(INT(Cron_Uso!G28/Frota!$L28)&gt;INT(Cron_Uso!F28/Frota!$L28),IF(N(VLOOKUP(Frota!$B28,Premissas!$A$39:$E$43,5,0))&gt;0,IF(MOD(INT(Cron_Uso!G28/Frota!$L28)*Frota!$L28,N(VLOOKUP(Frota!$B28,Premissas!$A$39:$E$43,5,0)))=0,"B",IF(N(VLOOKUP(Frota!$B28,Premissas!$A$39:$E$43,4,0))&gt;0,IF(MOD(INT(Cron_Uso!G28/Frota!$L28)*Frota!$L28,N(VLOOKUP(Frota!$B28,Premissas!$A$39:$E$43,4,0)))=0,"A","S"),"S")),IF(N(VLOOKUP(Frota!$B28,Premissas!$A$39:$E$43,4,0))&gt;0,IF(MOD(INT(Cron_Uso!G28/Frota!$L28)*Frota!$L28,N(VLOOKUP(Frota!$B28,Premissas!$A$39:$E$43,4,0)))=0,"A","S"),"S")),""))</f>
        <v/>
      </c>
      <c r="H28" s="16" t="str">
        <f aca="false">IF(Cron_Uso!H28="","",IF(INT(Cron_Uso!H28/Frota!$L28)&gt;INT(Cron_Uso!G28/Frota!$L28),IF(N(VLOOKUP(Frota!$B28,Premissas!$A$39:$E$43,5,0))&gt;0,IF(MOD(INT(Cron_Uso!H28/Frota!$L28)*Frota!$L28,N(VLOOKUP(Frota!$B28,Premissas!$A$39:$E$43,5,0)))=0,"B",IF(N(VLOOKUP(Frota!$B28,Premissas!$A$39:$E$43,4,0))&gt;0,IF(MOD(INT(Cron_Uso!H28/Frota!$L28)*Frota!$L28,N(VLOOKUP(Frota!$B28,Premissas!$A$39:$E$43,4,0)))=0,"A","S"),"S")),IF(N(VLOOKUP(Frota!$B28,Premissas!$A$39:$E$43,4,0))&gt;0,IF(MOD(INT(Cron_Uso!H28/Frota!$L28)*Frota!$L28,N(VLOOKUP(Frota!$B28,Premissas!$A$39:$E$43,4,0)))=0,"A","S"),"S")),""))</f>
        <v/>
      </c>
      <c r="I28" s="16" t="str">
        <f aca="false">IF(Cron_Uso!I28="","",IF(INT(Cron_Uso!I28/Frota!$L28)&gt;INT(Cron_Uso!H28/Frota!$L28),IF(N(VLOOKUP(Frota!$B28,Premissas!$A$39:$E$43,5,0))&gt;0,IF(MOD(INT(Cron_Uso!I28/Frota!$L28)*Frota!$L28,N(VLOOKUP(Frota!$B28,Premissas!$A$39:$E$43,5,0)))=0,"B",IF(N(VLOOKUP(Frota!$B28,Premissas!$A$39:$E$43,4,0))&gt;0,IF(MOD(INT(Cron_Uso!I28/Frota!$L28)*Frota!$L28,N(VLOOKUP(Frota!$B28,Premissas!$A$39:$E$43,4,0)))=0,"A","S"),"S")),IF(N(VLOOKUP(Frota!$B28,Premissas!$A$39:$E$43,4,0))&gt;0,IF(MOD(INT(Cron_Uso!I28/Frota!$L28)*Frota!$L28,N(VLOOKUP(Frota!$B28,Premissas!$A$39:$E$43,4,0)))=0,"A","S"),"S")),""))</f>
        <v/>
      </c>
      <c r="J28" s="16" t="str">
        <f aca="false">IF(Cron_Uso!J28="","",IF(INT(Cron_Uso!J28/Frota!$L28)&gt;INT(Cron_Uso!I28/Frota!$L28),IF(N(VLOOKUP(Frota!$B28,Premissas!$A$39:$E$43,5,0))&gt;0,IF(MOD(INT(Cron_Uso!J28/Frota!$L28)*Frota!$L28,N(VLOOKUP(Frota!$B28,Premissas!$A$39:$E$43,5,0)))=0,"B",IF(N(VLOOKUP(Frota!$B28,Premissas!$A$39:$E$43,4,0))&gt;0,IF(MOD(INT(Cron_Uso!J28/Frota!$L28)*Frota!$L28,N(VLOOKUP(Frota!$B28,Premissas!$A$39:$E$43,4,0)))=0,"A","S"),"S")),IF(N(VLOOKUP(Frota!$B28,Premissas!$A$39:$E$43,4,0))&gt;0,IF(MOD(INT(Cron_Uso!J28/Frota!$L28)*Frota!$L28,N(VLOOKUP(Frota!$B28,Premissas!$A$39:$E$43,4,0)))=0,"A","S"),"S")),""))</f>
        <v/>
      </c>
      <c r="K28" s="16" t="str">
        <f aca="false">IF(Cron_Uso!K28="","",IF(INT(Cron_Uso!K28/Frota!$L28)&gt;INT(Cron_Uso!J28/Frota!$L28),IF(N(VLOOKUP(Frota!$B28,Premissas!$A$39:$E$43,5,0))&gt;0,IF(MOD(INT(Cron_Uso!K28/Frota!$L28)*Frota!$L28,N(VLOOKUP(Frota!$B28,Premissas!$A$39:$E$43,5,0)))=0,"B",IF(N(VLOOKUP(Frota!$B28,Premissas!$A$39:$E$43,4,0))&gt;0,IF(MOD(INT(Cron_Uso!K28/Frota!$L28)*Frota!$L28,N(VLOOKUP(Frota!$B28,Premissas!$A$39:$E$43,4,0)))=0,"A","S"),"S")),IF(N(VLOOKUP(Frota!$B28,Premissas!$A$39:$E$43,4,0))&gt;0,IF(MOD(INT(Cron_Uso!K28/Frota!$L28)*Frota!$L28,N(VLOOKUP(Frota!$B28,Premissas!$A$39:$E$43,4,0)))=0,"A","S"),"S")),""))</f>
        <v/>
      </c>
      <c r="L28" s="16" t="str">
        <f aca="false">IF(Cron_Uso!L28="","",IF(INT(Cron_Uso!L28/Frota!$L28)&gt;INT(Cron_Uso!K28/Frota!$L28),IF(N(VLOOKUP(Frota!$B28,Premissas!$A$39:$E$43,5,0))&gt;0,IF(MOD(INT(Cron_Uso!L28/Frota!$L28)*Frota!$L28,N(VLOOKUP(Frota!$B28,Premissas!$A$39:$E$43,5,0)))=0,"B",IF(N(VLOOKUP(Frota!$B28,Premissas!$A$39:$E$43,4,0))&gt;0,IF(MOD(INT(Cron_Uso!L28/Frota!$L28)*Frota!$L28,N(VLOOKUP(Frota!$B28,Premissas!$A$39:$E$43,4,0)))=0,"A","S"),"S")),IF(N(VLOOKUP(Frota!$B28,Premissas!$A$39:$E$43,4,0))&gt;0,IF(MOD(INT(Cron_Uso!L28/Frota!$L28)*Frota!$L28,N(VLOOKUP(Frota!$B28,Premissas!$A$39:$E$43,4,0)))=0,"A","S"),"S")),""))</f>
        <v/>
      </c>
      <c r="M28" s="16" t="str">
        <f aca="false">IF(Cron_Uso!M28="","",IF(INT(Cron_Uso!M28/Frota!$L28)&gt;INT(Cron_Uso!L28/Frota!$L28),IF(N(VLOOKUP(Frota!$B28,Premissas!$A$39:$E$43,5,0))&gt;0,IF(MOD(INT(Cron_Uso!M28/Frota!$L28)*Frota!$L28,N(VLOOKUP(Frota!$B28,Premissas!$A$39:$E$43,5,0)))=0,"B",IF(N(VLOOKUP(Frota!$B28,Premissas!$A$39:$E$43,4,0))&gt;0,IF(MOD(INT(Cron_Uso!M28/Frota!$L28)*Frota!$L28,N(VLOOKUP(Frota!$B28,Premissas!$A$39:$E$43,4,0)))=0,"A","S"),"S")),IF(N(VLOOKUP(Frota!$B28,Premissas!$A$39:$E$43,4,0))&gt;0,IF(MOD(INT(Cron_Uso!M28/Frota!$L28)*Frota!$L28,N(VLOOKUP(Frota!$B28,Premissas!$A$39:$E$43,4,0)))=0,"A","S"),"S")),""))</f>
        <v/>
      </c>
      <c r="N28" s="16" t="str">
        <f aca="false">IF(Cron_Uso!N28="","",IF(INT(Cron_Uso!N28/Frota!$L28)&gt;INT(Cron_Uso!M28/Frota!$L28),IF(N(VLOOKUP(Frota!$B28,Premissas!$A$39:$E$43,5,0))&gt;0,IF(MOD(INT(Cron_Uso!N28/Frota!$L28)*Frota!$L28,N(VLOOKUP(Frota!$B28,Premissas!$A$39:$E$43,5,0)))=0,"B",IF(N(VLOOKUP(Frota!$B28,Premissas!$A$39:$E$43,4,0))&gt;0,IF(MOD(INT(Cron_Uso!N28/Frota!$L28)*Frota!$L28,N(VLOOKUP(Frota!$B28,Premissas!$A$39:$E$43,4,0)))=0,"A","S"),"S")),IF(N(VLOOKUP(Frota!$B28,Premissas!$A$39:$E$43,4,0))&gt;0,IF(MOD(INT(Cron_Uso!N28/Frota!$L28)*Frota!$L28,N(VLOOKUP(Frota!$B28,Premissas!$A$39:$E$43,4,0)))=0,"A","S"),"S")),""))</f>
        <v/>
      </c>
      <c r="O28" s="16" t="str">
        <f aca="false">IF(Cron_Uso!O28="","",IF(INT(Cron_Uso!O28/Frota!$L28)&gt;INT(Cron_Uso!N28/Frota!$L28),IF(N(VLOOKUP(Frota!$B28,Premissas!$A$39:$E$43,5,0))&gt;0,IF(MOD(INT(Cron_Uso!O28/Frota!$L28)*Frota!$L28,N(VLOOKUP(Frota!$B28,Premissas!$A$39:$E$43,5,0)))=0,"B",IF(N(VLOOKUP(Frota!$B28,Premissas!$A$39:$E$43,4,0))&gt;0,IF(MOD(INT(Cron_Uso!O28/Frota!$L28)*Frota!$L28,N(VLOOKUP(Frota!$B28,Premissas!$A$39:$E$43,4,0)))=0,"A","S"),"S")),IF(N(VLOOKUP(Frota!$B28,Premissas!$A$39:$E$43,4,0))&gt;0,IF(MOD(INT(Cron_Uso!O28/Frota!$L28)*Frota!$L28,N(VLOOKUP(Frota!$B28,Premissas!$A$39:$E$43,4,0)))=0,"A","S"),"S")),""))</f>
        <v/>
      </c>
      <c r="P28" s="16" t="str">
        <f aca="false">IF(Cron_Uso!P28="","",IF(INT(Cron_Uso!P28/Frota!$L28)&gt;INT(Cron_Uso!O28/Frota!$L28),IF(N(VLOOKUP(Frota!$B28,Premissas!$A$39:$E$43,5,0))&gt;0,IF(MOD(INT(Cron_Uso!P28/Frota!$L28)*Frota!$L28,N(VLOOKUP(Frota!$B28,Premissas!$A$39:$E$43,5,0)))=0,"B",IF(N(VLOOKUP(Frota!$B28,Premissas!$A$39:$E$43,4,0))&gt;0,IF(MOD(INT(Cron_Uso!P28/Frota!$L28)*Frota!$L28,N(VLOOKUP(Frota!$B28,Premissas!$A$39:$E$43,4,0)))=0,"A","S"),"S")),IF(N(VLOOKUP(Frota!$B28,Premissas!$A$39:$E$43,4,0))&gt;0,IF(MOD(INT(Cron_Uso!P28/Frota!$L28)*Frota!$L28,N(VLOOKUP(Frota!$B28,Premissas!$A$39:$E$43,4,0)))=0,"A","S"),"S")),""))</f>
        <v/>
      </c>
      <c r="Q28" s="16" t="str">
        <f aca="false">IF(Cron_Uso!Q28="","",IF(INT(Cron_Uso!Q28/Frota!$L28)&gt;INT(Cron_Uso!P28/Frota!$L28),IF(N(VLOOKUP(Frota!$B28,Premissas!$A$39:$E$43,5,0))&gt;0,IF(MOD(INT(Cron_Uso!Q28/Frota!$L28)*Frota!$L28,N(VLOOKUP(Frota!$B28,Premissas!$A$39:$E$43,5,0)))=0,"B",IF(N(VLOOKUP(Frota!$B28,Premissas!$A$39:$E$43,4,0))&gt;0,IF(MOD(INT(Cron_Uso!Q28/Frota!$L28)*Frota!$L28,N(VLOOKUP(Frota!$B28,Premissas!$A$39:$E$43,4,0)))=0,"A","S"),"S")),IF(N(VLOOKUP(Frota!$B28,Premissas!$A$39:$E$43,4,0))&gt;0,IF(MOD(INT(Cron_Uso!Q28/Frota!$L28)*Frota!$L28,N(VLOOKUP(Frota!$B28,Premissas!$A$39:$E$43,4,0)))=0,"A","S"),"S")),""))</f>
        <v/>
      </c>
      <c r="R28" s="16" t="str">
        <f aca="false">IF(Cron_Uso!R28="","",IF(INT(Cron_Uso!R28/Frota!$L28)&gt;INT(Cron_Uso!Q28/Frota!$L28),IF(N(VLOOKUP(Frota!$B28,Premissas!$A$39:$E$43,5,0))&gt;0,IF(MOD(INT(Cron_Uso!R28/Frota!$L28)*Frota!$L28,N(VLOOKUP(Frota!$B28,Premissas!$A$39:$E$43,5,0)))=0,"B",IF(N(VLOOKUP(Frota!$B28,Premissas!$A$39:$E$43,4,0))&gt;0,IF(MOD(INT(Cron_Uso!R28/Frota!$L28)*Frota!$L28,N(VLOOKUP(Frota!$B28,Premissas!$A$39:$E$43,4,0)))=0,"A","S"),"S")),IF(N(VLOOKUP(Frota!$B28,Premissas!$A$39:$E$43,4,0))&gt;0,IF(MOD(INT(Cron_Uso!R28/Frota!$L28)*Frota!$L28,N(VLOOKUP(Frota!$B28,Premissas!$A$39:$E$43,4,0)))=0,"A","S"),"S")),""))</f>
        <v/>
      </c>
      <c r="S28" s="16" t="str">
        <f aca="false">IF(Cron_Uso!S28="","",IF(INT(Cron_Uso!S28/Frota!$L28)&gt;INT(Cron_Uso!R28/Frota!$L28),IF(N(VLOOKUP(Frota!$B28,Premissas!$A$39:$E$43,5,0))&gt;0,IF(MOD(INT(Cron_Uso!S28/Frota!$L28)*Frota!$L28,N(VLOOKUP(Frota!$B28,Premissas!$A$39:$E$43,5,0)))=0,"B",IF(N(VLOOKUP(Frota!$B28,Premissas!$A$39:$E$43,4,0))&gt;0,IF(MOD(INT(Cron_Uso!S28/Frota!$L28)*Frota!$L28,N(VLOOKUP(Frota!$B28,Premissas!$A$39:$E$43,4,0)))=0,"A","S"),"S")),IF(N(VLOOKUP(Frota!$B28,Premissas!$A$39:$E$43,4,0))&gt;0,IF(MOD(INT(Cron_Uso!S28/Frota!$L28)*Frota!$L28,N(VLOOKUP(Frota!$B28,Premissas!$A$39:$E$43,4,0)))=0,"A","S"),"S")),""))</f>
        <v/>
      </c>
      <c r="T28" s="16" t="str">
        <f aca="false">IF(Cron_Uso!T28="","",IF(INT(Cron_Uso!T28/Frota!$L28)&gt;INT(Cron_Uso!S28/Frota!$L28),IF(N(VLOOKUP(Frota!$B28,Premissas!$A$39:$E$43,5,0))&gt;0,IF(MOD(INT(Cron_Uso!T28/Frota!$L28)*Frota!$L28,N(VLOOKUP(Frota!$B28,Premissas!$A$39:$E$43,5,0)))=0,"B",IF(N(VLOOKUP(Frota!$B28,Premissas!$A$39:$E$43,4,0))&gt;0,IF(MOD(INT(Cron_Uso!T28/Frota!$L28)*Frota!$L28,N(VLOOKUP(Frota!$B28,Premissas!$A$39:$E$43,4,0)))=0,"A","S"),"S")),IF(N(VLOOKUP(Frota!$B28,Premissas!$A$39:$E$43,4,0))&gt;0,IF(MOD(INT(Cron_Uso!T28/Frota!$L28)*Frota!$L28,N(VLOOKUP(Frota!$B28,Premissas!$A$39:$E$43,4,0)))=0,"A","S"),"S")),""))</f>
        <v/>
      </c>
      <c r="U28" s="16" t="str">
        <f aca="false">IF(Cron_Uso!U28="","",IF(INT(Cron_Uso!U28/Frota!$L28)&gt;INT(Cron_Uso!T28/Frota!$L28),IF(N(VLOOKUP(Frota!$B28,Premissas!$A$39:$E$43,5,0))&gt;0,IF(MOD(INT(Cron_Uso!U28/Frota!$L28)*Frota!$L28,N(VLOOKUP(Frota!$B28,Premissas!$A$39:$E$43,5,0)))=0,"B",IF(N(VLOOKUP(Frota!$B28,Premissas!$A$39:$E$43,4,0))&gt;0,IF(MOD(INT(Cron_Uso!U28/Frota!$L28)*Frota!$L28,N(VLOOKUP(Frota!$B28,Premissas!$A$39:$E$43,4,0)))=0,"A","S"),"S")),IF(N(VLOOKUP(Frota!$B28,Premissas!$A$39:$E$43,4,0))&gt;0,IF(MOD(INT(Cron_Uso!U28/Frota!$L28)*Frota!$L28,N(VLOOKUP(Frota!$B28,Premissas!$A$39:$E$43,4,0)))=0,"A","S"),"S")),""))</f>
        <v/>
      </c>
      <c r="V28" s="16" t="str">
        <f aca="false">IF(Cron_Uso!V28="","",IF(INT(Cron_Uso!V28/Frota!$L28)&gt;INT(Cron_Uso!U28/Frota!$L28),IF(N(VLOOKUP(Frota!$B28,Premissas!$A$39:$E$43,5,0))&gt;0,IF(MOD(INT(Cron_Uso!V28/Frota!$L28)*Frota!$L28,N(VLOOKUP(Frota!$B28,Premissas!$A$39:$E$43,5,0)))=0,"B",IF(N(VLOOKUP(Frota!$B28,Premissas!$A$39:$E$43,4,0))&gt;0,IF(MOD(INT(Cron_Uso!V28/Frota!$L28)*Frota!$L28,N(VLOOKUP(Frota!$B28,Premissas!$A$39:$E$43,4,0)))=0,"A","S"),"S")),IF(N(VLOOKUP(Frota!$B28,Premissas!$A$39:$E$43,4,0))&gt;0,IF(MOD(INT(Cron_Uso!V28/Frota!$L28)*Frota!$L28,N(VLOOKUP(Frota!$B28,Premissas!$A$39:$E$43,4,0)))=0,"A","S"),"S")),""))</f>
        <v/>
      </c>
      <c r="W28" s="16" t="str">
        <f aca="false">IF(Cron_Uso!W28="","",IF(INT(Cron_Uso!W28/Frota!$L28)&gt;INT(Cron_Uso!V28/Frota!$L28),IF(N(VLOOKUP(Frota!$B28,Premissas!$A$39:$E$43,5,0))&gt;0,IF(MOD(INT(Cron_Uso!W28/Frota!$L28)*Frota!$L28,N(VLOOKUP(Frota!$B28,Premissas!$A$39:$E$43,5,0)))=0,"B",IF(N(VLOOKUP(Frota!$B28,Premissas!$A$39:$E$43,4,0))&gt;0,IF(MOD(INT(Cron_Uso!W28/Frota!$L28)*Frota!$L28,N(VLOOKUP(Frota!$B28,Premissas!$A$39:$E$43,4,0)))=0,"A","S"),"S")),IF(N(VLOOKUP(Frota!$B28,Premissas!$A$39:$E$43,4,0))&gt;0,IF(MOD(INT(Cron_Uso!W28/Frota!$L28)*Frota!$L28,N(VLOOKUP(Frota!$B28,Premissas!$A$39:$E$43,4,0)))=0,"A","S"),"S")),""))</f>
        <v/>
      </c>
      <c r="X28" s="16" t="str">
        <f aca="false">IF(Cron_Uso!X28="","",IF(INT(Cron_Uso!X28/Frota!$L28)&gt;INT(Cron_Uso!W28/Frota!$L28),IF(N(VLOOKUP(Frota!$B28,Premissas!$A$39:$E$43,5,0))&gt;0,IF(MOD(INT(Cron_Uso!X28/Frota!$L28)*Frota!$L28,N(VLOOKUP(Frota!$B28,Premissas!$A$39:$E$43,5,0)))=0,"B",IF(N(VLOOKUP(Frota!$B28,Premissas!$A$39:$E$43,4,0))&gt;0,IF(MOD(INT(Cron_Uso!X28/Frota!$L28)*Frota!$L28,N(VLOOKUP(Frota!$B28,Premissas!$A$39:$E$43,4,0)))=0,"A","S"),"S")),IF(N(VLOOKUP(Frota!$B28,Premissas!$A$39:$E$43,4,0))&gt;0,IF(MOD(INT(Cron_Uso!X28/Frota!$L28)*Frota!$L28,N(VLOOKUP(Frota!$B28,Premissas!$A$39:$E$43,4,0)))=0,"A","S"),"S")),""))</f>
        <v/>
      </c>
      <c r="Y28" s="16" t="str">
        <f aca="false">IF(Cron_Uso!Y28="","",IF(INT(Cron_Uso!Y28/Frota!$L28)&gt;INT(Cron_Uso!X28/Frota!$L28),IF(N(VLOOKUP(Frota!$B28,Premissas!$A$39:$E$43,5,0))&gt;0,IF(MOD(INT(Cron_Uso!Y28/Frota!$L28)*Frota!$L28,N(VLOOKUP(Frota!$B28,Premissas!$A$39:$E$43,5,0)))=0,"B",IF(N(VLOOKUP(Frota!$B28,Premissas!$A$39:$E$43,4,0))&gt;0,IF(MOD(INT(Cron_Uso!Y28/Frota!$L28)*Frota!$L28,N(VLOOKUP(Frota!$B28,Premissas!$A$39:$E$43,4,0)))=0,"A","S"),"S")),IF(N(VLOOKUP(Frota!$B28,Premissas!$A$39:$E$43,4,0))&gt;0,IF(MOD(INT(Cron_Uso!Y28/Frota!$L28)*Frota!$L28,N(VLOOKUP(Frota!$B28,Premissas!$A$39:$E$43,4,0)))=0,"A","S"),"S")),""))</f>
        <v/>
      </c>
      <c r="Z28" s="16" t="str">
        <f aca="false">IF(Cron_Uso!Z28="","",IF(INT(Cron_Uso!Z28/Frota!$L28)&gt;INT(Cron_Uso!Y28/Frota!$L28),IF(N(VLOOKUP(Frota!$B28,Premissas!$A$39:$E$43,5,0))&gt;0,IF(MOD(INT(Cron_Uso!Z28/Frota!$L28)*Frota!$L28,N(VLOOKUP(Frota!$B28,Premissas!$A$39:$E$43,5,0)))=0,"B",IF(N(VLOOKUP(Frota!$B28,Premissas!$A$39:$E$43,4,0))&gt;0,IF(MOD(INT(Cron_Uso!Z28/Frota!$L28)*Frota!$L28,N(VLOOKUP(Frota!$B28,Premissas!$A$39:$E$43,4,0)))=0,"A","S"),"S")),IF(N(VLOOKUP(Frota!$B28,Premissas!$A$39:$E$43,4,0))&gt;0,IF(MOD(INT(Cron_Uso!Z28/Frota!$L28)*Frota!$L28,N(VLOOKUP(Frota!$B28,Premissas!$A$39:$E$43,4,0)))=0,"A","S"),"S")),""))</f>
        <v/>
      </c>
      <c r="AA28" s="16" t="str">
        <f aca="false">IF(Cron_Uso!AA28="","",IF(INT(Cron_Uso!AA28/Frota!$L28)&gt;INT(Cron_Uso!Z28/Frota!$L28),IF(N(VLOOKUP(Frota!$B28,Premissas!$A$39:$E$43,5,0))&gt;0,IF(MOD(INT(Cron_Uso!AA28/Frota!$L28)*Frota!$L28,N(VLOOKUP(Frota!$B28,Premissas!$A$39:$E$43,5,0)))=0,"B",IF(N(VLOOKUP(Frota!$B28,Premissas!$A$39:$E$43,4,0))&gt;0,IF(MOD(INT(Cron_Uso!AA28/Frota!$L28)*Frota!$L28,N(VLOOKUP(Frota!$B28,Premissas!$A$39:$E$43,4,0)))=0,"A","S"),"S")),IF(N(VLOOKUP(Frota!$B28,Premissas!$A$39:$E$43,4,0))&gt;0,IF(MOD(INT(Cron_Uso!AA28/Frota!$L28)*Frota!$L28,N(VLOOKUP(Frota!$B28,Premissas!$A$39:$E$43,4,0)))=0,"A","S"),"S")),""))</f>
        <v/>
      </c>
      <c r="AB28" s="16" t="str">
        <f aca="false">IF(Cron_Uso!AB28="","",IF(INT(Cron_Uso!AB28/Frota!$L28)&gt;INT(Cron_Uso!AA28/Frota!$L28),IF(N(VLOOKUP(Frota!$B28,Premissas!$A$39:$E$43,5,0))&gt;0,IF(MOD(INT(Cron_Uso!AB28/Frota!$L28)*Frota!$L28,N(VLOOKUP(Frota!$B28,Premissas!$A$39:$E$43,5,0)))=0,"B",IF(N(VLOOKUP(Frota!$B28,Premissas!$A$39:$E$43,4,0))&gt;0,IF(MOD(INT(Cron_Uso!AB28/Frota!$L28)*Frota!$L28,N(VLOOKUP(Frota!$B28,Premissas!$A$39:$E$43,4,0)))=0,"A","S"),"S")),IF(N(VLOOKUP(Frota!$B28,Premissas!$A$39:$E$43,4,0))&gt;0,IF(MOD(INT(Cron_Uso!AB28/Frota!$L28)*Frota!$L28,N(VLOOKUP(Frota!$B28,Premissas!$A$39:$E$43,4,0)))=0,"A","S"),"S")),""))</f>
        <v/>
      </c>
      <c r="AC28" s="16" t="str">
        <f aca="false">IF(Cron_Uso!AC28="","",IF(INT(Cron_Uso!AC28/Frota!$L28)&gt;INT(Cron_Uso!AB28/Frota!$L28),IF(N(VLOOKUP(Frota!$B28,Premissas!$A$39:$E$43,5,0))&gt;0,IF(MOD(INT(Cron_Uso!AC28/Frota!$L28)*Frota!$L28,N(VLOOKUP(Frota!$B28,Premissas!$A$39:$E$43,5,0)))=0,"B",IF(N(VLOOKUP(Frota!$B28,Premissas!$A$39:$E$43,4,0))&gt;0,IF(MOD(INT(Cron_Uso!AC28/Frota!$L28)*Frota!$L28,N(VLOOKUP(Frota!$B28,Premissas!$A$39:$E$43,4,0)))=0,"A","S"),"S")),IF(N(VLOOKUP(Frota!$B28,Premissas!$A$39:$E$43,4,0))&gt;0,IF(MOD(INT(Cron_Uso!AC28/Frota!$L28)*Frota!$L28,N(VLOOKUP(Frota!$B28,Premissas!$A$39:$E$43,4,0)))=0,"A","S"),"S")),""))</f>
        <v/>
      </c>
      <c r="AD28" s="16" t="str">
        <f aca="false">IF(Cron_Uso!AD28="","",IF(INT(Cron_Uso!AD28/Frota!$L28)&gt;INT(Cron_Uso!AC28/Frota!$L28),IF(N(VLOOKUP(Frota!$B28,Premissas!$A$39:$E$43,5,0))&gt;0,IF(MOD(INT(Cron_Uso!AD28/Frota!$L28)*Frota!$L28,N(VLOOKUP(Frota!$B28,Premissas!$A$39:$E$43,5,0)))=0,"B",IF(N(VLOOKUP(Frota!$B28,Premissas!$A$39:$E$43,4,0))&gt;0,IF(MOD(INT(Cron_Uso!AD28/Frota!$L28)*Frota!$L28,N(VLOOKUP(Frota!$B28,Premissas!$A$39:$E$43,4,0)))=0,"A","S"),"S")),IF(N(VLOOKUP(Frota!$B28,Premissas!$A$39:$E$43,4,0))&gt;0,IF(MOD(INT(Cron_Uso!AD28/Frota!$L28)*Frota!$L28,N(VLOOKUP(Frota!$B28,Premissas!$A$39:$E$43,4,0)))=0,"A","S"),"S")),""))</f>
        <v/>
      </c>
      <c r="AE28" s="16" t="str">
        <f aca="false">IF(Cron_Uso!AE28="","",IF(INT(Cron_Uso!AE28/Frota!$L28)&gt;INT(Cron_Uso!AD28/Frota!$L28),IF(N(VLOOKUP(Frota!$B28,Premissas!$A$39:$E$43,5,0))&gt;0,IF(MOD(INT(Cron_Uso!AE28/Frota!$L28)*Frota!$L28,N(VLOOKUP(Frota!$B28,Premissas!$A$39:$E$43,5,0)))=0,"B",IF(N(VLOOKUP(Frota!$B28,Premissas!$A$39:$E$43,4,0))&gt;0,IF(MOD(INT(Cron_Uso!AE28/Frota!$L28)*Frota!$L28,N(VLOOKUP(Frota!$B28,Premissas!$A$39:$E$43,4,0)))=0,"A","S"),"S")),IF(N(VLOOKUP(Frota!$B28,Premissas!$A$39:$E$43,4,0))&gt;0,IF(MOD(INT(Cron_Uso!AE28/Frota!$L28)*Frota!$L28,N(VLOOKUP(Frota!$B28,Premissas!$A$39:$E$43,4,0)))=0,"A","S"),"S")),""))</f>
        <v/>
      </c>
      <c r="AF28" s="16" t="str">
        <f aca="false">IF(Cron_Uso!AF28="","",IF(INT(Cron_Uso!AF28/Frota!$L28)&gt;INT(Cron_Uso!AE28/Frota!$L28),IF(N(VLOOKUP(Frota!$B28,Premissas!$A$39:$E$43,5,0))&gt;0,IF(MOD(INT(Cron_Uso!AF28/Frota!$L28)*Frota!$L28,N(VLOOKUP(Frota!$B28,Premissas!$A$39:$E$43,5,0)))=0,"B",IF(N(VLOOKUP(Frota!$B28,Premissas!$A$39:$E$43,4,0))&gt;0,IF(MOD(INT(Cron_Uso!AF28/Frota!$L28)*Frota!$L28,N(VLOOKUP(Frota!$B28,Premissas!$A$39:$E$43,4,0)))=0,"A","S"),"S")),IF(N(VLOOKUP(Frota!$B28,Premissas!$A$39:$E$43,4,0))&gt;0,IF(MOD(INT(Cron_Uso!AF28/Frota!$L28)*Frota!$L28,N(VLOOKUP(Frota!$B28,Premissas!$A$39:$E$43,4,0)))=0,"A","S"),"S")),""))</f>
        <v/>
      </c>
      <c r="AG28" s="16" t="str">
        <f aca="false">IF(Cron_Uso!AG28="","",IF(INT(Cron_Uso!AG28/Frota!$L28)&gt;INT(Cron_Uso!AF28/Frota!$L28),IF(N(VLOOKUP(Frota!$B28,Premissas!$A$39:$E$43,5,0))&gt;0,IF(MOD(INT(Cron_Uso!AG28/Frota!$L28)*Frota!$L28,N(VLOOKUP(Frota!$B28,Premissas!$A$39:$E$43,5,0)))=0,"B",IF(N(VLOOKUP(Frota!$B28,Premissas!$A$39:$E$43,4,0))&gt;0,IF(MOD(INT(Cron_Uso!AG28/Frota!$L28)*Frota!$L28,N(VLOOKUP(Frota!$B28,Premissas!$A$39:$E$43,4,0)))=0,"A","S"),"S")),IF(N(VLOOKUP(Frota!$B28,Premissas!$A$39:$E$43,4,0))&gt;0,IF(MOD(INT(Cron_Uso!AG28/Frota!$L28)*Frota!$L28,N(VLOOKUP(Frota!$B28,Premissas!$A$39:$E$43,4,0)))=0,"A","S"),"S")),""))</f>
        <v/>
      </c>
      <c r="AH28" s="16" t="str">
        <f aca="false">IF(Cron_Uso!AH28="","",IF(INT(Cron_Uso!AH28/Frota!$L28)&gt;INT(Cron_Uso!AG28/Frota!$L28),IF(N(VLOOKUP(Frota!$B28,Premissas!$A$39:$E$43,5,0))&gt;0,IF(MOD(INT(Cron_Uso!AH28/Frota!$L28)*Frota!$L28,N(VLOOKUP(Frota!$B28,Premissas!$A$39:$E$43,5,0)))=0,"B",IF(N(VLOOKUP(Frota!$B28,Premissas!$A$39:$E$43,4,0))&gt;0,IF(MOD(INT(Cron_Uso!AH28/Frota!$L28)*Frota!$L28,N(VLOOKUP(Frota!$B28,Premissas!$A$39:$E$43,4,0)))=0,"A","S"),"S")),IF(N(VLOOKUP(Frota!$B28,Premissas!$A$39:$E$43,4,0))&gt;0,IF(MOD(INT(Cron_Uso!AH28/Frota!$L28)*Frota!$L28,N(VLOOKUP(Frota!$B28,Premissas!$A$39:$E$43,4,0)))=0,"A","S"),"S")),""))</f>
        <v/>
      </c>
      <c r="AI28" s="16" t="str">
        <f aca="false">IF(Cron_Uso!AI28="","",IF(INT(Cron_Uso!AI28/Frota!$L28)&gt;INT(Cron_Uso!AH28/Frota!$L28),IF(N(VLOOKUP(Frota!$B28,Premissas!$A$39:$E$43,5,0))&gt;0,IF(MOD(INT(Cron_Uso!AI28/Frota!$L28)*Frota!$L28,N(VLOOKUP(Frota!$B28,Premissas!$A$39:$E$43,5,0)))=0,"B",IF(N(VLOOKUP(Frota!$B28,Premissas!$A$39:$E$43,4,0))&gt;0,IF(MOD(INT(Cron_Uso!AI28/Frota!$L28)*Frota!$L28,N(VLOOKUP(Frota!$B28,Premissas!$A$39:$E$43,4,0)))=0,"A","S"),"S")),IF(N(VLOOKUP(Frota!$B28,Premissas!$A$39:$E$43,4,0))&gt;0,IF(MOD(INT(Cron_Uso!AI28/Frota!$L28)*Frota!$L28,N(VLOOKUP(Frota!$B28,Premissas!$A$39:$E$43,4,0)))=0,"A","S"),"S")),""))</f>
        <v/>
      </c>
      <c r="AJ28" s="16" t="str">
        <f aca="false">IF(Cron_Uso!AJ28="","",IF(INT(Cron_Uso!AJ28/Frota!$L28)&gt;INT(Cron_Uso!AI28/Frota!$L28),IF(N(VLOOKUP(Frota!$B28,Premissas!$A$39:$E$43,5,0))&gt;0,IF(MOD(INT(Cron_Uso!AJ28/Frota!$L28)*Frota!$L28,N(VLOOKUP(Frota!$B28,Premissas!$A$39:$E$43,5,0)))=0,"B",IF(N(VLOOKUP(Frota!$B28,Premissas!$A$39:$E$43,4,0))&gt;0,IF(MOD(INT(Cron_Uso!AJ28/Frota!$L28)*Frota!$L28,N(VLOOKUP(Frota!$B28,Premissas!$A$39:$E$43,4,0)))=0,"A","S"),"S")),IF(N(VLOOKUP(Frota!$B28,Premissas!$A$39:$E$43,4,0))&gt;0,IF(MOD(INT(Cron_Uso!AJ28/Frota!$L28)*Frota!$L28,N(VLOOKUP(Frota!$B28,Premissas!$A$39:$E$43,4,0)))=0,"A","S"),"S")),""))</f>
        <v/>
      </c>
      <c r="AK28" s="16" t="str">
        <f aca="false">IF(Cron_Uso!AK28="","",IF(INT(Cron_Uso!AK28/Frota!$L28)&gt;INT(Cron_Uso!AJ28/Frota!$L28),IF(N(VLOOKUP(Frota!$B28,Premissas!$A$39:$E$43,5,0))&gt;0,IF(MOD(INT(Cron_Uso!AK28/Frota!$L28)*Frota!$L28,N(VLOOKUP(Frota!$B28,Premissas!$A$39:$E$43,5,0)))=0,"B",IF(N(VLOOKUP(Frota!$B28,Premissas!$A$39:$E$43,4,0))&gt;0,IF(MOD(INT(Cron_Uso!AK28/Frota!$L28)*Frota!$L28,N(VLOOKUP(Frota!$B28,Premissas!$A$39:$E$43,4,0)))=0,"A","S"),"S")),IF(N(VLOOKUP(Frota!$B28,Premissas!$A$39:$E$43,4,0))&gt;0,IF(MOD(INT(Cron_Uso!AK28/Frota!$L28)*Frota!$L28,N(VLOOKUP(Frota!$B28,Premissas!$A$39:$E$43,4,0)))=0,"A","S"),"S")),""))</f>
        <v/>
      </c>
      <c r="AL28" s="16" t="str">
        <f aca="false">IF(Cron_Uso!AL28="","",IF(INT(Cron_Uso!AL28/Frota!$L28)&gt;INT(Cron_Uso!AK28/Frota!$L28),IF(N(VLOOKUP(Frota!$B28,Premissas!$A$39:$E$43,5,0))&gt;0,IF(MOD(INT(Cron_Uso!AL28/Frota!$L28)*Frota!$L28,N(VLOOKUP(Frota!$B28,Premissas!$A$39:$E$43,5,0)))=0,"B",IF(N(VLOOKUP(Frota!$B28,Premissas!$A$39:$E$43,4,0))&gt;0,IF(MOD(INT(Cron_Uso!AL28/Frota!$L28)*Frota!$L28,N(VLOOKUP(Frota!$B28,Premissas!$A$39:$E$43,4,0)))=0,"A","S"),"S")),IF(N(VLOOKUP(Frota!$B28,Premissas!$A$39:$E$43,4,0))&gt;0,IF(MOD(INT(Cron_Uso!AL28/Frota!$L28)*Frota!$L28,N(VLOOKUP(Frota!$B28,Premissas!$A$39:$E$43,4,0)))=0,"A","S"),"S")),""))</f>
        <v/>
      </c>
      <c r="AM28" s="16" t="str">
        <f aca="false">IF(Cron_Uso!AM28="","",IF(INT(Cron_Uso!AM28/Frota!$L28)&gt;INT(Cron_Uso!AL28/Frota!$L28),IF(N(VLOOKUP(Frota!$B28,Premissas!$A$39:$E$43,5,0))&gt;0,IF(MOD(INT(Cron_Uso!AM28/Frota!$L28)*Frota!$L28,N(VLOOKUP(Frota!$B28,Premissas!$A$39:$E$43,5,0)))=0,"B",IF(N(VLOOKUP(Frota!$B28,Premissas!$A$39:$E$43,4,0))&gt;0,IF(MOD(INT(Cron_Uso!AM28/Frota!$L28)*Frota!$L28,N(VLOOKUP(Frota!$B28,Premissas!$A$39:$E$43,4,0)))=0,"A","S"),"S")),IF(N(VLOOKUP(Frota!$B28,Premissas!$A$39:$E$43,4,0))&gt;0,IF(MOD(INT(Cron_Uso!AM28/Frota!$L28)*Frota!$L28,N(VLOOKUP(Frota!$B28,Premissas!$A$39:$E$43,4,0)))=0,"A","S"),"S")),""))</f>
        <v/>
      </c>
      <c r="AN28" s="16" t="str">
        <f aca="false">IF(Cron_Uso!AN28="","",IF(INT(Cron_Uso!AN28/Frota!$L28)&gt;INT(Cron_Uso!AM28/Frota!$L28),IF(N(VLOOKUP(Frota!$B28,Premissas!$A$39:$E$43,5,0))&gt;0,IF(MOD(INT(Cron_Uso!AN28/Frota!$L28)*Frota!$L28,N(VLOOKUP(Frota!$B28,Premissas!$A$39:$E$43,5,0)))=0,"B",IF(N(VLOOKUP(Frota!$B28,Premissas!$A$39:$E$43,4,0))&gt;0,IF(MOD(INT(Cron_Uso!AN28/Frota!$L28)*Frota!$L28,N(VLOOKUP(Frota!$B28,Premissas!$A$39:$E$43,4,0)))=0,"A","S"),"S")),IF(N(VLOOKUP(Frota!$B28,Premissas!$A$39:$E$43,4,0))&gt;0,IF(MOD(INT(Cron_Uso!AN28/Frota!$L28)*Frota!$L28,N(VLOOKUP(Frota!$B28,Premissas!$A$39:$E$43,4,0)))=0,"A","S"),"S")),""))</f>
        <v/>
      </c>
      <c r="AO28" s="16" t="str">
        <f aca="false">IF(Cron_Uso!AO28="","",IF(INT(Cron_Uso!AO28/Frota!$L28)&gt;INT(Cron_Uso!AN28/Frota!$L28),IF(N(VLOOKUP(Frota!$B28,Premissas!$A$39:$E$43,5,0))&gt;0,IF(MOD(INT(Cron_Uso!AO28/Frota!$L28)*Frota!$L28,N(VLOOKUP(Frota!$B28,Premissas!$A$39:$E$43,5,0)))=0,"B",IF(N(VLOOKUP(Frota!$B28,Premissas!$A$39:$E$43,4,0))&gt;0,IF(MOD(INT(Cron_Uso!AO28/Frota!$L28)*Frota!$L28,N(VLOOKUP(Frota!$B28,Premissas!$A$39:$E$43,4,0)))=0,"A","S"),"S")),IF(N(VLOOKUP(Frota!$B28,Premissas!$A$39:$E$43,4,0))&gt;0,IF(MOD(INT(Cron_Uso!AO28/Frota!$L28)*Frota!$L28,N(VLOOKUP(Frota!$B28,Premissas!$A$39:$E$43,4,0)))=0,"A","S"),"S")),""))</f>
        <v/>
      </c>
      <c r="AP28" s="16" t="str">
        <f aca="false">IF(Cron_Uso!AP28="","",IF(INT(Cron_Uso!AP28/Frota!$L28)&gt;INT(Cron_Uso!AO28/Frota!$L28),IF(N(VLOOKUP(Frota!$B28,Premissas!$A$39:$E$43,5,0))&gt;0,IF(MOD(INT(Cron_Uso!AP28/Frota!$L28)*Frota!$L28,N(VLOOKUP(Frota!$B28,Premissas!$A$39:$E$43,5,0)))=0,"B",IF(N(VLOOKUP(Frota!$B28,Premissas!$A$39:$E$43,4,0))&gt;0,IF(MOD(INT(Cron_Uso!AP28/Frota!$L28)*Frota!$L28,N(VLOOKUP(Frota!$B28,Premissas!$A$39:$E$43,4,0)))=0,"A","S"),"S")),IF(N(VLOOKUP(Frota!$B28,Premissas!$A$39:$E$43,4,0))&gt;0,IF(MOD(INT(Cron_Uso!AP28/Frota!$L28)*Frota!$L28,N(VLOOKUP(Frota!$B28,Premissas!$A$39:$E$43,4,0)))=0,"A","S"),"S")),""))</f>
        <v/>
      </c>
      <c r="AQ28" s="16" t="str">
        <f aca="false">IF(Cron_Uso!AQ28="","",IF(INT(Cron_Uso!AQ28/Frota!$L28)&gt;INT(Cron_Uso!AP28/Frota!$L28),IF(N(VLOOKUP(Frota!$B28,Premissas!$A$39:$E$43,5,0))&gt;0,IF(MOD(INT(Cron_Uso!AQ28/Frota!$L28)*Frota!$L28,N(VLOOKUP(Frota!$B28,Premissas!$A$39:$E$43,5,0)))=0,"B",IF(N(VLOOKUP(Frota!$B28,Premissas!$A$39:$E$43,4,0))&gt;0,IF(MOD(INT(Cron_Uso!AQ28/Frota!$L28)*Frota!$L28,N(VLOOKUP(Frota!$B28,Premissas!$A$39:$E$43,4,0)))=0,"A","S"),"S")),IF(N(VLOOKUP(Frota!$B28,Premissas!$A$39:$E$43,4,0))&gt;0,IF(MOD(INT(Cron_Uso!AQ28/Frota!$L28)*Frota!$L28,N(VLOOKUP(Frota!$B28,Premissas!$A$39:$E$43,4,0)))=0,"A","S"),"S")),""))</f>
        <v/>
      </c>
      <c r="AR28" s="16" t="str">
        <f aca="false">IF(Cron_Uso!AR28="","",IF(INT(Cron_Uso!AR28/Frota!$L28)&gt;INT(Cron_Uso!AQ28/Frota!$L28),IF(N(VLOOKUP(Frota!$B28,Premissas!$A$39:$E$43,5,0))&gt;0,IF(MOD(INT(Cron_Uso!AR28/Frota!$L28)*Frota!$L28,N(VLOOKUP(Frota!$B28,Premissas!$A$39:$E$43,5,0)))=0,"B",IF(N(VLOOKUP(Frota!$B28,Premissas!$A$39:$E$43,4,0))&gt;0,IF(MOD(INT(Cron_Uso!AR28/Frota!$L28)*Frota!$L28,N(VLOOKUP(Frota!$B28,Premissas!$A$39:$E$43,4,0)))=0,"A","S"),"S")),IF(N(VLOOKUP(Frota!$B28,Premissas!$A$39:$E$43,4,0))&gt;0,IF(MOD(INT(Cron_Uso!AR28/Frota!$L28)*Frota!$L28,N(VLOOKUP(Frota!$B28,Premissas!$A$39:$E$43,4,0)))=0,"A","S"),"S")),""))</f>
        <v/>
      </c>
      <c r="AS28" s="16" t="str">
        <f aca="false">IF(Cron_Uso!AS28="","",IF(INT(Cron_Uso!AS28/Frota!$L28)&gt;INT(Cron_Uso!AR28/Frota!$L28),IF(N(VLOOKUP(Frota!$B28,Premissas!$A$39:$E$43,5,0))&gt;0,IF(MOD(INT(Cron_Uso!AS28/Frota!$L28)*Frota!$L28,N(VLOOKUP(Frota!$B28,Premissas!$A$39:$E$43,5,0)))=0,"B",IF(N(VLOOKUP(Frota!$B28,Premissas!$A$39:$E$43,4,0))&gt;0,IF(MOD(INT(Cron_Uso!AS28/Frota!$L28)*Frota!$L28,N(VLOOKUP(Frota!$B28,Premissas!$A$39:$E$43,4,0)))=0,"A","S"),"S")),IF(N(VLOOKUP(Frota!$B28,Premissas!$A$39:$E$43,4,0))&gt;0,IF(MOD(INT(Cron_Uso!AS28/Frota!$L28)*Frota!$L28,N(VLOOKUP(Frota!$B28,Premissas!$A$39:$E$43,4,0)))=0,"A","S"),"S")),""))</f>
        <v/>
      </c>
      <c r="AT28" s="16" t="str">
        <f aca="false">IF(Cron_Uso!AT28="","",IF(INT(Cron_Uso!AT28/Frota!$L28)&gt;INT(Cron_Uso!AS28/Frota!$L28),IF(N(VLOOKUP(Frota!$B28,Premissas!$A$39:$E$43,5,0))&gt;0,IF(MOD(INT(Cron_Uso!AT28/Frota!$L28)*Frota!$L28,N(VLOOKUP(Frota!$B28,Premissas!$A$39:$E$43,5,0)))=0,"B",IF(N(VLOOKUP(Frota!$B28,Premissas!$A$39:$E$43,4,0))&gt;0,IF(MOD(INT(Cron_Uso!AT28/Frota!$L28)*Frota!$L28,N(VLOOKUP(Frota!$B28,Premissas!$A$39:$E$43,4,0)))=0,"A","S"),"S")),IF(N(VLOOKUP(Frota!$B28,Premissas!$A$39:$E$43,4,0))&gt;0,IF(MOD(INT(Cron_Uso!AT28/Frota!$L28)*Frota!$L28,N(VLOOKUP(Frota!$B28,Premissas!$A$39:$E$43,4,0)))=0,"A","S"),"S")),""))</f>
        <v/>
      </c>
      <c r="AU28" s="16" t="str">
        <f aca="false">IF(Cron_Uso!AU28="","",IF(INT(Cron_Uso!AU28/Frota!$L28)&gt;INT(Cron_Uso!AT28/Frota!$L28),IF(N(VLOOKUP(Frota!$B28,Premissas!$A$39:$E$43,5,0))&gt;0,IF(MOD(INT(Cron_Uso!AU28/Frota!$L28)*Frota!$L28,N(VLOOKUP(Frota!$B28,Premissas!$A$39:$E$43,5,0)))=0,"B",IF(N(VLOOKUP(Frota!$B28,Premissas!$A$39:$E$43,4,0))&gt;0,IF(MOD(INT(Cron_Uso!AU28/Frota!$L28)*Frota!$L28,N(VLOOKUP(Frota!$B28,Premissas!$A$39:$E$43,4,0)))=0,"A","S"),"S")),IF(N(VLOOKUP(Frota!$B28,Premissas!$A$39:$E$43,4,0))&gt;0,IF(MOD(INT(Cron_Uso!AU28/Frota!$L28)*Frota!$L28,N(VLOOKUP(Frota!$B28,Premissas!$A$39:$E$43,4,0)))=0,"A","S"),"S")),""))</f>
        <v/>
      </c>
      <c r="AV28" s="16" t="str">
        <f aca="false">IF(Cron_Uso!AV28="","",IF(INT(Cron_Uso!AV28/Frota!$L28)&gt;INT(Cron_Uso!AU28/Frota!$L28),IF(N(VLOOKUP(Frota!$B28,Premissas!$A$39:$E$43,5,0))&gt;0,IF(MOD(INT(Cron_Uso!AV28/Frota!$L28)*Frota!$L28,N(VLOOKUP(Frota!$B28,Premissas!$A$39:$E$43,5,0)))=0,"B",IF(N(VLOOKUP(Frota!$B28,Premissas!$A$39:$E$43,4,0))&gt;0,IF(MOD(INT(Cron_Uso!AV28/Frota!$L28)*Frota!$L28,N(VLOOKUP(Frota!$B28,Premissas!$A$39:$E$43,4,0)))=0,"A","S"),"S")),IF(N(VLOOKUP(Frota!$B28,Premissas!$A$39:$E$43,4,0))&gt;0,IF(MOD(INT(Cron_Uso!AV28/Frota!$L28)*Frota!$L28,N(VLOOKUP(Frota!$B28,Premissas!$A$39:$E$43,4,0)))=0,"A","S"),"S")),""))</f>
        <v/>
      </c>
      <c r="AW28" s="16" t="str">
        <f aca="false">IF(Cron_Uso!AW28="","",IF(INT(Cron_Uso!AW28/Frota!$L28)&gt;INT(Cron_Uso!AV28/Frota!$L28),IF(N(VLOOKUP(Frota!$B28,Premissas!$A$39:$E$43,5,0))&gt;0,IF(MOD(INT(Cron_Uso!AW28/Frota!$L28)*Frota!$L28,N(VLOOKUP(Frota!$B28,Premissas!$A$39:$E$43,5,0)))=0,"B",IF(N(VLOOKUP(Frota!$B28,Premissas!$A$39:$E$43,4,0))&gt;0,IF(MOD(INT(Cron_Uso!AW28/Frota!$L28)*Frota!$L28,N(VLOOKUP(Frota!$B28,Premissas!$A$39:$E$43,4,0)))=0,"A","S"),"S")),IF(N(VLOOKUP(Frota!$B28,Premissas!$A$39:$E$43,4,0))&gt;0,IF(MOD(INT(Cron_Uso!AW28/Frota!$L28)*Frota!$L28,N(VLOOKUP(Frota!$B28,Premissas!$A$39:$E$43,4,0)))=0,"A","S"),"S")),""))</f>
        <v/>
      </c>
      <c r="AX28" s="16" t="str">
        <f aca="false">IF(Cron_Uso!AX28="","",IF(INT(Cron_Uso!AX28/Frota!$L28)&gt;INT(Cron_Uso!AW28/Frota!$L28),IF(N(VLOOKUP(Frota!$B28,Premissas!$A$39:$E$43,5,0))&gt;0,IF(MOD(INT(Cron_Uso!AX28/Frota!$L28)*Frota!$L28,N(VLOOKUP(Frota!$B28,Premissas!$A$39:$E$43,5,0)))=0,"B",IF(N(VLOOKUP(Frota!$B28,Premissas!$A$39:$E$43,4,0))&gt;0,IF(MOD(INT(Cron_Uso!AX28/Frota!$L28)*Frota!$L28,N(VLOOKUP(Frota!$B28,Premissas!$A$39:$E$43,4,0)))=0,"A","S"),"S")),IF(N(VLOOKUP(Frota!$B28,Premissas!$A$39:$E$43,4,0))&gt;0,IF(MOD(INT(Cron_Uso!AX28/Frota!$L28)*Frota!$L28,N(VLOOKUP(Frota!$B28,Premissas!$A$39:$E$43,4,0)))=0,"A","S"),"S")),""))</f>
        <v/>
      </c>
      <c r="AY28" s="16" t="str">
        <f aca="false">IF(Cron_Uso!AY28="","",IF(INT(Cron_Uso!AY28/Frota!$L28)&gt;INT(Cron_Uso!AX28/Frota!$L28),IF(N(VLOOKUP(Frota!$B28,Premissas!$A$39:$E$43,5,0))&gt;0,IF(MOD(INT(Cron_Uso!AY28/Frota!$L28)*Frota!$L28,N(VLOOKUP(Frota!$B28,Premissas!$A$39:$E$43,5,0)))=0,"B",IF(N(VLOOKUP(Frota!$B28,Premissas!$A$39:$E$43,4,0))&gt;0,IF(MOD(INT(Cron_Uso!AY28/Frota!$L28)*Frota!$L28,N(VLOOKUP(Frota!$B28,Premissas!$A$39:$E$43,4,0)))=0,"A","S"),"S")),IF(N(VLOOKUP(Frota!$B28,Premissas!$A$39:$E$43,4,0))&gt;0,IF(MOD(INT(Cron_Uso!AY28/Frota!$L28)*Frota!$L28,N(VLOOKUP(Frota!$B28,Premissas!$A$39:$E$43,4,0)))=0,"A","S"),"S")),""))</f>
        <v/>
      </c>
      <c r="AZ28" s="16" t="str">
        <f aca="false">IF(Cron_Uso!AZ28="","",IF(INT(Cron_Uso!AZ28/Frota!$L28)&gt;INT(Cron_Uso!AY28/Frota!$L28),IF(N(VLOOKUP(Frota!$B28,Premissas!$A$39:$E$43,5,0))&gt;0,IF(MOD(INT(Cron_Uso!AZ28/Frota!$L28)*Frota!$L28,N(VLOOKUP(Frota!$B28,Premissas!$A$39:$E$43,5,0)))=0,"B",IF(N(VLOOKUP(Frota!$B28,Premissas!$A$39:$E$43,4,0))&gt;0,IF(MOD(INT(Cron_Uso!AZ28/Frota!$L28)*Frota!$L28,N(VLOOKUP(Frota!$B28,Premissas!$A$39:$E$43,4,0)))=0,"A","S"),"S")),IF(N(VLOOKUP(Frota!$B28,Premissas!$A$39:$E$43,4,0))&gt;0,IF(MOD(INT(Cron_Uso!AZ28/Frota!$L28)*Frota!$L28,N(VLOOKUP(Frota!$B28,Premissas!$A$39:$E$43,4,0)))=0,"A","S"),"S")),""))</f>
        <v/>
      </c>
      <c r="BA28" s="16" t="str">
        <f aca="false">IF(Cron_Uso!BA28="","",IF(INT(Cron_Uso!BA28/Frota!$L28)&gt;INT(Cron_Uso!AZ28/Frota!$L28),IF(N(VLOOKUP(Frota!$B28,Premissas!$A$39:$E$43,5,0))&gt;0,IF(MOD(INT(Cron_Uso!BA28/Frota!$L28)*Frota!$L28,N(VLOOKUP(Frota!$B28,Premissas!$A$39:$E$43,5,0)))=0,"B",IF(N(VLOOKUP(Frota!$B28,Premissas!$A$39:$E$43,4,0))&gt;0,IF(MOD(INT(Cron_Uso!BA28/Frota!$L28)*Frota!$L28,N(VLOOKUP(Frota!$B28,Premissas!$A$39:$E$43,4,0)))=0,"A","S"),"S")),IF(N(VLOOKUP(Frota!$B28,Premissas!$A$39:$E$43,4,0))&gt;0,IF(MOD(INT(Cron_Uso!BA28/Frota!$L28)*Frota!$L28,N(VLOOKUP(Frota!$B28,Premissas!$A$39:$E$43,4,0)))=0,"A","S"),"S")),""))</f>
        <v/>
      </c>
    </row>
    <row r="29" customFormat="false" ht="15" hidden="false" customHeight="false" outlineLevel="0" collapsed="false">
      <c r="A29" s="6" t="str">
        <f aca="false">IF(Frota!$A29="","",Frota!$A29)</f>
        <v/>
      </c>
      <c r="B29" s="16" t="str">
        <f aca="false">IF(Cron_Uso!B29="","",IF(INT(Cron_Uso!B29/Frota!$L29)&gt;INT(Frota!$I29/Frota!$L29),IF(N(VLOOKUP(Frota!$B29,Premissas!$A$39:$E$43,5,0))&gt;0,IF(MOD(INT(Cron_Uso!B29/Frota!$L29)*Frota!$L29,N(VLOOKUP(Frota!$B29,Premissas!$A$39:$E$43,5,0)))=0,"B",IF(N(VLOOKUP(Frota!$B29,Premissas!$A$39:$E$43,4,0))&gt;0,IF(MOD(INT(Cron_Uso!B29/Frota!$L29)*Frota!$L29,N(VLOOKUP(Frota!$B29,Premissas!$A$39:$E$43,4,0)))=0,"A","S"),"S")),IF(N(VLOOKUP(Frota!$B29,Premissas!$A$39:$E$43,4,0))&gt;0,IF(MOD(INT(Cron_Uso!B29/Frota!$L29)*Frota!$L29,N(VLOOKUP(Frota!$B29,Premissas!$A$39:$E$43,4,0)))=0,"A","S"),"S")),""))</f>
        <v/>
      </c>
      <c r="C29" s="16" t="str">
        <f aca="false">IF(Cron_Uso!C29="","",IF(INT(Cron_Uso!C29/Frota!$L29)&gt;INT(Cron_Uso!B29/Frota!$L29),IF(N(VLOOKUP(Frota!$B29,Premissas!$A$39:$E$43,5,0))&gt;0,IF(MOD(INT(Cron_Uso!C29/Frota!$L29)*Frota!$L29,N(VLOOKUP(Frota!$B29,Premissas!$A$39:$E$43,5,0)))=0,"B",IF(N(VLOOKUP(Frota!$B29,Premissas!$A$39:$E$43,4,0))&gt;0,IF(MOD(INT(Cron_Uso!C29/Frota!$L29)*Frota!$L29,N(VLOOKUP(Frota!$B29,Premissas!$A$39:$E$43,4,0)))=0,"A","S"),"S")),IF(N(VLOOKUP(Frota!$B29,Premissas!$A$39:$E$43,4,0))&gt;0,IF(MOD(INT(Cron_Uso!C29/Frota!$L29)*Frota!$L29,N(VLOOKUP(Frota!$B29,Premissas!$A$39:$E$43,4,0)))=0,"A","S"),"S")),""))</f>
        <v/>
      </c>
      <c r="D29" s="16" t="str">
        <f aca="false">IF(Cron_Uso!D29="","",IF(INT(Cron_Uso!D29/Frota!$L29)&gt;INT(Cron_Uso!C29/Frota!$L29),IF(N(VLOOKUP(Frota!$B29,Premissas!$A$39:$E$43,5,0))&gt;0,IF(MOD(INT(Cron_Uso!D29/Frota!$L29)*Frota!$L29,N(VLOOKUP(Frota!$B29,Premissas!$A$39:$E$43,5,0)))=0,"B",IF(N(VLOOKUP(Frota!$B29,Premissas!$A$39:$E$43,4,0))&gt;0,IF(MOD(INT(Cron_Uso!D29/Frota!$L29)*Frota!$L29,N(VLOOKUP(Frota!$B29,Premissas!$A$39:$E$43,4,0)))=0,"A","S"),"S")),IF(N(VLOOKUP(Frota!$B29,Premissas!$A$39:$E$43,4,0))&gt;0,IF(MOD(INT(Cron_Uso!D29/Frota!$L29)*Frota!$L29,N(VLOOKUP(Frota!$B29,Premissas!$A$39:$E$43,4,0)))=0,"A","S"),"S")),""))</f>
        <v/>
      </c>
      <c r="E29" s="16" t="str">
        <f aca="false">IF(Cron_Uso!E29="","",IF(INT(Cron_Uso!E29/Frota!$L29)&gt;INT(Cron_Uso!D29/Frota!$L29),IF(N(VLOOKUP(Frota!$B29,Premissas!$A$39:$E$43,5,0))&gt;0,IF(MOD(INT(Cron_Uso!E29/Frota!$L29)*Frota!$L29,N(VLOOKUP(Frota!$B29,Premissas!$A$39:$E$43,5,0)))=0,"B",IF(N(VLOOKUP(Frota!$B29,Premissas!$A$39:$E$43,4,0))&gt;0,IF(MOD(INT(Cron_Uso!E29/Frota!$L29)*Frota!$L29,N(VLOOKUP(Frota!$B29,Premissas!$A$39:$E$43,4,0)))=0,"A","S"),"S")),IF(N(VLOOKUP(Frota!$B29,Premissas!$A$39:$E$43,4,0))&gt;0,IF(MOD(INT(Cron_Uso!E29/Frota!$L29)*Frota!$L29,N(VLOOKUP(Frota!$B29,Premissas!$A$39:$E$43,4,0)))=0,"A","S"),"S")),""))</f>
        <v/>
      </c>
      <c r="F29" s="16" t="str">
        <f aca="false">IF(Cron_Uso!F29="","",IF(INT(Cron_Uso!F29/Frota!$L29)&gt;INT(Cron_Uso!E29/Frota!$L29),IF(N(VLOOKUP(Frota!$B29,Premissas!$A$39:$E$43,5,0))&gt;0,IF(MOD(INT(Cron_Uso!F29/Frota!$L29)*Frota!$L29,N(VLOOKUP(Frota!$B29,Premissas!$A$39:$E$43,5,0)))=0,"B",IF(N(VLOOKUP(Frota!$B29,Premissas!$A$39:$E$43,4,0))&gt;0,IF(MOD(INT(Cron_Uso!F29/Frota!$L29)*Frota!$L29,N(VLOOKUP(Frota!$B29,Premissas!$A$39:$E$43,4,0)))=0,"A","S"),"S")),IF(N(VLOOKUP(Frota!$B29,Premissas!$A$39:$E$43,4,0))&gt;0,IF(MOD(INT(Cron_Uso!F29/Frota!$L29)*Frota!$L29,N(VLOOKUP(Frota!$B29,Premissas!$A$39:$E$43,4,0)))=0,"A","S"),"S")),""))</f>
        <v/>
      </c>
      <c r="G29" s="16" t="str">
        <f aca="false">IF(Cron_Uso!G29="","",IF(INT(Cron_Uso!G29/Frota!$L29)&gt;INT(Cron_Uso!F29/Frota!$L29),IF(N(VLOOKUP(Frota!$B29,Premissas!$A$39:$E$43,5,0))&gt;0,IF(MOD(INT(Cron_Uso!G29/Frota!$L29)*Frota!$L29,N(VLOOKUP(Frota!$B29,Premissas!$A$39:$E$43,5,0)))=0,"B",IF(N(VLOOKUP(Frota!$B29,Premissas!$A$39:$E$43,4,0))&gt;0,IF(MOD(INT(Cron_Uso!G29/Frota!$L29)*Frota!$L29,N(VLOOKUP(Frota!$B29,Premissas!$A$39:$E$43,4,0)))=0,"A","S"),"S")),IF(N(VLOOKUP(Frota!$B29,Premissas!$A$39:$E$43,4,0))&gt;0,IF(MOD(INT(Cron_Uso!G29/Frota!$L29)*Frota!$L29,N(VLOOKUP(Frota!$B29,Premissas!$A$39:$E$43,4,0)))=0,"A","S"),"S")),""))</f>
        <v/>
      </c>
      <c r="H29" s="16" t="str">
        <f aca="false">IF(Cron_Uso!H29="","",IF(INT(Cron_Uso!H29/Frota!$L29)&gt;INT(Cron_Uso!G29/Frota!$L29),IF(N(VLOOKUP(Frota!$B29,Premissas!$A$39:$E$43,5,0))&gt;0,IF(MOD(INT(Cron_Uso!H29/Frota!$L29)*Frota!$L29,N(VLOOKUP(Frota!$B29,Premissas!$A$39:$E$43,5,0)))=0,"B",IF(N(VLOOKUP(Frota!$B29,Premissas!$A$39:$E$43,4,0))&gt;0,IF(MOD(INT(Cron_Uso!H29/Frota!$L29)*Frota!$L29,N(VLOOKUP(Frota!$B29,Premissas!$A$39:$E$43,4,0)))=0,"A","S"),"S")),IF(N(VLOOKUP(Frota!$B29,Premissas!$A$39:$E$43,4,0))&gt;0,IF(MOD(INT(Cron_Uso!H29/Frota!$L29)*Frota!$L29,N(VLOOKUP(Frota!$B29,Premissas!$A$39:$E$43,4,0)))=0,"A","S"),"S")),""))</f>
        <v/>
      </c>
      <c r="I29" s="16" t="str">
        <f aca="false">IF(Cron_Uso!I29="","",IF(INT(Cron_Uso!I29/Frota!$L29)&gt;INT(Cron_Uso!H29/Frota!$L29),IF(N(VLOOKUP(Frota!$B29,Premissas!$A$39:$E$43,5,0))&gt;0,IF(MOD(INT(Cron_Uso!I29/Frota!$L29)*Frota!$L29,N(VLOOKUP(Frota!$B29,Premissas!$A$39:$E$43,5,0)))=0,"B",IF(N(VLOOKUP(Frota!$B29,Premissas!$A$39:$E$43,4,0))&gt;0,IF(MOD(INT(Cron_Uso!I29/Frota!$L29)*Frota!$L29,N(VLOOKUP(Frota!$B29,Premissas!$A$39:$E$43,4,0)))=0,"A","S"),"S")),IF(N(VLOOKUP(Frota!$B29,Premissas!$A$39:$E$43,4,0))&gt;0,IF(MOD(INT(Cron_Uso!I29/Frota!$L29)*Frota!$L29,N(VLOOKUP(Frota!$B29,Premissas!$A$39:$E$43,4,0)))=0,"A","S"),"S")),""))</f>
        <v/>
      </c>
      <c r="J29" s="16" t="str">
        <f aca="false">IF(Cron_Uso!J29="","",IF(INT(Cron_Uso!J29/Frota!$L29)&gt;INT(Cron_Uso!I29/Frota!$L29),IF(N(VLOOKUP(Frota!$B29,Premissas!$A$39:$E$43,5,0))&gt;0,IF(MOD(INT(Cron_Uso!J29/Frota!$L29)*Frota!$L29,N(VLOOKUP(Frota!$B29,Premissas!$A$39:$E$43,5,0)))=0,"B",IF(N(VLOOKUP(Frota!$B29,Premissas!$A$39:$E$43,4,0))&gt;0,IF(MOD(INT(Cron_Uso!J29/Frota!$L29)*Frota!$L29,N(VLOOKUP(Frota!$B29,Premissas!$A$39:$E$43,4,0)))=0,"A","S"),"S")),IF(N(VLOOKUP(Frota!$B29,Premissas!$A$39:$E$43,4,0))&gt;0,IF(MOD(INT(Cron_Uso!J29/Frota!$L29)*Frota!$L29,N(VLOOKUP(Frota!$B29,Premissas!$A$39:$E$43,4,0)))=0,"A","S"),"S")),""))</f>
        <v/>
      </c>
      <c r="K29" s="16" t="str">
        <f aca="false">IF(Cron_Uso!K29="","",IF(INT(Cron_Uso!K29/Frota!$L29)&gt;INT(Cron_Uso!J29/Frota!$L29),IF(N(VLOOKUP(Frota!$B29,Premissas!$A$39:$E$43,5,0))&gt;0,IF(MOD(INT(Cron_Uso!K29/Frota!$L29)*Frota!$L29,N(VLOOKUP(Frota!$B29,Premissas!$A$39:$E$43,5,0)))=0,"B",IF(N(VLOOKUP(Frota!$B29,Premissas!$A$39:$E$43,4,0))&gt;0,IF(MOD(INT(Cron_Uso!K29/Frota!$L29)*Frota!$L29,N(VLOOKUP(Frota!$B29,Premissas!$A$39:$E$43,4,0)))=0,"A","S"),"S")),IF(N(VLOOKUP(Frota!$B29,Premissas!$A$39:$E$43,4,0))&gt;0,IF(MOD(INT(Cron_Uso!K29/Frota!$L29)*Frota!$L29,N(VLOOKUP(Frota!$B29,Premissas!$A$39:$E$43,4,0)))=0,"A","S"),"S")),""))</f>
        <v/>
      </c>
      <c r="L29" s="16" t="str">
        <f aca="false">IF(Cron_Uso!L29="","",IF(INT(Cron_Uso!L29/Frota!$L29)&gt;INT(Cron_Uso!K29/Frota!$L29),IF(N(VLOOKUP(Frota!$B29,Premissas!$A$39:$E$43,5,0))&gt;0,IF(MOD(INT(Cron_Uso!L29/Frota!$L29)*Frota!$L29,N(VLOOKUP(Frota!$B29,Premissas!$A$39:$E$43,5,0)))=0,"B",IF(N(VLOOKUP(Frota!$B29,Premissas!$A$39:$E$43,4,0))&gt;0,IF(MOD(INT(Cron_Uso!L29/Frota!$L29)*Frota!$L29,N(VLOOKUP(Frota!$B29,Premissas!$A$39:$E$43,4,0)))=0,"A","S"),"S")),IF(N(VLOOKUP(Frota!$B29,Premissas!$A$39:$E$43,4,0))&gt;0,IF(MOD(INT(Cron_Uso!L29/Frota!$L29)*Frota!$L29,N(VLOOKUP(Frota!$B29,Premissas!$A$39:$E$43,4,0)))=0,"A","S"),"S")),""))</f>
        <v/>
      </c>
      <c r="M29" s="16" t="str">
        <f aca="false">IF(Cron_Uso!M29="","",IF(INT(Cron_Uso!M29/Frota!$L29)&gt;INT(Cron_Uso!L29/Frota!$L29),IF(N(VLOOKUP(Frota!$B29,Premissas!$A$39:$E$43,5,0))&gt;0,IF(MOD(INT(Cron_Uso!M29/Frota!$L29)*Frota!$L29,N(VLOOKUP(Frota!$B29,Premissas!$A$39:$E$43,5,0)))=0,"B",IF(N(VLOOKUP(Frota!$B29,Premissas!$A$39:$E$43,4,0))&gt;0,IF(MOD(INT(Cron_Uso!M29/Frota!$L29)*Frota!$L29,N(VLOOKUP(Frota!$B29,Premissas!$A$39:$E$43,4,0)))=0,"A","S"),"S")),IF(N(VLOOKUP(Frota!$B29,Premissas!$A$39:$E$43,4,0))&gt;0,IF(MOD(INT(Cron_Uso!M29/Frota!$L29)*Frota!$L29,N(VLOOKUP(Frota!$B29,Premissas!$A$39:$E$43,4,0)))=0,"A","S"),"S")),""))</f>
        <v/>
      </c>
      <c r="N29" s="16" t="str">
        <f aca="false">IF(Cron_Uso!N29="","",IF(INT(Cron_Uso!N29/Frota!$L29)&gt;INT(Cron_Uso!M29/Frota!$L29),IF(N(VLOOKUP(Frota!$B29,Premissas!$A$39:$E$43,5,0))&gt;0,IF(MOD(INT(Cron_Uso!N29/Frota!$L29)*Frota!$L29,N(VLOOKUP(Frota!$B29,Premissas!$A$39:$E$43,5,0)))=0,"B",IF(N(VLOOKUP(Frota!$B29,Premissas!$A$39:$E$43,4,0))&gt;0,IF(MOD(INT(Cron_Uso!N29/Frota!$L29)*Frota!$L29,N(VLOOKUP(Frota!$B29,Premissas!$A$39:$E$43,4,0)))=0,"A","S"),"S")),IF(N(VLOOKUP(Frota!$B29,Premissas!$A$39:$E$43,4,0))&gt;0,IF(MOD(INT(Cron_Uso!N29/Frota!$L29)*Frota!$L29,N(VLOOKUP(Frota!$B29,Premissas!$A$39:$E$43,4,0)))=0,"A","S"),"S")),""))</f>
        <v/>
      </c>
      <c r="O29" s="16" t="str">
        <f aca="false">IF(Cron_Uso!O29="","",IF(INT(Cron_Uso!O29/Frota!$L29)&gt;INT(Cron_Uso!N29/Frota!$L29),IF(N(VLOOKUP(Frota!$B29,Premissas!$A$39:$E$43,5,0))&gt;0,IF(MOD(INT(Cron_Uso!O29/Frota!$L29)*Frota!$L29,N(VLOOKUP(Frota!$B29,Premissas!$A$39:$E$43,5,0)))=0,"B",IF(N(VLOOKUP(Frota!$B29,Premissas!$A$39:$E$43,4,0))&gt;0,IF(MOD(INT(Cron_Uso!O29/Frota!$L29)*Frota!$L29,N(VLOOKUP(Frota!$B29,Premissas!$A$39:$E$43,4,0)))=0,"A","S"),"S")),IF(N(VLOOKUP(Frota!$B29,Premissas!$A$39:$E$43,4,0))&gt;0,IF(MOD(INT(Cron_Uso!O29/Frota!$L29)*Frota!$L29,N(VLOOKUP(Frota!$B29,Premissas!$A$39:$E$43,4,0)))=0,"A","S"),"S")),""))</f>
        <v/>
      </c>
      <c r="P29" s="16" t="str">
        <f aca="false">IF(Cron_Uso!P29="","",IF(INT(Cron_Uso!P29/Frota!$L29)&gt;INT(Cron_Uso!O29/Frota!$L29),IF(N(VLOOKUP(Frota!$B29,Premissas!$A$39:$E$43,5,0))&gt;0,IF(MOD(INT(Cron_Uso!P29/Frota!$L29)*Frota!$L29,N(VLOOKUP(Frota!$B29,Premissas!$A$39:$E$43,5,0)))=0,"B",IF(N(VLOOKUP(Frota!$B29,Premissas!$A$39:$E$43,4,0))&gt;0,IF(MOD(INT(Cron_Uso!P29/Frota!$L29)*Frota!$L29,N(VLOOKUP(Frota!$B29,Premissas!$A$39:$E$43,4,0)))=0,"A","S"),"S")),IF(N(VLOOKUP(Frota!$B29,Premissas!$A$39:$E$43,4,0))&gt;0,IF(MOD(INT(Cron_Uso!P29/Frota!$L29)*Frota!$L29,N(VLOOKUP(Frota!$B29,Premissas!$A$39:$E$43,4,0)))=0,"A","S"),"S")),""))</f>
        <v/>
      </c>
      <c r="Q29" s="16" t="str">
        <f aca="false">IF(Cron_Uso!Q29="","",IF(INT(Cron_Uso!Q29/Frota!$L29)&gt;INT(Cron_Uso!P29/Frota!$L29),IF(N(VLOOKUP(Frota!$B29,Premissas!$A$39:$E$43,5,0))&gt;0,IF(MOD(INT(Cron_Uso!Q29/Frota!$L29)*Frota!$L29,N(VLOOKUP(Frota!$B29,Premissas!$A$39:$E$43,5,0)))=0,"B",IF(N(VLOOKUP(Frota!$B29,Premissas!$A$39:$E$43,4,0))&gt;0,IF(MOD(INT(Cron_Uso!Q29/Frota!$L29)*Frota!$L29,N(VLOOKUP(Frota!$B29,Premissas!$A$39:$E$43,4,0)))=0,"A","S"),"S")),IF(N(VLOOKUP(Frota!$B29,Premissas!$A$39:$E$43,4,0))&gt;0,IF(MOD(INT(Cron_Uso!Q29/Frota!$L29)*Frota!$L29,N(VLOOKUP(Frota!$B29,Premissas!$A$39:$E$43,4,0)))=0,"A","S"),"S")),""))</f>
        <v/>
      </c>
      <c r="R29" s="16" t="str">
        <f aca="false">IF(Cron_Uso!R29="","",IF(INT(Cron_Uso!R29/Frota!$L29)&gt;INT(Cron_Uso!Q29/Frota!$L29),IF(N(VLOOKUP(Frota!$B29,Premissas!$A$39:$E$43,5,0))&gt;0,IF(MOD(INT(Cron_Uso!R29/Frota!$L29)*Frota!$L29,N(VLOOKUP(Frota!$B29,Premissas!$A$39:$E$43,5,0)))=0,"B",IF(N(VLOOKUP(Frota!$B29,Premissas!$A$39:$E$43,4,0))&gt;0,IF(MOD(INT(Cron_Uso!R29/Frota!$L29)*Frota!$L29,N(VLOOKUP(Frota!$B29,Premissas!$A$39:$E$43,4,0)))=0,"A","S"),"S")),IF(N(VLOOKUP(Frota!$B29,Premissas!$A$39:$E$43,4,0))&gt;0,IF(MOD(INT(Cron_Uso!R29/Frota!$L29)*Frota!$L29,N(VLOOKUP(Frota!$B29,Premissas!$A$39:$E$43,4,0)))=0,"A","S"),"S")),""))</f>
        <v/>
      </c>
      <c r="S29" s="16" t="str">
        <f aca="false">IF(Cron_Uso!S29="","",IF(INT(Cron_Uso!S29/Frota!$L29)&gt;INT(Cron_Uso!R29/Frota!$L29),IF(N(VLOOKUP(Frota!$B29,Premissas!$A$39:$E$43,5,0))&gt;0,IF(MOD(INT(Cron_Uso!S29/Frota!$L29)*Frota!$L29,N(VLOOKUP(Frota!$B29,Premissas!$A$39:$E$43,5,0)))=0,"B",IF(N(VLOOKUP(Frota!$B29,Premissas!$A$39:$E$43,4,0))&gt;0,IF(MOD(INT(Cron_Uso!S29/Frota!$L29)*Frota!$L29,N(VLOOKUP(Frota!$B29,Premissas!$A$39:$E$43,4,0)))=0,"A","S"),"S")),IF(N(VLOOKUP(Frota!$B29,Premissas!$A$39:$E$43,4,0))&gt;0,IF(MOD(INT(Cron_Uso!S29/Frota!$L29)*Frota!$L29,N(VLOOKUP(Frota!$B29,Premissas!$A$39:$E$43,4,0)))=0,"A","S"),"S")),""))</f>
        <v/>
      </c>
      <c r="T29" s="16" t="str">
        <f aca="false">IF(Cron_Uso!T29="","",IF(INT(Cron_Uso!T29/Frota!$L29)&gt;INT(Cron_Uso!S29/Frota!$L29),IF(N(VLOOKUP(Frota!$B29,Premissas!$A$39:$E$43,5,0))&gt;0,IF(MOD(INT(Cron_Uso!T29/Frota!$L29)*Frota!$L29,N(VLOOKUP(Frota!$B29,Premissas!$A$39:$E$43,5,0)))=0,"B",IF(N(VLOOKUP(Frota!$B29,Premissas!$A$39:$E$43,4,0))&gt;0,IF(MOD(INT(Cron_Uso!T29/Frota!$L29)*Frota!$L29,N(VLOOKUP(Frota!$B29,Premissas!$A$39:$E$43,4,0)))=0,"A","S"),"S")),IF(N(VLOOKUP(Frota!$B29,Premissas!$A$39:$E$43,4,0))&gt;0,IF(MOD(INT(Cron_Uso!T29/Frota!$L29)*Frota!$L29,N(VLOOKUP(Frota!$B29,Premissas!$A$39:$E$43,4,0)))=0,"A","S"),"S")),""))</f>
        <v/>
      </c>
      <c r="U29" s="16" t="str">
        <f aca="false">IF(Cron_Uso!U29="","",IF(INT(Cron_Uso!U29/Frota!$L29)&gt;INT(Cron_Uso!T29/Frota!$L29),IF(N(VLOOKUP(Frota!$B29,Premissas!$A$39:$E$43,5,0))&gt;0,IF(MOD(INT(Cron_Uso!U29/Frota!$L29)*Frota!$L29,N(VLOOKUP(Frota!$B29,Premissas!$A$39:$E$43,5,0)))=0,"B",IF(N(VLOOKUP(Frota!$B29,Premissas!$A$39:$E$43,4,0))&gt;0,IF(MOD(INT(Cron_Uso!U29/Frota!$L29)*Frota!$L29,N(VLOOKUP(Frota!$B29,Premissas!$A$39:$E$43,4,0)))=0,"A","S"),"S")),IF(N(VLOOKUP(Frota!$B29,Premissas!$A$39:$E$43,4,0))&gt;0,IF(MOD(INT(Cron_Uso!U29/Frota!$L29)*Frota!$L29,N(VLOOKUP(Frota!$B29,Premissas!$A$39:$E$43,4,0)))=0,"A","S"),"S")),""))</f>
        <v/>
      </c>
      <c r="V29" s="16" t="str">
        <f aca="false">IF(Cron_Uso!V29="","",IF(INT(Cron_Uso!V29/Frota!$L29)&gt;INT(Cron_Uso!U29/Frota!$L29),IF(N(VLOOKUP(Frota!$B29,Premissas!$A$39:$E$43,5,0))&gt;0,IF(MOD(INT(Cron_Uso!V29/Frota!$L29)*Frota!$L29,N(VLOOKUP(Frota!$B29,Premissas!$A$39:$E$43,5,0)))=0,"B",IF(N(VLOOKUP(Frota!$B29,Premissas!$A$39:$E$43,4,0))&gt;0,IF(MOD(INT(Cron_Uso!V29/Frota!$L29)*Frota!$L29,N(VLOOKUP(Frota!$B29,Premissas!$A$39:$E$43,4,0)))=0,"A","S"),"S")),IF(N(VLOOKUP(Frota!$B29,Premissas!$A$39:$E$43,4,0))&gt;0,IF(MOD(INT(Cron_Uso!V29/Frota!$L29)*Frota!$L29,N(VLOOKUP(Frota!$B29,Premissas!$A$39:$E$43,4,0)))=0,"A","S"),"S")),""))</f>
        <v/>
      </c>
      <c r="W29" s="16" t="str">
        <f aca="false">IF(Cron_Uso!W29="","",IF(INT(Cron_Uso!W29/Frota!$L29)&gt;INT(Cron_Uso!V29/Frota!$L29),IF(N(VLOOKUP(Frota!$B29,Premissas!$A$39:$E$43,5,0))&gt;0,IF(MOD(INT(Cron_Uso!W29/Frota!$L29)*Frota!$L29,N(VLOOKUP(Frota!$B29,Premissas!$A$39:$E$43,5,0)))=0,"B",IF(N(VLOOKUP(Frota!$B29,Premissas!$A$39:$E$43,4,0))&gt;0,IF(MOD(INT(Cron_Uso!W29/Frota!$L29)*Frota!$L29,N(VLOOKUP(Frota!$B29,Premissas!$A$39:$E$43,4,0)))=0,"A","S"),"S")),IF(N(VLOOKUP(Frota!$B29,Premissas!$A$39:$E$43,4,0))&gt;0,IF(MOD(INT(Cron_Uso!W29/Frota!$L29)*Frota!$L29,N(VLOOKUP(Frota!$B29,Premissas!$A$39:$E$43,4,0)))=0,"A","S"),"S")),""))</f>
        <v/>
      </c>
      <c r="X29" s="16" t="str">
        <f aca="false">IF(Cron_Uso!X29="","",IF(INT(Cron_Uso!X29/Frota!$L29)&gt;INT(Cron_Uso!W29/Frota!$L29),IF(N(VLOOKUP(Frota!$B29,Premissas!$A$39:$E$43,5,0))&gt;0,IF(MOD(INT(Cron_Uso!X29/Frota!$L29)*Frota!$L29,N(VLOOKUP(Frota!$B29,Premissas!$A$39:$E$43,5,0)))=0,"B",IF(N(VLOOKUP(Frota!$B29,Premissas!$A$39:$E$43,4,0))&gt;0,IF(MOD(INT(Cron_Uso!X29/Frota!$L29)*Frota!$L29,N(VLOOKUP(Frota!$B29,Premissas!$A$39:$E$43,4,0)))=0,"A","S"),"S")),IF(N(VLOOKUP(Frota!$B29,Premissas!$A$39:$E$43,4,0))&gt;0,IF(MOD(INT(Cron_Uso!X29/Frota!$L29)*Frota!$L29,N(VLOOKUP(Frota!$B29,Premissas!$A$39:$E$43,4,0)))=0,"A","S"),"S")),""))</f>
        <v/>
      </c>
      <c r="Y29" s="16" t="str">
        <f aca="false">IF(Cron_Uso!Y29="","",IF(INT(Cron_Uso!Y29/Frota!$L29)&gt;INT(Cron_Uso!X29/Frota!$L29),IF(N(VLOOKUP(Frota!$B29,Premissas!$A$39:$E$43,5,0))&gt;0,IF(MOD(INT(Cron_Uso!Y29/Frota!$L29)*Frota!$L29,N(VLOOKUP(Frota!$B29,Premissas!$A$39:$E$43,5,0)))=0,"B",IF(N(VLOOKUP(Frota!$B29,Premissas!$A$39:$E$43,4,0))&gt;0,IF(MOD(INT(Cron_Uso!Y29/Frota!$L29)*Frota!$L29,N(VLOOKUP(Frota!$B29,Premissas!$A$39:$E$43,4,0)))=0,"A","S"),"S")),IF(N(VLOOKUP(Frota!$B29,Premissas!$A$39:$E$43,4,0))&gt;0,IF(MOD(INT(Cron_Uso!Y29/Frota!$L29)*Frota!$L29,N(VLOOKUP(Frota!$B29,Premissas!$A$39:$E$43,4,0)))=0,"A","S"),"S")),""))</f>
        <v/>
      </c>
      <c r="Z29" s="16" t="str">
        <f aca="false">IF(Cron_Uso!Z29="","",IF(INT(Cron_Uso!Z29/Frota!$L29)&gt;INT(Cron_Uso!Y29/Frota!$L29),IF(N(VLOOKUP(Frota!$B29,Premissas!$A$39:$E$43,5,0))&gt;0,IF(MOD(INT(Cron_Uso!Z29/Frota!$L29)*Frota!$L29,N(VLOOKUP(Frota!$B29,Premissas!$A$39:$E$43,5,0)))=0,"B",IF(N(VLOOKUP(Frota!$B29,Premissas!$A$39:$E$43,4,0))&gt;0,IF(MOD(INT(Cron_Uso!Z29/Frota!$L29)*Frota!$L29,N(VLOOKUP(Frota!$B29,Premissas!$A$39:$E$43,4,0)))=0,"A","S"),"S")),IF(N(VLOOKUP(Frota!$B29,Premissas!$A$39:$E$43,4,0))&gt;0,IF(MOD(INT(Cron_Uso!Z29/Frota!$L29)*Frota!$L29,N(VLOOKUP(Frota!$B29,Premissas!$A$39:$E$43,4,0)))=0,"A","S"),"S")),""))</f>
        <v/>
      </c>
      <c r="AA29" s="16" t="str">
        <f aca="false">IF(Cron_Uso!AA29="","",IF(INT(Cron_Uso!AA29/Frota!$L29)&gt;INT(Cron_Uso!Z29/Frota!$L29),IF(N(VLOOKUP(Frota!$B29,Premissas!$A$39:$E$43,5,0))&gt;0,IF(MOD(INT(Cron_Uso!AA29/Frota!$L29)*Frota!$L29,N(VLOOKUP(Frota!$B29,Premissas!$A$39:$E$43,5,0)))=0,"B",IF(N(VLOOKUP(Frota!$B29,Premissas!$A$39:$E$43,4,0))&gt;0,IF(MOD(INT(Cron_Uso!AA29/Frota!$L29)*Frota!$L29,N(VLOOKUP(Frota!$B29,Premissas!$A$39:$E$43,4,0)))=0,"A","S"),"S")),IF(N(VLOOKUP(Frota!$B29,Premissas!$A$39:$E$43,4,0))&gt;0,IF(MOD(INT(Cron_Uso!AA29/Frota!$L29)*Frota!$L29,N(VLOOKUP(Frota!$B29,Premissas!$A$39:$E$43,4,0)))=0,"A","S"),"S")),""))</f>
        <v/>
      </c>
      <c r="AB29" s="16" t="str">
        <f aca="false">IF(Cron_Uso!AB29="","",IF(INT(Cron_Uso!AB29/Frota!$L29)&gt;INT(Cron_Uso!AA29/Frota!$L29),IF(N(VLOOKUP(Frota!$B29,Premissas!$A$39:$E$43,5,0))&gt;0,IF(MOD(INT(Cron_Uso!AB29/Frota!$L29)*Frota!$L29,N(VLOOKUP(Frota!$B29,Premissas!$A$39:$E$43,5,0)))=0,"B",IF(N(VLOOKUP(Frota!$B29,Premissas!$A$39:$E$43,4,0))&gt;0,IF(MOD(INT(Cron_Uso!AB29/Frota!$L29)*Frota!$L29,N(VLOOKUP(Frota!$B29,Premissas!$A$39:$E$43,4,0)))=0,"A","S"),"S")),IF(N(VLOOKUP(Frota!$B29,Premissas!$A$39:$E$43,4,0))&gt;0,IF(MOD(INT(Cron_Uso!AB29/Frota!$L29)*Frota!$L29,N(VLOOKUP(Frota!$B29,Premissas!$A$39:$E$43,4,0)))=0,"A","S"),"S")),""))</f>
        <v/>
      </c>
      <c r="AC29" s="16" t="str">
        <f aca="false">IF(Cron_Uso!AC29="","",IF(INT(Cron_Uso!AC29/Frota!$L29)&gt;INT(Cron_Uso!AB29/Frota!$L29),IF(N(VLOOKUP(Frota!$B29,Premissas!$A$39:$E$43,5,0))&gt;0,IF(MOD(INT(Cron_Uso!AC29/Frota!$L29)*Frota!$L29,N(VLOOKUP(Frota!$B29,Premissas!$A$39:$E$43,5,0)))=0,"B",IF(N(VLOOKUP(Frota!$B29,Premissas!$A$39:$E$43,4,0))&gt;0,IF(MOD(INT(Cron_Uso!AC29/Frota!$L29)*Frota!$L29,N(VLOOKUP(Frota!$B29,Premissas!$A$39:$E$43,4,0)))=0,"A","S"),"S")),IF(N(VLOOKUP(Frota!$B29,Premissas!$A$39:$E$43,4,0))&gt;0,IF(MOD(INT(Cron_Uso!AC29/Frota!$L29)*Frota!$L29,N(VLOOKUP(Frota!$B29,Premissas!$A$39:$E$43,4,0)))=0,"A","S"),"S")),""))</f>
        <v/>
      </c>
      <c r="AD29" s="16" t="str">
        <f aca="false">IF(Cron_Uso!AD29="","",IF(INT(Cron_Uso!AD29/Frota!$L29)&gt;INT(Cron_Uso!AC29/Frota!$L29),IF(N(VLOOKUP(Frota!$B29,Premissas!$A$39:$E$43,5,0))&gt;0,IF(MOD(INT(Cron_Uso!AD29/Frota!$L29)*Frota!$L29,N(VLOOKUP(Frota!$B29,Premissas!$A$39:$E$43,5,0)))=0,"B",IF(N(VLOOKUP(Frota!$B29,Premissas!$A$39:$E$43,4,0))&gt;0,IF(MOD(INT(Cron_Uso!AD29/Frota!$L29)*Frota!$L29,N(VLOOKUP(Frota!$B29,Premissas!$A$39:$E$43,4,0)))=0,"A","S"),"S")),IF(N(VLOOKUP(Frota!$B29,Premissas!$A$39:$E$43,4,0))&gt;0,IF(MOD(INT(Cron_Uso!AD29/Frota!$L29)*Frota!$L29,N(VLOOKUP(Frota!$B29,Premissas!$A$39:$E$43,4,0)))=0,"A","S"),"S")),""))</f>
        <v/>
      </c>
      <c r="AE29" s="16" t="str">
        <f aca="false">IF(Cron_Uso!AE29="","",IF(INT(Cron_Uso!AE29/Frota!$L29)&gt;INT(Cron_Uso!AD29/Frota!$L29),IF(N(VLOOKUP(Frota!$B29,Premissas!$A$39:$E$43,5,0))&gt;0,IF(MOD(INT(Cron_Uso!AE29/Frota!$L29)*Frota!$L29,N(VLOOKUP(Frota!$B29,Premissas!$A$39:$E$43,5,0)))=0,"B",IF(N(VLOOKUP(Frota!$B29,Premissas!$A$39:$E$43,4,0))&gt;0,IF(MOD(INT(Cron_Uso!AE29/Frota!$L29)*Frota!$L29,N(VLOOKUP(Frota!$B29,Premissas!$A$39:$E$43,4,0)))=0,"A","S"),"S")),IF(N(VLOOKUP(Frota!$B29,Premissas!$A$39:$E$43,4,0))&gt;0,IF(MOD(INT(Cron_Uso!AE29/Frota!$L29)*Frota!$L29,N(VLOOKUP(Frota!$B29,Premissas!$A$39:$E$43,4,0)))=0,"A","S"),"S")),""))</f>
        <v/>
      </c>
      <c r="AF29" s="16" t="str">
        <f aca="false">IF(Cron_Uso!AF29="","",IF(INT(Cron_Uso!AF29/Frota!$L29)&gt;INT(Cron_Uso!AE29/Frota!$L29),IF(N(VLOOKUP(Frota!$B29,Premissas!$A$39:$E$43,5,0))&gt;0,IF(MOD(INT(Cron_Uso!AF29/Frota!$L29)*Frota!$L29,N(VLOOKUP(Frota!$B29,Premissas!$A$39:$E$43,5,0)))=0,"B",IF(N(VLOOKUP(Frota!$B29,Premissas!$A$39:$E$43,4,0))&gt;0,IF(MOD(INT(Cron_Uso!AF29/Frota!$L29)*Frota!$L29,N(VLOOKUP(Frota!$B29,Premissas!$A$39:$E$43,4,0)))=0,"A","S"),"S")),IF(N(VLOOKUP(Frota!$B29,Premissas!$A$39:$E$43,4,0))&gt;0,IF(MOD(INT(Cron_Uso!AF29/Frota!$L29)*Frota!$L29,N(VLOOKUP(Frota!$B29,Premissas!$A$39:$E$43,4,0)))=0,"A","S"),"S")),""))</f>
        <v/>
      </c>
      <c r="AG29" s="16" t="str">
        <f aca="false">IF(Cron_Uso!AG29="","",IF(INT(Cron_Uso!AG29/Frota!$L29)&gt;INT(Cron_Uso!AF29/Frota!$L29),IF(N(VLOOKUP(Frota!$B29,Premissas!$A$39:$E$43,5,0))&gt;0,IF(MOD(INT(Cron_Uso!AG29/Frota!$L29)*Frota!$L29,N(VLOOKUP(Frota!$B29,Premissas!$A$39:$E$43,5,0)))=0,"B",IF(N(VLOOKUP(Frota!$B29,Premissas!$A$39:$E$43,4,0))&gt;0,IF(MOD(INT(Cron_Uso!AG29/Frota!$L29)*Frota!$L29,N(VLOOKUP(Frota!$B29,Premissas!$A$39:$E$43,4,0)))=0,"A","S"),"S")),IF(N(VLOOKUP(Frota!$B29,Premissas!$A$39:$E$43,4,0))&gt;0,IF(MOD(INT(Cron_Uso!AG29/Frota!$L29)*Frota!$L29,N(VLOOKUP(Frota!$B29,Premissas!$A$39:$E$43,4,0)))=0,"A","S"),"S")),""))</f>
        <v/>
      </c>
      <c r="AH29" s="16" t="str">
        <f aca="false">IF(Cron_Uso!AH29="","",IF(INT(Cron_Uso!AH29/Frota!$L29)&gt;INT(Cron_Uso!AG29/Frota!$L29),IF(N(VLOOKUP(Frota!$B29,Premissas!$A$39:$E$43,5,0))&gt;0,IF(MOD(INT(Cron_Uso!AH29/Frota!$L29)*Frota!$L29,N(VLOOKUP(Frota!$B29,Premissas!$A$39:$E$43,5,0)))=0,"B",IF(N(VLOOKUP(Frota!$B29,Premissas!$A$39:$E$43,4,0))&gt;0,IF(MOD(INT(Cron_Uso!AH29/Frota!$L29)*Frota!$L29,N(VLOOKUP(Frota!$B29,Premissas!$A$39:$E$43,4,0)))=0,"A","S"),"S")),IF(N(VLOOKUP(Frota!$B29,Premissas!$A$39:$E$43,4,0))&gt;0,IF(MOD(INT(Cron_Uso!AH29/Frota!$L29)*Frota!$L29,N(VLOOKUP(Frota!$B29,Premissas!$A$39:$E$43,4,0)))=0,"A","S"),"S")),""))</f>
        <v/>
      </c>
      <c r="AI29" s="16" t="str">
        <f aca="false">IF(Cron_Uso!AI29="","",IF(INT(Cron_Uso!AI29/Frota!$L29)&gt;INT(Cron_Uso!AH29/Frota!$L29),IF(N(VLOOKUP(Frota!$B29,Premissas!$A$39:$E$43,5,0))&gt;0,IF(MOD(INT(Cron_Uso!AI29/Frota!$L29)*Frota!$L29,N(VLOOKUP(Frota!$B29,Premissas!$A$39:$E$43,5,0)))=0,"B",IF(N(VLOOKUP(Frota!$B29,Premissas!$A$39:$E$43,4,0))&gt;0,IF(MOD(INT(Cron_Uso!AI29/Frota!$L29)*Frota!$L29,N(VLOOKUP(Frota!$B29,Premissas!$A$39:$E$43,4,0)))=0,"A","S"),"S")),IF(N(VLOOKUP(Frota!$B29,Premissas!$A$39:$E$43,4,0))&gt;0,IF(MOD(INT(Cron_Uso!AI29/Frota!$L29)*Frota!$L29,N(VLOOKUP(Frota!$B29,Premissas!$A$39:$E$43,4,0)))=0,"A","S"),"S")),""))</f>
        <v/>
      </c>
      <c r="AJ29" s="16" t="str">
        <f aca="false">IF(Cron_Uso!AJ29="","",IF(INT(Cron_Uso!AJ29/Frota!$L29)&gt;INT(Cron_Uso!AI29/Frota!$L29),IF(N(VLOOKUP(Frota!$B29,Premissas!$A$39:$E$43,5,0))&gt;0,IF(MOD(INT(Cron_Uso!AJ29/Frota!$L29)*Frota!$L29,N(VLOOKUP(Frota!$B29,Premissas!$A$39:$E$43,5,0)))=0,"B",IF(N(VLOOKUP(Frota!$B29,Premissas!$A$39:$E$43,4,0))&gt;0,IF(MOD(INT(Cron_Uso!AJ29/Frota!$L29)*Frota!$L29,N(VLOOKUP(Frota!$B29,Premissas!$A$39:$E$43,4,0)))=0,"A","S"),"S")),IF(N(VLOOKUP(Frota!$B29,Premissas!$A$39:$E$43,4,0))&gt;0,IF(MOD(INT(Cron_Uso!AJ29/Frota!$L29)*Frota!$L29,N(VLOOKUP(Frota!$B29,Premissas!$A$39:$E$43,4,0)))=0,"A","S"),"S")),""))</f>
        <v/>
      </c>
      <c r="AK29" s="16" t="str">
        <f aca="false">IF(Cron_Uso!AK29="","",IF(INT(Cron_Uso!AK29/Frota!$L29)&gt;INT(Cron_Uso!AJ29/Frota!$L29),IF(N(VLOOKUP(Frota!$B29,Premissas!$A$39:$E$43,5,0))&gt;0,IF(MOD(INT(Cron_Uso!AK29/Frota!$L29)*Frota!$L29,N(VLOOKUP(Frota!$B29,Premissas!$A$39:$E$43,5,0)))=0,"B",IF(N(VLOOKUP(Frota!$B29,Premissas!$A$39:$E$43,4,0))&gt;0,IF(MOD(INT(Cron_Uso!AK29/Frota!$L29)*Frota!$L29,N(VLOOKUP(Frota!$B29,Premissas!$A$39:$E$43,4,0)))=0,"A","S"),"S")),IF(N(VLOOKUP(Frota!$B29,Premissas!$A$39:$E$43,4,0))&gt;0,IF(MOD(INT(Cron_Uso!AK29/Frota!$L29)*Frota!$L29,N(VLOOKUP(Frota!$B29,Premissas!$A$39:$E$43,4,0)))=0,"A","S"),"S")),""))</f>
        <v/>
      </c>
      <c r="AL29" s="16" t="str">
        <f aca="false">IF(Cron_Uso!AL29="","",IF(INT(Cron_Uso!AL29/Frota!$L29)&gt;INT(Cron_Uso!AK29/Frota!$L29),IF(N(VLOOKUP(Frota!$B29,Premissas!$A$39:$E$43,5,0))&gt;0,IF(MOD(INT(Cron_Uso!AL29/Frota!$L29)*Frota!$L29,N(VLOOKUP(Frota!$B29,Premissas!$A$39:$E$43,5,0)))=0,"B",IF(N(VLOOKUP(Frota!$B29,Premissas!$A$39:$E$43,4,0))&gt;0,IF(MOD(INT(Cron_Uso!AL29/Frota!$L29)*Frota!$L29,N(VLOOKUP(Frota!$B29,Premissas!$A$39:$E$43,4,0)))=0,"A","S"),"S")),IF(N(VLOOKUP(Frota!$B29,Premissas!$A$39:$E$43,4,0))&gt;0,IF(MOD(INT(Cron_Uso!AL29/Frota!$L29)*Frota!$L29,N(VLOOKUP(Frota!$B29,Premissas!$A$39:$E$43,4,0)))=0,"A","S"),"S")),""))</f>
        <v/>
      </c>
      <c r="AM29" s="16" t="str">
        <f aca="false">IF(Cron_Uso!AM29="","",IF(INT(Cron_Uso!AM29/Frota!$L29)&gt;INT(Cron_Uso!AL29/Frota!$L29),IF(N(VLOOKUP(Frota!$B29,Premissas!$A$39:$E$43,5,0))&gt;0,IF(MOD(INT(Cron_Uso!AM29/Frota!$L29)*Frota!$L29,N(VLOOKUP(Frota!$B29,Premissas!$A$39:$E$43,5,0)))=0,"B",IF(N(VLOOKUP(Frota!$B29,Premissas!$A$39:$E$43,4,0))&gt;0,IF(MOD(INT(Cron_Uso!AM29/Frota!$L29)*Frota!$L29,N(VLOOKUP(Frota!$B29,Premissas!$A$39:$E$43,4,0)))=0,"A","S"),"S")),IF(N(VLOOKUP(Frota!$B29,Premissas!$A$39:$E$43,4,0))&gt;0,IF(MOD(INT(Cron_Uso!AM29/Frota!$L29)*Frota!$L29,N(VLOOKUP(Frota!$B29,Premissas!$A$39:$E$43,4,0)))=0,"A","S"),"S")),""))</f>
        <v/>
      </c>
      <c r="AN29" s="16" t="str">
        <f aca="false">IF(Cron_Uso!AN29="","",IF(INT(Cron_Uso!AN29/Frota!$L29)&gt;INT(Cron_Uso!AM29/Frota!$L29),IF(N(VLOOKUP(Frota!$B29,Premissas!$A$39:$E$43,5,0))&gt;0,IF(MOD(INT(Cron_Uso!AN29/Frota!$L29)*Frota!$L29,N(VLOOKUP(Frota!$B29,Premissas!$A$39:$E$43,5,0)))=0,"B",IF(N(VLOOKUP(Frota!$B29,Premissas!$A$39:$E$43,4,0))&gt;0,IF(MOD(INT(Cron_Uso!AN29/Frota!$L29)*Frota!$L29,N(VLOOKUP(Frota!$B29,Premissas!$A$39:$E$43,4,0)))=0,"A","S"),"S")),IF(N(VLOOKUP(Frota!$B29,Premissas!$A$39:$E$43,4,0))&gt;0,IF(MOD(INT(Cron_Uso!AN29/Frota!$L29)*Frota!$L29,N(VLOOKUP(Frota!$B29,Premissas!$A$39:$E$43,4,0)))=0,"A","S"),"S")),""))</f>
        <v/>
      </c>
      <c r="AO29" s="16" t="str">
        <f aca="false">IF(Cron_Uso!AO29="","",IF(INT(Cron_Uso!AO29/Frota!$L29)&gt;INT(Cron_Uso!AN29/Frota!$L29),IF(N(VLOOKUP(Frota!$B29,Premissas!$A$39:$E$43,5,0))&gt;0,IF(MOD(INT(Cron_Uso!AO29/Frota!$L29)*Frota!$L29,N(VLOOKUP(Frota!$B29,Premissas!$A$39:$E$43,5,0)))=0,"B",IF(N(VLOOKUP(Frota!$B29,Premissas!$A$39:$E$43,4,0))&gt;0,IF(MOD(INT(Cron_Uso!AO29/Frota!$L29)*Frota!$L29,N(VLOOKUP(Frota!$B29,Premissas!$A$39:$E$43,4,0)))=0,"A","S"),"S")),IF(N(VLOOKUP(Frota!$B29,Premissas!$A$39:$E$43,4,0))&gt;0,IF(MOD(INT(Cron_Uso!AO29/Frota!$L29)*Frota!$L29,N(VLOOKUP(Frota!$B29,Premissas!$A$39:$E$43,4,0)))=0,"A","S"),"S")),""))</f>
        <v/>
      </c>
      <c r="AP29" s="16" t="str">
        <f aca="false">IF(Cron_Uso!AP29="","",IF(INT(Cron_Uso!AP29/Frota!$L29)&gt;INT(Cron_Uso!AO29/Frota!$L29),IF(N(VLOOKUP(Frota!$B29,Premissas!$A$39:$E$43,5,0))&gt;0,IF(MOD(INT(Cron_Uso!AP29/Frota!$L29)*Frota!$L29,N(VLOOKUP(Frota!$B29,Premissas!$A$39:$E$43,5,0)))=0,"B",IF(N(VLOOKUP(Frota!$B29,Premissas!$A$39:$E$43,4,0))&gt;0,IF(MOD(INT(Cron_Uso!AP29/Frota!$L29)*Frota!$L29,N(VLOOKUP(Frota!$B29,Premissas!$A$39:$E$43,4,0)))=0,"A","S"),"S")),IF(N(VLOOKUP(Frota!$B29,Premissas!$A$39:$E$43,4,0))&gt;0,IF(MOD(INT(Cron_Uso!AP29/Frota!$L29)*Frota!$L29,N(VLOOKUP(Frota!$B29,Premissas!$A$39:$E$43,4,0)))=0,"A","S"),"S")),""))</f>
        <v/>
      </c>
      <c r="AQ29" s="16" t="str">
        <f aca="false">IF(Cron_Uso!AQ29="","",IF(INT(Cron_Uso!AQ29/Frota!$L29)&gt;INT(Cron_Uso!AP29/Frota!$L29),IF(N(VLOOKUP(Frota!$B29,Premissas!$A$39:$E$43,5,0))&gt;0,IF(MOD(INT(Cron_Uso!AQ29/Frota!$L29)*Frota!$L29,N(VLOOKUP(Frota!$B29,Premissas!$A$39:$E$43,5,0)))=0,"B",IF(N(VLOOKUP(Frota!$B29,Premissas!$A$39:$E$43,4,0))&gt;0,IF(MOD(INT(Cron_Uso!AQ29/Frota!$L29)*Frota!$L29,N(VLOOKUP(Frota!$B29,Premissas!$A$39:$E$43,4,0)))=0,"A","S"),"S")),IF(N(VLOOKUP(Frota!$B29,Premissas!$A$39:$E$43,4,0))&gt;0,IF(MOD(INT(Cron_Uso!AQ29/Frota!$L29)*Frota!$L29,N(VLOOKUP(Frota!$B29,Premissas!$A$39:$E$43,4,0)))=0,"A","S"),"S")),""))</f>
        <v/>
      </c>
      <c r="AR29" s="16" t="str">
        <f aca="false">IF(Cron_Uso!AR29="","",IF(INT(Cron_Uso!AR29/Frota!$L29)&gt;INT(Cron_Uso!AQ29/Frota!$L29),IF(N(VLOOKUP(Frota!$B29,Premissas!$A$39:$E$43,5,0))&gt;0,IF(MOD(INT(Cron_Uso!AR29/Frota!$L29)*Frota!$L29,N(VLOOKUP(Frota!$B29,Premissas!$A$39:$E$43,5,0)))=0,"B",IF(N(VLOOKUP(Frota!$B29,Premissas!$A$39:$E$43,4,0))&gt;0,IF(MOD(INT(Cron_Uso!AR29/Frota!$L29)*Frota!$L29,N(VLOOKUP(Frota!$B29,Premissas!$A$39:$E$43,4,0)))=0,"A","S"),"S")),IF(N(VLOOKUP(Frota!$B29,Premissas!$A$39:$E$43,4,0))&gt;0,IF(MOD(INT(Cron_Uso!AR29/Frota!$L29)*Frota!$L29,N(VLOOKUP(Frota!$B29,Premissas!$A$39:$E$43,4,0)))=0,"A","S"),"S")),""))</f>
        <v/>
      </c>
      <c r="AS29" s="16" t="str">
        <f aca="false">IF(Cron_Uso!AS29="","",IF(INT(Cron_Uso!AS29/Frota!$L29)&gt;INT(Cron_Uso!AR29/Frota!$L29),IF(N(VLOOKUP(Frota!$B29,Premissas!$A$39:$E$43,5,0))&gt;0,IF(MOD(INT(Cron_Uso!AS29/Frota!$L29)*Frota!$L29,N(VLOOKUP(Frota!$B29,Premissas!$A$39:$E$43,5,0)))=0,"B",IF(N(VLOOKUP(Frota!$B29,Premissas!$A$39:$E$43,4,0))&gt;0,IF(MOD(INT(Cron_Uso!AS29/Frota!$L29)*Frota!$L29,N(VLOOKUP(Frota!$B29,Premissas!$A$39:$E$43,4,0)))=0,"A","S"),"S")),IF(N(VLOOKUP(Frota!$B29,Premissas!$A$39:$E$43,4,0))&gt;0,IF(MOD(INT(Cron_Uso!AS29/Frota!$L29)*Frota!$L29,N(VLOOKUP(Frota!$B29,Premissas!$A$39:$E$43,4,0)))=0,"A","S"),"S")),""))</f>
        <v/>
      </c>
      <c r="AT29" s="16" t="str">
        <f aca="false">IF(Cron_Uso!AT29="","",IF(INT(Cron_Uso!AT29/Frota!$L29)&gt;INT(Cron_Uso!AS29/Frota!$L29),IF(N(VLOOKUP(Frota!$B29,Premissas!$A$39:$E$43,5,0))&gt;0,IF(MOD(INT(Cron_Uso!AT29/Frota!$L29)*Frota!$L29,N(VLOOKUP(Frota!$B29,Premissas!$A$39:$E$43,5,0)))=0,"B",IF(N(VLOOKUP(Frota!$B29,Premissas!$A$39:$E$43,4,0))&gt;0,IF(MOD(INT(Cron_Uso!AT29/Frota!$L29)*Frota!$L29,N(VLOOKUP(Frota!$B29,Premissas!$A$39:$E$43,4,0)))=0,"A","S"),"S")),IF(N(VLOOKUP(Frota!$B29,Premissas!$A$39:$E$43,4,0))&gt;0,IF(MOD(INT(Cron_Uso!AT29/Frota!$L29)*Frota!$L29,N(VLOOKUP(Frota!$B29,Premissas!$A$39:$E$43,4,0)))=0,"A","S"),"S")),""))</f>
        <v/>
      </c>
      <c r="AU29" s="16" t="str">
        <f aca="false">IF(Cron_Uso!AU29="","",IF(INT(Cron_Uso!AU29/Frota!$L29)&gt;INT(Cron_Uso!AT29/Frota!$L29),IF(N(VLOOKUP(Frota!$B29,Premissas!$A$39:$E$43,5,0))&gt;0,IF(MOD(INT(Cron_Uso!AU29/Frota!$L29)*Frota!$L29,N(VLOOKUP(Frota!$B29,Premissas!$A$39:$E$43,5,0)))=0,"B",IF(N(VLOOKUP(Frota!$B29,Premissas!$A$39:$E$43,4,0))&gt;0,IF(MOD(INT(Cron_Uso!AU29/Frota!$L29)*Frota!$L29,N(VLOOKUP(Frota!$B29,Premissas!$A$39:$E$43,4,0)))=0,"A","S"),"S")),IF(N(VLOOKUP(Frota!$B29,Premissas!$A$39:$E$43,4,0))&gt;0,IF(MOD(INT(Cron_Uso!AU29/Frota!$L29)*Frota!$L29,N(VLOOKUP(Frota!$B29,Premissas!$A$39:$E$43,4,0)))=0,"A","S"),"S")),""))</f>
        <v/>
      </c>
      <c r="AV29" s="16" t="str">
        <f aca="false">IF(Cron_Uso!AV29="","",IF(INT(Cron_Uso!AV29/Frota!$L29)&gt;INT(Cron_Uso!AU29/Frota!$L29),IF(N(VLOOKUP(Frota!$B29,Premissas!$A$39:$E$43,5,0))&gt;0,IF(MOD(INT(Cron_Uso!AV29/Frota!$L29)*Frota!$L29,N(VLOOKUP(Frota!$B29,Premissas!$A$39:$E$43,5,0)))=0,"B",IF(N(VLOOKUP(Frota!$B29,Premissas!$A$39:$E$43,4,0))&gt;0,IF(MOD(INT(Cron_Uso!AV29/Frota!$L29)*Frota!$L29,N(VLOOKUP(Frota!$B29,Premissas!$A$39:$E$43,4,0)))=0,"A","S"),"S")),IF(N(VLOOKUP(Frota!$B29,Premissas!$A$39:$E$43,4,0))&gt;0,IF(MOD(INT(Cron_Uso!AV29/Frota!$L29)*Frota!$L29,N(VLOOKUP(Frota!$B29,Premissas!$A$39:$E$43,4,0)))=0,"A","S"),"S")),""))</f>
        <v/>
      </c>
      <c r="AW29" s="16" t="str">
        <f aca="false">IF(Cron_Uso!AW29="","",IF(INT(Cron_Uso!AW29/Frota!$L29)&gt;INT(Cron_Uso!AV29/Frota!$L29),IF(N(VLOOKUP(Frota!$B29,Premissas!$A$39:$E$43,5,0))&gt;0,IF(MOD(INT(Cron_Uso!AW29/Frota!$L29)*Frota!$L29,N(VLOOKUP(Frota!$B29,Premissas!$A$39:$E$43,5,0)))=0,"B",IF(N(VLOOKUP(Frota!$B29,Premissas!$A$39:$E$43,4,0))&gt;0,IF(MOD(INT(Cron_Uso!AW29/Frota!$L29)*Frota!$L29,N(VLOOKUP(Frota!$B29,Premissas!$A$39:$E$43,4,0)))=0,"A","S"),"S")),IF(N(VLOOKUP(Frota!$B29,Premissas!$A$39:$E$43,4,0))&gt;0,IF(MOD(INT(Cron_Uso!AW29/Frota!$L29)*Frota!$L29,N(VLOOKUP(Frota!$B29,Premissas!$A$39:$E$43,4,0)))=0,"A","S"),"S")),""))</f>
        <v/>
      </c>
      <c r="AX29" s="16" t="str">
        <f aca="false">IF(Cron_Uso!AX29="","",IF(INT(Cron_Uso!AX29/Frota!$L29)&gt;INT(Cron_Uso!AW29/Frota!$L29),IF(N(VLOOKUP(Frota!$B29,Premissas!$A$39:$E$43,5,0))&gt;0,IF(MOD(INT(Cron_Uso!AX29/Frota!$L29)*Frota!$L29,N(VLOOKUP(Frota!$B29,Premissas!$A$39:$E$43,5,0)))=0,"B",IF(N(VLOOKUP(Frota!$B29,Premissas!$A$39:$E$43,4,0))&gt;0,IF(MOD(INT(Cron_Uso!AX29/Frota!$L29)*Frota!$L29,N(VLOOKUP(Frota!$B29,Premissas!$A$39:$E$43,4,0)))=0,"A","S"),"S")),IF(N(VLOOKUP(Frota!$B29,Premissas!$A$39:$E$43,4,0))&gt;0,IF(MOD(INT(Cron_Uso!AX29/Frota!$L29)*Frota!$L29,N(VLOOKUP(Frota!$B29,Premissas!$A$39:$E$43,4,0)))=0,"A","S"),"S")),""))</f>
        <v/>
      </c>
      <c r="AY29" s="16" t="str">
        <f aca="false">IF(Cron_Uso!AY29="","",IF(INT(Cron_Uso!AY29/Frota!$L29)&gt;INT(Cron_Uso!AX29/Frota!$L29),IF(N(VLOOKUP(Frota!$B29,Premissas!$A$39:$E$43,5,0))&gt;0,IF(MOD(INT(Cron_Uso!AY29/Frota!$L29)*Frota!$L29,N(VLOOKUP(Frota!$B29,Premissas!$A$39:$E$43,5,0)))=0,"B",IF(N(VLOOKUP(Frota!$B29,Premissas!$A$39:$E$43,4,0))&gt;0,IF(MOD(INT(Cron_Uso!AY29/Frota!$L29)*Frota!$L29,N(VLOOKUP(Frota!$B29,Premissas!$A$39:$E$43,4,0)))=0,"A","S"),"S")),IF(N(VLOOKUP(Frota!$B29,Premissas!$A$39:$E$43,4,0))&gt;0,IF(MOD(INT(Cron_Uso!AY29/Frota!$L29)*Frota!$L29,N(VLOOKUP(Frota!$B29,Premissas!$A$39:$E$43,4,0)))=0,"A","S"),"S")),""))</f>
        <v/>
      </c>
      <c r="AZ29" s="16" t="str">
        <f aca="false">IF(Cron_Uso!AZ29="","",IF(INT(Cron_Uso!AZ29/Frota!$L29)&gt;INT(Cron_Uso!AY29/Frota!$L29),IF(N(VLOOKUP(Frota!$B29,Premissas!$A$39:$E$43,5,0))&gt;0,IF(MOD(INT(Cron_Uso!AZ29/Frota!$L29)*Frota!$L29,N(VLOOKUP(Frota!$B29,Premissas!$A$39:$E$43,5,0)))=0,"B",IF(N(VLOOKUP(Frota!$B29,Premissas!$A$39:$E$43,4,0))&gt;0,IF(MOD(INT(Cron_Uso!AZ29/Frota!$L29)*Frota!$L29,N(VLOOKUP(Frota!$B29,Premissas!$A$39:$E$43,4,0)))=0,"A","S"),"S")),IF(N(VLOOKUP(Frota!$B29,Premissas!$A$39:$E$43,4,0))&gt;0,IF(MOD(INT(Cron_Uso!AZ29/Frota!$L29)*Frota!$L29,N(VLOOKUP(Frota!$B29,Premissas!$A$39:$E$43,4,0)))=0,"A","S"),"S")),""))</f>
        <v/>
      </c>
      <c r="BA29" s="16" t="str">
        <f aca="false">IF(Cron_Uso!BA29="","",IF(INT(Cron_Uso!BA29/Frota!$L29)&gt;INT(Cron_Uso!AZ29/Frota!$L29),IF(N(VLOOKUP(Frota!$B29,Premissas!$A$39:$E$43,5,0))&gt;0,IF(MOD(INT(Cron_Uso!BA29/Frota!$L29)*Frota!$L29,N(VLOOKUP(Frota!$B29,Premissas!$A$39:$E$43,5,0)))=0,"B",IF(N(VLOOKUP(Frota!$B29,Premissas!$A$39:$E$43,4,0))&gt;0,IF(MOD(INT(Cron_Uso!BA29/Frota!$L29)*Frota!$L29,N(VLOOKUP(Frota!$B29,Premissas!$A$39:$E$43,4,0)))=0,"A","S"),"S")),IF(N(VLOOKUP(Frota!$B29,Premissas!$A$39:$E$43,4,0))&gt;0,IF(MOD(INT(Cron_Uso!BA29/Frota!$L29)*Frota!$L29,N(VLOOKUP(Frota!$B29,Premissas!$A$39:$E$43,4,0)))=0,"A","S"),"S")),""))</f>
        <v/>
      </c>
    </row>
    <row r="30" customFormat="false" ht="15" hidden="false" customHeight="false" outlineLevel="0" collapsed="false">
      <c r="A30" s="6" t="str">
        <f aca="false">IF(Frota!$A30="","",Frota!$A30)</f>
        <v/>
      </c>
      <c r="B30" s="16" t="str">
        <f aca="false">IF(Cron_Uso!B30="","",IF(INT(Cron_Uso!B30/Frota!$L30)&gt;INT(Frota!$I30/Frota!$L30),IF(N(VLOOKUP(Frota!$B30,Premissas!$A$39:$E$43,5,0))&gt;0,IF(MOD(INT(Cron_Uso!B30/Frota!$L30)*Frota!$L30,N(VLOOKUP(Frota!$B30,Premissas!$A$39:$E$43,5,0)))=0,"B",IF(N(VLOOKUP(Frota!$B30,Premissas!$A$39:$E$43,4,0))&gt;0,IF(MOD(INT(Cron_Uso!B30/Frota!$L30)*Frota!$L30,N(VLOOKUP(Frota!$B30,Premissas!$A$39:$E$43,4,0)))=0,"A","S"),"S")),IF(N(VLOOKUP(Frota!$B30,Premissas!$A$39:$E$43,4,0))&gt;0,IF(MOD(INT(Cron_Uso!B30/Frota!$L30)*Frota!$L30,N(VLOOKUP(Frota!$B30,Premissas!$A$39:$E$43,4,0)))=0,"A","S"),"S")),""))</f>
        <v/>
      </c>
      <c r="C30" s="16" t="str">
        <f aca="false">IF(Cron_Uso!C30="","",IF(INT(Cron_Uso!C30/Frota!$L30)&gt;INT(Cron_Uso!B30/Frota!$L30),IF(N(VLOOKUP(Frota!$B30,Premissas!$A$39:$E$43,5,0))&gt;0,IF(MOD(INT(Cron_Uso!C30/Frota!$L30)*Frota!$L30,N(VLOOKUP(Frota!$B30,Premissas!$A$39:$E$43,5,0)))=0,"B",IF(N(VLOOKUP(Frota!$B30,Premissas!$A$39:$E$43,4,0))&gt;0,IF(MOD(INT(Cron_Uso!C30/Frota!$L30)*Frota!$L30,N(VLOOKUP(Frota!$B30,Premissas!$A$39:$E$43,4,0)))=0,"A","S"),"S")),IF(N(VLOOKUP(Frota!$B30,Premissas!$A$39:$E$43,4,0))&gt;0,IF(MOD(INT(Cron_Uso!C30/Frota!$L30)*Frota!$L30,N(VLOOKUP(Frota!$B30,Premissas!$A$39:$E$43,4,0)))=0,"A","S"),"S")),""))</f>
        <v/>
      </c>
      <c r="D30" s="16" t="str">
        <f aca="false">IF(Cron_Uso!D30="","",IF(INT(Cron_Uso!D30/Frota!$L30)&gt;INT(Cron_Uso!C30/Frota!$L30),IF(N(VLOOKUP(Frota!$B30,Premissas!$A$39:$E$43,5,0))&gt;0,IF(MOD(INT(Cron_Uso!D30/Frota!$L30)*Frota!$L30,N(VLOOKUP(Frota!$B30,Premissas!$A$39:$E$43,5,0)))=0,"B",IF(N(VLOOKUP(Frota!$B30,Premissas!$A$39:$E$43,4,0))&gt;0,IF(MOD(INT(Cron_Uso!D30/Frota!$L30)*Frota!$L30,N(VLOOKUP(Frota!$B30,Premissas!$A$39:$E$43,4,0)))=0,"A","S"),"S")),IF(N(VLOOKUP(Frota!$B30,Premissas!$A$39:$E$43,4,0))&gt;0,IF(MOD(INT(Cron_Uso!D30/Frota!$L30)*Frota!$L30,N(VLOOKUP(Frota!$B30,Premissas!$A$39:$E$43,4,0)))=0,"A","S"),"S")),""))</f>
        <v/>
      </c>
      <c r="E30" s="16" t="str">
        <f aca="false">IF(Cron_Uso!E30="","",IF(INT(Cron_Uso!E30/Frota!$L30)&gt;INT(Cron_Uso!D30/Frota!$L30),IF(N(VLOOKUP(Frota!$B30,Premissas!$A$39:$E$43,5,0))&gt;0,IF(MOD(INT(Cron_Uso!E30/Frota!$L30)*Frota!$L30,N(VLOOKUP(Frota!$B30,Premissas!$A$39:$E$43,5,0)))=0,"B",IF(N(VLOOKUP(Frota!$B30,Premissas!$A$39:$E$43,4,0))&gt;0,IF(MOD(INT(Cron_Uso!E30/Frota!$L30)*Frota!$L30,N(VLOOKUP(Frota!$B30,Premissas!$A$39:$E$43,4,0)))=0,"A","S"),"S")),IF(N(VLOOKUP(Frota!$B30,Premissas!$A$39:$E$43,4,0))&gt;0,IF(MOD(INT(Cron_Uso!E30/Frota!$L30)*Frota!$L30,N(VLOOKUP(Frota!$B30,Premissas!$A$39:$E$43,4,0)))=0,"A","S"),"S")),""))</f>
        <v/>
      </c>
      <c r="F30" s="16" t="str">
        <f aca="false">IF(Cron_Uso!F30="","",IF(INT(Cron_Uso!F30/Frota!$L30)&gt;INT(Cron_Uso!E30/Frota!$L30),IF(N(VLOOKUP(Frota!$B30,Premissas!$A$39:$E$43,5,0))&gt;0,IF(MOD(INT(Cron_Uso!F30/Frota!$L30)*Frota!$L30,N(VLOOKUP(Frota!$B30,Premissas!$A$39:$E$43,5,0)))=0,"B",IF(N(VLOOKUP(Frota!$B30,Premissas!$A$39:$E$43,4,0))&gt;0,IF(MOD(INT(Cron_Uso!F30/Frota!$L30)*Frota!$L30,N(VLOOKUP(Frota!$B30,Premissas!$A$39:$E$43,4,0)))=0,"A","S"),"S")),IF(N(VLOOKUP(Frota!$B30,Premissas!$A$39:$E$43,4,0))&gt;0,IF(MOD(INT(Cron_Uso!F30/Frota!$L30)*Frota!$L30,N(VLOOKUP(Frota!$B30,Premissas!$A$39:$E$43,4,0)))=0,"A","S"),"S")),""))</f>
        <v/>
      </c>
      <c r="G30" s="16" t="str">
        <f aca="false">IF(Cron_Uso!G30="","",IF(INT(Cron_Uso!G30/Frota!$L30)&gt;INT(Cron_Uso!F30/Frota!$L30),IF(N(VLOOKUP(Frota!$B30,Premissas!$A$39:$E$43,5,0))&gt;0,IF(MOD(INT(Cron_Uso!G30/Frota!$L30)*Frota!$L30,N(VLOOKUP(Frota!$B30,Premissas!$A$39:$E$43,5,0)))=0,"B",IF(N(VLOOKUP(Frota!$B30,Premissas!$A$39:$E$43,4,0))&gt;0,IF(MOD(INT(Cron_Uso!G30/Frota!$L30)*Frota!$L30,N(VLOOKUP(Frota!$B30,Premissas!$A$39:$E$43,4,0)))=0,"A","S"),"S")),IF(N(VLOOKUP(Frota!$B30,Premissas!$A$39:$E$43,4,0))&gt;0,IF(MOD(INT(Cron_Uso!G30/Frota!$L30)*Frota!$L30,N(VLOOKUP(Frota!$B30,Premissas!$A$39:$E$43,4,0)))=0,"A","S"),"S")),""))</f>
        <v/>
      </c>
      <c r="H30" s="16" t="str">
        <f aca="false">IF(Cron_Uso!H30="","",IF(INT(Cron_Uso!H30/Frota!$L30)&gt;INT(Cron_Uso!G30/Frota!$L30),IF(N(VLOOKUP(Frota!$B30,Premissas!$A$39:$E$43,5,0))&gt;0,IF(MOD(INT(Cron_Uso!H30/Frota!$L30)*Frota!$L30,N(VLOOKUP(Frota!$B30,Premissas!$A$39:$E$43,5,0)))=0,"B",IF(N(VLOOKUP(Frota!$B30,Premissas!$A$39:$E$43,4,0))&gt;0,IF(MOD(INT(Cron_Uso!H30/Frota!$L30)*Frota!$L30,N(VLOOKUP(Frota!$B30,Premissas!$A$39:$E$43,4,0)))=0,"A","S"),"S")),IF(N(VLOOKUP(Frota!$B30,Premissas!$A$39:$E$43,4,0))&gt;0,IF(MOD(INT(Cron_Uso!H30/Frota!$L30)*Frota!$L30,N(VLOOKUP(Frota!$B30,Premissas!$A$39:$E$43,4,0)))=0,"A","S"),"S")),""))</f>
        <v/>
      </c>
      <c r="I30" s="16" t="str">
        <f aca="false">IF(Cron_Uso!I30="","",IF(INT(Cron_Uso!I30/Frota!$L30)&gt;INT(Cron_Uso!H30/Frota!$L30),IF(N(VLOOKUP(Frota!$B30,Premissas!$A$39:$E$43,5,0))&gt;0,IF(MOD(INT(Cron_Uso!I30/Frota!$L30)*Frota!$L30,N(VLOOKUP(Frota!$B30,Premissas!$A$39:$E$43,5,0)))=0,"B",IF(N(VLOOKUP(Frota!$B30,Premissas!$A$39:$E$43,4,0))&gt;0,IF(MOD(INT(Cron_Uso!I30/Frota!$L30)*Frota!$L30,N(VLOOKUP(Frota!$B30,Premissas!$A$39:$E$43,4,0)))=0,"A","S"),"S")),IF(N(VLOOKUP(Frota!$B30,Premissas!$A$39:$E$43,4,0))&gt;0,IF(MOD(INT(Cron_Uso!I30/Frota!$L30)*Frota!$L30,N(VLOOKUP(Frota!$B30,Premissas!$A$39:$E$43,4,0)))=0,"A","S"),"S")),""))</f>
        <v/>
      </c>
      <c r="J30" s="16" t="str">
        <f aca="false">IF(Cron_Uso!J30="","",IF(INT(Cron_Uso!J30/Frota!$L30)&gt;INT(Cron_Uso!I30/Frota!$L30),IF(N(VLOOKUP(Frota!$B30,Premissas!$A$39:$E$43,5,0))&gt;0,IF(MOD(INT(Cron_Uso!J30/Frota!$L30)*Frota!$L30,N(VLOOKUP(Frota!$B30,Premissas!$A$39:$E$43,5,0)))=0,"B",IF(N(VLOOKUP(Frota!$B30,Premissas!$A$39:$E$43,4,0))&gt;0,IF(MOD(INT(Cron_Uso!J30/Frota!$L30)*Frota!$L30,N(VLOOKUP(Frota!$B30,Premissas!$A$39:$E$43,4,0)))=0,"A","S"),"S")),IF(N(VLOOKUP(Frota!$B30,Premissas!$A$39:$E$43,4,0))&gt;0,IF(MOD(INT(Cron_Uso!J30/Frota!$L30)*Frota!$L30,N(VLOOKUP(Frota!$B30,Premissas!$A$39:$E$43,4,0)))=0,"A","S"),"S")),""))</f>
        <v/>
      </c>
      <c r="K30" s="16" t="str">
        <f aca="false">IF(Cron_Uso!K30="","",IF(INT(Cron_Uso!K30/Frota!$L30)&gt;INT(Cron_Uso!J30/Frota!$L30),IF(N(VLOOKUP(Frota!$B30,Premissas!$A$39:$E$43,5,0))&gt;0,IF(MOD(INT(Cron_Uso!K30/Frota!$L30)*Frota!$L30,N(VLOOKUP(Frota!$B30,Premissas!$A$39:$E$43,5,0)))=0,"B",IF(N(VLOOKUP(Frota!$B30,Premissas!$A$39:$E$43,4,0))&gt;0,IF(MOD(INT(Cron_Uso!K30/Frota!$L30)*Frota!$L30,N(VLOOKUP(Frota!$B30,Premissas!$A$39:$E$43,4,0)))=0,"A","S"),"S")),IF(N(VLOOKUP(Frota!$B30,Premissas!$A$39:$E$43,4,0))&gt;0,IF(MOD(INT(Cron_Uso!K30/Frota!$L30)*Frota!$L30,N(VLOOKUP(Frota!$B30,Premissas!$A$39:$E$43,4,0)))=0,"A","S"),"S")),""))</f>
        <v/>
      </c>
      <c r="L30" s="16" t="str">
        <f aca="false">IF(Cron_Uso!L30="","",IF(INT(Cron_Uso!L30/Frota!$L30)&gt;INT(Cron_Uso!K30/Frota!$L30),IF(N(VLOOKUP(Frota!$B30,Premissas!$A$39:$E$43,5,0))&gt;0,IF(MOD(INT(Cron_Uso!L30/Frota!$L30)*Frota!$L30,N(VLOOKUP(Frota!$B30,Premissas!$A$39:$E$43,5,0)))=0,"B",IF(N(VLOOKUP(Frota!$B30,Premissas!$A$39:$E$43,4,0))&gt;0,IF(MOD(INT(Cron_Uso!L30/Frota!$L30)*Frota!$L30,N(VLOOKUP(Frota!$B30,Premissas!$A$39:$E$43,4,0)))=0,"A","S"),"S")),IF(N(VLOOKUP(Frota!$B30,Premissas!$A$39:$E$43,4,0))&gt;0,IF(MOD(INT(Cron_Uso!L30/Frota!$L30)*Frota!$L30,N(VLOOKUP(Frota!$B30,Premissas!$A$39:$E$43,4,0)))=0,"A","S"),"S")),""))</f>
        <v/>
      </c>
      <c r="M30" s="16" t="str">
        <f aca="false">IF(Cron_Uso!M30="","",IF(INT(Cron_Uso!M30/Frota!$L30)&gt;INT(Cron_Uso!L30/Frota!$L30),IF(N(VLOOKUP(Frota!$B30,Premissas!$A$39:$E$43,5,0))&gt;0,IF(MOD(INT(Cron_Uso!M30/Frota!$L30)*Frota!$L30,N(VLOOKUP(Frota!$B30,Premissas!$A$39:$E$43,5,0)))=0,"B",IF(N(VLOOKUP(Frota!$B30,Premissas!$A$39:$E$43,4,0))&gt;0,IF(MOD(INT(Cron_Uso!M30/Frota!$L30)*Frota!$L30,N(VLOOKUP(Frota!$B30,Premissas!$A$39:$E$43,4,0)))=0,"A","S"),"S")),IF(N(VLOOKUP(Frota!$B30,Premissas!$A$39:$E$43,4,0))&gt;0,IF(MOD(INT(Cron_Uso!M30/Frota!$L30)*Frota!$L30,N(VLOOKUP(Frota!$B30,Premissas!$A$39:$E$43,4,0)))=0,"A","S"),"S")),""))</f>
        <v/>
      </c>
      <c r="N30" s="16" t="str">
        <f aca="false">IF(Cron_Uso!N30="","",IF(INT(Cron_Uso!N30/Frota!$L30)&gt;INT(Cron_Uso!M30/Frota!$L30),IF(N(VLOOKUP(Frota!$B30,Premissas!$A$39:$E$43,5,0))&gt;0,IF(MOD(INT(Cron_Uso!N30/Frota!$L30)*Frota!$L30,N(VLOOKUP(Frota!$B30,Premissas!$A$39:$E$43,5,0)))=0,"B",IF(N(VLOOKUP(Frota!$B30,Premissas!$A$39:$E$43,4,0))&gt;0,IF(MOD(INT(Cron_Uso!N30/Frota!$L30)*Frota!$L30,N(VLOOKUP(Frota!$B30,Premissas!$A$39:$E$43,4,0)))=0,"A","S"),"S")),IF(N(VLOOKUP(Frota!$B30,Premissas!$A$39:$E$43,4,0))&gt;0,IF(MOD(INT(Cron_Uso!N30/Frota!$L30)*Frota!$L30,N(VLOOKUP(Frota!$B30,Premissas!$A$39:$E$43,4,0)))=0,"A","S"),"S")),""))</f>
        <v/>
      </c>
      <c r="O30" s="16" t="str">
        <f aca="false">IF(Cron_Uso!O30="","",IF(INT(Cron_Uso!O30/Frota!$L30)&gt;INT(Cron_Uso!N30/Frota!$L30),IF(N(VLOOKUP(Frota!$B30,Premissas!$A$39:$E$43,5,0))&gt;0,IF(MOD(INT(Cron_Uso!O30/Frota!$L30)*Frota!$L30,N(VLOOKUP(Frota!$B30,Premissas!$A$39:$E$43,5,0)))=0,"B",IF(N(VLOOKUP(Frota!$B30,Premissas!$A$39:$E$43,4,0))&gt;0,IF(MOD(INT(Cron_Uso!O30/Frota!$L30)*Frota!$L30,N(VLOOKUP(Frota!$B30,Premissas!$A$39:$E$43,4,0)))=0,"A","S"),"S")),IF(N(VLOOKUP(Frota!$B30,Premissas!$A$39:$E$43,4,0))&gt;0,IF(MOD(INT(Cron_Uso!O30/Frota!$L30)*Frota!$L30,N(VLOOKUP(Frota!$B30,Premissas!$A$39:$E$43,4,0)))=0,"A","S"),"S")),""))</f>
        <v/>
      </c>
      <c r="P30" s="16" t="str">
        <f aca="false">IF(Cron_Uso!P30="","",IF(INT(Cron_Uso!P30/Frota!$L30)&gt;INT(Cron_Uso!O30/Frota!$L30),IF(N(VLOOKUP(Frota!$B30,Premissas!$A$39:$E$43,5,0))&gt;0,IF(MOD(INT(Cron_Uso!P30/Frota!$L30)*Frota!$L30,N(VLOOKUP(Frota!$B30,Premissas!$A$39:$E$43,5,0)))=0,"B",IF(N(VLOOKUP(Frota!$B30,Premissas!$A$39:$E$43,4,0))&gt;0,IF(MOD(INT(Cron_Uso!P30/Frota!$L30)*Frota!$L30,N(VLOOKUP(Frota!$B30,Premissas!$A$39:$E$43,4,0)))=0,"A","S"),"S")),IF(N(VLOOKUP(Frota!$B30,Premissas!$A$39:$E$43,4,0))&gt;0,IF(MOD(INT(Cron_Uso!P30/Frota!$L30)*Frota!$L30,N(VLOOKUP(Frota!$B30,Premissas!$A$39:$E$43,4,0)))=0,"A","S"),"S")),""))</f>
        <v/>
      </c>
      <c r="Q30" s="16" t="str">
        <f aca="false">IF(Cron_Uso!Q30="","",IF(INT(Cron_Uso!Q30/Frota!$L30)&gt;INT(Cron_Uso!P30/Frota!$L30),IF(N(VLOOKUP(Frota!$B30,Premissas!$A$39:$E$43,5,0))&gt;0,IF(MOD(INT(Cron_Uso!Q30/Frota!$L30)*Frota!$L30,N(VLOOKUP(Frota!$B30,Premissas!$A$39:$E$43,5,0)))=0,"B",IF(N(VLOOKUP(Frota!$B30,Premissas!$A$39:$E$43,4,0))&gt;0,IF(MOD(INT(Cron_Uso!Q30/Frota!$L30)*Frota!$L30,N(VLOOKUP(Frota!$B30,Premissas!$A$39:$E$43,4,0)))=0,"A","S"),"S")),IF(N(VLOOKUP(Frota!$B30,Premissas!$A$39:$E$43,4,0))&gt;0,IF(MOD(INT(Cron_Uso!Q30/Frota!$L30)*Frota!$L30,N(VLOOKUP(Frota!$B30,Premissas!$A$39:$E$43,4,0)))=0,"A","S"),"S")),""))</f>
        <v/>
      </c>
      <c r="R30" s="16" t="str">
        <f aca="false">IF(Cron_Uso!R30="","",IF(INT(Cron_Uso!R30/Frota!$L30)&gt;INT(Cron_Uso!Q30/Frota!$L30),IF(N(VLOOKUP(Frota!$B30,Premissas!$A$39:$E$43,5,0))&gt;0,IF(MOD(INT(Cron_Uso!R30/Frota!$L30)*Frota!$L30,N(VLOOKUP(Frota!$B30,Premissas!$A$39:$E$43,5,0)))=0,"B",IF(N(VLOOKUP(Frota!$B30,Premissas!$A$39:$E$43,4,0))&gt;0,IF(MOD(INT(Cron_Uso!R30/Frota!$L30)*Frota!$L30,N(VLOOKUP(Frota!$B30,Premissas!$A$39:$E$43,4,0)))=0,"A","S"),"S")),IF(N(VLOOKUP(Frota!$B30,Premissas!$A$39:$E$43,4,0))&gt;0,IF(MOD(INT(Cron_Uso!R30/Frota!$L30)*Frota!$L30,N(VLOOKUP(Frota!$B30,Premissas!$A$39:$E$43,4,0)))=0,"A","S"),"S")),""))</f>
        <v/>
      </c>
      <c r="S30" s="16" t="str">
        <f aca="false">IF(Cron_Uso!S30="","",IF(INT(Cron_Uso!S30/Frota!$L30)&gt;INT(Cron_Uso!R30/Frota!$L30),IF(N(VLOOKUP(Frota!$B30,Premissas!$A$39:$E$43,5,0))&gt;0,IF(MOD(INT(Cron_Uso!S30/Frota!$L30)*Frota!$L30,N(VLOOKUP(Frota!$B30,Premissas!$A$39:$E$43,5,0)))=0,"B",IF(N(VLOOKUP(Frota!$B30,Premissas!$A$39:$E$43,4,0))&gt;0,IF(MOD(INT(Cron_Uso!S30/Frota!$L30)*Frota!$L30,N(VLOOKUP(Frota!$B30,Premissas!$A$39:$E$43,4,0)))=0,"A","S"),"S")),IF(N(VLOOKUP(Frota!$B30,Premissas!$A$39:$E$43,4,0))&gt;0,IF(MOD(INT(Cron_Uso!S30/Frota!$L30)*Frota!$L30,N(VLOOKUP(Frota!$B30,Premissas!$A$39:$E$43,4,0)))=0,"A","S"),"S")),""))</f>
        <v/>
      </c>
      <c r="T30" s="16" t="str">
        <f aca="false">IF(Cron_Uso!T30="","",IF(INT(Cron_Uso!T30/Frota!$L30)&gt;INT(Cron_Uso!S30/Frota!$L30),IF(N(VLOOKUP(Frota!$B30,Premissas!$A$39:$E$43,5,0))&gt;0,IF(MOD(INT(Cron_Uso!T30/Frota!$L30)*Frota!$L30,N(VLOOKUP(Frota!$B30,Premissas!$A$39:$E$43,5,0)))=0,"B",IF(N(VLOOKUP(Frota!$B30,Premissas!$A$39:$E$43,4,0))&gt;0,IF(MOD(INT(Cron_Uso!T30/Frota!$L30)*Frota!$L30,N(VLOOKUP(Frota!$B30,Premissas!$A$39:$E$43,4,0)))=0,"A","S"),"S")),IF(N(VLOOKUP(Frota!$B30,Premissas!$A$39:$E$43,4,0))&gt;0,IF(MOD(INT(Cron_Uso!T30/Frota!$L30)*Frota!$L30,N(VLOOKUP(Frota!$B30,Premissas!$A$39:$E$43,4,0)))=0,"A","S"),"S")),""))</f>
        <v/>
      </c>
      <c r="U30" s="16" t="str">
        <f aca="false">IF(Cron_Uso!U30="","",IF(INT(Cron_Uso!U30/Frota!$L30)&gt;INT(Cron_Uso!T30/Frota!$L30),IF(N(VLOOKUP(Frota!$B30,Premissas!$A$39:$E$43,5,0))&gt;0,IF(MOD(INT(Cron_Uso!U30/Frota!$L30)*Frota!$L30,N(VLOOKUP(Frota!$B30,Premissas!$A$39:$E$43,5,0)))=0,"B",IF(N(VLOOKUP(Frota!$B30,Premissas!$A$39:$E$43,4,0))&gt;0,IF(MOD(INT(Cron_Uso!U30/Frota!$L30)*Frota!$L30,N(VLOOKUP(Frota!$B30,Premissas!$A$39:$E$43,4,0)))=0,"A","S"),"S")),IF(N(VLOOKUP(Frota!$B30,Premissas!$A$39:$E$43,4,0))&gt;0,IF(MOD(INT(Cron_Uso!U30/Frota!$L30)*Frota!$L30,N(VLOOKUP(Frota!$B30,Premissas!$A$39:$E$43,4,0)))=0,"A","S"),"S")),""))</f>
        <v/>
      </c>
      <c r="V30" s="16" t="str">
        <f aca="false">IF(Cron_Uso!V30="","",IF(INT(Cron_Uso!V30/Frota!$L30)&gt;INT(Cron_Uso!U30/Frota!$L30),IF(N(VLOOKUP(Frota!$B30,Premissas!$A$39:$E$43,5,0))&gt;0,IF(MOD(INT(Cron_Uso!V30/Frota!$L30)*Frota!$L30,N(VLOOKUP(Frota!$B30,Premissas!$A$39:$E$43,5,0)))=0,"B",IF(N(VLOOKUP(Frota!$B30,Premissas!$A$39:$E$43,4,0))&gt;0,IF(MOD(INT(Cron_Uso!V30/Frota!$L30)*Frota!$L30,N(VLOOKUP(Frota!$B30,Premissas!$A$39:$E$43,4,0)))=0,"A","S"),"S")),IF(N(VLOOKUP(Frota!$B30,Premissas!$A$39:$E$43,4,0))&gt;0,IF(MOD(INT(Cron_Uso!V30/Frota!$L30)*Frota!$L30,N(VLOOKUP(Frota!$B30,Premissas!$A$39:$E$43,4,0)))=0,"A","S"),"S")),""))</f>
        <v/>
      </c>
      <c r="W30" s="16" t="str">
        <f aca="false">IF(Cron_Uso!W30="","",IF(INT(Cron_Uso!W30/Frota!$L30)&gt;INT(Cron_Uso!V30/Frota!$L30),IF(N(VLOOKUP(Frota!$B30,Premissas!$A$39:$E$43,5,0))&gt;0,IF(MOD(INT(Cron_Uso!W30/Frota!$L30)*Frota!$L30,N(VLOOKUP(Frota!$B30,Premissas!$A$39:$E$43,5,0)))=0,"B",IF(N(VLOOKUP(Frota!$B30,Premissas!$A$39:$E$43,4,0))&gt;0,IF(MOD(INT(Cron_Uso!W30/Frota!$L30)*Frota!$L30,N(VLOOKUP(Frota!$B30,Premissas!$A$39:$E$43,4,0)))=0,"A","S"),"S")),IF(N(VLOOKUP(Frota!$B30,Premissas!$A$39:$E$43,4,0))&gt;0,IF(MOD(INT(Cron_Uso!W30/Frota!$L30)*Frota!$L30,N(VLOOKUP(Frota!$B30,Premissas!$A$39:$E$43,4,0)))=0,"A","S"),"S")),""))</f>
        <v/>
      </c>
      <c r="X30" s="16" t="str">
        <f aca="false">IF(Cron_Uso!X30="","",IF(INT(Cron_Uso!X30/Frota!$L30)&gt;INT(Cron_Uso!W30/Frota!$L30),IF(N(VLOOKUP(Frota!$B30,Premissas!$A$39:$E$43,5,0))&gt;0,IF(MOD(INT(Cron_Uso!X30/Frota!$L30)*Frota!$L30,N(VLOOKUP(Frota!$B30,Premissas!$A$39:$E$43,5,0)))=0,"B",IF(N(VLOOKUP(Frota!$B30,Premissas!$A$39:$E$43,4,0))&gt;0,IF(MOD(INT(Cron_Uso!X30/Frota!$L30)*Frota!$L30,N(VLOOKUP(Frota!$B30,Premissas!$A$39:$E$43,4,0)))=0,"A","S"),"S")),IF(N(VLOOKUP(Frota!$B30,Premissas!$A$39:$E$43,4,0))&gt;0,IF(MOD(INT(Cron_Uso!X30/Frota!$L30)*Frota!$L30,N(VLOOKUP(Frota!$B30,Premissas!$A$39:$E$43,4,0)))=0,"A","S"),"S")),""))</f>
        <v/>
      </c>
      <c r="Y30" s="16" t="str">
        <f aca="false">IF(Cron_Uso!Y30="","",IF(INT(Cron_Uso!Y30/Frota!$L30)&gt;INT(Cron_Uso!X30/Frota!$L30),IF(N(VLOOKUP(Frota!$B30,Premissas!$A$39:$E$43,5,0))&gt;0,IF(MOD(INT(Cron_Uso!Y30/Frota!$L30)*Frota!$L30,N(VLOOKUP(Frota!$B30,Premissas!$A$39:$E$43,5,0)))=0,"B",IF(N(VLOOKUP(Frota!$B30,Premissas!$A$39:$E$43,4,0))&gt;0,IF(MOD(INT(Cron_Uso!Y30/Frota!$L30)*Frota!$L30,N(VLOOKUP(Frota!$B30,Premissas!$A$39:$E$43,4,0)))=0,"A","S"),"S")),IF(N(VLOOKUP(Frota!$B30,Premissas!$A$39:$E$43,4,0))&gt;0,IF(MOD(INT(Cron_Uso!Y30/Frota!$L30)*Frota!$L30,N(VLOOKUP(Frota!$B30,Premissas!$A$39:$E$43,4,0)))=0,"A","S"),"S")),""))</f>
        <v/>
      </c>
      <c r="Z30" s="16" t="str">
        <f aca="false">IF(Cron_Uso!Z30="","",IF(INT(Cron_Uso!Z30/Frota!$L30)&gt;INT(Cron_Uso!Y30/Frota!$L30),IF(N(VLOOKUP(Frota!$B30,Premissas!$A$39:$E$43,5,0))&gt;0,IF(MOD(INT(Cron_Uso!Z30/Frota!$L30)*Frota!$L30,N(VLOOKUP(Frota!$B30,Premissas!$A$39:$E$43,5,0)))=0,"B",IF(N(VLOOKUP(Frota!$B30,Premissas!$A$39:$E$43,4,0))&gt;0,IF(MOD(INT(Cron_Uso!Z30/Frota!$L30)*Frota!$L30,N(VLOOKUP(Frota!$B30,Premissas!$A$39:$E$43,4,0)))=0,"A","S"),"S")),IF(N(VLOOKUP(Frota!$B30,Premissas!$A$39:$E$43,4,0))&gt;0,IF(MOD(INT(Cron_Uso!Z30/Frota!$L30)*Frota!$L30,N(VLOOKUP(Frota!$B30,Premissas!$A$39:$E$43,4,0)))=0,"A","S"),"S")),""))</f>
        <v/>
      </c>
      <c r="AA30" s="16" t="str">
        <f aca="false">IF(Cron_Uso!AA30="","",IF(INT(Cron_Uso!AA30/Frota!$L30)&gt;INT(Cron_Uso!Z30/Frota!$L30),IF(N(VLOOKUP(Frota!$B30,Premissas!$A$39:$E$43,5,0))&gt;0,IF(MOD(INT(Cron_Uso!AA30/Frota!$L30)*Frota!$L30,N(VLOOKUP(Frota!$B30,Premissas!$A$39:$E$43,5,0)))=0,"B",IF(N(VLOOKUP(Frota!$B30,Premissas!$A$39:$E$43,4,0))&gt;0,IF(MOD(INT(Cron_Uso!AA30/Frota!$L30)*Frota!$L30,N(VLOOKUP(Frota!$B30,Premissas!$A$39:$E$43,4,0)))=0,"A","S"),"S")),IF(N(VLOOKUP(Frota!$B30,Premissas!$A$39:$E$43,4,0))&gt;0,IF(MOD(INT(Cron_Uso!AA30/Frota!$L30)*Frota!$L30,N(VLOOKUP(Frota!$B30,Premissas!$A$39:$E$43,4,0)))=0,"A","S"),"S")),""))</f>
        <v/>
      </c>
      <c r="AB30" s="16" t="str">
        <f aca="false">IF(Cron_Uso!AB30="","",IF(INT(Cron_Uso!AB30/Frota!$L30)&gt;INT(Cron_Uso!AA30/Frota!$L30),IF(N(VLOOKUP(Frota!$B30,Premissas!$A$39:$E$43,5,0))&gt;0,IF(MOD(INT(Cron_Uso!AB30/Frota!$L30)*Frota!$L30,N(VLOOKUP(Frota!$B30,Premissas!$A$39:$E$43,5,0)))=0,"B",IF(N(VLOOKUP(Frota!$B30,Premissas!$A$39:$E$43,4,0))&gt;0,IF(MOD(INT(Cron_Uso!AB30/Frota!$L30)*Frota!$L30,N(VLOOKUP(Frota!$B30,Premissas!$A$39:$E$43,4,0)))=0,"A","S"),"S")),IF(N(VLOOKUP(Frota!$B30,Premissas!$A$39:$E$43,4,0))&gt;0,IF(MOD(INT(Cron_Uso!AB30/Frota!$L30)*Frota!$L30,N(VLOOKUP(Frota!$B30,Premissas!$A$39:$E$43,4,0)))=0,"A","S"),"S")),""))</f>
        <v/>
      </c>
      <c r="AC30" s="16" t="str">
        <f aca="false">IF(Cron_Uso!AC30="","",IF(INT(Cron_Uso!AC30/Frota!$L30)&gt;INT(Cron_Uso!AB30/Frota!$L30),IF(N(VLOOKUP(Frota!$B30,Premissas!$A$39:$E$43,5,0))&gt;0,IF(MOD(INT(Cron_Uso!AC30/Frota!$L30)*Frota!$L30,N(VLOOKUP(Frota!$B30,Premissas!$A$39:$E$43,5,0)))=0,"B",IF(N(VLOOKUP(Frota!$B30,Premissas!$A$39:$E$43,4,0))&gt;0,IF(MOD(INT(Cron_Uso!AC30/Frota!$L30)*Frota!$L30,N(VLOOKUP(Frota!$B30,Premissas!$A$39:$E$43,4,0)))=0,"A","S"),"S")),IF(N(VLOOKUP(Frota!$B30,Premissas!$A$39:$E$43,4,0))&gt;0,IF(MOD(INT(Cron_Uso!AC30/Frota!$L30)*Frota!$L30,N(VLOOKUP(Frota!$B30,Premissas!$A$39:$E$43,4,0)))=0,"A","S"),"S")),""))</f>
        <v/>
      </c>
      <c r="AD30" s="16" t="str">
        <f aca="false">IF(Cron_Uso!AD30="","",IF(INT(Cron_Uso!AD30/Frota!$L30)&gt;INT(Cron_Uso!AC30/Frota!$L30),IF(N(VLOOKUP(Frota!$B30,Premissas!$A$39:$E$43,5,0))&gt;0,IF(MOD(INT(Cron_Uso!AD30/Frota!$L30)*Frota!$L30,N(VLOOKUP(Frota!$B30,Premissas!$A$39:$E$43,5,0)))=0,"B",IF(N(VLOOKUP(Frota!$B30,Premissas!$A$39:$E$43,4,0))&gt;0,IF(MOD(INT(Cron_Uso!AD30/Frota!$L30)*Frota!$L30,N(VLOOKUP(Frota!$B30,Premissas!$A$39:$E$43,4,0)))=0,"A","S"),"S")),IF(N(VLOOKUP(Frota!$B30,Premissas!$A$39:$E$43,4,0))&gt;0,IF(MOD(INT(Cron_Uso!AD30/Frota!$L30)*Frota!$L30,N(VLOOKUP(Frota!$B30,Premissas!$A$39:$E$43,4,0)))=0,"A","S"),"S")),""))</f>
        <v/>
      </c>
      <c r="AE30" s="16" t="str">
        <f aca="false">IF(Cron_Uso!AE30="","",IF(INT(Cron_Uso!AE30/Frota!$L30)&gt;INT(Cron_Uso!AD30/Frota!$L30),IF(N(VLOOKUP(Frota!$B30,Premissas!$A$39:$E$43,5,0))&gt;0,IF(MOD(INT(Cron_Uso!AE30/Frota!$L30)*Frota!$L30,N(VLOOKUP(Frota!$B30,Premissas!$A$39:$E$43,5,0)))=0,"B",IF(N(VLOOKUP(Frota!$B30,Premissas!$A$39:$E$43,4,0))&gt;0,IF(MOD(INT(Cron_Uso!AE30/Frota!$L30)*Frota!$L30,N(VLOOKUP(Frota!$B30,Premissas!$A$39:$E$43,4,0)))=0,"A","S"),"S")),IF(N(VLOOKUP(Frota!$B30,Premissas!$A$39:$E$43,4,0))&gt;0,IF(MOD(INT(Cron_Uso!AE30/Frota!$L30)*Frota!$L30,N(VLOOKUP(Frota!$B30,Premissas!$A$39:$E$43,4,0)))=0,"A","S"),"S")),""))</f>
        <v/>
      </c>
      <c r="AF30" s="16" t="str">
        <f aca="false">IF(Cron_Uso!AF30="","",IF(INT(Cron_Uso!AF30/Frota!$L30)&gt;INT(Cron_Uso!AE30/Frota!$L30),IF(N(VLOOKUP(Frota!$B30,Premissas!$A$39:$E$43,5,0))&gt;0,IF(MOD(INT(Cron_Uso!AF30/Frota!$L30)*Frota!$L30,N(VLOOKUP(Frota!$B30,Premissas!$A$39:$E$43,5,0)))=0,"B",IF(N(VLOOKUP(Frota!$B30,Premissas!$A$39:$E$43,4,0))&gt;0,IF(MOD(INT(Cron_Uso!AF30/Frota!$L30)*Frota!$L30,N(VLOOKUP(Frota!$B30,Premissas!$A$39:$E$43,4,0)))=0,"A","S"),"S")),IF(N(VLOOKUP(Frota!$B30,Premissas!$A$39:$E$43,4,0))&gt;0,IF(MOD(INT(Cron_Uso!AF30/Frota!$L30)*Frota!$L30,N(VLOOKUP(Frota!$B30,Premissas!$A$39:$E$43,4,0)))=0,"A","S"),"S")),""))</f>
        <v/>
      </c>
      <c r="AG30" s="16" t="str">
        <f aca="false">IF(Cron_Uso!AG30="","",IF(INT(Cron_Uso!AG30/Frota!$L30)&gt;INT(Cron_Uso!AF30/Frota!$L30),IF(N(VLOOKUP(Frota!$B30,Premissas!$A$39:$E$43,5,0))&gt;0,IF(MOD(INT(Cron_Uso!AG30/Frota!$L30)*Frota!$L30,N(VLOOKUP(Frota!$B30,Premissas!$A$39:$E$43,5,0)))=0,"B",IF(N(VLOOKUP(Frota!$B30,Premissas!$A$39:$E$43,4,0))&gt;0,IF(MOD(INT(Cron_Uso!AG30/Frota!$L30)*Frota!$L30,N(VLOOKUP(Frota!$B30,Premissas!$A$39:$E$43,4,0)))=0,"A","S"),"S")),IF(N(VLOOKUP(Frota!$B30,Premissas!$A$39:$E$43,4,0))&gt;0,IF(MOD(INT(Cron_Uso!AG30/Frota!$L30)*Frota!$L30,N(VLOOKUP(Frota!$B30,Premissas!$A$39:$E$43,4,0)))=0,"A","S"),"S")),""))</f>
        <v/>
      </c>
      <c r="AH30" s="16" t="str">
        <f aca="false">IF(Cron_Uso!AH30="","",IF(INT(Cron_Uso!AH30/Frota!$L30)&gt;INT(Cron_Uso!AG30/Frota!$L30),IF(N(VLOOKUP(Frota!$B30,Premissas!$A$39:$E$43,5,0))&gt;0,IF(MOD(INT(Cron_Uso!AH30/Frota!$L30)*Frota!$L30,N(VLOOKUP(Frota!$B30,Premissas!$A$39:$E$43,5,0)))=0,"B",IF(N(VLOOKUP(Frota!$B30,Premissas!$A$39:$E$43,4,0))&gt;0,IF(MOD(INT(Cron_Uso!AH30/Frota!$L30)*Frota!$L30,N(VLOOKUP(Frota!$B30,Premissas!$A$39:$E$43,4,0)))=0,"A","S"),"S")),IF(N(VLOOKUP(Frota!$B30,Premissas!$A$39:$E$43,4,0))&gt;0,IF(MOD(INT(Cron_Uso!AH30/Frota!$L30)*Frota!$L30,N(VLOOKUP(Frota!$B30,Premissas!$A$39:$E$43,4,0)))=0,"A","S"),"S")),""))</f>
        <v/>
      </c>
      <c r="AI30" s="16" t="str">
        <f aca="false">IF(Cron_Uso!AI30="","",IF(INT(Cron_Uso!AI30/Frota!$L30)&gt;INT(Cron_Uso!AH30/Frota!$L30),IF(N(VLOOKUP(Frota!$B30,Premissas!$A$39:$E$43,5,0))&gt;0,IF(MOD(INT(Cron_Uso!AI30/Frota!$L30)*Frota!$L30,N(VLOOKUP(Frota!$B30,Premissas!$A$39:$E$43,5,0)))=0,"B",IF(N(VLOOKUP(Frota!$B30,Premissas!$A$39:$E$43,4,0))&gt;0,IF(MOD(INT(Cron_Uso!AI30/Frota!$L30)*Frota!$L30,N(VLOOKUP(Frota!$B30,Premissas!$A$39:$E$43,4,0)))=0,"A","S"),"S")),IF(N(VLOOKUP(Frota!$B30,Premissas!$A$39:$E$43,4,0))&gt;0,IF(MOD(INT(Cron_Uso!AI30/Frota!$L30)*Frota!$L30,N(VLOOKUP(Frota!$B30,Premissas!$A$39:$E$43,4,0)))=0,"A","S"),"S")),""))</f>
        <v/>
      </c>
      <c r="AJ30" s="16" t="str">
        <f aca="false">IF(Cron_Uso!AJ30="","",IF(INT(Cron_Uso!AJ30/Frota!$L30)&gt;INT(Cron_Uso!AI30/Frota!$L30),IF(N(VLOOKUP(Frota!$B30,Premissas!$A$39:$E$43,5,0))&gt;0,IF(MOD(INT(Cron_Uso!AJ30/Frota!$L30)*Frota!$L30,N(VLOOKUP(Frota!$B30,Premissas!$A$39:$E$43,5,0)))=0,"B",IF(N(VLOOKUP(Frota!$B30,Premissas!$A$39:$E$43,4,0))&gt;0,IF(MOD(INT(Cron_Uso!AJ30/Frota!$L30)*Frota!$L30,N(VLOOKUP(Frota!$B30,Premissas!$A$39:$E$43,4,0)))=0,"A","S"),"S")),IF(N(VLOOKUP(Frota!$B30,Premissas!$A$39:$E$43,4,0))&gt;0,IF(MOD(INT(Cron_Uso!AJ30/Frota!$L30)*Frota!$L30,N(VLOOKUP(Frota!$B30,Premissas!$A$39:$E$43,4,0)))=0,"A","S"),"S")),""))</f>
        <v/>
      </c>
      <c r="AK30" s="16" t="str">
        <f aca="false">IF(Cron_Uso!AK30="","",IF(INT(Cron_Uso!AK30/Frota!$L30)&gt;INT(Cron_Uso!AJ30/Frota!$L30),IF(N(VLOOKUP(Frota!$B30,Premissas!$A$39:$E$43,5,0))&gt;0,IF(MOD(INT(Cron_Uso!AK30/Frota!$L30)*Frota!$L30,N(VLOOKUP(Frota!$B30,Premissas!$A$39:$E$43,5,0)))=0,"B",IF(N(VLOOKUP(Frota!$B30,Premissas!$A$39:$E$43,4,0))&gt;0,IF(MOD(INT(Cron_Uso!AK30/Frota!$L30)*Frota!$L30,N(VLOOKUP(Frota!$B30,Premissas!$A$39:$E$43,4,0)))=0,"A","S"),"S")),IF(N(VLOOKUP(Frota!$B30,Premissas!$A$39:$E$43,4,0))&gt;0,IF(MOD(INT(Cron_Uso!AK30/Frota!$L30)*Frota!$L30,N(VLOOKUP(Frota!$B30,Premissas!$A$39:$E$43,4,0)))=0,"A","S"),"S")),""))</f>
        <v/>
      </c>
      <c r="AL30" s="16" t="str">
        <f aca="false">IF(Cron_Uso!AL30="","",IF(INT(Cron_Uso!AL30/Frota!$L30)&gt;INT(Cron_Uso!AK30/Frota!$L30),IF(N(VLOOKUP(Frota!$B30,Premissas!$A$39:$E$43,5,0))&gt;0,IF(MOD(INT(Cron_Uso!AL30/Frota!$L30)*Frota!$L30,N(VLOOKUP(Frota!$B30,Premissas!$A$39:$E$43,5,0)))=0,"B",IF(N(VLOOKUP(Frota!$B30,Premissas!$A$39:$E$43,4,0))&gt;0,IF(MOD(INT(Cron_Uso!AL30/Frota!$L30)*Frota!$L30,N(VLOOKUP(Frota!$B30,Premissas!$A$39:$E$43,4,0)))=0,"A","S"),"S")),IF(N(VLOOKUP(Frota!$B30,Premissas!$A$39:$E$43,4,0))&gt;0,IF(MOD(INT(Cron_Uso!AL30/Frota!$L30)*Frota!$L30,N(VLOOKUP(Frota!$B30,Premissas!$A$39:$E$43,4,0)))=0,"A","S"),"S")),""))</f>
        <v/>
      </c>
      <c r="AM30" s="16" t="str">
        <f aca="false">IF(Cron_Uso!AM30="","",IF(INT(Cron_Uso!AM30/Frota!$L30)&gt;INT(Cron_Uso!AL30/Frota!$L30),IF(N(VLOOKUP(Frota!$B30,Premissas!$A$39:$E$43,5,0))&gt;0,IF(MOD(INT(Cron_Uso!AM30/Frota!$L30)*Frota!$L30,N(VLOOKUP(Frota!$B30,Premissas!$A$39:$E$43,5,0)))=0,"B",IF(N(VLOOKUP(Frota!$B30,Premissas!$A$39:$E$43,4,0))&gt;0,IF(MOD(INT(Cron_Uso!AM30/Frota!$L30)*Frota!$L30,N(VLOOKUP(Frota!$B30,Premissas!$A$39:$E$43,4,0)))=0,"A","S"),"S")),IF(N(VLOOKUP(Frota!$B30,Premissas!$A$39:$E$43,4,0))&gt;0,IF(MOD(INT(Cron_Uso!AM30/Frota!$L30)*Frota!$L30,N(VLOOKUP(Frota!$B30,Premissas!$A$39:$E$43,4,0)))=0,"A","S"),"S")),""))</f>
        <v/>
      </c>
      <c r="AN30" s="16" t="str">
        <f aca="false">IF(Cron_Uso!AN30="","",IF(INT(Cron_Uso!AN30/Frota!$L30)&gt;INT(Cron_Uso!AM30/Frota!$L30),IF(N(VLOOKUP(Frota!$B30,Premissas!$A$39:$E$43,5,0))&gt;0,IF(MOD(INT(Cron_Uso!AN30/Frota!$L30)*Frota!$L30,N(VLOOKUP(Frota!$B30,Premissas!$A$39:$E$43,5,0)))=0,"B",IF(N(VLOOKUP(Frota!$B30,Premissas!$A$39:$E$43,4,0))&gt;0,IF(MOD(INT(Cron_Uso!AN30/Frota!$L30)*Frota!$L30,N(VLOOKUP(Frota!$B30,Premissas!$A$39:$E$43,4,0)))=0,"A","S"),"S")),IF(N(VLOOKUP(Frota!$B30,Premissas!$A$39:$E$43,4,0))&gt;0,IF(MOD(INT(Cron_Uso!AN30/Frota!$L30)*Frota!$L30,N(VLOOKUP(Frota!$B30,Premissas!$A$39:$E$43,4,0)))=0,"A","S"),"S")),""))</f>
        <v/>
      </c>
      <c r="AO30" s="16" t="str">
        <f aca="false">IF(Cron_Uso!AO30="","",IF(INT(Cron_Uso!AO30/Frota!$L30)&gt;INT(Cron_Uso!AN30/Frota!$L30),IF(N(VLOOKUP(Frota!$B30,Premissas!$A$39:$E$43,5,0))&gt;0,IF(MOD(INT(Cron_Uso!AO30/Frota!$L30)*Frota!$L30,N(VLOOKUP(Frota!$B30,Premissas!$A$39:$E$43,5,0)))=0,"B",IF(N(VLOOKUP(Frota!$B30,Premissas!$A$39:$E$43,4,0))&gt;0,IF(MOD(INT(Cron_Uso!AO30/Frota!$L30)*Frota!$L30,N(VLOOKUP(Frota!$B30,Premissas!$A$39:$E$43,4,0)))=0,"A","S"),"S")),IF(N(VLOOKUP(Frota!$B30,Premissas!$A$39:$E$43,4,0))&gt;0,IF(MOD(INT(Cron_Uso!AO30/Frota!$L30)*Frota!$L30,N(VLOOKUP(Frota!$B30,Premissas!$A$39:$E$43,4,0)))=0,"A","S"),"S")),""))</f>
        <v/>
      </c>
      <c r="AP30" s="16" t="str">
        <f aca="false">IF(Cron_Uso!AP30="","",IF(INT(Cron_Uso!AP30/Frota!$L30)&gt;INT(Cron_Uso!AO30/Frota!$L30),IF(N(VLOOKUP(Frota!$B30,Premissas!$A$39:$E$43,5,0))&gt;0,IF(MOD(INT(Cron_Uso!AP30/Frota!$L30)*Frota!$L30,N(VLOOKUP(Frota!$B30,Premissas!$A$39:$E$43,5,0)))=0,"B",IF(N(VLOOKUP(Frota!$B30,Premissas!$A$39:$E$43,4,0))&gt;0,IF(MOD(INT(Cron_Uso!AP30/Frota!$L30)*Frota!$L30,N(VLOOKUP(Frota!$B30,Premissas!$A$39:$E$43,4,0)))=0,"A","S"),"S")),IF(N(VLOOKUP(Frota!$B30,Premissas!$A$39:$E$43,4,0))&gt;0,IF(MOD(INT(Cron_Uso!AP30/Frota!$L30)*Frota!$L30,N(VLOOKUP(Frota!$B30,Premissas!$A$39:$E$43,4,0)))=0,"A","S"),"S")),""))</f>
        <v/>
      </c>
      <c r="AQ30" s="16" t="str">
        <f aca="false">IF(Cron_Uso!AQ30="","",IF(INT(Cron_Uso!AQ30/Frota!$L30)&gt;INT(Cron_Uso!AP30/Frota!$L30),IF(N(VLOOKUP(Frota!$B30,Premissas!$A$39:$E$43,5,0))&gt;0,IF(MOD(INT(Cron_Uso!AQ30/Frota!$L30)*Frota!$L30,N(VLOOKUP(Frota!$B30,Premissas!$A$39:$E$43,5,0)))=0,"B",IF(N(VLOOKUP(Frota!$B30,Premissas!$A$39:$E$43,4,0))&gt;0,IF(MOD(INT(Cron_Uso!AQ30/Frota!$L30)*Frota!$L30,N(VLOOKUP(Frota!$B30,Premissas!$A$39:$E$43,4,0)))=0,"A","S"),"S")),IF(N(VLOOKUP(Frota!$B30,Premissas!$A$39:$E$43,4,0))&gt;0,IF(MOD(INT(Cron_Uso!AQ30/Frota!$L30)*Frota!$L30,N(VLOOKUP(Frota!$B30,Premissas!$A$39:$E$43,4,0)))=0,"A","S"),"S")),""))</f>
        <v/>
      </c>
      <c r="AR30" s="16" t="str">
        <f aca="false">IF(Cron_Uso!AR30="","",IF(INT(Cron_Uso!AR30/Frota!$L30)&gt;INT(Cron_Uso!AQ30/Frota!$L30),IF(N(VLOOKUP(Frota!$B30,Premissas!$A$39:$E$43,5,0))&gt;0,IF(MOD(INT(Cron_Uso!AR30/Frota!$L30)*Frota!$L30,N(VLOOKUP(Frota!$B30,Premissas!$A$39:$E$43,5,0)))=0,"B",IF(N(VLOOKUP(Frota!$B30,Premissas!$A$39:$E$43,4,0))&gt;0,IF(MOD(INT(Cron_Uso!AR30/Frota!$L30)*Frota!$L30,N(VLOOKUP(Frota!$B30,Premissas!$A$39:$E$43,4,0)))=0,"A","S"),"S")),IF(N(VLOOKUP(Frota!$B30,Premissas!$A$39:$E$43,4,0))&gt;0,IF(MOD(INT(Cron_Uso!AR30/Frota!$L30)*Frota!$L30,N(VLOOKUP(Frota!$B30,Premissas!$A$39:$E$43,4,0)))=0,"A","S"),"S")),""))</f>
        <v/>
      </c>
      <c r="AS30" s="16" t="str">
        <f aca="false">IF(Cron_Uso!AS30="","",IF(INT(Cron_Uso!AS30/Frota!$L30)&gt;INT(Cron_Uso!AR30/Frota!$L30),IF(N(VLOOKUP(Frota!$B30,Premissas!$A$39:$E$43,5,0))&gt;0,IF(MOD(INT(Cron_Uso!AS30/Frota!$L30)*Frota!$L30,N(VLOOKUP(Frota!$B30,Premissas!$A$39:$E$43,5,0)))=0,"B",IF(N(VLOOKUP(Frota!$B30,Premissas!$A$39:$E$43,4,0))&gt;0,IF(MOD(INT(Cron_Uso!AS30/Frota!$L30)*Frota!$L30,N(VLOOKUP(Frota!$B30,Premissas!$A$39:$E$43,4,0)))=0,"A","S"),"S")),IF(N(VLOOKUP(Frota!$B30,Premissas!$A$39:$E$43,4,0))&gt;0,IF(MOD(INT(Cron_Uso!AS30/Frota!$L30)*Frota!$L30,N(VLOOKUP(Frota!$B30,Premissas!$A$39:$E$43,4,0)))=0,"A","S"),"S")),""))</f>
        <v/>
      </c>
      <c r="AT30" s="16" t="str">
        <f aca="false">IF(Cron_Uso!AT30="","",IF(INT(Cron_Uso!AT30/Frota!$L30)&gt;INT(Cron_Uso!AS30/Frota!$L30),IF(N(VLOOKUP(Frota!$B30,Premissas!$A$39:$E$43,5,0))&gt;0,IF(MOD(INT(Cron_Uso!AT30/Frota!$L30)*Frota!$L30,N(VLOOKUP(Frota!$B30,Premissas!$A$39:$E$43,5,0)))=0,"B",IF(N(VLOOKUP(Frota!$B30,Premissas!$A$39:$E$43,4,0))&gt;0,IF(MOD(INT(Cron_Uso!AT30/Frota!$L30)*Frota!$L30,N(VLOOKUP(Frota!$B30,Premissas!$A$39:$E$43,4,0)))=0,"A","S"),"S")),IF(N(VLOOKUP(Frota!$B30,Premissas!$A$39:$E$43,4,0))&gt;0,IF(MOD(INT(Cron_Uso!AT30/Frota!$L30)*Frota!$L30,N(VLOOKUP(Frota!$B30,Premissas!$A$39:$E$43,4,0)))=0,"A","S"),"S")),""))</f>
        <v/>
      </c>
      <c r="AU30" s="16" t="str">
        <f aca="false">IF(Cron_Uso!AU30="","",IF(INT(Cron_Uso!AU30/Frota!$L30)&gt;INT(Cron_Uso!AT30/Frota!$L30),IF(N(VLOOKUP(Frota!$B30,Premissas!$A$39:$E$43,5,0))&gt;0,IF(MOD(INT(Cron_Uso!AU30/Frota!$L30)*Frota!$L30,N(VLOOKUP(Frota!$B30,Premissas!$A$39:$E$43,5,0)))=0,"B",IF(N(VLOOKUP(Frota!$B30,Premissas!$A$39:$E$43,4,0))&gt;0,IF(MOD(INT(Cron_Uso!AU30/Frota!$L30)*Frota!$L30,N(VLOOKUP(Frota!$B30,Premissas!$A$39:$E$43,4,0)))=0,"A","S"),"S")),IF(N(VLOOKUP(Frota!$B30,Premissas!$A$39:$E$43,4,0))&gt;0,IF(MOD(INT(Cron_Uso!AU30/Frota!$L30)*Frota!$L30,N(VLOOKUP(Frota!$B30,Premissas!$A$39:$E$43,4,0)))=0,"A","S"),"S")),""))</f>
        <v/>
      </c>
      <c r="AV30" s="16" t="str">
        <f aca="false">IF(Cron_Uso!AV30="","",IF(INT(Cron_Uso!AV30/Frota!$L30)&gt;INT(Cron_Uso!AU30/Frota!$L30),IF(N(VLOOKUP(Frota!$B30,Premissas!$A$39:$E$43,5,0))&gt;0,IF(MOD(INT(Cron_Uso!AV30/Frota!$L30)*Frota!$L30,N(VLOOKUP(Frota!$B30,Premissas!$A$39:$E$43,5,0)))=0,"B",IF(N(VLOOKUP(Frota!$B30,Premissas!$A$39:$E$43,4,0))&gt;0,IF(MOD(INT(Cron_Uso!AV30/Frota!$L30)*Frota!$L30,N(VLOOKUP(Frota!$B30,Premissas!$A$39:$E$43,4,0)))=0,"A","S"),"S")),IF(N(VLOOKUP(Frota!$B30,Premissas!$A$39:$E$43,4,0))&gt;0,IF(MOD(INT(Cron_Uso!AV30/Frota!$L30)*Frota!$L30,N(VLOOKUP(Frota!$B30,Premissas!$A$39:$E$43,4,0)))=0,"A","S"),"S")),""))</f>
        <v/>
      </c>
      <c r="AW30" s="16" t="str">
        <f aca="false">IF(Cron_Uso!AW30="","",IF(INT(Cron_Uso!AW30/Frota!$L30)&gt;INT(Cron_Uso!AV30/Frota!$L30),IF(N(VLOOKUP(Frota!$B30,Premissas!$A$39:$E$43,5,0))&gt;0,IF(MOD(INT(Cron_Uso!AW30/Frota!$L30)*Frota!$L30,N(VLOOKUP(Frota!$B30,Premissas!$A$39:$E$43,5,0)))=0,"B",IF(N(VLOOKUP(Frota!$B30,Premissas!$A$39:$E$43,4,0))&gt;0,IF(MOD(INT(Cron_Uso!AW30/Frota!$L30)*Frota!$L30,N(VLOOKUP(Frota!$B30,Premissas!$A$39:$E$43,4,0)))=0,"A","S"),"S")),IF(N(VLOOKUP(Frota!$B30,Premissas!$A$39:$E$43,4,0))&gt;0,IF(MOD(INT(Cron_Uso!AW30/Frota!$L30)*Frota!$L30,N(VLOOKUP(Frota!$B30,Premissas!$A$39:$E$43,4,0)))=0,"A","S"),"S")),""))</f>
        <v/>
      </c>
      <c r="AX30" s="16" t="str">
        <f aca="false">IF(Cron_Uso!AX30="","",IF(INT(Cron_Uso!AX30/Frota!$L30)&gt;INT(Cron_Uso!AW30/Frota!$L30),IF(N(VLOOKUP(Frota!$B30,Premissas!$A$39:$E$43,5,0))&gt;0,IF(MOD(INT(Cron_Uso!AX30/Frota!$L30)*Frota!$L30,N(VLOOKUP(Frota!$B30,Premissas!$A$39:$E$43,5,0)))=0,"B",IF(N(VLOOKUP(Frota!$B30,Premissas!$A$39:$E$43,4,0))&gt;0,IF(MOD(INT(Cron_Uso!AX30/Frota!$L30)*Frota!$L30,N(VLOOKUP(Frota!$B30,Premissas!$A$39:$E$43,4,0)))=0,"A","S"),"S")),IF(N(VLOOKUP(Frota!$B30,Premissas!$A$39:$E$43,4,0))&gt;0,IF(MOD(INT(Cron_Uso!AX30/Frota!$L30)*Frota!$L30,N(VLOOKUP(Frota!$B30,Premissas!$A$39:$E$43,4,0)))=0,"A","S"),"S")),""))</f>
        <v/>
      </c>
      <c r="AY30" s="16" t="str">
        <f aca="false">IF(Cron_Uso!AY30="","",IF(INT(Cron_Uso!AY30/Frota!$L30)&gt;INT(Cron_Uso!AX30/Frota!$L30),IF(N(VLOOKUP(Frota!$B30,Premissas!$A$39:$E$43,5,0))&gt;0,IF(MOD(INT(Cron_Uso!AY30/Frota!$L30)*Frota!$L30,N(VLOOKUP(Frota!$B30,Premissas!$A$39:$E$43,5,0)))=0,"B",IF(N(VLOOKUP(Frota!$B30,Premissas!$A$39:$E$43,4,0))&gt;0,IF(MOD(INT(Cron_Uso!AY30/Frota!$L30)*Frota!$L30,N(VLOOKUP(Frota!$B30,Premissas!$A$39:$E$43,4,0)))=0,"A","S"),"S")),IF(N(VLOOKUP(Frota!$B30,Premissas!$A$39:$E$43,4,0))&gt;0,IF(MOD(INT(Cron_Uso!AY30/Frota!$L30)*Frota!$L30,N(VLOOKUP(Frota!$B30,Premissas!$A$39:$E$43,4,0)))=0,"A","S"),"S")),""))</f>
        <v/>
      </c>
      <c r="AZ30" s="16" t="str">
        <f aca="false">IF(Cron_Uso!AZ30="","",IF(INT(Cron_Uso!AZ30/Frota!$L30)&gt;INT(Cron_Uso!AY30/Frota!$L30),IF(N(VLOOKUP(Frota!$B30,Premissas!$A$39:$E$43,5,0))&gt;0,IF(MOD(INT(Cron_Uso!AZ30/Frota!$L30)*Frota!$L30,N(VLOOKUP(Frota!$B30,Premissas!$A$39:$E$43,5,0)))=0,"B",IF(N(VLOOKUP(Frota!$B30,Premissas!$A$39:$E$43,4,0))&gt;0,IF(MOD(INT(Cron_Uso!AZ30/Frota!$L30)*Frota!$L30,N(VLOOKUP(Frota!$B30,Premissas!$A$39:$E$43,4,0)))=0,"A","S"),"S")),IF(N(VLOOKUP(Frota!$B30,Premissas!$A$39:$E$43,4,0))&gt;0,IF(MOD(INT(Cron_Uso!AZ30/Frota!$L30)*Frota!$L30,N(VLOOKUP(Frota!$B30,Premissas!$A$39:$E$43,4,0)))=0,"A","S"),"S")),""))</f>
        <v/>
      </c>
      <c r="BA30" s="16" t="str">
        <f aca="false">IF(Cron_Uso!BA30="","",IF(INT(Cron_Uso!BA30/Frota!$L30)&gt;INT(Cron_Uso!AZ30/Frota!$L30),IF(N(VLOOKUP(Frota!$B30,Premissas!$A$39:$E$43,5,0))&gt;0,IF(MOD(INT(Cron_Uso!BA30/Frota!$L30)*Frota!$L30,N(VLOOKUP(Frota!$B30,Premissas!$A$39:$E$43,5,0)))=0,"B",IF(N(VLOOKUP(Frota!$B30,Premissas!$A$39:$E$43,4,0))&gt;0,IF(MOD(INT(Cron_Uso!BA30/Frota!$L30)*Frota!$L30,N(VLOOKUP(Frota!$B30,Premissas!$A$39:$E$43,4,0)))=0,"A","S"),"S")),IF(N(VLOOKUP(Frota!$B30,Premissas!$A$39:$E$43,4,0))&gt;0,IF(MOD(INT(Cron_Uso!BA30/Frota!$L30)*Frota!$L30,N(VLOOKUP(Frota!$B30,Premissas!$A$39:$E$43,4,0)))=0,"A","S"),"S")),""))</f>
        <v/>
      </c>
    </row>
    <row r="31" customFormat="false" ht="15" hidden="false" customHeight="false" outlineLevel="0" collapsed="false">
      <c r="A31" s="6" t="str">
        <f aca="false">IF(Frota!$A31="","",Frota!$A31)</f>
        <v/>
      </c>
      <c r="B31" s="16" t="str">
        <f aca="false">IF(Cron_Uso!B31="","",IF(INT(Cron_Uso!B31/Frota!$L31)&gt;INT(Frota!$I31/Frota!$L31),IF(N(VLOOKUP(Frota!$B31,Premissas!$A$39:$E$43,5,0))&gt;0,IF(MOD(INT(Cron_Uso!B31/Frota!$L31)*Frota!$L31,N(VLOOKUP(Frota!$B31,Premissas!$A$39:$E$43,5,0)))=0,"B",IF(N(VLOOKUP(Frota!$B31,Premissas!$A$39:$E$43,4,0))&gt;0,IF(MOD(INT(Cron_Uso!B31/Frota!$L31)*Frota!$L31,N(VLOOKUP(Frota!$B31,Premissas!$A$39:$E$43,4,0)))=0,"A","S"),"S")),IF(N(VLOOKUP(Frota!$B31,Premissas!$A$39:$E$43,4,0))&gt;0,IF(MOD(INT(Cron_Uso!B31/Frota!$L31)*Frota!$L31,N(VLOOKUP(Frota!$B31,Premissas!$A$39:$E$43,4,0)))=0,"A","S"),"S")),""))</f>
        <v/>
      </c>
      <c r="C31" s="16" t="str">
        <f aca="false">IF(Cron_Uso!C31="","",IF(INT(Cron_Uso!C31/Frota!$L31)&gt;INT(Cron_Uso!B31/Frota!$L31),IF(N(VLOOKUP(Frota!$B31,Premissas!$A$39:$E$43,5,0))&gt;0,IF(MOD(INT(Cron_Uso!C31/Frota!$L31)*Frota!$L31,N(VLOOKUP(Frota!$B31,Premissas!$A$39:$E$43,5,0)))=0,"B",IF(N(VLOOKUP(Frota!$B31,Premissas!$A$39:$E$43,4,0))&gt;0,IF(MOD(INT(Cron_Uso!C31/Frota!$L31)*Frota!$L31,N(VLOOKUP(Frota!$B31,Premissas!$A$39:$E$43,4,0)))=0,"A","S"),"S")),IF(N(VLOOKUP(Frota!$B31,Premissas!$A$39:$E$43,4,0))&gt;0,IF(MOD(INT(Cron_Uso!C31/Frota!$L31)*Frota!$L31,N(VLOOKUP(Frota!$B31,Premissas!$A$39:$E$43,4,0)))=0,"A","S"),"S")),""))</f>
        <v/>
      </c>
      <c r="D31" s="16" t="str">
        <f aca="false">IF(Cron_Uso!D31="","",IF(INT(Cron_Uso!D31/Frota!$L31)&gt;INT(Cron_Uso!C31/Frota!$L31),IF(N(VLOOKUP(Frota!$B31,Premissas!$A$39:$E$43,5,0))&gt;0,IF(MOD(INT(Cron_Uso!D31/Frota!$L31)*Frota!$L31,N(VLOOKUP(Frota!$B31,Premissas!$A$39:$E$43,5,0)))=0,"B",IF(N(VLOOKUP(Frota!$B31,Premissas!$A$39:$E$43,4,0))&gt;0,IF(MOD(INT(Cron_Uso!D31/Frota!$L31)*Frota!$L31,N(VLOOKUP(Frota!$B31,Premissas!$A$39:$E$43,4,0)))=0,"A","S"),"S")),IF(N(VLOOKUP(Frota!$B31,Premissas!$A$39:$E$43,4,0))&gt;0,IF(MOD(INT(Cron_Uso!D31/Frota!$L31)*Frota!$L31,N(VLOOKUP(Frota!$B31,Premissas!$A$39:$E$43,4,0)))=0,"A","S"),"S")),""))</f>
        <v/>
      </c>
      <c r="E31" s="16" t="str">
        <f aca="false">IF(Cron_Uso!E31="","",IF(INT(Cron_Uso!E31/Frota!$L31)&gt;INT(Cron_Uso!D31/Frota!$L31),IF(N(VLOOKUP(Frota!$B31,Premissas!$A$39:$E$43,5,0))&gt;0,IF(MOD(INT(Cron_Uso!E31/Frota!$L31)*Frota!$L31,N(VLOOKUP(Frota!$B31,Premissas!$A$39:$E$43,5,0)))=0,"B",IF(N(VLOOKUP(Frota!$B31,Premissas!$A$39:$E$43,4,0))&gt;0,IF(MOD(INT(Cron_Uso!E31/Frota!$L31)*Frota!$L31,N(VLOOKUP(Frota!$B31,Premissas!$A$39:$E$43,4,0)))=0,"A","S"),"S")),IF(N(VLOOKUP(Frota!$B31,Premissas!$A$39:$E$43,4,0))&gt;0,IF(MOD(INT(Cron_Uso!E31/Frota!$L31)*Frota!$L31,N(VLOOKUP(Frota!$B31,Premissas!$A$39:$E$43,4,0)))=0,"A","S"),"S")),""))</f>
        <v/>
      </c>
      <c r="F31" s="16" t="str">
        <f aca="false">IF(Cron_Uso!F31="","",IF(INT(Cron_Uso!F31/Frota!$L31)&gt;INT(Cron_Uso!E31/Frota!$L31),IF(N(VLOOKUP(Frota!$B31,Premissas!$A$39:$E$43,5,0))&gt;0,IF(MOD(INT(Cron_Uso!F31/Frota!$L31)*Frota!$L31,N(VLOOKUP(Frota!$B31,Premissas!$A$39:$E$43,5,0)))=0,"B",IF(N(VLOOKUP(Frota!$B31,Premissas!$A$39:$E$43,4,0))&gt;0,IF(MOD(INT(Cron_Uso!F31/Frota!$L31)*Frota!$L31,N(VLOOKUP(Frota!$B31,Premissas!$A$39:$E$43,4,0)))=0,"A","S"),"S")),IF(N(VLOOKUP(Frota!$B31,Premissas!$A$39:$E$43,4,0))&gt;0,IF(MOD(INT(Cron_Uso!F31/Frota!$L31)*Frota!$L31,N(VLOOKUP(Frota!$B31,Premissas!$A$39:$E$43,4,0)))=0,"A","S"),"S")),""))</f>
        <v/>
      </c>
      <c r="G31" s="16" t="str">
        <f aca="false">IF(Cron_Uso!G31="","",IF(INT(Cron_Uso!G31/Frota!$L31)&gt;INT(Cron_Uso!F31/Frota!$L31),IF(N(VLOOKUP(Frota!$B31,Premissas!$A$39:$E$43,5,0))&gt;0,IF(MOD(INT(Cron_Uso!G31/Frota!$L31)*Frota!$L31,N(VLOOKUP(Frota!$B31,Premissas!$A$39:$E$43,5,0)))=0,"B",IF(N(VLOOKUP(Frota!$B31,Premissas!$A$39:$E$43,4,0))&gt;0,IF(MOD(INT(Cron_Uso!G31/Frota!$L31)*Frota!$L31,N(VLOOKUP(Frota!$B31,Premissas!$A$39:$E$43,4,0)))=0,"A","S"),"S")),IF(N(VLOOKUP(Frota!$B31,Premissas!$A$39:$E$43,4,0))&gt;0,IF(MOD(INT(Cron_Uso!G31/Frota!$L31)*Frota!$L31,N(VLOOKUP(Frota!$B31,Premissas!$A$39:$E$43,4,0)))=0,"A","S"),"S")),""))</f>
        <v/>
      </c>
      <c r="H31" s="16" t="str">
        <f aca="false">IF(Cron_Uso!H31="","",IF(INT(Cron_Uso!H31/Frota!$L31)&gt;INT(Cron_Uso!G31/Frota!$L31),IF(N(VLOOKUP(Frota!$B31,Premissas!$A$39:$E$43,5,0))&gt;0,IF(MOD(INT(Cron_Uso!H31/Frota!$L31)*Frota!$L31,N(VLOOKUP(Frota!$B31,Premissas!$A$39:$E$43,5,0)))=0,"B",IF(N(VLOOKUP(Frota!$B31,Premissas!$A$39:$E$43,4,0))&gt;0,IF(MOD(INT(Cron_Uso!H31/Frota!$L31)*Frota!$L31,N(VLOOKUP(Frota!$B31,Premissas!$A$39:$E$43,4,0)))=0,"A","S"),"S")),IF(N(VLOOKUP(Frota!$B31,Premissas!$A$39:$E$43,4,0))&gt;0,IF(MOD(INT(Cron_Uso!H31/Frota!$L31)*Frota!$L31,N(VLOOKUP(Frota!$B31,Premissas!$A$39:$E$43,4,0)))=0,"A","S"),"S")),""))</f>
        <v/>
      </c>
      <c r="I31" s="16" t="str">
        <f aca="false">IF(Cron_Uso!I31="","",IF(INT(Cron_Uso!I31/Frota!$L31)&gt;INT(Cron_Uso!H31/Frota!$L31),IF(N(VLOOKUP(Frota!$B31,Premissas!$A$39:$E$43,5,0))&gt;0,IF(MOD(INT(Cron_Uso!I31/Frota!$L31)*Frota!$L31,N(VLOOKUP(Frota!$B31,Premissas!$A$39:$E$43,5,0)))=0,"B",IF(N(VLOOKUP(Frota!$B31,Premissas!$A$39:$E$43,4,0))&gt;0,IF(MOD(INT(Cron_Uso!I31/Frota!$L31)*Frota!$L31,N(VLOOKUP(Frota!$B31,Premissas!$A$39:$E$43,4,0)))=0,"A","S"),"S")),IF(N(VLOOKUP(Frota!$B31,Premissas!$A$39:$E$43,4,0))&gt;0,IF(MOD(INT(Cron_Uso!I31/Frota!$L31)*Frota!$L31,N(VLOOKUP(Frota!$B31,Premissas!$A$39:$E$43,4,0)))=0,"A","S"),"S")),""))</f>
        <v/>
      </c>
      <c r="J31" s="16" t="str">
        <f aca="false">IF(Cron_Uso!J31="","",IF(INT(Cron_Uso!J31/Frota!$L31)&gt;INT(Cron_Uso!I31/Frota!$L31),IF(N(VLOOKUP(Frota!$B31,Premissas!$A$39:$E$43,5,0))&gt;0,IF(MOD(INT(Cron_Uso!J31/Frota!$L31)*Frota!$L31,N(VLOOKUP(Frota!$B31,Premissas!$A$39:$E$43,5,0)))=0,"B",IF(N(VLOOKUP(Frota!$B31,Premissas!$A$39:$E$43,4,0))&gt;0,IF(MOD(INT(Cron_Uso!J31/Frota!$L31)*Frota!$L31,N(VLOOKUP(Frota!$B31,Premissas!$A$39:$E$43,4,0)))=0,"A","S"),"S")),IF(N(VLOOKUP(Frota!$B31,Premissas!$A$39:$E$43,4,0))&gt;0,IF(MOD(INT(Cron_Uso!J31/Frota!$L31)*Frota!$L31,N(VLOOKUP(Frota!$B31,Premissas!$A$39:$E$43,4,0)))=0,"A","S"),"S")),""))</f>
        <v/>
      </c>
      <c r="K31" s="16" t="str">
        <f aca="false">IF(Cron_Uso!K31="","",IF(INT(Cron_Uso!K31/Frota!$L31)&gt;INT(Cron_Uso!J31/Frota!$L31),IF(N(VLOOKUP(Frota!$B31,Premissas!$A$39:$E$43,5,0))&gt;0,IF(MOD(INT(Cron_Uso!K31/Frota!$L31)*Frota!$L31,N(VLOOKUP(Frota!$B31,Premissas!$A$39:$E$43,5,0)))=0,"B",IF(N(VLOOKUP(Frota!$B31,Premissas!$A$39:$E$43,4,0))&gt;0,IF(MOD(INT(Cron_Uso!K31/Frota!$L31)*Frota!$L31,N(VLOOKUP(Frota!$B31,Premissas!$A$39:$E$43,4,0)))=0,"A","S"),"S")),IF(N(VLOOKUP(Frota!$B31,Premissas!$A$39:$E$43,4,0))&gt;0,IF(MOD(INT(Cron_Uso!K31/Frota!$L31)*Frota!$L31,N(VLOOKUP(Frota!$B31,Premissas!$A$39:$E$43,4,0)))=0,"A","S"),"S")),""))</f>
        <v/>
      </c>
      <c r="L31" s="16" t="str">
        <f aca="false">IF(Cron_Uso!L31="","",IF(INT(Cron_Uso!L31/Frota!$L31)&gt;INT(Cron_Uso!K31/Frota!$L31),IF(N(VLOOKUP(Frota!$B31,Premissas!$A$39:$E$43,5,0))&gt;0,IF(MOD(INT(Cron_Uso!L31/Frota!$L31)*Frota!$L31,N(VLOOKUP(Frota!$B31,Premissas!$A$39:$E$43,5,0)))=0,"B",IF(N(VLOOKUP(Frota!$B31,Premissas!$A$39:$E$43,4,0))&gt;0,IF(MOD(INT(Cron_Uso!L31/Frota!$L31)*Frota!$L31,N(VLOOKUP(Frota!$B31,Premissas!$A$39:$E$43,4,0)))=0,"A","S"),"S")),IF(N(VLOOKUP(Frota!$B31,Premissas!$A$39:$E$43,4,0))&gt;0,IF(MOD(INT(Cron_Uso!L31/Frota!$L31)*Frota!$L31,N(VLOOKUP(Frota!$B31,Premissas!$A$39:$E$43,4,0)))=0,"A","S"),"S")),""))</f>
        <v/>
      </c>
      <c r="M31" s="16" t="str">
        <f aca="false">IF(Cron_Uso!M31="","",IF(INT(Cron_Uso!M31/Frota!$L31)&gt;INT(Cron_Uso!L31/Frota!$L31),IF(N(VLOOKUP(Frota!$B31,Premissas!$A$39:$E$43,5,0))&gt;0,IF(MOD(INT(Cron_Uso!M31/Frota!$L31)*Frota!$L31,N(VLOOKUP(Frota!$B31,Premissas!$A$39:$E$43,5,0)))=0,"B",IF(N(VLOOKUP(Frota!$B31,Premissas!$A$39:$E$43,4,0))&gt;0,IF(MOD(INT(Cron_Uso!M31/Frota!$L31)*Frota!$L31,N(VLOOKUP(Frota!$B31,Premissas!$A$39:$E$43,4,0)))=0,"A","S"),"S")),IF(N(VLOOKUP(Frota!$B31,Premissas!$A$39:$E$43,4,0))&gt;0,IF(MOD(INT(Cron_Uso!M31/Frota!$L31)*Frota!$L31,N(VLOOKUP(Frota!$B31,Premissas!$A$39:$E$43,4,0)))=0,"A","S"),"S")),""))</f>
        <v/>
      </c>
      <c r="N31" s="16" t="str">
        <f aca="false">IF(Cron_Uso!N31="","",IF(INT(Cron_Uso!N31/Frota!$L31)&gt;INT(Cron_Uso!M31/Frota!$L31),IF(N(VLOOKUP(Frota!$B31,Premissas!$A$39:$E$43,5,0))&gt;0,IF(MOD(INT(Cron_Uso!N31/Frota!$L31)*Frota!$L31,N(VLOOKUP(Frota!$B31,Premissas!$A$39:$E$43,5,0)))=0,"B",IF(N(VLOOKUP(Frota!$B31,Premissas!$A$39:$E$43,4,0))&gt;0,IF(MOD(INT(Cron_Uso!N31/Frota!$L31)*Frota!$L31,N(VLOOKUP(Frota!$B31,Premissas!$A$39:$E$43,4,0)))=0,"A","S"),"S")),IF(N(VLOOKUP(Frota!$B31,Premissas!$A$39:$E$43,4,0))&gt;0,IF(MOD(INT(Cron_Uso!N31/Frota!$L31)*Frota!$L31,N(VLOOKUP(Frota!$B31,Premissas!$A$39:$E$43,4,0)))=0,"A","S"),"S")),""))</f>
        <v/>
      </c>
      <c r="O31" s="16" t="str">
        <f aca="false">IF(Cron_Uso!O31="","",IF(INT(Cron_Uso!O31/Frota!$L31)&gt;INT(Cron_Uso!N31/Frota!$L31),IF(N(VLOOKUP(Frota!$B31,Premissas!$A$39:$E$43,5,0))&gt;0,IF(MOD(INT(Cron_Uso!O31/Frota!$L31)*Frota!$L31,N(VLOOKUP(Frota!$B31,Premissas!$A$39:$E$43,5,0)))=0,"B",IF(N(VLOOKUP(Frota!$B31,Premissas!$A$39:$E$43,4,0))&gt;0,IF(MOD(INT(Cron_Uso!O31/Frota!$L31)*Frota!$L31,N(VLOOKUP(Frota!$B31,Premissas!$A$39:$E$43,4,0)))=0,"A","S"),"S")),IF(N(VLOOKUP(Frota!$B31,Premissas!$A$39:$E$43,4,0))&gt;0,IF(MOD(INT(Cron_Uso!O31/Frota!$L31)*Frota!$L31,N(VLOOKUP(Frota!$B31,Premissas!$A$39:$E$43,4,0)))=0,"A","S"),"S")),""))</f>
        <v/>
      </c>
      <c r="P31" s="16" t="str">
        <f aca="false">IF(Cron_Uso!P31="","",IF(INT(Cron_Uso!P31/Frota!$L31)&gt;INT(Cron_Uso!O31/Frota!$L31),IF(N(VLOOKUP(Frota!$B31,Premissas!$A$39:$E$43,5,0))&gt;0,IF(MOD(INT(Cron_Uso!P31/Frota!$L31)*Frota!$L31,N(VLOOKUP(Frota!$B31,Premissas!$A$39:$E$43,5,0)))=0,"B",IF(N(VLOOKUP(Frota!$B31,Premissas!$A$39:$E$43,4,0))&gt;0,IF(MOD(INT(Cron_Uso!P31/Frota!$L31)*Frota!$L31,N(VLOOKUP(Frota!$B31,Premissas!$A$39:$E$43,4,0)))=0,"A","S"),"S")),IF(N(VLOOKUP(Frota!$B31,Premissas!$A$39:$E$43,4,0))&gt;0,IF(MOD(INT(Cron_Uso!P31/Frota!$L31)*Frota!$L31,N(VLOOKUP(Frota!$B31,Premissas!$A$39:$E$43,4,0)))=0,"A","S"),"S")),""))</f>
        <v/>
      </c>
      <c r="Q31" s="16" t="str">
        <f aca="false">IF(Cron_Uso!Q31="","",IF(INT(Cron_Uso!Q31/Frota!$L31)&gt;INT(Cron_Uso!P31/Frota!$L31),IF(N(VLOOKUP(Frota!$B31,Premissas!$A$39:$E$43,5,0))&gt;0,IF(MOD(INT(Cron_Uso!Q31/Frota!$L31)*Frota!$L31,N(VLOOKUP(Frota!$B31,Premissas!$A$39:$E$43,5,0)))=0,"B",IF(N(VLOOKUP(Frota!$B31,Premissas!$A$39:$E$43,4,0))&gt;0,IF(MOD(INT(Cron_Uso!Q31/Frota!$L31)*Frota!$L31,N(VLOOKUP(Frota!$B31,Premissas!$A$39:$E$43,4,0)))=0,"A","S"),"S")),IF(N(VLOOKUP(Frota!$B31,Premissas!$A$39:$E$43,4,0))&gt;0,IF(MOD(INT(Cron_Uso!Q31/Frota!$L31)*Frota!$L31,N(VLOOKUP(Frota!$B31,Premissas!$A$39:$E$43,4,0)))=0,"A","S"),"S")),""))</f>
        <v/>
      </c>
      <c r="R31" s="16" t="str">
        <f aca="false">IF(Cron_Uso!R31="","",IF(INT(Cron_Uso!R31/Frota!$L31)&gt;INT(Cron_Uso!Q31/Frota!$L31),IF(N(VLOOKUP(Frota!$B31,Premissas!$A$39:$E$43,5,0))&gt;0,IF(MOD(INT(Cron_Uso!R31/Frota!$L31)*Frota!$L31,N(VLOOKUP(Frota!$B31,Premissas!$A$39:$E$43,5,0)))=0,"B",IF(N(VLOOKUP(Frota!$B31,Premissas!$A$39:$E$43,4,0))&gt;0,IF(MOD(INT(Cron_Uso!R31/Frota!$L31)*Frota!$L31,N(VLOOKUP(Frota!$B31,Premissas!$A$39:$E$43,4,0)))=0,"A","S"),"S")),IF(N(VLOOKUP(Frota!$B31,Premissas!$A$39:$E$43,4,0))&gt;0,IF(MOD(INT(Cron_Uso!R31/Frota!$L31)*Frota!$L31,N(VLOOKUP(Frota!$B31,Premissas!$A$39:$E$43,4,0)))=0,"A","S"),"S")),""))</f>
        <v/>
      </c>
      <c r="S31" s="16" t="str">
        <f aca="false">IF(Cron_Uso!S31="","",IF(INT(Cron_Uso!S31/Frota!$L31)&gt;INT(Cron_Uso!R31/Frota!$L31),IF(N(VLOOKUP(Frota!$B31,Premissas!$A$39:$E$43,5,0))&gt;0,IF(MOD(INT(Cron_Uso!S31/Frota!$L31)*Frota!$L31,N(VLOOKUP(Frota!$B31,Premissas!$A$39:$E$43,5,0)))=0,"B",IF(N(VLOOKUP(Frota!$B31,Premissas!$A$39:$E$43,4,0))&gt;0,IF(MOD(INT(Cron_Uso!S31/Frota!$L31)*Frota!$L31,N(VLOOKUP(Frota!$B31,Premissas!$A$39:$E$43,4,0)))=0,"A","S"),"S")),IF(N(VLOOKUP(Frota!$B31,Premissas!$A$39:$E$43,4,0))&gt;0,IF(MOD(INT(Cron_Uso!S31/Frota!$L31)*Frota!$L31,N(VLOOKUP(Frota!$B31,Premissas!$A$39:$E$43,4,0)))=0,"A","S"),"S")),""))</f>
        <v/>
      </c>
      <c r="T31" s="16" t="str">
        <f aca="false">IF(Cron_Uso!T31="","",IF(INT(Cron_Uso!T31/Frota!$L31)&gt;INT(Cron_Uso!S31/Frota!$L31),IF(N(VLOOKUP(Frota!$B31,Premissas!$A$39:$E$43,5,0))&gt;0,IF(MOD(INT(Cron_Uso!T31/Frota!$L31)*Frota!$L31,N(VLOOKUP(Frota!$B31,Premissas!$A$39:$E$43,5,0)))=0,"B",IF(N(VLOOKUP(Frota!$B31,Premissas!$A$39:$E$43,4,0))&gt;0,IF(MOD(INT(Cron_Uso!T31/Frota!$L31)*Frota!$L31,N(VLOOKUP(Frota!$B31,Premissas!$A$39:$E$43,4,0)))=0,"A","S"),"S")),IF(N(VLOOKUP(Frota!$B31,Premissas!$A$39:$E$43,4,0))&gt;0,IF(MOD(INT(Cron_Uso!T31/Frota!$L31)*Frota!$L31,N(VLOOKUP(Frota!$B31,Premissas!$A$39:$E$43,4,0)))=0,"A","S"),"S")),""))</f>
        <v/>
      </c>
      <c r="U31" s="16" t="str">
        <f aca="false">IF(Cron_Uso!U31="","",IF(INT(Cron_Uso!U31/Frota!$L31)&gt;INT(Cron_Uso!T31/Frota!$L31),IF(N(VLOOKUP(Frota!$B31,Premissas!$A$39:$E$43,5,0))&gt;0,IF(MOD(INT(Cron_Uso!U31/Frota!$L31)*Frota!$L31,N(VLOOKUP(Frota!$B31,Premissas!$A$39:$E$43,5,0)))=0,"B",IF(N(VLOOKUP(Frota!$B31,Premissas!$A$39:$E$43,4,0))&gt;0,IF(MOD(INT(Cron_Uso!U31/Frota!$L31)*Frota!$L31,N(VLOOKUP(Frota!$B31,Premissas!$A$39:$E$43,4,0)))=0,"A","S"),"S")),IF(N(VLOOKUP(Frota!$B31,Premissas!$A$39:$E$43,4,0))&gt;0,IF(MOD(INT(Cron_Uso!U31/Frota!$L31)*Frota!$L31,N(VLOOKUP(Frota!$B31,Premissas!$A$39:$E$43,4,0)))=0,"A","S"),"S")),""))</f>
        <v/>
      </c>
      <c r="V31" s="16" t="str">
        <f aca="false">IF(Cron_Uso!V31="","",IF(INT(Cron_Uso!V31/Frota!$L31)&gt;INT(Cron_Uso!U31/Frota!$L31),IF(N(VLOOKUP(Frota!$B31,Premissas!$A$39:$E$43,5,0))&gt;0,IF(MOD(INT(Cron_Uso!V31/Frota!$L31)*Frota!$L31,N(VLOOKUP(Frota!$B31,Premissas!$A$39:$E$43,5,0)))=0,"B",IF(N(VLOOKUP(Frota!$B31,Premissas!$A$39:$E$43,4,0))&gt;0,IF(MOD(INT(Cron_Uso!V31/Frota!$L31)*Frota!$L31,N(VLOOKUP(Frota!$B31,Premissas!$A$39:$E$43,4,0)))=0,"A","S"),"S")),IF(N(VLOOKUP(Frota!$B31,Premissas!$A$39:$E$43,4,0))&gt;0,IF(MOD(INT(Cron_Uso!V31/Frota!$L31)*Frota!$L31,N(VLOOKUP(Frota!$B31,Premissas!$A$39:$E$43,4,0)))=0,"A","S"),"S")),""))</f>
        <v/>
      </c>
      <c r="W31" s="16" t="str">
        <f aca="false">IF(Cron_Uso!W31="","",IF(INT(Cron_Uso!W31/Frota!$L31)&gt;INT(Cron_Uso!V31/Frota!$L31),IF(N(VLOOKUP(Frota!$B31,Premissas!$A$39:$E$43,5,0))&gt;0,IF(MOD(INT(Cron_Uso!W31/Frota!$L31)*Frota!$L31,N(VLOOKUP(Frota!$B31,Premissas!$A$39:$E$43,5,0)))=0,"B",IF(N(VLOOKUP(Frota!$B31,Premissas!$A$39:$E$43,4,0))&gt;0,IF(MOD(INT(Cron_Uso!W31/Frota!$L31)*Frota!$L31,N(VLOOKUP(Frota!$B31,Premissas!$A$39:$E$43,4,0)))=0,"A","S"),"S")),IF(N(VLOOKUP(Frota!$B31,Premissas!$A$39:$E$43,4,0))&gt;0,IF(MOD(INT(Cron_Uso!W31/Frota!$L31)*Frota!$L31,N(VLOOKUP(Frota!$B31,Premissas!$A$39:$E$43,4,0)))=0,"A","S"),"S")),""))</f>
        <v/>
      </c>
      <c r="X31" s="16" t="str">
        <f aca="false">IF(Cron_Uso!X31="","",IF(INT(Cron_Uso!X31/Frota!$L31)&gt;INT(Cron_Uso!W31/Frota!$L31),IF(N(VLOOKUP(Frota!$B31,Premissas!$A$39:$E$43,5,0))&gt;0,IF(MOD(INT(Cron_Uso!X31/Frota!$L31)*Frota!$L31,N(VLOOKUP(Frota!$B31,Premissas!$A$39:$E$43,5,0)))=0,"B",IF(N(VLOOKUP(Frota!$B31,Premissas!$A$39:$E$43,4,0))&gt;0,IF(MOD(INT(Cron_Uso!X31/Frota!$L31)*Frota!$L31,N(VLOOKUP(Frota!$B31,Premissas!$A$39:$E$43,4,0)))=0,"A","S"),"S")),IF(N(VLOOKUP(Frota!$B31,Premissas!$A$39:$E$43,4,0))&gt;0,IF(MOD(INT(Cron_Uso!X31/Frota!$L31)*Frota!$L31,N(VLOOKUP(Frota!$B31,Premissas!$A$39:$E$43,4,0)))=0,"A","S"),"S")),""))</f>
        <v/>
      </c>
      <c r="Y31" s="16" t="str">
        <f aca="false">IF(Cron_Uso!Y31="","",IF(INT(Cron_Uso!Y31/Frota!$L31)&gt;INT(Cron_Uso!X31/Frota!$L31),IF(N(VLOOKUP(Frota!$B31,Premissas!$A$39:$E$43,5,0))&gt;0,IF(MOD(INT(Cron_Uso!Y31/Frota!$L31)*Frota!$L31,N(VLOOKUP(Frota!$B31,Premissas!$A$39:$E$43,5,0)))=0,"B",IF(N(VLOOKUP(Frota!$B31,Premissas!$A$39:$E$43,4,0))&gt;0,IF(MOD(INT(Cron_Uso!Y31/Frota!$L31)*Frota!$L31,N(VLOOKUP(Frota!$B31,Premissas!$A$39:$E$43,4,0)))=0,"A","S"),"S")),IF(N(VLOOKUP(Frota!$B31,Premissas!$A$39:$E$43,4,0))&gt;0,IF(MOD(INT(Cron_Uso!Y31/Frota!$L31)*Frota!$L31,N(VLOOKUP(Frota!$B31,Premissas!$A$39:$E$43,4,0)))=0,"A","S"),"S")),""))</f>
        <v/>
      </c>
      <c r="Z31" s="16" t="str">
        <f aca="false">IF(Cron_Uso!Z31="","",IF(INT(Cron_Uso!Z31/Frota!$L31)&gt;INT(Cron_Uso!Y31/Frota!$L31),IF(N(VLOOKUP(Frota!$B31,Premissas!$A$39:$E$43,5,0))&gt;0,IF(MOD(INT(Cron_Uso!Z31/Frota!$L31)*Frota!$L31,N(VLOOKUP(Frota!$B31,Premissas!$A$39:$E$43,5,0)))=0,"B",IF(N(VLOOKUP(Frota!$B31,Premissas!$A$39:$E$43,4,0))&gt;0,IF(MOD(INT(Cron_Uso!Z31/Frota!$L31)*Frota!$L31,N(VLOOKUP(Frota!$B31,Premissas!$A$39:$E$43,4,0)))=0,"A","S"),"S")),IF(N(VLOOKUP(Frota!$B31,Premissas!$A$39:$E$43,4,0))&gt;0,IF(MOD(INT(Cron_Uso!Z31/Frota!$L31)*Frota!$L31,N(VLOOKUP(Frota!$B31,Premissas!$A$39:$E$43,4,0)))=0,"A","S"),"S")),""))</f>
        <v/>
      </c>
      <c r="AA31" s="16" t="str">
        <f aca="false">IF(Cron_Uso!AA31="","",IF(INT(Cron_Uso!AA31/Frota!$L31)&gt;INT(Cron_Uso!Z31/Frota!$L31),IF(N(VLOOKUP(Frota!$B31,Premissas!$A$39:$E$43,5,0))&gt;0,IF(MOD(INT(Cron_Uso!AA31/Frota!$L31)*Frota!$L31,N(VLOOKUP(Frota!$B31,Premissas!$A$39:$E$43,5,0)))=0,"B",IF(N(VLOOKUP(Frota!$B31,Premissas!$A$39:$E$43,4,0))&gt;0,IF(MOD(INT(Cron_Uso!AA31/Frota!$L31)*Frota!$L31,N(VLOOKUP(Frota!$B31,Premissas!$A$39:$E$43,4,0)))=0,"A","S"),"S")),IF(N(VLOOKUP(Frota!$B31,Premissas!$A$39:$E$43,4,0))&gt;0,IF(MOD(INT(Cron_Uso!AA31/Frota!$L31)*Frota!$L31,N(VLOOKUP(Frota!$B31,Premissas!$A$39:$E$43,4,0)))=0,"A","S"),"S")),""))</f>
        <v/>
      </c>
      <c r="AB31" s="16" t="str">
        <f aca="false">IF(Cron_Uso!AB31="","",IF(INT(Cron_Uso!AB31/Frota!$L31)&gt;INT(Cron_Uso!AA31/Frota!$L31),IF(N(VLOOKUP(Frota!$B31,Premissas!$A$39:$E$43,5,0))&gt;0,IF(MOD(INT(Cron_Uso!AB31/Frota!$L31)*Frota!$L31,N(VLOOKUP(Frota!$B31,Premissas!$A$39:$E$43,5,0)))=0,"B",IF(N(VLOOKUP(Frota!$B31,Premissas!$A$39:$E$43,4,0))&gt;0,IF(MOD(INT(Cron_Uso!AB31/Frota!$L31)*Frota!$L31,N(VLOOKUP(Frota!$B31,Premissas!$A$39:$E$43,4,0)))=0,"A","S"),"S")),IF(N(VLOOKUP(Frota!$B31,Premissas!$A$39:$E$43,4,0))&gt;0,IF(MOD(INT(Cron_Uso!AB31/Frota!$L31)*Frota!$L31,N(VLOOKUP(Frota!$B31,Premissas!$A$39:$E$43,4,0)))=0,"A","S"),"S")),""))</f>
        <v/>
      </c>
      <c r="AC31" s="16" t="str">
        <f aca="false">IF(Cron_Uso!AC31="","",IF(INT(Cron_Uso!AC31/Frota!$L31)&gt;INT(Cron_Uso!AB31/Frota!$L31),IF(N(VLOOKUP(Frota!$B31,Premissas!$A$39:$E$43,5,0))&gt;0,IF(MOD(INT(Cron_Uso!AC31/Frota!$L31)*Frota!$L31,N(VLOOKUP(Frota!$B31,Premissas!$A$39:$E$43,5,0)))=0,"B",IF(N(VLOOKUP(Frota!$B31,Premissas!$A$39:$E$43,4,0))&gt;0,IF(MOD(INT(Cron_Uso!AC31/Frota!$L31)*Frota!$L31,N(VLOOKUP(Frota!$B31,Premissas!$A$39:$E$43,4,0)))=0,"A","S"),"S")),IF(N(VLOOKUP(Frota!$B31,Premissas!$A$39:$E$43,4,0))&gt;0,IF(MOD(INT(Cron_Uso!AC31/Frota!$L31)*Frota!$L31,N(VLOOKUP(Frota!$B31,Premissas!$A$39:$E$43,4,0)))=0,"A","S"),"S")),""))</f>
        <v/>
      </c>
      <c r="AD31" s="16" t="str">
        <f aca="false">IF(Cron_Uso!AD31="","",IF(INT(Cron_Uso!AD31/Frota!$L31)&gt;INT(Cron_Uso!AC31/Frota!$L31),IF(N(VLOOKUP(Frota!$B31,Premissas!$A$39:$E$43,5,0))&gt;0,IF(MOD(INT(Cron_Uso!AD31/Frota!$L31)*Frota!$L31,N(VLOOKUP(Frota!$B31,Premissas!$A$39:$E$43,5,0)))=0,"B",IF(N(VLOOKUP(Frota!$B31,Premissas!$A$39:$E$43,4,0))&gt;0,IF(MOD(INT(Cron_Uso!AD31/Frota!$L31)*Frota!$L31,N(VLOOKUP(Frota!$B31,Premissas!$A$39:$E$43,4,0)))=0,"A","S"),"S")),IF(N(VLOOKUP(Frota!$B31,Premissas!$A$39:$E$43,4,0))&gt;0,IF(MOD(INT(Cron_Uso!AD31/Frota!$L31)*Frota!$L31,N(VLOOKUP(Frota!$B31,Premissas!$A$39:$E$43,4,0)))=0,"A","S"),"S")),""))</f>
        <v/>
      </c>
      <c r="AE31" s="16" t="str">
        <f aca="false">IF(Cron_Uso!AE31="","",IF(INT(Cron_Uso!AE31/Frota!$L31)&gt;INT(Cron_Uso!AD31/Frota!$L31),IF(N(VLOOKUP(Frota!$B31,Premissas!$A$39:$E$43,5,0))&gt;0,IF(MOD(INT(Cron_Uso!AE31/Frota!$L31)*Frota!$L31,N(VLOOKUP(Frota!$B31,Premissas!$A$39:$E$43,5,0)))=0,"B",IF(N(VLOOKUP(Frota!$B31,Premissas!$A$39:$E$43,4,0))&gt;0,IF(MOD(INT(Cron_Uso!AE31/Frota!$L31)*Frota!$L31,N(VLOOKUP(Frota!$B31,Premissas!$A$39:$E$43,4,0)))=0,"A","S"),"S")),IF(N(VLOOKUP(Frota!$B31,Premissas!$A$39:$E$43,4,0))&gt;0,IF(MOD(INT(Cron_Uso!AE31/Frota!$L31)*Frota!$L31,N(VLOOKUP(Frota!$B31,Premissas!$A$39:$E$43,4,0)))=0,"A","S"),"S")),""))</f>
        <v/>
      </c>
      <c r="AF31" s="16" t="str">
        <f aca="false">IF(Cron_Uso!AF31="","",IF(INT(Cron_Uso!AF31/Frota!$L31)&gt;INT(Cron_Uso!AE31/Frota!$L31),IF(N(VLOOKUP(Frota!$B31,Premissas!$A$39:$E$43,5,0))&gt;0,IF(MOD(INT(Cron_Uso!AF31/Frota!$L31)*Frota!$L31,N(VLOOKUP(Frota!$B31,Premissas!$A$39:$E$43,5,0)))=0,"B",IF(N(VLOOKUP(Frota!$B31,Premissas!$A$39:$E$43,4,0))&gt;0,IF(MOD(INT(Cron_Uso!AF31/Frota!$L31)*Frota!$L31,N(VLOOKUP(Frota!$B31,Premissas!$A$39:$E$43,4,0)))=0,"A","S"),"S")),IF(N(VLOOKUP(Frota!$B31,Premissas!$A$39:$E$43,4,0))&gt;0,IF(MOD(INT(Cron_Uso!AF31/Frota!$L31)*Frota!$L31,N(VLOOKUP(Frota!$B31,Premissas!$A$39:$E$43,4,0)))=0,"A","S"),"S")),""))</f>
        <v/>
      </c>
      <c r="AG31" s="16" t="str">
        <f aca="false">IF(Cron_Uso!AG31="","",IF(INT(Cron_Uso!AG31/Frota!$L31)&gt;INT(Cron_Uso!AF31/Frota!$L31),IF(N(VLOOKUP(Frota!$B31,Premissas!$A$39:$E$43,5,0))&gt;0,IF(MOD(INT(Cron_Uso!AG31/Frota!$L31)*Frota!$L31,N(VLOOKUP(Frota!$B31,Premissas!$A$39:$E$43,5,0)))=0,"B",IF(N(VLOOKUP(Frota!$B31,Premissas!$A$39:$E$43,4,0))&gt;0,IF(MOD(INT(Cron_Uso!AG31/Frota!$L31)*Frota!$L31,N(VLOOKUP(Frota!$B31,Premissas!$A$39:$E$43,4,0)))=0,"A","S"),"S")),IF(N(VLOOKUP(Frota!$B31,Premissas!$A$39:$E$43,4,0))&gt;0,IF(MOD(INT(Cron_Uso!AG31/Frota!$L31)*Frota!$L31,N(VLOOKUP(Frota!$B31,Premissas!$A$39:$E$43,4,0)))=0,"A","S"),"S")),""))</f>
        <v/>
      </c>
      <c r="AH31" s="16" t="str">
        <f aca="false">IF(Cron_Uso!AH31="","",IF(INT(Cron_Uso!AH31/Frota!$L31)&gt;INT(Cron_Uso!AG31/Frota!$L31),IF(N(VLOOKUP(Frota!$B31,Premissas!$A$39:$E$43,5,0))&gt;0,IF(MOD(INT(Cron_Uso!AH31/Frota!$L31)*Frota!$L31,N(VLOOKUP(Frota!$B31,Premissas!$A$39:$E$43,5,0)))=0,"B",IF(N(VLOOKUP(Frota!$B31,Premissas!$A$39:$E$43,4,0))&gt;0,IF(MOD(INT(Cron_Uso!AH31/Frota!$L31)*Frota!$L31,N(VLOOKUP(Frota!$B31,Premissas!$A$39:$E$43,4,0)))=0,"A","S"),"S")),IF(N(VLOOKUP(Frota!$B31,Premissas!$A$39:$E$43,4,0))&gt;0,IF(MOD(INT(Cron_Uso!AH31/Frota!$L31)*Frota!$L31,N(VLOOKUP(Frota!$B31,Premissas!$A$39:$E$43,4,0)))=0,"A","S"),"S")),""))</f>
        <v/>
      </c>
      <c r="AI31" s="16" t="str">
        <f aca="false">IF(Cron_Uso!AI31="","",IF(INT(Cron_Uso!AI31/Frota!$L31)&gt;INT(Cron_Uso!AH31/Frota!$L31),IF(N(VLOOKUP(Frota!$B31,Premissas!$A$39:$E$43,5,0))&gt;0,IF(MOD(INT(Cron_Uso!AI31/Frota!$L31)*Frota!$L31,N(VLOOKUP(Frota!$B31,Premissas!$A$39:$E$43,5,0)))=0,"B",IF(N(VLOOKUP(Frota!$B31,Premissas!$A$39:$E$43,4,0))&gt;0,IF(MOD(INT(Cron_Uso!AI31/Frota!$L31)*Frota!$L31,N(VLOOKUP(Frota!$B31,Premissas!$A$39:$E$43,4,0)))=0,"A","S"),"S")),IF(N(VLOOKUP(Frota!$B31,Premissas!$A$39:$E$43,4,0))&gt;0,IF(MOD(INT(Cron_Uso!AI31/Frota!$L31)*Frota!$L31,N(VLOOKUP(Frota!$B31,Premissas!$A$39:$E$43,4,0)))=0,"A","S"),"S")),""))</f>
        <v/>
      </c>
      <c r="AJ31" s="16" t="str">
        <f aca="false">IF(Cron_Uso!AJ31="","",IF(INT(Cron_Uso!AJ31/Frota!$L31)&gt;INT(Cron_Uso!AI31/Frota!$L31),IF(N(VLOOKUP(Frota!$B31,Premissas!$A$39:$E$43,5,0))&gt;0,IF(MOD(INT(Cron_Uso!AJ31/Frota!$L31)*Frota!$L31,N(VLOOKUP(Frota!$B31,Premissas!$A$39:$E$43,5,0)))=0,"B",IF(N(VLOOKUP(Frota!$B31,Premissas!$A$39:$E$43,4,0))&gt;0,IF(MOD(INT(Cron_Uso!AJ31/Frota!$L31)*Frota!$L31,N(VLOOKUP(Frota!$B31,Premissas!$A$39:$E$43,4,0)))=0,"A","S"),"S")),IF(N(VLOOKUP(Frota!$B31,Premissas!$A$39:$E$43,4,0))&gt;0,IF(MOD(INT(Cron_Uso!AJ31/Frota!$L31)*Frota!$L31,N(VLOOKUP(Frota!$B31,Premissas!$A$39:$E$43,4,0)))=0,"A","S"),"S")),""))</f>
        <v/>
      </c>
      <c r="AK31" s="16" t="str">
        <f aca="false">IF(Cron_Uso!AK31="","",IF(INT(Cron_Uso!AK31/Frota!$L31)&gt;INT(Cron_Uso!AJ31/Frota!$L31),IF(N(VLOOKUP(Frota!$B31,Premissas!$A$39:$E$43,5,0))&gt;0,IF(MOD(INT(Cron_Uso!AK31/Frota!$L31)*Frota!$L31,N(VLOOKUP(Frota!$B31,Premissas!$A$39:$E$43,5,0)))=0,"B",IF(N(VLOOKUP(Frota!$B31,Premissas!$A$39:$E$43,4,0))&gt;0,IF(MOD(INT(Cron_Uso!AK31/Frota!$L31)*Frota!$L31,N(VLOOKUP(Frota!$B31,Premissas!$A$39:$E$43,4,0)))=0,"A","S"),"S")),IF(N(VLOOKUP(Frota!$B31,Premissas!$A$39:$E$43,4,0))&gt;0,IF(MOD(INT(Cron_Uso!AK31/Frota!$L31)*Frota!$L31,N(VLOOKUP(Frota!$B31,Premissas!$A$39:$E$43,4,0)))=0,"A","S"),"S")),""))</f>
        <v/>
      </c>
      <c r="AL31" s="16" t="str">
        <f aca="false">IF(Cron_Uso!AL31="","",IF(INT(Cron_Uso!AL31/Frota!$L31)&gt;INT(Cron_Uso!AK31/Frota!$L31),IF(N(VLOOKUP(Frota!$B31,Premissas!$A$39:$E$43,5,0))&gt;0,IF(MOD(INT(Cron_Uso!AL31/Frota!$L31)*Frota!$L31,N(VLOOKUP(Frota!$B31,Premissas!$A$39:$E$43,5,0)))=0,"B",IF(N(VLOOKUP(Frota!$B31,Premissas!$A$39:$E$43,4,0))&gt;0,IF(MOD(INT(Cron_Uso!AL31/Frota!$L31)*Frota!$L31,N(VLOOKUP(Frota!$B31,Premissas!$A$39:$E$43,4,0)))=0,"A","S"),"S")),IF(N(VLOOKUP(Frota!$B31,Premissas!$A$39:$E$43,4,0))&gt;0,IF(MOD(INT(Cron_Uso!AL31/Frota!$L31)*Frota!$L31,N(VLOOKUP(Frota!$B31,Premissas!$A$39:$E$43,4,0)))=0,"A","S"),"S")),""))</f>
        <v/>
      </c>
      <c r="AM31" s="16" t="str">
        <f aca="false">IF(Cron_Uso!AM31="","",IF(INT(Cron_Uso!AM31/Frota!$L31)&gt;INT(Cron_Uso!AL31/Frota!$L31),IF(N(VLOOKUP(Frota!$B31,Premissas!$A$39:$E$43,5,0))&gt;0,IF(MOD(INT(Cron_Uso!AM31/Frota!$L31)*Frota!$L31,N(VLOOKUP(Frota!$B31,Premissas!$A$39:$E$43,5,0)))=0,"B",IF(N(VLOOKUP(Frota!$B31,Premissas!$A$39:$E$43,4,0))&gt;0,IF(MOD(INT(Cron_Uso!AM31/Frota!$L31)*Frota!$L31,N(VLOOKUP(Frota!$B31,Premissas!$A$39:$E$43,4,0)))=0,"A","S"),"S")),IF(N(VLOOKUP(Frota!$B31,Premissas!$A$39:$E$43,4,0))&gt;0,IF(MOD(INT(Cron_Uso!AM31/Frota!$L31)*Frota!$L31,N(VLOOKUP(Frota!$B31,Premissas!$A$39:$E$43,4,0)))=0,"A","S"),"S")),""))</f>
        <v/>
      </c>
      <c r="AN31" s="16" t="str">
        <f aca="false">IF(Cron_Uso!AN31="","",IF(INT(Cron_Uso!AN31/Frota!$L31)&gt;INT(Cron_Uso!AM31/Frota!$L31),IF(N(VLOOKUP(Frota!$B31,Premissas!$A$39:$E$43,5,0))&gt;0,IF(MOD(INT(Cron_Uso!AN31/Frota!$L31)*Frota!$L31,N(VLOOKUP(Frota!$B31,Premissas!$A$39:$E$43,5,0)))=0,"B",IF(N(VLOOKUP(Frota!$B31,Premissas!$A$39:$E$43,4,0))&gt;0,IF(MOD(INT(Cron_Uso!AN31/Frota!$L31)*Frota!$L31,N(VLOOKUP(Frota!$B31,Premissas!$A$39:$E$43,4,0)))=0,"A","S"),"S")),IF(N(VLOOKUP(Frota!$B31,Premissas!$A$39:$E$43,4,0))&gt;0,IF(MOD(INT(Cron_Uso!AN31/Frota!$L31)*Frota!$L31,N(VLOOKUP(Frota!$B31,Premissas!$A$39:$E$43,4,0)))=0,"A","S"),"S")),""))</f>
        <v/>
      </c>
      <c r="AO31" s="16" t="str">
        <f aca="false">IF(Cron_Uso!AO31="","",IF(INT(Cron_Uso!AO31/Frota!$L31)&gt;INT(Cron_Uso!AN31/Frota!$L31),IF(N(VLOOKUP(Frota!$B31,Premissas!$A$39:$E$43,5,0))&gt;0,IF(MOD(INT(Cron_Uso!AO31/Frota!$L31)*Frota!$L31,N(VLOOKUP(Frota!$B31,Premissas!$A$39:$E$43,5,0)))=0,"B",IF(N(VLOOKUP(Frota!$B31,Premissas!$A$39:$E$43,4,0))&gt;0,IF(MOD(INT(Cron_Uso!AO31/Frota!$L31)*Frota!$L31,N(VLOOKUP(Frota!$B31,Premissas!$A$39:$E$43,4,0)))=0,"A","S"),"S")),IF(N(VLOOKUP(Frota!$B31,Premissas!$A$39:$E$43,4,0))&gt;0,IF(MOD(INT(Cron_Uso!AO31/Frota!$L31)*Frota!$L31,N(VLOOKUP(Frota!$B31,Premissas!$A$39:$E$43,4,0)))=0,"A","S"),"S")),""))</f>
        <v/>
      </c>
      <c r="AP31" s="16" t="str">
        <f aca="false">IF(Cron_Uso!AP31="","",IF(INT(Cron_Uso!AP31/Frota!$L31)&gt;INT(Cron_Uso!AO31/Frota!$L31),IF(N(VLOOKUP(Frota!$B31,Premissas!$A$39:$E$43,5,0))&gt;0,IF(MOD(INT(Cron_Uso!AP31/Frota!$L31)*Frota!$L31,N(VLOOKUP(Frota!$B31,Premissas!$A$39:$E$43,5,0)))=0,"B",IF(N(VLOOKUP(Frota!$B31,Premissas!$A$39:$E$43,4,0))&gt;0,IF(MOD(INT(Cron_Uso!AP31/Frota!$L31)*Frota!$L31,N(VLOOKUP(Frota!$B31,Premissas!$A$39:$E$43,4,0)))=0,"A","S"),"S")),IF(N(VLOOKUP(Frota!$B31,Premissas!$A$39:$E$43,4,0))&gt;0,IF(MOD(INT(Cron_Uso!AP31/Frota!$L31)*Frota!$L31,N(VLOOKUP(Frota!$B31,Premissas!$A$39:$E$43,4,0)))=0,"A","S"),"S")),""))</f>
        <v/>
      </c>
      <c r="AQ31" s="16" t="str">
        <f aca="false">IF(Cron_Uso!AQ31="","",IF(INT(Cron_Uso!AQ31/Frota!$L31)&gt;INT(Cron_Uso!AP31/Frota!$L31),IF(N(VLOOKUP(Frota!$B31,Premissas!$A$39:$E$43,5,0))&gt;0,IF(MOD(INT(Cron_Uso!AQ31/Frota!$L31)*Frota!$L31,N(VLOOKUP(Frota!$B31,Premissas!$A$39:$E$43,5,0)))=0,"B",IF(N(VLOOKUP(Frota!$B31,Premissas!$A$39:$E$43,4,0))&gt;0,IF(MOD(INT(Cron_Uso!AQ31/Frota!$L31)*Frota!$L31,N(VLOOKUP(Frota!$B31,Premissas!$A$39:$E$43,4,0)))=0,"A","S"),"S")),IF(N(VLOOKUP(Frota!$B31,Premissas!$A$39:$E$43,4,0))&gt;0,IF(MOD(INT(Cron_Uso!AQ31/Frota!$L31)*Frota!$L31,N(VLOOKUP(Frota!$B31,Premissas!$A$39:$E$43,4,0)))=0,"A","S"),"S")),""))</f>
        <v/>
      </c>
      <c r="AR31" s="16" t="str">
        <f aca="false">IF(Cron_Uso!AR31="","",IF(INT(Cron_Uso!AR31/Frota!$L31)&gt;INT(Cron_Uso!AQ31/Frota!$L31),IF(N(VLOOKUP(Frota!$B31,Premissas!$A$39:$E$43,5,0))&gt;0,IF(MOD(INT(Cron_Uso!AR31/Frota!$L31)*Frota!$L31,N(VLOOKUP(Frota!$B31,Premissas!$A$39:$E$43,5,0)))=0,"B",IF(N(VLOOKUP(Frota!$B31,Premissas!$A$39:$E$43,4,0))&gt;0,IF(MOD(INT(Cron_Uso!AR31/Frota!$L31)*Frota!$L31,N(VLOOKUP(Frota!$B31,Premissas!$A$39:$E$43,4,0)))=0,"A","S"),"S")),IF(N(VLOOKUP(Frota!$B31,Premissas!$A$39:$E$43,4,0))&gt;0,IF(MOD(INT(Cron_Uso!AR31/Frota!$L31)*Frota!$L31,N(VLOOKUP(Frota!$B31,Premissas!$A$39:$E$43,4,0)))=0,"A","S"),"S")),""))</f>
        <v/>
      </c>
      <c r="AS31" s="16" t="str">
        <f aca="false">IF(Cron_Uso!AS31="","",IF(INT(Cron_Uso!AS31/Frota!$L31)&gt;INT(Cron_Uso!AR31/Frota!$L31),IF(N(VLOOKUP(Frota!$B31,Premissas!$A$39:$E$43,5,0))&gt;0,IF(MOD(INT(Cron_Uso!AS31/Frota!$L31)*Frota!$L31,N(VLOOKUP(Frota!$B31,Premissas!$A$39:$E$43,5,0)))=0,"B",IF(N(VLOOKUP(Frota!$B31,Premissas!$A$39:$E$43,4,0))&gt;0,IF(MOD(INT(Cron_Uso!AS31/Frota!$L31)*Frota!$L31,N(VLOOKUP(Frota!$B31,Premissas!$A$39:$E$43,4,0)))=0,"A","S"),"S")),IF(N(VLOOKUP(Frota!$B31,Premissas!$A$39:$E$43,4,0))&gt;0,IF(MOD(INT(Cron_Uso!AS31/Frota!$L31)*Frota!$L31,N(VLOOKUP(Frota!$B31,Premissas!$A$39:$E$43,4,0)))=0,"A","S"),"S")),""))</f>
        <v/>
      </c>
      <c r="AT31" s="16" t="str">
        <f aca="false">IF(Cron_Uso!AT31="","",IF(INT(Cron_Uso!AT31/Frota!$L31)&gt;INT(Cron_Uso!AS31/Frota!$L31),IF(N(VLOOKUP(Frota!$B31,Premissas!$A$39:$E$43,5,0))&gt;0,IF(MOD(INT(Cron_Uso!AT31/Frota!$L31)*Frota!$L31,N(VLOOKUP(Frota!$B31,Premissas!$A$39:$E$43,5,0)))=0,"B",IF(N(VLOOKUP(Frota!$B31,Premissas!$A$39:$E$43,4,0))&gt;0,IF(MOD(INT(Cron_Uso!AT31/Frota!$L31)*Frota!$L31,N(VLOOKUP(Frota!$B31,Premissas!$A$39:$E$43,4,0)))=0,"A","S"),"S")),IF(N(VLOOKUP(Frota!$B31,Premissas!$A$39:$E$43,4,0))&gt;0,IF(MOD(INT(Cron_Uso!AT31/Frota!$L31)*Frota!$L31,N(VLOOKUP(Frota!$B31,Premissas!$A$39:$E$43,4,0)))=0,"A","S"),"S")),""))</f>
        <v/>
      </c>
      <c r="AU31" s="16" t="str">
        <f aca="false">IF(Cron_Uso!AU31="","",IF(INT(Cron_Uso!AU31/Frota!$L31)&gt;INT(Cron_Uso!AT31/Frota!$L31),IF(N(VLOOKUP(Frota!$B31,Premissas!$A$39:$E$43,5,0))&gt;0,IF(MOD(INT(Cron_Uso!AU31/Frota!$L31)*Frota!$L31,N(VLOOKUP(Frota!$B31,Premissas!$A$39:$E$43,5,0)))=0,"B",IF(N(VLOOKUP(Frota!$B31,Premissas!$A$39:$E$43,4,0))&gt;0,IF(MOD(INT(Cron_Uso!AU31/Frota!$L31)*Frota!$L31,N(VLOOKUP(Frota!$B31,Premissas!$A$39:$E$43,4,0)))=0,"A","S"),"S")),IF(N(VLOOKUP(Frota!$B31,Premissas!$A$39:$E$43,4,0))&gt;0,IF(MOD(INT(Cron_Uso!AU31/Frota!$L31)*Frota!$L31,N(VLOOKUP(Frota!$B31,Premissas!$A$39:$E$43,4,0)))=0,"A","S"),"S")),""))</f>
        <v/>
      </c>
      <c r="AV31" s="16" t="str">
        <f aca="false">IF(Cron_Uso!AV31="","",IF(INT(Cron_Uso!AV31/Frota!$L31)&gt;INT(Cron_Uso!AU31/Frota!$L31),IF(N(VLOOKUP(Frota!$B31,Premissas!$A$39:$E$43,5,0))&gt;0,IF(MOD(INT(Cron_Uso!AV31/Frota!$L31)*Frota!$L31,N(VLOOKUP(Frota!$B31,Premissas!$A$39:$E$43,5,0)))=0,"B",IF(N(VLOOKUP(Frota!$B31,Premissas!$A$39:$E$43,4,0))&gt;0,IF(MOD(INT(Cron_Uso!AV31/Frota!$L31)*Frota!$L31,N(VLOOKUP(Frota!$B31,Premissas!$A$39:$E$43,4,0)))=0,"A","S"),"S")),IF(N(VLOOKUP(Frota!$B31,Premissas!$A$39:$E$43,4,0))&gt;0,IF(MOD(INT(Cron_Uso!AV31/Frota!$L31)*Frota!$L31,N(VLOOKUP(Frota!$B31,Premissas!$A$39:$E$43,4,0)))=0,"A","S"),"S")),""))</f>
        <v/>
      </c>
      <c r="AW31" s="16" t="str">
        <f aca="false">IF(Cron_Uso!AW31="","",IF(INT(Cron_Uso!AW31/Frota!$L31)&gt;INT(Cron_Uso!AV31/Frota!$L31),IF(N(VLOOKUP(Frota!$B31,Premissas!$A$39:$E$43,5,0))&gt;0,IF(MOD(INT(Cron_Uso!AW31/Frota!$L31)*Frota!$L31,N(VLOOKUP(Frota!$B31,Premissas!$A$39:$E$43,5,0)))=0,"B",IF(N(VLOOKUP(Frota!$B31,Premissas!$A$39:$E$43,4,0))&gt;0,IF(MOD(INT(Cron_Uso!AW31/Frota!$L31)*Frota!$L31,N(VLOOKUP(Frota!$B31,Premissas!$A$39:$E$43,4,0)))=0,"A","S"),"S")),IF(N(VLOOKUP(Frota!$B31,Premissas!$A$39:$E$43,4,0))&gt;0,IF(MOD(INT(Cron_Uso!AW31/Frota!$L31)*Frota!$L31,N(VLOOKUP(Frota!$B31,Premissas!$A$39:$E$43,4,0)))=0,"A","S"),"S")),""))</f>
        <v/>
      </c>
      <c r="AX31" s="16" t="str">
        <f aca="false">IF(Cron_Uso!AX31="","",IF(INT(Cron_Uso!AX31/Frota!$L31)&gt;INT(Cron_Uso!AW31/Frota!$L31),IF(N(VLOOKUP(Frota!$B31,Premissas!$A$39:$E$43,5,0))&gt;0,IF(MOD(INT(Cron_Uso!AX31/Frota!$L31)*Frota!$L31,N(VLOOKUP(Frota!$B31,Premissas!$A$39:$E$43,5,0)))=0,"B",IF(N(VLOOKUP(Frota!$B31,Premissas!$A$39:$E$43,4,0))&gt;0,IF(MOD(INT(Cron_Uso!AX31/Frota!$L31)*Frota!$L31,N(VLOOKUP(Frota!$B31,Premissas!$A$39:$E$43,4,0)))=0,"A","S"),"S")),IF(N(VLOOKUP(Frota!$B31,Premissas!$A$39:$E$43,4,0))&gt;0,IF(MOD(INT(Cron_Uso!AX31/Frota!$L31)*Frota!$L31,N(VLOOKUP(Frota!$B31,Premissas!$A$39:$E$43,4,0)))=0,"A","S"),"S")),""))</f>
        <v/>
      </c>
      <c r="AY31" s="16" t="str">
        <f aca="false">IF(Cron_Uso!AY31="","",IF(INT(Cron_Uso!AY31/Frota!$L31)&gt;INT(Cron_Uso!AX31/Frota!$L31),IF(N(VLOOKUP(Frota!$B31,Premissas!$A$39:$E$43,5,0))&gt;0,IF(MOD(INT(Cron_Uso!AY31/Frota!$L31)*Frota!$L31,N(VLOOKUP(Frota!$B31,Premissas!$A$39:$E$43,5,0)))=0,"B",IF(N(VLOOKUP(Frota!$B31,Premissas!$A$39:$E$43,4,0))&gt;0,IF(MOD(INT(Cron_Uso!AY31/Frota!$L31)*Frota!$L31,N(VLOOKUP(Frota!$B31,Premissas!$A$39:$E$43,4,0)))=0,"A","S"),"S")),IF(N(VLOOKUP(Frota!$B31,Premissas!$A$39:$E$43,4,0))&gt;0,IF(MOD(INT(Cron_Uso!AY31/Frota!$L31)*Frota!$L31,N(VLOOKUP(Frota!$B31,Premissas!$A$39:$E$43,4,0)))=0,"A","S"),"S")),""))</f>
        <v/>
      </c>
      <c r="AZ31" s="16" t="str">
        <f aca="false">IF(Cron_Uso!AZ31="","",IF(INT(Cron_Uso!AZ31/Frota!$L31)&gt;INT(Cron_Uso!AY31/Frota!$L31),IF(N(VLOOKUP(Frota!$B31,Premissas!$A$39:$E$43,5,0))&gt;0,IF(MOD(INT(Cron_Uso!AZ31/Frota!$L31)*Frota!$L31,N(VLOOKUP(Frota!$B31,Premissas!$A$39:$E$43,5,0)))=0,"B",IF(N(VLOOKUP(Frota!$B31,Premissas!$A$39:$E$43,4,0))&gt;0,IF(MOD(INT(Cron_Uso!AZ31/Frota!$L31)*Frota!$L31,N(VLOOKUP(Frota!$B31,Premissas!$A$39:$E$43,4,0)))=0,"A","S"),"S")),IF(N(VLOOKUP(Frota!$B31,Premissas!$A$39:$E$43,4,0))&gt;0,IF(MOD(INT(Cron_Uso!AZ31/Frota!$L31)*Frota!$L31,N(VLOOKUP(Frota!$B31,Premissas!$A$39:$E$43,4,0)))=0,"A","S"),"S")),""))</f>
        <v/>
      </c>
      <c r="BA31" s="16" t="str">
        <f aca="false">IF(Cron_Uso!BA31="","",IF(INT(Cron_Uso!BA31/Frota!$L31)&gt;INT(Cron_Uso!AZ31/Frota!$L31),IF(N(VLOOKUP(Frota!$B31,Premissas!$A$39:$E$43,5,0))&gt;0,IF(MOD(INT(Cron_Uso!BA31/Frota!$L31)*Frota!$L31,N(VLOOKUP(Frota!$B31,Premissas!$A$39:$E$43,5,0)))=0,"B",IF(N(VLOOKUP(Frota!$B31,Premissas!$A$39:$E$43,4,0))&gt;0,IF(MOD(INT(Cron_Uso!BA31/Frota!$L31)*Frota!$L31,N(VLOOKUP(Frota!$B31,Premissas!$A$39:$E$43,4,0)))=0,"A","S"),"S")),IF(N(VLOOKUP(Frota!$B31,Premissas!$A$39:$E$43,4,0))&gt;0,IF(MOD(INT(Cron_Uso!BA31/Frota!$L31)*Frota!$L31,N(VLOOKUP(Frota!$B31,Premissas!$A$39:$E$43,4,0)))=0,"A","S"),"S")),""))</f>
        <v/>
      </c>
    </row>
    <row r="32" customFormat="false" ht="15" hidden="false" customHeight="false" outlineLevel="0" collapsed="false">
      <c r="A32" s="6" t="str">
        <f aca="false">IF(Frota!$A32="","",Frota!$A32)</f>
        <v/>
      </c>
      <c r="B32" s="16" t="str">
        <f aca="false">IF(Cron_Uso!B32="","",IF(INT(Cron_Uso!B32/Frota!$L32)&gt;INT(Frota!$I32/Frota!$L32),IF(N(VLOOKUP(Frota!$B32,Premissas!$A$39:$E$43,5,0))&gt;0,IF(MOD(INT(Cron_Uso!B32/Frota!$L32)*Frota!$L32,N(VLOOKUP(Frota!$B32,Premissas!$A$39:$E$43,5,0)))=0,"B",IF(N(VLOOKUP(Frota!$B32,Premissas!$A$39:$E$43,4,0))&gt;0,IF(MOD(INT(Cron_Uso!B32/Frota!$L32)*Frota!$L32,N(VLOOKUP(Frota!$B32,Premissas!$A$39:$E$43,4,0)))=0,"A","S"),"S")),IF(N(VLOOKUP(Frota!$B32,Premissas!$A$39:$E$43,4,0))&gt;0,IF(MOD(INT(Cron_Uso!B32/Frota!$L32)*Frota!$L32,N(VLOOKUP(Frota!$B32,Premissas!$A$39:$E$43,4,0)))=0,"A","S"),"S")),""))</f>
        <v/>
      </c>
      <c r="C32" s="16" t="str">
        <f aca="false">IF(Cron_Uso!C32="","",IF(INT(Cron_Uso!C32/Frota!$L32)&gt;INT(Cron_Uso!B32/Frota!$L32),IF(N(VLOOKUP(Frota!$B32,Premissas!$A$39:$E$43,5,0))&gt;0,IF(MOD(INT(Cron_Uso!C32/Frota!$L32)*Frota!$L32,N(VLOOKUP(Frota!$B32,Premissas!$A$39:$E$43,5,0)))=0,"B",IF(N(VLOOKUP(Frota!$B32,Premissas!$A$39:$E$43,4,0))&gt;0,IF(MOD(INT(Cron_Uso!C32/Frota!$L32)*Frota!$L32,N(VLOOKUP(Frota!$B32,Premissas!$A$39:$E$43,4,0)))=0,"A","S"),"S")),IF(N(VLOOKUP(Frota!$B32,Premissas!$A$39:$E$43,4,0))&gt;0,IF(MOD(INT(Cron_Uso!C32/Frota!$L32)*Frota!$L32,N(VLOOKUP(Frota!$B32,Premissas!$A$39:$E$43,4,0)))=0,"A","S"),"S")),""))</f>
        <v/>
      </c>
      <c r="D32" s="16" t="str">
        <f aca="false">IF(Cron_Uso!D32="","",IF(INT(Cron_Uso!D32/Frota!$L32)&gt;INT(Cron_Uso!C32/Frota!$L32),IF(N(VLOOKUP(Frota!$B32,Premissas!$A$39:$E$43,5,0))&gt;0,IF(MOD(INT(Cron_Uso!D32/Frota!$L32)*Frota!$L32,N(VLOOKUP(Frota!$B32,Premissas!$A$39:$E$43,5,0)))=0,"B",IF(N(VLOOKUP(Frota!$B32,Premissas!$A$39:$E$43,4,0))&gt;0,IF(MOD(INT(Cron_Uso!D32/Frota!$L32)*Frota!$L32,N(VLOOKUP(Frota!$B32,Premissas!$A$39:$E$43,4,0)))=0,"A","S"),"S")),IF(N(VLOOKUP(Frota!$B32,Premissas!$A$39:$E$43,4,0))&gt;0,IF(MOD(INT(Cron_Uso!D32/Frota!$L32)*Frota!$L32,N(VLOOKUP(Frota!$B32,Premissas!$A$39:$E$43,4,0)))=0,"A","S"),"S")),""))</f>
        <v/>
      </c>
      <c r="E32" s="16" t="str">
        <f aca="false">IF(Cron_Uso!E32="","",IF(INT(Cron_Uso!E32/Frota!$L32)&gt;INT(Cron_Uso!D32/Frota!$L32),IF(N(VLOOKUP(Frota!$B32,Premissas!$A$39:$E$43,5,0))&gt;0,IF(MOD(INT(Cron_Uso!E32/Frota!$L32)*Frota!$L32,N(VLOOKUP(Frota!$B32,Premissas!$A$39:$E$43,5,0)))=0,"B",IF(N(VLOOKUP(Frota!$B32,Premissas!$A$39:$E$43,4,0))&gt;0,IF(MOD(INT(Cron_Uso!E32/Frota!$L32)*Frota!$L32,N(VLOOKUP(Frota!$B32,Premissas!$A$39:$E$43,4,0)))=0,"A","S"),"S")),IF(N(VLOOKUP(Frota!$B32,Premissas!$A$39:$E$43,4,0))&gt;0,IF(MOD(INT(Cron_Uso!E32/Frota!$L32)*Frota!$L32,N(VLOOKUP(Frota!$B32,Premissas!$A$39:$E$43,4,0)))=0,"A","S"),"S")),""))</f>
        <v/>
      </c>
      <c r="F32" s="16" t="str">
        <f aca="false">IF(Cron_Uso!F32="","",IF(INT(Cron_Uso!F32/Frota!$L32)&gt;INT(Cron_Uso!E32/Frota!$L32),IF(N(VLOOKUP(Frota!$B32,Premissas!$A$39:$E$43,5,0))&gt;0,IF(MOD(INT(Cron_Uso!F32/Frota!$L32)*Frota!$L32,N(VLOOKUP(Frota!$B32,Premissas!$A$39:$E$43,5,0)))=0,"B",IF(N(VLOOKUP(Frota!$B32,Premissas!$A$39:$E$43,4,0))&gt;0,IF(MOD(INT(Cron_Uso!F32/Frota!$L32)*Frota!$L32,N(VLOOKUP(Frota!$B32,Premissas!$A$39:$E$43,4,0)))=0,"A","S"),"S")),IF(N(VLOOKUP(Frota!$B32,Premissas!$A$39:$E$43,4,0))&gt;0,IF(MOD(INT(Cron_Uso!F32/Frota!$L32)*Frota!$L32,N(VLOOKUP(Frota!$B32,Premissas!$A$39:$E$43,4,0)))=0,"A","S"),"S")),""))</f>
        <v/>
      </c>
      <c r="G32" s="16" t="str">
        <f aca="false">IF(Cron_Uso!G32="","",IF(INT(Cron_Uso!G32/Frota!$L32)&gt;INT(Cron_Uso!F32/Frota!$L32),IF(N(VLOOKUP(Frota!$B32,Premissas!$A$39:$E$43,5,0))&gt;0,IF(MOD(INT(Cron_Uso!G32/Frota!$L32)*Frota!$L32,N(VLOOKUP(Frota!$B32,Premissas!$A$39:$E$43,5,0)))=0,"B",IF(N(VLOOKUP(Frota!$B32,Premissas!$A$39:$E$43,4,0))&gt;0,IF(MOD(INT(Cron_Uso!G32/Frota!$L32)*Frota!$L32,N(VLOOKUP(Frota!$B32,Premissas!$A$39:$E$43,4,0)))=0,"A","S"),"S")),IF(N(VLOOKUP(Frota!$B32,Premissas!$A$39:$E$43,4,0))&gt;0,IF(MOD(INT(Cron_Uso!G32/Frota!$L32)*Frota!$L32,N(VLOOKUP(Frota!$B32,Premissas!$A$39:$E$43,4,0)))=0,"A","S"),"S")),""))</f>
        <v/>
      </c>
      <c r="H32" s="16" t="str">
        <f aca="false">IF(Cron_Uso!H32="","",IF(INT(Cron_Uso!H32/Frota!$L32)&gt;INT(Cron_Uso!G32/Frota!$L32),IF(N(VLOOKUP(Frota!$B32,Premissas!$A$39:$E$43,5,0))&gt;0,IF(MOD(INT(Cron_Uso!H32/Frota!$L32)*Frota!$L32,N(VLOOKUP(Frota!$B32,Premissas!$A$39:$E$43,5,0)))=0,"B",IF(N(VLOOKUP(Frota!$B32,Premissas!$A$39:$E$43,4,0))&gt;0,IF(MOD(INT(Cron_Uso!H32/Frota!$L32)*Frota!$L32,N(VLOOKUP(Frota!$B32,Premissas!$A$39:$E$43,4,0)))=0,"A","S"),"S")),IF(N(VLOOKUP(Frota!$B32,Premissas!$A$39:$E$43,4,0))&gt;0,IF(MOD(INT(Cron_Uso!H32/Frota!$L32)*Frota!$L32,N(VLOOKUP(Frota!$B32,Premissas!$A$39:$E$43,4,0)))=0,"A","S"),"S")),""))</f>
        <v/>
      </c>
      <c r="I32" s="16" t="str">
        <f aca="false">IF(Cron_Uso!I32="","",IF(INT(Cron_Uso!I32/Frota!$L32)&gt;INT(Cron_Uso!H32/Frota!$L32),IF(N(VLOOKUP(Frota!$B32,Premissas!$A$39:$E$43,5,0))&gt;0,IF(MOD(INT(Cron_Uso!I32/Frota!$L32)*Frota!$L32,N(VLOOKUP(Frota!$B32,Premissas!$A$39:$E$43,5,0)))=0,"B",IF(N(VLOOKUP(Frota!$B32,Premissas!$A$39:$E$43,4,0))&gt;0,IF(MOD(INT(Cron_Uso!I32/Frota!$L32)*Frota!$L32,N(VLOOKUP(Frota!$B32,Premissas!$A$39:$E$43,4,0)))=0,"A","S"),"S")),IF(N(VLOOKUP(Frota!$B32,Premissas!$A$39:$E$43,4,0))&gt;0,IF(MOD(INT(Cron_Uso!I32/Frota!$L32)*Frota!$L32,N(VLOOKUP(Frota!$B32,Premissas!$A$39:$E$43,4,0)))=0,"A","S"),"S")),""))</f>
        <v/>
      </c>
      <c r="J32" s="16" t="str">
        <f aca="false">IF(Cron_Uso!J32="","",IF(INT(Cron_Uso!J32/Frota!$L32)&gt;INT(Cron_Uso!I32/Frota!$L32),IF(N(VLOOKUP(Frota!$B32,Premissas!$A$39:$E$43,5,0))&gt;0,IF(MOD(INT(Cron_Uso!J32/Frota!$L32)*Frota!$L32,N(VLOOKUP(Frota!$B32,Premissas!$A$39:$E$43,5,0)))=0,"B",IF(N(VLOOKUP(Frota!$B32,Premissas!$A$39:$E$43,4,0))&gt;0,IF(MOD(INT(Cron_Uso!J32/Frota!$L32)*Frota!$L32,N(VLOOKUP(Frota!$B32,Premissas!$A$39:$E$43,4,0)))=0,"A","S"),"S")),IF(N(VLOOKUP(Frota!$B32,Premissas!$A$39:$E$43,4,0))&gt;0,IF(MOD(INT(Cron_Uso!J32/Frota!$L32)*Frota!$L32,N(VLOOKUP(Frota!$B32,Premissas!$A$39:$E$43,4,0)))=0,"A","S"),"S")),""))</f>
        <v/>
      </c>
      <c r="K32" s="16" t="str">
        <f aca="false">IF(Cron_Uso!K32="","",IF(INT(Cron_Uso!K32/Frota!$L32)&gt;INT(Cron_Uso!J32/Frota!$L32),IF(N(VLOOKUP(Frota!$B32,Premissas!$A$39:$E$43,5,0))&gt;0,IF(MOD(INT(Cron_Uso!K32/Frota!$L32)*Frota!$L32,N(VLOOKUP(Frota!$B32,Premissas!$A$39:$E$43,5,0)))=0,"B",IF(N(VLOOKUP(Frota!$B32,Premissas!$A$39:$E$43,4,0))&gt;0,IF(MOD(INT(Cron_Uso!K32/Frota!$L32)*Frota!$L32,N(VLOOKUP(Frota!$B32,Premissas!$A$39:$E$43,4,0)))=0,"A","S"),"S")),IF(N(VLOOKUP(Frota!$B32,Premissas!$A$39:$E$43,4,0))&gt;0,IF(MOD(INT(Cron_Uso!K32/Frota!$L32)*Frota!$L32,N(VLOOKUP(Frota!$B32,Premissas!$A$39:$E$43,4,0)))=0,"A","S"),"S")),""))</f>
        <v/>
      </c>
      <c r="L32" s="16" t="str">
        <f aca="false">IF(Cron_Uso!L32="","",IF(INT(Cron_Uso!L32/Frota!$L32)&gt;INT(Cron_Uso!K32/Frota!$L32),IF(N(VLOOKUP(Frota!$B32,Premissas!$A$39:$E$43,5,0))&gt;0,IF(MOD(INT(Cron_Uso!L32/Frota!$L32)*Frota!$L32,N(VLOOKUP(Frota!$B32,Premissas!$A$39:$E$43,5,0)))=0,"B",IF(N(VLOOKUP(Frota!$B32,Premissas!$A$39:$E$43,4,0))&gt;0,IF(MOD(INT(Cron_Uso!L32/Frota!$L32)*Frota!$L32,N(VLOOKUP(Frota!$B32,Premissas!$A$39:$E$43,4,0)))=0,"A","S"),"S")),IF(N(VLOOKUP(Frota!$B32,Premissas!$A$39:$E$43,4,0))&gt;0,IF(MOD(INT(Cron_Uso!L32/Frota!$L32)*Frota!$L32,N(VLOOKUP(Frota!$B32,Premissas!$A$39:$E$43,4,0)))=0,"A","S"),"S")),""))</f>
        <v/>
      </c>
      <c r="M32" s="16" t="str">
        <f aca="false">IF(Cron_Uso!M32="","",IF(INT(Cron_Uso!M32/Frota!$L32)&gt;INT(Cron_Uso!L32/Frota!$L32),IF(N(VLOOKUP(Frota!$B32,Premissas!$A$39:$E$43,5,0))&gt;0,IF(MOD(INT(Cron_Uso!M32/Frota!$L32)*Frota!$L32,N(VLOOKUP(Frota!$B32,Premissas!$A$39:$E$43,5,0)))=0,"B",IF(N(VLOOKUP(Frota!$B32,Premissas!$A$39:$E$43,4,0))&gt;0,IF(MOD(INT(Cron_Uso!M32/Frota!$L32)*Frota!$L32,N(VLOOKUP(Frota!$B32,Premissas!$A$39:$E$43,4,0)))=0,"A","S"),"S")),IF(N(VLOOKUP(Frota!$B32,Premissas!$A$39:$E$43,4,0))&gt;0,IF(MOD(INT(Cron_Uso!M32/Frota!$L32)*Frota!$L32,N(VLOOKUP(Frota!$B32,Premissas!$A$39:$E$43,4,0)))=0,"A","S"),"S")),""))</f>
        <v/>
      </c>
      <c r="N32" s="16" t="str">
        <f aca="false">IF(Cron_Uso!N32="","",IF(INT(Cron_Uso!N32/Frota!$L32)&gt;INT(Cron_Uso!M32/Frota!$L32),IF(N(VLOOKUP(Frota!$B32,Premissas!$A$39:$E$43,5,0))&gt;0,IF(MOD(INT(Cron_Uso!N32/Frota!$L32)*Frota!$L32,N(VLOOKUP(Frota!$B32,Premissas!$A$39:$E$43,5,0)))=0,"B",IF(N(VLOOKUP(Frota!$B32,Premissas!$A$39:$E$43,4,0))&gt;0,IF(MOD(INT(Cron_Uso!N32/Frota!$L32)*Frota!$L32,N(VLOOKUP(Frota!$B32,Premissas!$A$39:$E$43,4,0)))=0,"A","S"),"S")),IF(N(VLOOKUP(Frota!$B32,Premissas!$A$39:$E$43,4,0))&gt;0,IF(MOD(INT(Cron_Uso!N32/Frota!$L32)*Frota!$L32,N(VLOOKUP(Frota!$B32,Premissas!$A$39:$E$43,4,0)))=0,"A","S"),"S")),""))</f>
        <v/>
      </c>
      <c r="O32" s="16" t="str">
        <f aca="false">IF(Cron_Uso!O32="","",IF(INT(Cron_Uso!O32/Frota!$L32)&gt;INT(Cron_Uso!N32/Frota!$L32),IF(N(VLOOKUP(Frota!$B32,Premissas!$A$39:$E$43,5,0))&gt;0,IF(MOD(INT(Cron_Uso!O32/Frota!$L32)*Frota!$L32,N(VLOOKUP(Frota!$B32,Premissas!$A$39:$E$43,5,0)))=0,"B",IF(N(VLOOKUP(Frota!$B32,Premissas!$A$39:$E$43,4,0))&gt;0,IF(MOD(INT(Cron_Uso!O32/Frota!$L32)*Frota!$L32,N(VLOOKUP(Frota!$B32,Premissas!$A$39:$E$43,4,0)))=0,"A","S"),"S")),IF(N(VLOOKUP(Frota!$B32,Premissas!$A$39:$E$43,4,0))&gt;0,IF(MOD(INT(Cron_Uso!O32/Frota!$L32)*Frota!$L32,N(VLOOKUP(Frota!$B32,Premissas!$A$39:$E$43,4,0)))=0,"A","S"),"S")),""))</f>
        <v/>
      </c>
      <c r="P32" s="16" t="str">
        <f aca="false">IF(Cron_Uso!P32="","",IF(INT(Cron_Uso!P32/Frota!$L32)&gt;INT(Cron_Uso!O32/Frota!$L32),IF(N(VLOOKUP(Frota!$B32,Premissas!$A$39:$E$43,5,0))&gt;0,IF(MOD(INT(Cron_Uso!P32/Frota!$L32)*Frota!$L32,N(VLOOKUP(Frota!$B32,Premissas!$A$39:$E$43,5,0)))=0,"B",IF(N(VLOOKUP(Frota!$B32,Premissas!$A$39:$E$43,4,0))&gt;0,IF(MOD(INT(Cron_Uso!P32/Frota!$L32)*Frota!$L32,N(VLOOKUP(Frota!$B32,Premissas!$A$39:$E$43,4,0)))=0,"A","S"),"S")),IF(N(VLOOKUP(Frota!$B32,Premissas!$A$39:$E$43,4,0))&gt;0,IF(MOD(INT(Cron_Uso!P32/Frota!$L32)*Frota!$L32,N(VLOOKUP(Frota!$B32,Premissas!$A$39:$E$43,4,0)))=0,"A","S"),"S")),""))</f>
        <v/>
      </c>
      <c r="Q32" s="16" t="str">
        <f aca="false">IF(Cron_Uso!Q32="","",IF(INT(Cron_Uso!Q32/Frota!$L32)&gt;INT(Cron_Uso!P32/Frota!$L32),IF(N(VLOOKUP(Frota!$B32,Premissas!$A$39:$E$43,5,0))&gt;0,IF(MOD(INT(Cron_Uso!Q32/Frota!$L32)*Frota!$L32,N(VLOOKUP(Frota!$B32,Premissas!$A$39:$E$43,5,0)))=0,"B",IF(N(VLOOKUP(Frota!$B32,Premissas!$A$39:$E$43,4,0))&gt;0,IF(MOD(INT(Cron_Uso!Q32/Frota!$L32)*Frota!$L32,N(VLOOKUP(Frota!$B32,Premissas!$A$39:$E$43,4,0)))=0,"A","S"),"S")),IF(N(VLOOKUP(Frota!$B32,Premissas!$A$39:$E$43,4,0))&gt;0,IF(MOD(INT(Cron_Uso!Q32/Frota!$L32)*Frota!$L32,N(VLOOKUP(Frota!$B32,Premissas!$A$39:$E$43,4,0)))=0,"A","S"),"S")),""))</f>
        <v/>
      </c>
      <c r="R32" s="16" t="str">
        <f aca="false">IF(Cron_Uso!R32="","",IF(INT(Cron_Uso!R32/Frota!$L32)&gt;INT(Cron_Uso!Q32/Frota!$L32),IF(N(VLOOKUP(Frota!$B32,Premissas!$A$39:$E$43,5,0))&gt;0,IF(MOD(INT(Cron_Uso!R32/Frota!$L32)*Frota!$L32,N(VLOOKUP(Frota!$B32,Premissas!$A$39:$E$43,5,0)))=0,"B",IF(N(VLOOKUP(Frota!$B32,Premissas!$A$39:$E$43,4,0))&gt;0,IF(MOD(INT(Cron_Uso!R32/Frota!$L32)*Frota!$L32,N(VLOOKUP(Frota!$B32,Premissas!$A$39:$E$43,4,0)))=0,"A","S"),"S")),IF(N(VLOOKUP(Frota!$B32,Premissas!$A$39:$E$43,4,0))&gt;0,IF(MOD(INT(Cron_Uso!R32/Frota!$L32)*Frota!$L32,N(VLOOKUP(Frota!$B32,Premissas!$A$39:$E$43,4,0)))=0,"A","S"),"S")),""))</f>
        <v/>
      </c>
      <c r="S32" s="16" t="str">
        <f aca="false">IF(Cron_Uso!S32="","",IF(INT(Cron_Uso!S32/Frota!$L32)&gt;INT(Cron_Uso!R32/Frota!$L32),IF(N(VLOOKUP(Frota!$B32,Premissas!$A$39:$E$43,5,0))&gt;0,IF(MOD(INT(Cron_Uso!S32/Frota!$L32)*Frota!$L32,N(VLOOKUP(Frota!$B32,Premissas!$A$39:$E$43,5,0)))=0,"B",IF(N(VLOOKUP(Frota!$B32,Premissas!$A$39:$E$43,4,0))&gt;0,IF(MOD(INT(Cron_Uso!S32/Frota!$L32)*Frota!$L32,N(VLOOKUP(Frota!$B32,Premissas!$A$39:$E$43,4,0)))=0,"A","S"),"S")),IF(N(VLOOKUP(Frota!$B32,Premissas!$A$39:$E$43,4,0))&gt;0,IF(MOD(INT(Cron_Uso!S32/Frota!$L32)*Frota!$L32,N(VLOOKUP(Frota!$B32,Premissas!$A$39:$E$43,4,0)))=0,"A","S"),"S")),""))</f>
        <v/>
      </c>
      <c r="T32" s="16" t="str">
        <f aca="false">IF(Cron_Uso!T32="","",IF(INT(Cron_Uso!T32/Frota!$L32)&gt;INT(Cron_Uso!S32/Frota!$L32),IF(N(VLOOKUP(Frota!$B32,Premissas!$A$39:$E$43,5,0))&gt;0,IF(MOD(INT(Cron_Uso!T32/Frota!$L32)*Frota!$L32,N(VLOOKUP(Frota!$B32,Premissas!$A$39:$E$43,5,0)))=0,"B",IF(N(VLOOKUP(Frota!$B32,Premissas!$A$39:$E$43,4,0))&gt;0,IF(MOD(INT(Cron_Uso!T32/Frota!$L32)*Frota!$L32,N(VLOOKUP(Frota!$B32,Premissas!$A$39:$E$43,4,0)))=0,"A","S"),"S")),IF(N(VLOOKUP(Frota!$B32,Premissas!$A$39:$E$43,4,0))&gt;0,IF(MOD(INT(Cron_Uso!T32/Frota!$L32)*Frota!$L32,N(VLOOKUP(Frota!$B32,Premissas!$A$39:$E$43,4,0)))=0,"A","S"),"S")),""))</f>
        <v/>
      </c>
      <c r="U32" s="16" t="str">
        <f aca="false">IF(Cron_Uso!U32="","",IF(INT(Cron_Uso!U32/Frota!$L32)&gt;INT(Cron_Uso!T32/Frota!$L32),IF(N(VLOOKUP(Frota!$B32,Premissas!$A$39:$E$43,5,0))&gt;0,IF(MOD(INT(Cron_Uso!U32/Frota!$L32)*Frota!$L32,N(VLOOKUP(Frota!$B32,Premissas!$A$39:$E$43,5,0)))=0,"B",IF(N(VLOOKUP(Frota!$B32,Premissas!$A$39:$E$43,4,0))&gt;0,IF(MOD(INT(Cron_Uso!U32/Frota!$L32)*Frota!$L32,N(VLOOKUP(Frota!$B32,Premissas!$A$39:$E$43,4,0)))=0,"A","S"),"S")),IF(N(VLOOKUP(Frota!$B32,Premissas!$A$39:$E$43,4,0))&gt;0,IF(MOD(INT(Cron_Uso!U32/Frota!$L32)*Frota!$L32,N(VLOOKUP(Frota!$B32,Premissas!$A$39:$E$43,4,0)))=0,"A","S"),"S")),""))</f>
        <v/>
      </c>
      <c r="V32" s="16" t="str">
        <f aca="false">IF(Cron_Uso!V32="","",IF(INT(Cron_Uso!V32/Frota!$L32)&gt;INT(Cron_Uso!U32/Frota!$L32),IF(N(VLOOKUP(Frota!$B32,Premissas!$A$39:$E$43,5,0))&gt;0,IF(MOD(INT(Cron_Uso!V32/Frota!$L32)*Frota!$L32,N(VLOOKUP(Frota!$B32,Premissas!$A$39:$E$43,5,0)))=0,"B",IF(N(VLOOKUP(Frota!$B32,Premissas!$A$39:$E$43,4,0))&gt;0,IF(MOD(INT(Cron_Uso!V32/Frota!$L32)*Frota!$L32,N(VLOOKUP(Frota!$B32,Premissas!$A$39:$E$43,4,0)))=0,"A","S"),"S")),IF(N(VLOOKUP(Frota!$B32,Premissas!$A$39:$E$43,4,0))&gt;0,IF(MOD(INT(Cron_Uso!V32/Frota!$L32)*Frota!$L32,N(VLOOKUP(Frota!$B32,Premissas!$A$39:$E$43,4,0)))=0,"A","S"),"S")),""))</f>
        <v/>
      </c>
      <c r="W32" s="16" t="str">
        <f aca="false">IF(Cron_Uso!W32="","",IF(INT(Cron_Uso!W32/Frota!$L32)&gt;INT(Cron_Uso!V32/Frota!$L32),IF(N(VLOOKUP(Frota!$B32,Premissas!$A$39:$E$43,5,0))&gt;0,IF(MOD(INT(Cron_Uso!W32/Frota!$L32)*Frota!$L32,N(VLOOKUP(Frota!$B32,Premissas!$A$39:$E$43,5,0)))=0,"B",IF(N(VLOOKUP(Frota!$B32,Premissas!$A$39:$E$43,4,0))&gt;0,IF(MOD(INT(Cron_Uso!W32/Frota!$L32)*Frota!$L32,N(VLOOKUP(Frota!$B32,Premissas!$A$39:$E$43,4,0)))=0,"A","S"),"S")),IF(N(VLOOKUP(Frota!$B32,Premissas!$A$39:$E$43,4,0))&gt;0,IF(MOD(INT(Cron_Uso!W32/Frota!$L32)*Frota!$L32,N(VLOOKUP(Frota!$B32,Premissas!$A$39:$E$43,4,0)))=0,"A","S"),"S")),""))</f>
        <v/>
      </c>
      <c r="X32" s="16" t="str">
        <f aca="false">IF(Cron_Uso!X32="","",IF(INT(Cron_Uso!X32/Frota!$L32)&gt;INT(Cron_Uso!W32/Frota!$L32),IF(N(VLOOKUP(Frota!$B32,Premissas!$A$39:$E$43,5,0))&gt;0,IF(MOD(INT(Cron_Uso!X32/Frota!$L32)*Frota!$L32,N(VLOOKUP(Frota!$B32,Premissas!$A$39:$E$43,5,0)))=0,"B",IF(N(VLOOKUP(Frota!$B32,Premissas!$A$39:$E$43,4,0))&gt;0,IF(MOD(INT(Cron_Uso!X32/Frota!$L32)*Frota!$L32,N(VLOOKUP(Frota!$B32,Premissas!$A$39:$E$43,4,0)))=0,"A","S"),"S")),IF(N(VLOOKUP(Frota!$B32,Premissas!$A$39:$E$43,4,0))&gt;0,IF(MOD(INT(Cron_Uso!X32/Frota!$L32)*Frota!$L32,N(VLOOKUP(Frota!$B32,Premissas!$A$39:$E$43,4,0)))=0,"A","S"),"S")),""))</f>
        <v/>
      </c>
      <c r="Y32" s="16" t="str">
        <f aca="false">IF(Cron_Uso!Y32="","",IF(INT(Cron_Uso!Y32/Frota!$L32)&gt;INT(Cron_Uso!X32/Frota!$L32),IF(N(VLOOKUP(Frota!$B32,Premissas!$A$39:$E$43,5,0))&gt;0,IF(MOD(INT(Cron_Uso!Y32/Frota!$L32)*Frota!$L32,N(VLOOKUP(Frota!$B32,Premissas!$A$39:$E$43,5,0)))=0,"B",IF(N(VLOOKUP(Frota!$B32,Premissas!$A$39:$E$43,4,0))&gt;0,IF(MOD(INT(Cron_Uso!Y32/Frota!$L32)*Frota!$L32,N(VLOOKUP(Frota!$B32,Premissas!$A$39:$E$43,4,0)))=0,"A","S"),"S")),IF(N(VLOOKUP(Frota!$B32,Premissas!$A$39:$E$43,4,0))&gt;0,IF(MOD(INT(Cron_Uso!Y32/Frota!$L32)*Frota!$L32,N(VLOOKUP(Frota!$B32,Premissas!$A$39:$E$43,4,0)))=0,"A","S"),"S")),""))</f>
        <v/>
      </c>
      <c r="Z32" s="16" t="str">
        <f aca="false">IF(Cron_Uso!Z32="","",IF(INT(Cron_Uso!Z32/Frota!$L32)&gt;INT(Cron_Uso!Y32/Frota!$L32),IF(N(VLOOKUP(Frota!$B32,Premissas!$A$39:$E$43,5,0))&gt;0,IF(MOD(INT(Cron_Uso!Z32/Frota!$L32)*Frota!$L32,N(VLOOKUP(Frota!$B32,Premissas!$A$39:$E$43,5,0)))=0,"B",IF(N(VLOOKUP(Frota!$B32,Premissas!$A$39:$E$43,4,0))&gt;0,IF(MOD(INT(Cron_Uso!Z32/Frota!$L32)*Frota!$L32,N(VLOOKUP(Frota!$B32,Premissas!$A$39:$E$43,4,0)))=0,"A","S"),"S")),IF(N(VLOOKUP(Frota!$B32,Premissas!$A$39:$E$43,4,0))&gt;0,IF(MOD(INT(Cron_Uso!Z32/Frota!$L32)*Frota!$L32,N(VLOOKUP(Frota!$B32,Premissas!$A$39:$E$43,4,0)))=0,"A","S"),"S")),""))</f>
        <v/>
      </c>
      <c r="AA32" s="16" t="str">
        <f aca="false">IF(Cron_Uso!AA32="","",IF(INT(Cron_Uso!AA32/Frota!$L32)&gt;INT(Cron_Uso!Z32/Frota!$L32),IF(N(VLOOKUP(Frota!$B32,Premissas!$A$39:$E$43,5,0))&gt;0,IF(MOD(INT(Cron_Uso!AA32/Frota!$L32)*Frota!$L32,N(VLOOKUP(Frota!$B32,Premissas!$A$39:$E$43,5,0)))=0,"B",IF(N(VLOOKUP(Frota!$B32,Premissas!$A$39:$E$43,4,0))&gt;0,IF(MOD(INT(Cron_Uso!AA32/Frota!$L32)*Frota!$L32,N(VLOOKUP(Frota!$B32,Premissas!$A$39:$E$43,4,0)))=0,"A","S"),"S")),IF(N(VLOOKUP(Frota!$B32,Premissas!$A$39:$E$43,4,0))&gt;0,IF(MOD(INT(Cron_Uso!AA32/Frota!$L32)*Frota!$L32,N(VLOOKUP(Frota!$B32,Premissas!$A$39:$E$43,4,0)))=0,"A","S"),"S")),""))</f>
        <v/>
      </c>
      <c r="AB32" s="16" t="str">
        <f aca="false">IF(Cron_Uso!AB32="","",IF(INT(Cron_Uso!AB32/Frota!$L32)&gt;INT(Cron_Uso!AA32/Frota!$L32),IF(N(VLOOKUP(Frota!$B32,Premissas!$A$39:$E$43,5,0))&gt;0,IF(MOD(INT(Cron_Uso!AB32/Frota!$L32)*Frota!$L32,N(VLOOKUP(Frota!$B32,Premissas!$A$39:$E$43,5,0)))=0,"B",IF(N(VLOOKUP(Frota!$B32,Premissas!$A$39:$E$43,4,0))&gt;0,IF(MOD(INT(Cron_Uso!AB32/Frota!$L32)*Frota!$L32,N(VLOOKUP(Frota!$B32,Premissas!$A$39:$E$43,4,0)))=0,"A","S"),"S")),IF(N(VLOOKUP(Frota!$B32,Premissas!$A$39:$E$43,4,0))&gt;0,IF(MOD(INT(Cron_Uso!AB32/Frota!$L32)*Frota!$L32,N(VLOOKUP(Frota!$B32,Premissas!$A$39:$E$43,4,0)))=0,"A","S"),"S")),""))</f>
        <v/>
      </c>
      <c r="AC32" s="16" t="str">
        <f aca="false">IF(Cron_Uso!AC32="","",IF(INT(Cron_Uso!AC32/Frota!$L32)&gt;INT(Cron_Uso!AB32/Frota!$L32),IF(N(VLOOKUP(Frota!$B32,Premissas!$A$39:$E$43,5,0))&gt;0,IF(MOD(INT(Cron_Uso!AC32/Frota!$L32)*Frota!$L32,N(VLOOKUP(Frota!$B32,Premissas!$A$39:$E$43,5,0)))=0,"B",IF(N(VLOOKUP(Frota!$B32,Premissas!$A$39:$E$43,4,0))&gt;0,IF(MOD(INT(Cron_Uso!AC32/Frota!$L32)*Frota!$L32,N(VLOOKUP(Frota!$B32,Premissas!$A$39:$E$43,4,0)))=0,"A","S"),"S")),IF(N(VLOOKUP(Frota!$B32,Premissas!$A$39:$E$43,4,0))&gt;0,IF(MOD(INT(Cron_Uso!AC32/Frota!$L32)*Frota!$L32,N(VLOOKUP(Frota!$B32,Premissas!$A$39:$E$43,4,0)))=0,"A","S"),"S")),""))</f>
        <v/>
      </c>
      <c r="AD32" s="16" t="str">
        <f aca="false">IF(Cron_Uso!AD32="","",IF(INT(Cron_Uso!AD32/Frota!$L32)&gt;INT(Cron_Uso!AC32/Frota!$L32),IF(N(VLOOKUP(Frota!$B32,Premissas!$A$39:$E$43,5,0))&gt;0,IF(MOD(INT(Cron_Uso!AD32/Frota!$L32)*Frota!$L32,N(VLOOKUP(Frota!$B32,Premissas!$A$39:$E$43,5,0)))=0,"B",IF(N(VLOOKUP(Frota!$B32,Premissas!$A$39:$E$43,4,0))&gt;0,IF(MOD(INT(Cron_Uso!AD32/Frota!$L32)*Frota!$L32,N(VLOOKUP(Frota!$B32,Premissas!$A$39:$E$43,4,0)))=0,"A","S"),"S")),IF(N(VLOOKUP(Frota!$B32,Premissas!$A$39:$E$43,4,0))&gt;0,IF(MOD(INT(Cron_Uso!AD32/Frota!$L32)*Frota!$L32,N(VLOOKUP(Frota!$B32,Premissas!$A$39:$E$43,4,0)))=0,"A","S"),"S")),""))</f>
        <v/>
      </c>
      <c r="AE32" s="16" t="str">
        <f aca="false">IF(Cron_Uso!AE32="","",IF(INT(Cron_Uso!AE32/Frota!$L32)&gt;INT(Cron_Uso!AD32/Frota!$L32),IF(N(VLOOKUP(Frota!$B32,Premissas!$A$39:$E$43,5,0))&gt;0,IF(MOD(INT(Cron_Uso!AE32/Frota!$L32)*Frota!$L32,N(VLOOKUP(Frota!$B32,Premissas!$A$39:$E$43,5,0)))=0,"B",IF(N(VLOOKUP(Frota!$B32,Premissas!$A$39:$E$43,4,0))&gt;0,IF(MOD(INT(Cron_Uso!AE32/Frota!$L32)*Frota!$L32,N(VLOOKUP(Frota!$B32,Premissas!$A$39:$E$43,4,0)))=0,"A","S"),"S")),IF(N(VLOOKUP(Frota!$B32,Premissas!$A$39:$E$43,4,0))&gt;0,IF(MOD(INT(Cron_Uso!AE32/Frota!$L32)*Frota!$L32,N(VLOOKUP(Frota!$B32,Premissas!$A$39:$E$43,4,0)))=0,"A","S"),"S")),""))</f>
        <v/>
      </c>
      <c r="AF32" s="16" t="str">
        <f aca="false">IF(Cron_Uso!AF32="","",IF(INT(Cron_Uso!AF32/Frota!$L32)&gt;INT(Cron_Uso!AE32/Frota!$L32),IF(N(VLOOKUP(Frota!$B32,Premissas!$A$39:$E$43,5,0))&gt;0,IF(MOD(INT(Cron_Uso!AF32/Frota!$L32)*Frota!$L32,N(VLOOKUP(Frota!$B32,Premissas!$A$39:$E$43,5,0)))=0,"B",IF(N(VLOOKUP(Frota!$B32,Premissas!$A$39:$E$43,4,0))&gt;0,IF(MOD(INT(Cron_Uso!AF32/Frota!$L32)*Frota!$L32,N(VLOOKUP(Frota!$B32,Premissas!$A$39:$E$43,4,0)))=0,"A","S"),"S")),IF(N(VLOOKUP(Frota!$B32,Premissas!$A$39:$E$43,4,0))&gt;0,IF(MOD(INT(Cron_Uso!AF32/Frota!$L32)*Frota!$L32,N(VLOOKUP(Frota!$B32,Premissas!$A$39:$E$43,4,0)))=0,"A","S"),"S")),""))</f>
        <v/>
      </c>
      <c r="AG32" s="16" t="str">
        <f aca="false">IF(Cron_Uso!AG32="","",IF(INT(Cron_Uso!AG32/Frota!$L32)&gt;INT(Cron_Uso!AF32/Frota!$L32),IF(N(VLOOKUP(Frota!$B32,Premissas!$A$39:$E$43,5,0))&gt;0,IF(MOD(INT(Cron_Uso!AG32/Frota!$L32)*Frota!$L32,N(VLOOKUP(Frota!$B32,Premissas!$A$39:$E$43,5,0)))=0,"B",IF(N(VLOOKUP(Frota!$B32,Premissas!$A$39:$E$43,4,0))&gt;0,IF(MOD(INT(Cron_Uso!AG32/Frota!$L32)*Frota!$L32,N(VLOOKUP(Frota!$B32,Premissas!$A$39:$E$43,4,0)))=0,"A","S"),"S")),IF(N(VLOOKUP(Frota!$B32,Premissas!$A$39:$E$43,4,0))&gt;0,IF(MOD(INT(Cron_Uso!AG32/Frota!$L32)*Frota!$L32,N(VLOOKUP(Frota!$B32,Premissas!$A$39:$E$43,4,0)))=0,"A","S"),"S")),""))</f>
        <v/>
      </c>
      <c r="AH32" s="16" t="str">
        <f aca="false">IF(Cron_Uso!AH32="","",IF(INT(Cron_Uso!AH32/Frota!$L32)&gt;INT(Cron_Uso!AG32/Frota!$L32),IF(N(VLOOKUP(Frota!$B32,Premissas!$A$39:$E$43,5,0))&gt;0,IF(MOD(INT(Cron_Uso!AH32/Frota!$L32)*Frota!$L32,N(VLOOKUP(Frota!$B32,Premissas!$A$39:$E$43,5,0)))=0,"B",IF(N(VLOOKUP(Frota!$B32,Premissas!$A$39:$E$43,4,0))&gt;0,IF(MOD(INT(Cron_Uso!AH32/Frota!$L32)*Frota!$L32,N(VLOOKUP(Frota!$B32,Premissas!$A$39:$E$43,4,0)))=0,"A","S"),"S")),IF(N(VLOOKUP(Frota!$B32,Premissas!$A$39:$E$43,4,0))&gt;0,IF(MOD(INT(Cron_Uso!AH32/Frota!$L32)*Frota!$L32,N(VLOOKUP(Frota!$B32,Premissas!$A$39:$E$43,4,0)))=0,"A","S"),"S")),""))</f>
        <v/>
      </c>
      <c r="AI32" s="16" t="str">
        <f aca="false">IF(Cron_Uso!AI32="","",IF(INT(Cron_Uso!AI32/Frota!$L32)&gt;INT(Cron_Uso!AH32/Frota!$L32),IF(N(VLOOKUP(Frota!$B32,Premissas!$A$39:$E$43,5,0))&gt;0,IF(MOD(INT(Cron_Uso!AI32/Frota!$L32)*Frota!$L32,N(VLOOKUP(Frota!$B32,Premissas!$A$39:$E$43,5,0)))=0,"B",IF(N(VLOOKUP(Frota!$B32,Premissas!$A$39:$E$43,4,0))&gt;0,IF(MOD(INT(Cron_Uso!AI32/Frota!$L32)*Frota!$L32,N(VLOOKUP(Frota!$B32,Premissas!$A$39:$E$43,4,0)))=0,"A","S"),"S")),IF(N(VLOOKUP(Frota!$B32,Premissas!$A$39:$E$43,4,0))&gt;0,IF(MOD(INT(Cron_Uso!AI32/Frota!$L32)*Frota!$L32,N(VLOOKUP(Frota!$B32,Premissas!$A$39:$E$43,4,0)))=0,"A","S"),"S")),""))</f>
        <v/>
      </c>
      <c r="AJ32" s="16" t="str">
        <f aca="false">IF(Cron_Uso!AJ32="","",IF(INT(Cron_Uso!AJ32/Frota!$L32)&gt;INT(Cron_Uso!AI32/Frota!$L32),IF(N(VLOOKUP(Frota!$B32,Premissas!$A$39:$E$43,5,0))&gt;0,IF(MOD(INT(Cron_Uso!AJ32/Frota!$L32)*Frota!$L32,N(VLOOKUP(Frota!$B32,Premissas!$A$39:$E$43,5,0)))=0,"B",IF(N(VLOOKUP(Frota!$B32,Premissas!$A$39:$E$43,4,0))&gt;0,IF(MOD(INT(Cron_Uso!AJ32/Frota!$L32)*Frota!$L32,N(VLOOKUP(Frota!$B32,Premissas!$A$39:$E$43,4,0)))=0,"A","S"),"S")),IF(N(VLOOKUP(Frota!$B32,Premissas!$A$39:$E$43,4,0))&gt;0,IF(MOD(INT(Cron_Uso!AJ32/Frota!$L32)*Frota!$L32,N(VLOOKUP(Frota!$B32,Premissas!$A$39:$E$43,4,0)))=0,"A","S"),"S")),""))</f>
        <v/>
      </c>
      <c r="AK32" s="16" t="str">
        <f aca="false">IF(Cron_Uso!AK32="","",IF(INT(Cron_Uso!AK32/Frota!$L32)&gt;INT(Cron_Uso!AJ32/Frota!$L32),IF(N(VLOOKUP(Frota!$B32,Premissas!$A$39:$E$43,5,0))&gt;0,IF(MOD(INT(Cron_Uso!AK32/Frota!$L32)*Frota!$L32,N(VLOOKUP(Frota!$B32,Premissas!$A$39:$E$43,5,0)))=0,"B",IF(N(VLOOKUP(Frota!$B32,Premissas!$A$39:$E$43,4,0))&gt;0,IF(MOD(INT(Cron_Uso!AK32/Frota!$L32)*Frota!$L32,N(VLOOKUP(Frota!$B32,Premissas!$A$39:$E$43,4,0)))=0,"A","S"),"S")),IF(N(VLOOKUP(Frota!$B32,Premissas!$A$39:$E$43,4,0))&gt;0,IF(MOD(INT(Cron_Uso!AK32/Frota!$L32)*Frota!$L32,N(VLOOKUP(Frota!$B32,Premissas!$A$39:$E$43,4,0)))=0,"A","S"),"S")),""))</f>
        <v/>
      </c>
      <c r="AL32" s="16" t="str">
        <f aca="false">IF(Cron_Uso!AL32="","",IF(INT(Cron_Uso!AL32/Frota!$L32)&gt;INT(Cron_Uso!AK32/Frota!$L32),IF(N(VLOOKUP(Frota!$B32,Premissas!$A$39:$E$43,5,0))&gt;0,IF(MOD(INT(Cron_Uso!AL32/Frota!$L32)*Frota!$L32,N(VLOOKUP(Frota!$B32,Premissas!$A$39:$E$43,5,0)))=0,"B",IF(N(VLOOKUP(Frota!$B32,Premissas!$A$39:$E$43,4,0))&gt;0,IF(MOD(INT(Cron_Uso!AL32/Frota!$L32)*Frota!$L32,N(VLOOKUP(Frota!$B32,Premissas!$A$39:$E$43,4,0)))=0,"A","S"),"S")),IF(N(VLOOKUP(Frota!$B32,Premissas!$A$39:$E$43,4,0))&gt;0,IF(MOD(INT(Cron_Uso!AL32/Frota!$L32)*Frota!$L32,N(VLOOKUP(Frota!$B32,Premissas!$A$39:$E$43,4,0)))=0,"A","S"),"S")),""))</f>
        <v/>
      </c>
      <c r="AM32" s="16" t="str">
        <f aca="false">IF(Cron_Uso!AM32="","",IF(INT(Cron_Uso!AM32/Frota!$L32)&gt;INT(Cron_Uso!AL32/Frota!$L32),IF(N(VLOOKUP(Frota!$B32,Premissas!$A$39:$E$43,5,0))&gt;0,IF(MOD(INT(Cron_Uso!AM32/Frota!$L32)*Frota!$L32,N(VLOOKUP(Frota!$B32,Premissas!$A$39:$E$43,5,0)))=0,"B",IF(N(VLOOKUP(Frota!$B32,Premissas!$A$39:$E$43,4,0))&gt;0,IF(MOD(INT(Cron_Uso!AM32/Frota!$L32)*Frota!$L32,N(VLOOKUP(Frota!$B32,Premissas!$A$39:$E$43,4,0)))=0,"A","S"),"S")),IF(N(VLOOKUP(Frota!$B32,Premissas!$A$39:$E$43,4,0))&gt;0,IF(MOD(INT(Cron_Uso!AM32/Frota!$L32)*Frota!$L32,N(VLOOKUP(Frota!$B32,Premissas!$A$39:$E$43,4,0)))=0,"A","S"),"S")),""))</f>
        <v/>
      </c>
      <c r="AN32" s="16" t="str">
        <f aca="false">IF(Cron_Uso!AN32="","",IF(INT(Cron_Uso!AN32/Frota!$L32)&gt;INT(Cron_Uso!AM32/Frota!$L32),IF(N(VLOOKUP(Frota!$B32,Premissas!$A$39:$E$43,5,0))&gt;0,IF(MOD(INT(Cron_Uso!AN32/Frota!$L32)*Frota!$L32,N(VLOOKUP(Frota!$B32,Premissas!$A$39:$E$43,5,0)))=0,"B",IF(N(VLOOKUP(Frota!$B32,Premissas!$A$39:$E$43,4,0))&gt;0,IF(MOD(INT(Cron_Uso!AN32/Frota!$L32)*Frota!$L32,N(VLOOKUP(Frota!$B32,Premissas!$A$39:$E$43,4,0)))=0,"A","S"),"S")),IF(N(VLOOKUP(Frota!$B32,Premissas!$A$39:$E$43,4,0))&gt;0,IF(MOD(INT(Cron_Uso!AN32/Frota!$L32)*Frota!$L32,N(VLOOKUP(Frota!$B32,Premissas!$A$39:$E$43,4,0)))=0,"A","S"),"S")),""))</f>
        <v/>
      </c>
      <c r="AO32" s="16" t="str">
        <f aca="false">IF(Cron_Uso!AO32="","",IF(INT(Cron_Uso!AO32/Frota!$L32)&gt;INT(Cron_Uso!AN32/Frota!$L32),IF(N(VLOOKUP(Frota!$B32,Premissas!$A$39:$E$43,5,0))&gt;0,IF(MOD(INT(Cron_Uso!AO32/Frota!$L32)*Frota!$L32,N(VLOOKUP(Frota!$B32,Premissas!$A$39:$E$43,5,0)))=0,"B",IF(N(VLOOKUP(Frota!$B32,Premissas!$A$39:$E$43,4,0))&gt;0,IF(MOD(INT(Cron_Uso!AO32/Frota!$L32)*Frota!$L32,N(VLOOKUP(Frota!$B32,Premissas!$A$39:$E$43,4,0)))=0,"A","S"),"S")),IF(N(VLOOKUP(Frota!$B32,Premissas!$A$39:$E$43,4,0))&gt;0,IF(MOD(INT(Cron_Uso!AO32/Frota!$L32)*Frota!$L32,N(VLOOKUP(Frota!$B32,Premissas!$A$39:$E$43,4,0)))=0,"A","S"),"S")),""))</f>
        <v/>
      </c>
      <c r="AP32" s="16" t="str">
        <f aca="false">IF(Cron_Uso!AP32="","",IF(INT(Cron_Uso!AP32/Frota!$L32)&gt;INT(Cron_Uso!AO32/Frota!$L32),IF(N(VLOOKUP(Frota!$B32,Premissas!$A$39:$E$43,5,0))&gt;0,IF(MOD(INT(Cron_Uso!AP32/Frota!$L32)*Frota!$L32,N(VLOOKUP(Frota!$B32,Premissas!$A$39:$E$43,5,0)))=0,"B",IF(N(VLOOKUP(Frota!$B32,Premissas!$A$39:$E$43,4,0))&gt;0,IF(MOD(INT(Cron_Uso!AP32/Frota!$L32)*Frota!$L32,N(VLOOKUP(Frota!$B32,Premissas!$A$39:$E$43,4,0)))=0,"A","S"),"S")),IF(N(VLOOKUP(Frota!$B32,Premissas!$A$39:$E$43,4,0))&gt;0,IF(MOD(INT(Cron_Uso!AP32/Frota!$L32)*Frota!$L32,N(VLOOKUP(Frota!$B32,Premissas!$A$39:$E$43,4,0)))=0,"A","S"),"S")),""))</f>
        <v/>
      </c>
      <c r="AQ32" s="16" t="str">
        <f aca="false">IF(Cron_Uso!AQ32="","",IF(INT(Cron_Uso!AQ32/Frota!$L32)&gt;INT(Cron_Uso!AP32/Frota!$L32),IF(N(VLOOKUP(Frota!$B32,Premissas!$A$39:$E$43,5,0))&gt;0,IF(MOD(INT(Cron_Uso!AQ32/Frota!$L32)*Frota!$L32,N(VLOOKUP(Frota!$B32,Premissas!$A$39:$E$43,5,0)))=0,"B",IF(N(VLOOKUP(Frota!$B32,Premissas!$A$39:$E$43,4,0))&gt;0,IF(MOD(INT(Cron_Uso!AQ32/Frota!$L32)*Frota!$L32,N(VLOOKUP(Frota!$B32,Premissas!$A$39:$E$43,4,0)))=0,"A","S"),"S")),IF(N(VLOOKUP(Frota!$B32,Premissas!$A$39:$E$43,4,0))&gt;0,IF(MOD(INT(Cron_Uso!AQ32/Frota!$L32)*Frota!$L32,N(VLOOKUP(Frota!$B32,Premissas!$A$39:$E$43,4,0)))=0,"A","S"),"S")),""))</f>
        <v/>
      </c>
      <c r="AR32" s="16" t="str">
        <f aca="false">IF(Cron_Uso!AR32="","",IF(INT(Cron_Uso!AR32/Frota!$L32)&gt;INT(Cron_Uso!AQ32/Frota!$L32),IF(N(VLOOKUP(Frota!$B32,Premissas!$A$39:$E$43,5,0))&gt;0,IF(MOD(INT(Cron_Uso!AR32/Frota!$L32)*Frota!$L32,N(VLOOKUP(Frota!$B32,Premissas!$A$39:$E$43,5,0)))=0,"B",IF(N(VLOOKUP(Frota!$B32,Premissas!$A$39:$E$43,4,0))&gt;0,IF(MOD(INT(Cron_Uso!AR32/Frota!$L32)*Frota!$L32,N(VLOOKUP(Frota!$B32,Premissas!$A$39:$E$43,4,0)))=0,"A","S"),"S")),IF(N(VLOOKUP(Frota!$B32,Premissas!$A$39:$E$43,4,0))&gt;0,IF(MOD(INT(Cron_Uso!AR32/Frota!$L32)*Frota!$L32,N(VLOOKUP(Frota!$B32,Premissas!$A$39:$E$43,4,0)))=0,"A","S"),"S")),""))</f>
        <v/>
      </c>
      <c r="AS32" s="16" t="str">
        <f aca="false">IF(Cron_Uso!AS32="","",IF(INT(Cron_Uso!AS32/Frota!$L32)&gt;INT(Cron_Uso!AR32/Frota!$L32),IF(N(VLOOKUP(Frota!$B32,Premissas!$A$39:$E$43,5,0))&gt;0,IF(MOD(INT(Cron_Uso!AS32/Frota!$L32)*Frota!$L32,N(VLOOKUP(Frota!$B32,Premissas!$A$39:$E$43,5,0)))=0,"B",IF(N(VLOOKUP(Frota!$B32,Premissas!$A$39:$E$43,4,0))&gt;0,IF(MOD(INT(Cron_Uso!AS32/Frota!$L32)*Frota!$L32,N(VLOOKUP(Frota!$B32,Premissas!$A$39:$E$43,4,0)))=0,"A","S"),"S")),IF(N(VLOOKUP(Frota!$B32,Premissas!$A$39:$E$43,4,0))&gt;0,IF(MOD(INT(Cron_Uso!AS32/Frota!$L32)*Frota!$L32,N(VLOOKUP(Frota!$B32,Premissas!$A$39:$E$43,4,0)))=0,"A","S"),"S")),""))</f>
        <v/>
      </c>
      <c r="AT32" s="16" t="str">
        <f aca="false">IF(Cron_Uso!AT32="","",IF(INT(Cron_Uso!AT32/Frota!$L32)&gt;INT(Cron_Uso!AS32/Frota!$L32),IF(N(VLOOKUP(Frota!$B32,Premissas!$A$39:$E$43,5,0))&gt;0,IF(MOD(INT(Cron_Uso!AT32/Frota!$L32)*Frota!$L32,N(VLOOKUP(Frota!$B32,Premissas!$A$39:$E$43,5,0)))=0,"B",IF(N(VLOOKUP(Frota!$B32,Premissas!$A$39:$E$43,4,0))&gt;0,IF(MOD(INT(Cron_Uso!AT32/Frota!$L32)*Frota!$L32,N(VLOOKUP(Frota!$B32,Premissas!$A$39:$E$43,4,0)))=0,"A","S"),"S")),IF(N(VLOOKUP(Frota!$B32,Premissas!$A$39:$E$43,4,0))&gt;0,IF(MOD(INT(Cron_Uso!AT32/Frota!$L32)*Frota!$L32,N(VLOOKUP(Frota!$B32,Premissas!$A$39:$E$43,4,0)))=0,"A","S"),"S")),""))</f>
        <v/>
      </c>
      <c r="AU32" s="16" t="str">
        <f aca="false">IF(Cron_Uso!AU32="","",IF(INT(Cron_Uso!AU32/Frota!$L32)&gt;INT(Cron_Uso!AT32/Frota!$L32),IF(N(VLOOKUP(Frota!$B32,Premissas!$A$39:$E$43,5,0))&gt;0,IF(MOD(INT(Cron_Uso!AU32/Frota!$L32)*Frota!$L32,N(VLOOKUP(Frota!$B32,Premissas!$A$39:$E$43,5,0)))=0,"B",IF(N(VLOOKUP(Frota!$B32,Premissas!$A$39:$E$43,4,0))&gt;0,IF(MOD(INT(Cron_Uso!AU32/Frota!$L32)*Frota!$L32,N(VLOOKUP(Frota!$B32,Premissas!$A$39:$E$43,4,0)))=0,"A","S"),"S")),IF(N(VLOOKUP(Frota!$B32,Premissas!$A$39:$E$43,4,0))&gt;0,IF(MOD(INT(Cron_Uso!AU32/Frota!$L32)*Frota!$L32,N(VLOOKUP(Frota!$B32,Premissas!$A$39:$E$43,4,0)))=0,"A","S"),"S")),""))</f>
        <v/>
      </c>
      <c r="AV32" s="16" t="str">
        <f aca="false">IF(Cron_Uso!AV32="","",IF(INT(Cron_Uso!AV32/Frota!$L32)&gt;INT(Cron_Uso!AU32/Frota!$L32),IF(N(VLOOKUP(Frota!$B32,Premissas!$A$39:$E$43,5,0))&gt;0,IF(MOD(INT(Cron_Uso!AV32/Frota!$L32)*Frota!$L32,N(VLOOKUP(Frota!$B32,Premissas!$A$39:$E$43,5,0)))=0,"B",IF(N(VLOOKUP(Frota!$B32,Premissas!$A$39:$E$43,4,0))&gt;0,IF(MOD(INT(Cron_Uso!AV32/Frota!$L32)*Frota!$L32,N(VLOOKUP(Frota!$B32,Premissas!$A$39:$E$43,4,0)))=0,"A","S"),"S")),IF(N(VLOOKUP(Frota!$B32,Premissas!$A$39:$E$43,4,0))&gt;0,IF(MOD(INT(Cron_Uso!AV32/Frota!$L32)*Frota!$L32,N(VLOOKUP(Frota!$B32,Premissas!$A$39:$E$43,4,0)))=0,"A","S"),"S")),""))</f>
        <v/>
      </c>
      <c r="AW32" s="16" t="str">
        <f aca="false">IF(Cron_Uso!AW32="","",IF(INT(Cron_Uso!AW32/Frota!$L32)&gt;INT(Cron_Uso!AV32/Frota!$L32),IF(N(VLOOKUP(Frota!$B32,Premissas!$A$39:$E$43,5,0))&gt;0,IF(MOD(INT(Cron_Uso!AW32/Frota!$L32)*Frota!$L32,N(VLOOKUP(Frota!$B32,Premissas!$A$39:$E$43,5,0)))=0,"B",IF(N(VLOOKUP(Frota!$B32,Premissas!$A$39:$E$43,4,0))&gt;0,IF(MOD(INT(Cron_Uso!AW32/Frota!$L32)*Frota!$L32,N(VLOOKUP(Frota!$B32,Premissas!$A$39:$E$43,4,0)))=0,"A","S"),"S")),IF(N(VLOOKUP(Frota!$B32,Premissas!$A$39:$E$43,4,0))&gt;0,IF(MOD(INT(Cron_Uso!AW32/Frota!$L32)*Frota!$L32,N(VLOOKUP(Frota!$B32,Premissas!$A$39:$E$43,4,0)))=0,"A","S"),"S")),""))</f>
        <v/>
      </c>
      <c r="AX32" s="16" t="str">
        <f aca="false">IF(Cron_Uso!AX32="","",IF(INT(Cron_Uso!AX32/Frota!$L32)&gt;INT(Cron_Uso!AW32/Frota!$L32),IF(N(VLOOKUP(Frota!$B32,Premissas!$A$39:$E$43,5,0))&gt;0,IF(MOD(INT(Cron_Uso!AX32/Frota!$L32)*Frota!$L32,N(VLOOKUP(Frota!$B32,Premissas!$A$39:$E$43,5,0)))=0,"B",IF(N(VLOOKUP(Frota!$B32,Premissas!$A$39:$E$43,4,0))&gt;0,IF(MOD(INT(Cron_Uso!AX32/Frota!$L32)*Frota!$L32,N(VLOOKUP(Frota!$B32,Premissas!$A$39:$E$43,4,0)))=0,"A","S"),"S")),IF(N(VLOOKUP(Frota!$B32,Premissas!$A$39:$E$43,4,0))&gt;0,IF(MOD(INT(Cron_Uso!AX32/Frota!$L32)*Frota!$L32,N(VLOOKUP(Frota!$B32,Premissas!$A$39:$E$43,4,0)))=0,"A","S"),"S")),""))</f>
        <v/>
      </c>
      <c r="AY32" s="16" t="str">
        <f aca="false">IF(Cron_Uso!AY32="","",IF(INT(Cron_Uso!AY32/Frota!$L32)&gt;INT(Cron_Uso!AX32/Frota!$L32),IF(N(VLOOKUP(Frota!$B32,Premissas!$A$39:$E$43,5,0))&gt;0,IF(MOD(INT(Cron_Uso!AY32/Frota!$L32)*Frota!$L32,N(VLOOKUP(Frota!$B32,Premissas!$A$39:$E$43,5,0)))=0,"B",IF(N(VLOOKUP(Frota!$B32,Premissas!$A$39:$E$43,4,0))&gt;0,IF(MOD(INT(Cron_Uso!AY32/Frota!$L32)*Frota!$L32,N(VLOOKUP(Frota!$B32,Premissas!$A$39:$E$43,4,0)))=0,"A","S"),"S")),IF(N(VLOOKUP(Frota!$B32,Premissas!$A$39:$E$43,4,0))&gt;0,IF(MOD(INT(Cron_Uso!AY32/Frota!$L32)*Frota!$L32,N(VLOOKUP(Frota!$B32,Premissas!$A$39:$E$43,4,0)))=0,"A","S"),"S")),""))</f>
        <v/>
      </c>
      <c r="AZ32" s="16" t="str">
        <f aca="false">IF(Cron_Uso!AZ32="","",IF(INT(Cron_Uso!AZ32/Frota!$L32)&gt;INT(Cron_Uso!AY32/Frota!$L32),IF(N(VLOOKUP(Frota!$B32,Premissas!$A$39:$E$43,5,0))&gt;0,IF(MOD(INT(Cron_Uso!AZ32/Frota!$L32)*Frota!$L32,N(VLOOKUP(Frota!$B32,Premissas!$A$39:$E$43,5,0)))=0,"B",IF(N(VLOOKUP(Frota!$B32,Premissas!$A$39:$E$43,4,0))&gt;0,IF(MOD(INT(Cron_Uso!AZ32/Frota!$L32)*Frota!$L32,N(VLOOKUP(Frota!$B32,Premissas!$A$39:$E$43,4,0)))=0,"A","S"),"S")),IF(N(VLOOKUP(Frota!$B32,Premissas!$A$39:$E$43,4,0))&gt;0,IF(MOD(INT(Cron_Uso!AZ32/Frota!$L32)*Frota!$L32,N(VLOOKUP(Frota!$B32,Premissas!$A$39:$E$43,4,0)))=0,"A","S"),"S")),""))</f>
        <v/>
      </c>
      <c r="BA32" s="16" t="str">
        <f aca="false">IF(Cron_Uso!BA32="","",IF(INT(Cron_Uso!BA32/Frota!$L32)&gt;INT(Cron_Uso!AZ32/Frota!$L32),IF(N(VLOOKUP(Frota!$B32,Premissas!$A$39:$E$43,5,0))&gt;0,IF(MOD(INT(Cron_Uso!BA32/Frota!$L32)*Frota!$L32,N(VLOOKUP(Frota!$B32,Premissas!$A$39:$E$43,5,0)))=0,"B",IF(N(VLOOKUP(Frota!$B32,Premissas!$A$39:$E$43,4,0))&gt;0,IF(MOD(INT(Cron_Uso!BA32/Frota!$L32)*Frota!$L32,N(VLOOKUP(Frota!$B32,Premissas!$A$39:$E$43,4,0)))=0,"A","S"),"S")),IF(N(VLOOKUP(Frota!$B32,Premissas!$A$39:$E$43,4,0))&gt;0,IF(MOD(INT(Cron_Uso!BA32/Frota!$L32)*Frota!$L32,N(VLOOKUP(Frota!$B32,Premissas!$A$39:$E$43,4,0)))=0,"A","S"),"S")),""))</f>
        <v/>
      </c>
    </row>
    <row r="33" customFormat="false" ht="15" hidden="false" customHeight="false" outlineLevel="0" collapsed="false">
      <c r="A33" s="6" t="str">
        <f aca="false">IF(Frota!$A33="","",Frota!$A33)</f>
        <v/>
      </c>
      <c r="B33" s="16" t="str">
        <f aca="false">IF(Cron_Uso!B33="","",IF(INT(Cron_Uso!B33/Frota!$L33)&gt;INT(Frota!$I33/Frota!$L33),IF(N(VLOOKUP(Frota!$B33,Premissas!$A$39:$E$43,5,0))&gt;0,IF(MOD(INT(Cron_Uso!B33/Frota!$L33)*Frota!$L33,N(VLOOKUP(Frota!$B33,Premissas!$A$39:$E$43,5,0)))=0,"B",IF(N(VLOOKUP(Frota!$B33,Premissas!$A$39:$E$43,4,0))&gt;0,IF(MOD(INT(Cron_Uso!B33/Frota!$L33)*Frota!$L33,N(VLOOKUP(Frota!$B33,Premissas!$A$39:$E$43,4,0)))=0,"A","S"),"S")),IF(N(VLOOKUP(Frota!$B33,Premissas!$A$39:$E$43,4,0))&gt;0,IF(MOD(INT(Cron_Uso!B33/Frota!$L33)*Frota!$L33,N(VLOOKUP(Frota!$B33,Premissas!$A$39:$E$43,4,0)))=0,"A","S"),"S")),""))</f>
        <v/>
      </c>
      <c r="C33" s="16" t="str">
        <f aca="false">IF(Cron_Uso!C33="","",IF(INT(Cron_Uso!C33/Frota!$L33)&gt;INT(Cron_Uso!B33/Frota!$L33),IF(N(VLOOKUP(Frota!$B33,Premissas!$A$39:$E$43,5,0))&gt;0,IF(MOD(INT(Cron_Uso!C33/Frota!$L33)*Frota!$L33,N(VLOOKUP(Frota!$B33,Premissas!$A$39:$E$43,5,0)))=0,"B",IF(N(VLOOKUP(Frota!$B33,Premissas!$A$39:$E$43,4,0))&gt;0,IF(MOD(INT(Cron_Uso!C33/Frota!$L33)*Frota!$L33,N(VLOOKUP(Frota!$B33,Premissas!$A$39:$E$43,4,0)))=0,"A","S"),"S")),IF(N(VLOOKUP(Frota!$B33,Premissas!$A$39:$E$43,4,0))&gt;0,IF(MOD(INT(Cron_Uso!C33/Frota!$L33)*Frota!$L33,N(VLOOKUP(Frota!$B33,Premissas!$A$39:$E$43,4,0)))=0,"A","S"),"S")),""))</f>
        <v/>
      </c>
      <c r="D33" s="16" t="str">
        <f aca="false">IF(Cron_Uso!D33="","",IF(INT(Cron_Uso!D33/Frota!$L33)&gt;INT(Cron_Uso!C33/Frota!$L33),IF(N(VLOOKUP(Frota!$B33,Premissas!$A$39:$E$43,5,0))&gt;0,IF(MOD(INT(Cron_Uso!D33/Frota!$L33)*Frota!$L33,N(VLOOKUP(Frota!$B33,Premissas!$A$39:$E$43,5,0)))=0,"B",IF(N(VLOOKUP(Frota!$B33,Premissas!$A$39:$E$43,4,0))&gt;0,IF(MOD(INT(Cron_Uso!D33/Frota!$L33)*Frota!$L33,N(VLOOKUP(Frota!$B33,Premissas!$A$39:$E$43,4,0)))=0,"A","S"),"S")),IF(N(VLOOKUP(Frota!$B33,Premissas!$A$39:$E$43,4,0))&gt;0,IF(MOD(INT(Cron_Uso!D33/Frota!$L33)*Frota!$L33,N(VLOOKUP(Frota!$B33,Premissas!$A$39:$E$43,4,0)))=0,"A","S"),"S")),""))</f>
        <v/>
      </c>
      <c r="E33" s="16" t="str">
        <f aca="false">IF(Cron_Uso!E33="","",IF(INT(Cron_Uso!E33/Frota!$L33)&gt;INT(Cron_Uso!D33/Frota!$L33),IF(N(VLOOKUP(Frota!$B33,Premissas!$A$39:$E$43,5,0))&gt;0,IF(MOD(INT(Cron_Uso!E33/Frota!$L33)*Frota!$L33,N(VLOOKUP(Frota!$B33,Premissas!$A$39:$E$43,5,0)))=0,"B",IF(N(VLOOKUP(Frota!$B33,Premissas!$A$39:$E$43,4,0))&gt;0,IF(MOD(INT(Cron_Uso!E33/Frota!$L33)*Frota!$L33,N(VLOOKUP(Frota!$B33,Premissas!$A$39:$E$43,4,0)))=0,"A","S"),"S")),IF(N(VLOOKUP(Frota!$B33,Premissas!$A$39:$E$43,4,0))&gt;0,IF(MOD(INT(Cron_Uso!E33/Frota!$L33)*Frota!$L33,N(VLOOKUP(Frota!$B33,Premissas!$A$39:$E$43,4,0)))=0,"A","S"),"S")),""))</f>
        <v/>
      </c>
      <c r="F33" s="16" t="str">
        <f aca="false">IF(Cron_Uso!F33="","",IF(INT(Cron_Uso!F33/Frota!$L33)&gt;INT(Cron_Uso!E33/Frota!$L33),IF(N(VLOOKUP(Frota!$B33,Premissas!$A$39:$E$43,5,0))&gt;0,IF(MOD(INT(Cron_Uso!F33/Frota!$L33)*Frota!$L33,N(VLOOKUP(Frota!$B33,Premissas!$A$39:$E$43,5,0)))=0,"B",IF(N(VLOOKUP(Frota!$B33,Premissas!$A$39:$E$43,4,0))&gt;0,IF(MOD(INT(Cron_Uso!F33/Frota!$L33)*Frota!$L33,N(VLOOKUP(Frota!$B33,Premissas!$A$39:$E$43,4,0)))=0,"A","S"),"S")),IF(N(VLOOKUP(Frota!$B33,Premissas!$A$39:$E$43,4,0))&gt;0,IF(MOD(INT(Cron_Uso!F33/Frota!$L33)*Frota!$L33,N(VLOOKUP(Frota!$B33,Premissas!$A$39:$E$43,4,0)))=0,"A","S"),"S")),""))</f>
        <v/>
      </c>
      <c r="G33" s="16" t="str">
        <f aca="false">IF(Cron_Uso!G33="","",IF(INT(Cron_Uso!G33/Frota!$L33)&gt;INT(Cron_Uso!F33/Frota!$L33),IF(N(VLOOKUP(Frota!$B33,Premissas!$A$39:$E$43,5,0))&gt;0,IF(MOD(INT(Cron_Uso!G33/Frota!$L33)*Frota!$L33,N(VLOOKUP(Frota!$B33,Premissas!$A$39:$E$43,5,0)))=0,"B",IF(N(VLOOKUP(Frota!$B33,Premissas!$A$39:$E$43,4,0))&gt;0,IF(MOD(INT(Cron_Uso!G33/Frota!$L33)*Frota!$L33,N(VLOOKUP(Frota!$B33,Premissas!$A$39:$E$43,4,0)))=0,"A","S"),"S")),IF(N(VLOOKUP(Frota!$B33,Premissas!$A$39:$E$43,4,0))&gt;0,IF(MOD(INT(Cron_Uso!G33/Frota!$L33)*Frota!$L33,N(VLOOKUP(Frota!$B33,Premissas!$A$39:$E$43,4,0)))=0,"A","S"),"S")),""))</f>
        <v/>
      </c>
      <c r="H33" s="16" t="str">
        <f aca="false">IF(Cron_Uso!H33="","",IF(INT(Cron_Uso!H33/Frota!$L33)&gt;INT(Cron_Uso!G33/Frota!$L33),IF(N(VLOOKUP(Frota!$B33,Premissas!$A$39:$E$43,5,0))&gt;0,IF(MOD(INT(Cron_Uso!H33/Frota!$L33)*Frota!$L33,N(VLOOKUP(Frota!$B33,Premissas!$A$39:$E$43,5,0)))=0,"B",IF(N(VLOOKUP(Frota!$B33,Premissas!$A$39:$E$43,4,0))&gt;0,IF(MOD(INT(Cron_Uso!H33/Frota!$L33)*Frota!$L33,N(VLOOKUP(Frota!$B33,Premissas!$A$39:$E$43,4,0)))=0,"A","S"),"S")),IF(N(VLOOKUP(Frota!$B33,Premissas!$A$39:$E$43,4,0))&gt;0,IF(MOD(INT(Cron_Uso!H33/Frota!$L33)*Frota!$L33,N(VLOOKUP(Frota!$B33,Premissas!$A$39:$E$43,4,0)))=0,"A","S"),"S")),""))</f>
        <v/>
      </c>
      <c r="I33" s="16" t="str">
        <f aca="false">IF(Cron_Uso!I33="","",IF(INT(Cron_Uso!I33/Frota!$L33)&gt;INT(Cron_Uso!H33/Frota!$L33),IF(N(VLOOKUP(Frota!$B33,Premissas!$A$39:$E$43,5,0))&gt;0,IF(MOD(INT(Cron_Uso!I33/Frota!$L33)*Frota!$L33,N(VLOOKUP(Frota!$B33,Premissas!$A$39:$E$43,5,0)))=0,"B",IF(N(VLOOKUP(Frota!$B33,Premissas!$A$39:$E$43,4,0))&gt;0,IF(MOD(INT(Cron_Uso!I33/Frota!$L33)*Frota!$L33,N(VLOOKUP(Frota!$B33,Premissas!$A$39:$E$43,4,0)))=0,"A","S"),"S")),IF(N(VLOOKUP(Frota!$B33,Premissas!$A$39:$E$43,4,0))&gt;0,IF(MOD(INT(Cron_Uso!I33/Frota!$L33)*Frota!$L33,N(VLOOKUP(Frota!$B33,Premissas!$A$39:$E$43,4,0)))=0,"A","S"),"S")),""))</f>
        <v/>
      </c>
      <c r="J33" s="16" t="str">
        <f aca="false">IF(Cron_Uso!J33="","",IF(INT(Cron_Uso!J33/Frota!$L33)&gt;INT(Cron_Uso!I33/Frota!$L33),IF(N(VLOOKUP(Frota!$B33,Premissas!$A$39:$E$43,5,0))&gt;0,IF(MOD(INT(Cron_Uso!J33/Frota!$L33)*Frota!$L33,N(VLOOKUP(Frota!$B33,Premissas!$A$39:$E$43,5,0)))=0,"B",IF(N(VLOOKUP(Frota!$B33,Premissas!$A$39:$E$43,4,0))&gt;0,IF(MOD(INT(Cron_Uso!J33/Frota!$L33)*Frota!$L33,N(VLOOKUP(Frota!$B33,Premissas!$A$39:$E$43,4,0)))=0,"A","S"),"S")),IF(N(VLOOKUP(Frota!$B33,Premissas!$A$39:$E$43,4,0))&gt;0,IF(MOD(INT(Cron_Uso!J33/Frota!$L33)*Frota!$L33,N(VLOOKUP(Frota!$B33,Premissas!$A$39:$E$43,4,0)))=0,"A","S"),"S")),""))</f>
        <v/>
      </c>
      <c r="K33" s="16" t="str">
        <f aca="false">IF(Cron_Uso!K33="","",IF(INT(Cron_Uso!K33/Frota!$L33)&gt;INT(Cron_Uso!J33/Frota!$L33),IF(N(VLOOKUP(Frota!$B33,Premissas!$A$39:$E$43,5,0))&gt;0,IF(MOD(INT(Cron_Uso!K33/Frota!$L33)*Frota!$L33,N(VLOOKUP(Frota!$B33,Premissas!$A$39:$E$43,5,0)))=0,"B",IF(N(VLOOKUP(Frota!$B33,Premissas!$A$39:$E$43,4,0))&gt;0,IF(MOD(INT(Cron_Uso!K33/Frota!$L33)*Frota!$L33,N(VLOOKUP(Frota!$B33,Premissas!$A$39:$E$43,4,0)))=0,"A","S"),"S")),IF(N(VLOOKUP(Frota!$B33,Premissas!$A$39:$E$43,4,0))&gt;0,IF(MOD(INT(Cron_Uso!K33/Frota!$L33)*Frota!$L33,N(VLOOKUP(Frota!$B33,Premissas!$A$39:$E$43,4,0)))=0,"A","S"),"S")),""))</f>
        <v/>
      </c>
      <c r="L33" s="16" t="str">
        <f aca="false">IF(Cron_Uso!L33="","",IF(INT(Cron_Uso!L33/Frota!$L33)&gt;INT(Cron_Uso!K33/Frota!$L33),IF(N(VLOOKUP(Frota!$B33,Premissas!$A$39:$E$43,5,0))&gt;0,IF(MOD(INT(Cron_Uso!L33/Frota!$L33)*Frota!$L33,N(VLOOKUP(Frota!$B33,Premissas!$A$39:$E$43,5,0)))=0,"B",IF(N(VLOOKUP(Frota!$B33,Premissas!$A$39:$E$43,4,0))&gt;0,IF(MOD(INT(Cron_Uso!L33/Frota!$L33)*Frota!$L33,N(VLOOKUP(Frota!$B33,Premissas!$A$39:$E$43,4,0)))=0,"A","S"),"S")),IF(N(VLOOKUP(Frota!$B33,Premissas!$A$39:$E$43,4,0))&gt;0,IF(MOD(INT(Cron_Uso!L33/Frota!$L33)*Frota!$L33,N(VLOOKUP(Frota!$B33,Premissas!$A$39:$E$43,4,0)))=0,"A","S"),"S")),""))</f>
        <v/>
      </c>
      <c r="M33" s="16" t="str">
        <f aca="false">IF(Cron_Uso!M33="","",IF(INT(Cron_Uso!M33/Frota!$L33)&gt;INT(Cron_Uso!L33/Frota!$L33),IF(N(VLOOKUP(Frota!$B33,Premissas!$A$39:$E$43,5,0))&gt;0,IF(MOD(INT(Cron_Uso!M33/Frota!$L33)*Frota!$L33,N(VLOOKUP(Frota!$B33,Premissas!$A$39:$E$43,5,0)))=0,"B",IF(N(VLOOKUP(Frota!$B33,Premissas!$A$39:$E$43,4,0))&gt;0,IF(MOD(INT(Cron_Uso!M33/Frota!$L33)*Frota!$L33,N(VLOOKUP(Frota!$B33,Premissas!$A$39:$E$43,4,0)))=0,"A","S"),"S")),IF(N(VLOOKUP(Frota!$B33,Premissas!$A$39:$E$43,4,0))&gt;0,IF(MOD(INT(Cron_Uso!M33/Frota!$L33)*Frota!$L33,N(VLOOKUP(Frota!$B33,Premissas!$A$39:$E$43,4,0)))=0,"A","S"),"S")),""))</f>
        <v/>
      </c>
      <c r="N33" s="16" t="str">
        <f aca="false">IF(Cron_Uso!N33="","",IF(INT(Cron_Uso!N33/Frota!$L33)&gt;INT(Cron_Uso!M33/Frota!$L33),IF(N(VLOOKUP(Frota!$B33,Premissas!$A$39:$E$43,5,0))&gt;0,IF(MOD(INT(Cron_Uso!N33/Frota!$L33)*Frota!$L33,N(VLOOKUP(Frota!$B33,Premissas!$A$39:$E$43,5,0)))=0,"B",IF(N(VLOOKUP(Frota!$B33,Premissas!$A$39:$E$43,4,0))&gt;0,IF(MOD(INT(Cron_Uso!N33/Frota!$L33)*Frota!$L33,N(VLOOKUP(Frota!$B33,Premissas!$A$39:$E$43,4,0)))=0,"A","S"),"S")),IF(N(VLOOKUP(Frota!$B33,Premissas!$A$39:$E$43,4,0))&gt;0,IF(MOD(INT(Cron_Uso!N33/Frota!$L33)*Frota!$L33,N(VLOOKUP(Frota!$B33,Premissas!$A$39:$E$43,4,0)))=0,"A","S"),"S")),""))</f>
        <v/>
      </c>
      <c r="O33" s="16" t="str">
        <f aca="false">IF(Cron_Uso!O33="","",IF(INT(Cron_Uso!O33/Frota!$L33)&gt;INT(Cron_Uso!N33/Frota!$L33),IF(N(VLOOKUP(Frota!$B33,Premissas!$A$39:$E$43,5,0))&gt;0,IF(MOD(INT(Cron_Uso!O33/Frota!$L33)*Frota!$L33,N(VLOOKUP(Frota!$B33,Premissas!$A$39:$E$43,5,0)))=0,"B",IF(N(VLOOKUP(Frota!$B33,Premissas!$A$39:$E$43,4,0))&gt;0,IF(MOD(INT(Cron_Uso!O33/Frota!$L33)*Frota!$L33,N(VLOOKUP(Frota!$B33,Premissas!$A$39:$E$43,4,0)))=0,"A","S"),"S")),IF(N(VLOOKUP(Frota!$B33,Premissas!$A$39:$E$43,4,0))&gt;0,IF(MOD(INT(Cron_Uso!O33/Frota!$L33)*Frota!$L33,N(VLOOKUP(Frota!$B33,Premissas!$A$39:$E$43,4,0)))=0,"A","S"),"S")),""))</f>
        <v/>
      </c>
      <c r="P33" s="16" t="str">
        <f aca="false">IF(Cron_Uso!P33="","",IF(INT(Cron_Uso!P33/Frota!$L33)&gt;INT(Cron_Uso!O33/Frota!$L33),IF(N(VLOOKUP(Frota!$B33,Premissas!$A$39:$E$43,5,0))&gt;0,IF(MOD(INT(Cron_Uso!P33/Frota!$L33)*Frota!$L33,N(VLOOKUP(Frota!$B33,Premissas!$A$39:$E$43,5,0)))=0,"B",IF(N(VLOOKUP(Frota!$B33,Premissas!$A$39:$E$43,4,0))&gt;0,IF(MOD(INT(Cron_Uso!P33/Frota!$L33)*Frota!$L33,N(VLOOKUP(Frota!$B33,Premissas!$A$39:$E$43,4,0)))=0,"A","S"),"S")),IF(N(VLOOKUP(Frota!$B33,Premissas!$A$39:$E$43,4,0))&gt;0,IF(MOD(INT(Cron_Uso!P33/Frota!$L33)*Frota!$L33,N(VLOOKUP(Frota!$B33,Premissas!$A$39:$E$43,4,0)))=0,"A","S"),"S")),""))</f>
        <v/>
      </c>
      <c r="Q33" s="16" t="str">
        <f aca="false">IF(Cron_Uso!Q33="","",IF(INT(Cron_Uso!Q33/Frota!$L33)&gt;INT(Cron_Uso!P33/Frota!$L33),IF(N(VLOOKUP(Frota!$B33,Premissas!$A$39:$E$43,5,0))&gt;0,IF(MOD(INT(Cron_Uso!Q33/Frota!$L33)*Frota!$L33,N(VLOOKUP(Frota!$B33,Premissas!$A$39:$E$43,5,0)))=0,"B",IF(N(VLOOKUP(Frota!$B33,Premissas!$A$39:$E$43,4,0))&gt;0,IF(MOD(INT(Cron_Uso!Q33/Frota!$L33)*Frota!$L33,N(VLOOKUP(Frota!$B33,Premissas!$A$39:$E$43,4,0)))=0,"A","S"),"S")),IF(N(VLOOKUP(Frota!$B33,Premissas!$A$39:$E$43,4,0))&gt;0,IF(MOD(INT(Cron_Uso!Q33/Frota!$L33)*Frota!$L33,N(VLOOKUP(Frota!$B33,Premissas!$A$39:$E$43,4,0)))=0,"A","S"),"S")),""))</f>
        <v/>
      </c>
      <c r="R33" s="16" t="str">
        <f aca="false">IF(Cron_Uso!R33="","",IF(INT(Cron_Uso!R33/Frota!$L33)&gt;INT(Cron_Uso!Q33/Frota!$L33),IF(N(VLOOKUP(Frota!$B33,Premissas!$A$39:$E$43,5,0))&gt;0,IF(MOD(INT(Cron_Uso!R33/Frota!$L33)*Frota!$L33,N(VLOOKUP(Frota!$B33,Premissas!$A$39:$E$43,5,0)))=0,"B",IF(N(VLOOKUP(Frota!$B33,Premissas!$A$39:$E$43,4,0))&gt;0,IF(MOD(INT(Cron_Uso!R33/Frota!$L33)*Frota!$L33,N(VLOOKUP(Frota!$B33,Premissas!$A$39:$E$43,4,0)))=0,"A","S"),"S")),IF(N(VLOOKUP(Frota!$B33,Premissas!$A$39:$E$43,4,0))&gt;0,IF(MOD(INT(Cron_Uso!R33/Frota!$L33)*Frota!$L33,N(VLOOKUP(Frota!$B33,Premissas!$A$39:$E$43,4,0)))=0,"A","S"),"S")),""))</f>
        <v/>
      </c>
      <c r="S33" s="16" t="str">
        <f aca="false">IF(Cron_Uso!S33="","",IF(INT(Cron_Uso!S33/Frota!$L33)&gt;INT(Cron_Uso!R33/Frota!$L33),IF(N(VLOOKUP(Frota!$B33,Premissas!$A$39:$E$43,5,0))&gt;0,IF(MOD(INT(Cron_Uso!S33/Frota!$L33)*Frota!$L33,N(VLOOKUP(Frota!$B33,Premissas!$A$39:$E$43,5,0)))=0,"B",IF(N(VLOOKUP(Frota!$B33,Premissas!$A$39:$E$43,4,0))&gt;0,IF(MOD(INT(Cron_Uso!S33/Frota!$L33)*Frota!$L33,N(VLOOKUP(Frota!$B33,Premissas!$A$39:$E$43,4,0)))=0,"A","S"),"S")),IF(N(VLOOKUP(Frota!$B33,Premissas!$A$39:$E$43,4,0))&gt;0,IF(MOD(INT(Cron_Uso!S33/Frota!$L33)*Frota!$L33,N(VLOOKUP(Frota!$B33,Premissas!$A$39:$E$43,4,0)))=0,"A","S"),"S")),""))</f>
        <v/>
      </c>
      <c r="T33" s="16" t="str">
        <f aca="false">IF(Cron_Uso!T33="","",IF(INT(Cron_Uso!T33/Frota!$L33)&gt;INT(Cron_Uso!S33/Frota!$L33),IF(N(VLOOKUP(Frota!$B33,Premissas!$A$39:$E$43,5,0))&gt;0,IF(MOD(INT(Cron_Uso!T33/Frota!$L33)*Frota!$L33,N(VLOOKUP(Frota!$B33,Premissas!$A$39:$E$43,5,0)))=0,"B",IF(N(VLOOKUP(Frota!$B33,Premissas!$A$39:$E$43,4,0))&gt;0,IF(MOD(INT(Cron_Uso!T33/Frota!$L33)*Frota!$L33,N(VLOOKUP(Frota!$B33,Premissas!$A$39:$E$43,4,0)))=0,"A","S"),"S")),IF(N(VLOOKUP(Frota!$B33,Premissas!$A$39:$E$43,4,0))&gt;0,IF(MOD(INT(Cron_Uso!T33/Frota!$L33)*Frota!$L33,N(VLOOKUP(Frota!$B33,Premissas!$A$39:$E$43,4,0)))=0,"A","S"),"S")),""))</f>
        <v/>
      </c>
      <c r="U33" s="16" t="str">
        <f aca="false">IF(Cron_Uso!U33="","",IF(INT(Cron_Uso!U33/Frota!$L33)&gt;INT(Cron_Uso!T33/Frota!$L33),IF(N(VLOOKUP(Frota!$B33,Premissas!$A$39:$E$43,5,0))&gt;0,IF(MOD(INT(Cron_Uso!U33/Frota!$L33)*Frota!$L33,N(VLOOKUP(Frota!$B33,Premissas!$A$39:$E$43,5,0)))=0,"B",IF(N(VLOOKUP(Frota!$B33,Premissas!$A$39:$E$43,4,0))&gt;0,IF(MOD(INT(Cron_Uso!U33/Frota!$L33)*Frota!$L33,N(VLOOKUP(Frota!$B33,Premissas!$A$39:$E$43,4,0)))=0,"A","S"),"S")),IF(N(VLOOKUP(Frota!$B33,Premissas!$A$39:$E$43,4,0))&gt;0,IF(MOD(INT(Cron_Uso!U33/Frota!$L33)*Frota!$L33,N(VLOOKUP(Frota!$B33,Premissas!$A$39:$E$43,4,0)))=0,"A","S"),"S")),""))</f>
        <v/>
      </c>
      <c r="V33" s="16" t="str">
        <f aca="false">IF(Cron_Uso!V33="","",IF(INT(Cron_Uso!V33/Frota!$L33)&gt;INT(Cron_Uso!U33/Frota!$L33),IF(N(VLOOKUP(Frota!$B33,Premissas!$A$39:$E$43,5,0))&gt;0,IF(MOD(INT(Cron_Uso!V33/Frota!$L33)*Frota!$L33,N(VLOOKUP(Frota!$B33,Premissas!$A$39:$E$43,5,0)))=0,"B",IF(N(VLOOKUP(Frota!$B33,Premissas!$A$39:$E$43,4,0))&gt;0,IF(MOD(INT(Cron_Uso!V33/Frota!$L33)*Frota!$L33,N(VLOOKUP(Frota!$B33,Premissas!$A$39:$E$43,4,0)))=0,"A","S"),"S")),IF(N(VLOOKUP(Frota!$B33,Premissas!$A$39:$E$43,4,0))&gt;0,IF(MOD(INT(Cron_Uso!V33/Frota!$L33)*Frota!$L33,N(VLOOKUP(Frota!$B33,Premissas!$A$39:$E$43,4,0)))=0,"A","S"),"S")),""))</f>
        <v/>
      </c>
      <c r="W33" s="16" t="str">
        <f aca="false">IF(Cron_Uso!W33="","",IF(INT(Cron_Uso!W33/Frota!$L33)&gt;INT(Cron_Uso!V33/Frota!$L33),IF(N(VLOOKUP(Frota!$B33,Premissas!$A$39:$E$43,5,0))&gt;0,IF(MOD(INT(Cron_Uso!W33/Frota!$L33)*Frota!$L33,N(VLOOKUP(Frota!$B33,Premissas!$A$39:$E$43,5,0)))=0,"B",IF(N(VLOOKUP(Frota!$B33,Premissas!$A$39:$E$43,4,0))&gt;0,IF(MOD(INT(Cron_Uso!W33/Frota!$L33)*Frota!$L33,N(VLOOKUP(Frota!$B33,Premissas!$A$39:$E$43,4,0)))=0,"A","S"),"S")),IF(N(VLOOKUP(Frota!$B33,Premissas!$A$39:$E$43,4,0))&gt;0,IF(MOD(INT(Cron_Uso!W33/Frota!$L33)*Frota!$L33,N(VLOOKUP(Frota!$B33,Premissas!$A$39:$E$43,4,0)))=0,"A","S"),"S")),""))</f>
        <v/>
      </c>
      <c r="X33" s="16" t="str">
        <f aca="false">IF(Cron_Uso!X33="","",IF(INT(Cron_Uso!X33/Frota!$L33)&gt;INT(Cron_Uso!W33/Frota!$L33),IF(N(VLOOKUP(Frota!$B33,Premissas!$A$39:$E$43,5,0))&gt;0,IF(MOD(INT(Cron_Uso!X33/Frota!$L33)*Frota!$L33,N(VLOOKUP(Frota!$B33,Premissas!$A$39:$E$43,5,0)))=0,"B",IF(N(VLOOKUP(Frota!$B33,Premissas!$A$39:$E$43,4,0))&gt;0,IF(MOD(INT(Cron_Uso!X33/Frota!$L33)*Frota!$L33,N(VLOOKUP(Frota!$B33,Premissas!$A$39:$E$43,4,0)))=0,"A","S"),"S")),IF(N(VLOOKUP(Frota!$B33,Premissas!$A$39:$E$43,4,0))&gt;0,IF(MOD(INT(Cron_Uso!X33/Frota!$L33)*Frota!$L33,N(VLOOKUP(Frota!$B33,Premissas!$A$39:$E$43,4,0)))=0,"A","S"),"S")),""))</f>
        <v/>
      </c>
      <c r="Y33" s="16" t="str">
        <f aca="false">IF(Cron_Uso!Y33="","",IF(INT(Cron_Uso!Y33/Frota!$L33)&gt;INT(Cron_Uso!X33/Frota!$L33),IF(N(VLOOKUP(Frota!$B33,Premissas!$A$39:$E$43,5,0))&gt;0,IF(MOD(INT(Cron_Uso!Y33/Frota!$L33)*Frota!$L33,N(VLOOKUP(Frota!$B33,Premissas!$A$39:$E$43,5,0)))=0,"B",IF(N(VLOOKUP(Frota!$B33,Premissas!$A$39:$E$43,4,0))&gt;0,IF(MOD(INT(Cron_Uso!Y33/Frota!$L33)*Frota!$L33,N(VLOOKUP(Frota!$B33,Premissas!$A$39:$E$43,4,0)))=0,"A","S"),"S")),IF(N(VLOOKUP(Frota!$B33,Premissas!$A$39:$E$43,4,0))&gt;0,IF(MOD(INT(Cron_Uso!Y33/Frota!$L33)*Frota!$L33,N(VLOOKUP(Frota!$B33,Premissas!$A$39:$E$43,4,0)))=0,"A","S"),"S")),""))</f>
        <v/>
      </c>
      <c r="Z33" s="16" t="str">
        <f aca="false">IF(Cron_Uso!Z33="","",IF(INT(Cron_Uso!Z33/Frota!$L33)&gt;INT(Cron_Uso!Y33/Frota!$L33),IF(N(VLOOKUP(Frota!$B33,Premissas!$A$39:$E$43,5,0))&gt;0,IF(MOD(INT(Cron_Uso!Z33/Frota!$L33)*Frota!$L33,N(VLOOKUP(Frota!$B33,Premissas!$A$39:$E$43,5,0)))=0,"B",IF(N(VLOOKUP(Frota!$B33,Premissas!$A$39:$E$43,4,0))&gt;0,IF(MOD(INT(Cron_Uso!Z33/Frota!$L33)*Frota!$L33,N(VLOOKUP(Frota!$B33,Premissas!$A$39:$E$43,4,0)))=0,"A","S"),"S")),IF(N(VLOOKUP(Frota!$B33,Premissas!$A$39:$E$43,4,0))&gt;0,IF(MOD(INT(Cron_Uso!Z33/Frota!$L33)*Frota!$L33,N(VLOOKUP(Frota!$B33,Premissas!$A$39:$E$43,4,0)))=0,"A","S"),"S")),""))</f>
        <v/>
      </c>
      <c r="AA33" s="16" t="str">
        <f aca="false">IF(Cron_Uso!AA33="","",IF(INT(Cron_Uso!AA33/Frota!$L33)&gt;INT(Cron_Uso!Z33/Frota!$L33),IF(N(VLOOKUP(Frota!$B33,Premissas!$A$39:$E$43,5,0))&gt;0,IF(MOD(INT(Cron_Uso!AA33/Frota!$L33)*Frota!$L33,N(VLOOKUP(Frota!$B33,Premissas!$A$39:$E$43,5,0)))=0,"B",IF(N(VLOOKUP(Frota!$B33,Premissas!$A$39:$E$43,4,0))&gt;0,IF(MOD(INT(Cron_Uso!AA33/Frota!$L33)*Frota!$L33,N(VLOOKUP(Frota!$B33,Premissas!$A$39:$E$43,4,0)))=0,"A","S"),"S")),IF(N(VLOOKUP(Frota!$B33,Premissas!$A$39:$E$43,4,0))&gt;0,IF(MOD(INT(Cron_Uso!AA33/Frota!$L33)*Frota!$L33,N(VLOOKUP(Frota!$B33,Premissas!$A$39:$E$43,4,0)))=0,"A","S"),"S")),""))</f>
        <v/>
      </c>
      <c r="AB33" s="16" t="str">
        <f aca="false">IF(Cron_Uso!AB33="","",IF(INT(Cron_Uso!AB33/Frota!$L33)&gt;INT(Cron_Uso!AA33/Frota!$L33),IF(N(VLOOKUP(Frota!$B33,Premissas!$A$39:$E$43,5,0))&gt;0,IF(MOD(INT(Cron_Uso!AB33/Frota!$L33)*Frota!$L33,N(VLOOKUP(Frota!$B33,Premissas!$A$39:$E$43,5,0)))=0,"B",IF(N(VLOOKUP(Frota!$B33,Premissas!$A$39:$E$43,4,0))&gt;0,IF(MOD(INT(Cron_Uso!AB33/Frota!$L33)*Frota!$L33,N(VLOOKUP(Frota!$B33,Premissas!$A$39:$E$43,4,0)))=0,"A","S"),"S")),IF(N(VLOOKUP(Frota!$B33,Premissas!$A$39:$E$43,4,0))&gt;0,IF(MOD(INT(Cron_Uso!AB33/Frota!$L33)*Frota!$L33,N(VLOOKUP(Frota!$B33,Premissas!$A$39:$E$43,4,0)))=0,"A","S"),"S")),""))</f>
        <v/>
      </c>
      <c r="AC33" s="16" t="str">
        <f aca="false">IF(Cron_Uso!AC33="","",IF(INT(Cron_Uso!AC33/Frota!$L33)&gt;INT(Cron_Uso!AB33/Frota!$L33),IF(N(VLOOKUP(Frota!$B33,Premissas!$A$39:$E$43,5,0))&gt;0,IF(MOD(INT(Cron_Uso!AC33/Frota!$L33)*Frota!$L33,N(VLOOKUP(Frota!$B33,Premissas!$A$39:$E$43,5,0)))=0,"B",IF(N(VLOOKUP(Frota!$B33,Premissas!$A$39:$E$43,4,0))&gt;0,IF(MOD(INT(Cron_Uso!AC33/Frota!$L33)*Frota!$L33,N(VLOOKUP(Frota!$B33,Premissas!$A$39:$E$43,4,0)))=0,"A","S"),"S")),IF(N(VLOOKUP(Frota!$B33,Premissas!$A$39:$E$43,4,0))&gt;0,IF(MOD(INT(Cron_Uso!AC33/Frota!$L33)*Frota!$L33,N(VLOOKUP(Frota!$B33,Premissas!$A$39:$E$43,4,0)))=0,"A","S"),"S")),""))</f>
        <v/>
      </c>
      <c r="AD33" s="16" t="str">
        <f aca="false">IF(Cron_Uso!AD33="","",IF(INT(Cron_Uso!AD33/Frota!$L33)&gt;INT(Cron_Uso!AC33/Frota!$L33),IF(N(VLOOKUP(Frota!$B33,Premissas!$A$39:$E$43,5,0))&gt;0,IF(MOD(INT(Cron_Uso!AD33/Frota!$L33)*Frota!$L33,N(VLOOKUP(Frota!$B33,Premissas!$A$39:$E$43,5,0)))=0,"B",IF(N(VLOOKUP(Frota!$B33,Premissas!$A$39:$E$43,4,0))&gt;0,IF(MOD(INT(Cron_Uso!AD33/Frota!$L33)*Frota!$L33,N(VLOOKUP(Frota!$B33,Premissas!$A$39:$E$43,4,0)))=0,"A","S"),"S")),IF(N(VLOOKUP(Frota!$B33,Premissas!$A$39:$E$43,4,0))&gt;0,IF(MOD(INT(Cron_Uso!AD33/Frota!$L33)*Frota!$L33,N(VLOOKUP(Frota!$B33,Premissas!$A$39:$E$43,4,0)))=0,"A","S"),"S")),""))</f>
        <v/>
      </c>
      <c r="AE33" s="16" t="str">
        <f aca="false">IF(Cron_Uso!AE33="","",IF(INT(Cron_Uso!AE33/Frota!$L33)&gt;INT(Cron_Uso!AD33/Frota!$L33),IF(N(VLOOKUP(Frota!$B33,Premissas!$A$39:$E$43,5,0))&gt;0,IF(MOD(INT(Cron_Uso!AE33/Frota!$L33)*Frota!$L33,N(VLOOKUP(Frota!$B33,Premissas!$A$39:$E$43,5,0)))=0,"B",IF(N(VLOOKUP(Frota!$B33,Premissas!$A$39:$E$43,4,0))&gt;0,IF(MOD(INT(Cron_Uso!AE33/Frota!$L33)*Frota!$L33,N(VLOOKUP(Frota!$B33,Premissas!$A$39:$E$43,4,0)))=0,"A","S"),"S")),IF(N(VLOOKUP(Frota!$B33,Premissas!$A$39:$E$43,4,0))&gt;0,IF(MOD(INT(Cron_Uso!AE33/Frota!$L33)*Frota!$L33,N(VLOOKUP(Frota!$B33,Premissas!$A$39:$E$43,4,0)))=0,"A","S"),"S")),""))</f>
        <v/>
      </c>
      <c r="AF33" s="16" t="str">
        <f aca="false">IF(Cron_Uso!AF33="","",IF(INT(Cron_Uso!AF33/Frota!$L33)&gt;INT(Cron_Uso!AE33/Frota!$L33),IF(N(VLOOKUP(Frota!$B33,Premissas!$A$39:$E$43,5,0))&gt;0,IF(MOD(INT(Cron_Uso!AF33/Frota!$L33)*Frota!$L33,N(VLOOKUP(Frota!$B33,Premissas!$A$39:$E$43,5,0)))=0,"B",IF(N(VLOOKUP(Frota!$B33,Premissas!$A$39:$E$43,4,0))&gt;0,IF(MOD(INT(Cron_Uso!AF33/Frota!$L33)*Frota!$L33,N(VLOOKUP(Frota!$B33,Premissas!$A$39:$E$43,4,0)))=0,"A","S"),"S")),IF(N(VLOOKUP(Frota!$B33,Premissas!$A$39:$E$43,4,0))&gt;0,IF(MOD(INT(Cron_Uso!AF33/Frota!$L33)*Frota!$L33,N(VLOOKUP(Frota!$B33,Premissas!$A$39:$E$43,4,0)))=0,"A","S"),"S")),""))</f>
        <v/>
      </c>
      <c r="AG33" s="16" t="str">
        <f aca="false">IF(Cron_Uso!AG33="","",IF(INT(Cron_Uso!AG33/Frota!$L33)&gt;INT(Cron_Uso!AF33/Frota!$L33),IF(N(VLOOKUP(Frota!$B33,Premissas!$A$39:$E$43,5,0))&gt;0,IF(MOD(INT(Cron_Uso!AG33/Frota!$L33)*Frota!$L33,N(VLOOKUP(Frota!$B33,Premissas!$A$39:$E$43,5,0)))=0,"B",IF(N(VLOOKUP(Frota!$B33,Premissas!$A$39:$E$43,4,0))&gt;0,IF(MOD(INT(Cron_Uso!AG33/Frota!$L33)*Frota!$L33,N(VLOOKUP(Frota!$B33,Premissas!$A$39:$E$43,4,0)))=0,"A","S"),"S")),IF(N(VLOOKUP(Frota!$B33,Premissas!$A$39:$E$43,4,0))&gt;0,IF(MOD(INT(Cron_Uso!AG33/Frota!$L33)*Frota!$L33,N(VLOOKUP(Frota!$B33,Premissas!$A$39:$E$43,4,0)))=0,"A","S"),"S")),""))</f>
        <v/>
      </c>
      <c r="AH33" s="16" t="str">
        <f aca="false">IF(Cron_Uso!AH33="","",IF(INT(Cron_Uso!AH33/Frota!$L33)&gt;INT(Cron_Uso!AG33/Frota!$L33),IF(N(VLOOKUP(Frota!$B33,Premissas!$A$39:$E$43,5,0))&gt;0,IF(MOD(INT(Cron_Uso!AH33/Frota!$L33)*Frota!$L33,N(VLOOKUP(Frota!$B33,Premissas!$A$39:$E$43,5,0)))=0,"B",IF(N(VLOOKUP(Frota!$B33,Premissas!$A$39:$E$43,4,0))&gt;0,IF(MOD(INT(Cron_Uso!AH33/Frota!$L33)*Frota!$L33,N(VLOOKUP(Frota!$B33,Premissas!$A$39:$E$43,4,0)))=0,"A","S"),"S")),IF(N(VLOOKUP(Frota!$B33,Premissas!$A$39:$E$43,4,0))&gt;0,IF(MOD(INT(Cron_Uso!AH33/Frota!$L33)*Frota!$L33,N(VLOOKUP(Frota!$B33,Premissas!$A$39:$E$43,4,0)))=0,"A","S"),"S")),""))</f>
        <v/>
      </c>
      <c r="AI33" s="16" t="str">
        <f aca="false">IF(Cron_Uso!AI33="","",IF(INT(Cron_Uso!AI33/Frota!$L33)&gt;INT(Cron_Uso!AH33/Frota!$L33),IF(N(VLOOKUP(Frota!$B33,Premissas!$A$39:$E$43,5,0))&gt;0,IF(MOD(INT(Cron_Uso!AI33/Frota!$L33)*Frota!$L33,N(VLOOKUP(Frota!$B33,Premissas!$A$39:$E$43,5,0)))=0,"B",IF(N(VLOOKUP(Frota!$B33,Premissas!$A$39:$E$43,4,0))&gt;0,IF(MOD(INT(Cron_Uso!AI33/Frota!$L33)*Frota!$L33,N(VLOOKUP(Frota!$B33,Premissas!$A$39:$E$43,4,0)))=0,"A","S"),"S")),IF(N(VLOOKUP(Frota!$B33,Premissas!$A$39:$E$43,4,0))&gt;0,IF(MOD(INT(Cron_Uso!AI33/Frota!$L33)*Frota!$L33,N(VLOOKUP(Frota!$B33,Premissas!$A$39:$E$43,4,0)))=0,"A","S"),"S")),""))</f>
        <v/>
      </c>
      <c r="AJ33" s="16" t="str">
        <f aca="false">IF(Cron_Uso!AJ33="","",IF(INT(Cron_Uso!AJ33/Frota!$L33)&gt;INT(Cron_Uso!AI33/Frota!$L33),IF(N(VLOOKUP(Frota!$B33,Premissas!$A$39:$E$43,5,0))&gt;0,IF(MOD(INT(Cron_Uso!AJ33/Frota!$L33)*Frota!$L33,N(VLOOKUP(Frota!$B33,Premissas!$A$39:$E$43,5,0)))=0,"B",IF(N(VLOOKUP(Frota!$B33,Premissas!$A$39:$E$43,4,0))&gt;0,IF(MOD(INT(Cron_Uso!AJ33/Frota!$L33)*Frota!$L33,N(VLOOKUP(Frota!$B33,Premissas!$A$39:$E$43,4,0)))=0,"A","S"),"S")),IF(N(VLOOKUP(Frota!$B33,Premissas!$A$39:$E$43,4,0))&gt;0,IF(MOD(INT(Cron_Uso!AJ33/Frota!$L33)*Frota!$L33,N(VLOOKUP(Frota!$B33,Premissas!$A$39:$E$43,4,0)))=0,"A","S"),"S")),""))</f>
        <v/>
      </c>
      <c r="AK33" s="16" t="str">
        <f aca="false">IF(Cron_Uso!AK33="","",IF(INT(Cron_Uso!AK33/Frota!$L33)&gt;INT(Cron_Uso!AJ33/Frota!$L33),IF(N(VLOOKUP(Frota!$B33,Premissas!$A$39:$E$43,5,0))&gt;0,IF(MOD(INT(Cron_Uso!AK33/Frota!$L33)*Frota!$L33,N(VLOOKUP(Frota!$B33,Premissas!$A$39:$E$43,5,0)))=0,"B",IF(N(VLOOKUP(Frota!$B33,Premissas!$A$39:$E$43,4,0))&gt;0,IF(MOD(INT(Cron_Uso!AK33/Frota!$L33)*Frota!$L33,N(VLOOKUP(Frota!$B33,Premissas!$A$39:$E$43,4,0)))=0,"A","S"),"S")),IF(N(VLOOKUP(Frota!$B33,Premissas!$A$39:$E$43,4,0))&gt;0,IF(MOD(INT(Cron_Uso!AK33/Frota!$L33)*Frota!$L33,N(VLOOKUP(Frota!$B33,Premissas!$A$39:$E$43,4,0)))=0,"A","S"),"S")),""))</f>
        <v/>
      </c>
      <c r="AL33" s="16" t="str">
        <f aca="false">IF(Cron_Uso!AL33="","",IF(INT(Cron_Uso!AL33/Frota!$L33)&gt;INT(Cron_Uso!AK33/Frota!$L33),IF(N(VLOOKUP(Frota!$B33,Premissas!$A$39:$E$43,5,0))&gt;0,IF(MOD(INT(Cron_Uso!AL33/Frota!$L33)*Frota!$L33,N(VLOOKUP(Frota!$B33,Premissas!$A$39:$E$43,5,0)))=0,"B",IF(N(VLOOKUP(Frota!$B33,Premissas!$A$39:$E$43,4,0))&gt;0,IF(MOD(INT(Cron_Uso!AL33/Frota!$L33)*Frota!$L33,N(VLOOKUP(Frota!$B33,Premissas!$A$39:$E$43,4,0)))=0,"A","S"),"S")),IF(N(VLOOKUP(Frota!$B33,Premissas!$A$39:$E$43,4,0))&gt;0,IF(MOD(INT(Cron_Uso!AL33/Frota!$L33)*Frota!$L33,N(VLOOKUP(Frota!$B33,Premissas!$A$39:$E$43,4,0)))=0,"A","S"),"S")),""))</f>
        <v/>
      </c>
      <c r="AM33" s="16" t="str">
        <f aca="false">IF(Cron_Uso!AM33="","",IF(INT(Cron_Uso!AM33/Frota!$L33)&gt;INT(Cron_Uso!AL33/Frota!$L33),IF(N(VLOOKUP(Frota!$B33,Premissas!$A$39:$E$43,5,0))&gt;0,IF(MOD(INT(Cron_Uso!AM33/Frota!$L33)*Frota!$L33,N(VLOOKUP(Frota!$B33,Premissas!$A$39:$E$43,5,0)))=0,"B",IF(N(VLOOKUP(Frota!$B33,Premissas!$A$39:$E$43,4,0))&gt;0,IF(MOD(INT(Cron_Uso!AM33/Frota!$L33)*Frota!$L33,N(VLOOKUP(Frota!$B33,Premissas!$A$39:$E$43,4,0)))=0,"A","S"),"S")),IF(N(VLOOKUP(Frota!$B33,Premissas!$A$39:$E$43,4,0))&gt;0,IF(MOD(INT(Cron_Uso!AM33/Frota!$L33)*Frota!$L33,N(VLOOKUP(Frota!$B33,Premissas!$A$39:$E$43,4,0)))=0,"A","S"),"S")),""))</f>
        <v/>
      </c>
      <c r="AN33" s="16" t="str">
        <f aca="false">IF(Cron_Uso!AN33="","",IF(INT(Cron_Uso!AN33/Frota!$L33)&gt;INT(Cron_Uso!AM33/Frota!$L33),IF(N(VLOOKUP(Frota!$B33,Premissas!$A$39:$E$43,5,0))&gt;0,IF(MOD(INT(Cron_Uso!AN33/Frota!$L33)*Frota!$L33,N(VLOOKUP(Frota!$B33,Premissas!$A$39:$E$43,5,0)))=0,"B",IF(N(VLOOKUP(Frota!$B33,Premissas!$A$39:$E$43,4,0))&gt;0,IF(MOD(INT(Cron_Uso!AN33/Frota!$L33)*Frota!$L33,N(VLOOKUP(Frota!$B33,Premissas!$A$39:$E$43,4,0)))=0,"A","S"),"S")),IF(N(VLOOKUP(Frota!$B33,Premissas!$A$39:$E$43,4,0))&gt;0,IF(MOD(INT(Cron_Uso!AN33/Frota!$L33)*Frota!$L33,N(VLOOKUP(Frota!$B33,Premissas!$A$39:$E$43,4,0)))=0,"A","S"),"S")),""))</f>
        <v/>
      </c>
      <c r="AO33" s="16" t="str">
        <f aca="false">IF(Cron_Uso!AO33="","",IF(INT(Cron_Uso!AO33/Frota!$L33)&gt;INT(Cron_Uso!AN33/Frota!$L33),IF(N(VLOOKUP(Frota!$B33,Premissas!$A$39:$E$43,5,0))&gt;0,IF(MOD(INT(Cron_Uso!AO33/Frota!$L33)*Frota!$L33,N(VLOOKUP(Frota!$B33,Premissas!$A$39:$E$43,5,0)))=0,"B",IF(N(VLOOKUP(Frota!$B33,Premissas!$A$39:$E$43,4,0))&gt;0,IF(MOD(INT(Cron_Uso!AO33/Frota!$L33)*Frota!$L33,N(VLOOKUP(Frota!$B33,Premissas!$A$39:$E$43,4,0)))=0,"A","S"),"S")),IF(N(VLOOKUP(Frota!$B33,Premissas!$A$39:$E$43,4,0))&gt;0,IF(MOD(INT(Cron_Uso!AO33/Frota!$L33)*Frota!$L33,N(VLOOKUP(Frota!$B33,Premissas!$A$39:$E$43,4,0)))=0,"A","S"),"S")),""))</f>
        <v/>
      </c>
      <c r="AP33" s="16" t="str">
        <f aca="false">IF(Cron_Uso!AP33="","",IF(INT(Cron_Uso!AP33/Frota!$L33)&gt;INT(Cron_Uso!AO33/Frota!$L33),IF(N(VLOOKUP(Frota!$B33,Premissas!$A$39:$E$43,5,0))&gt;0,IF(MOD(INT(Cron_Uso!AP33/Frota!$L33)*Frota!$L33,N(VLOOKUP(Frota!$B33,Premissas!$A$39:$E$43,5,0)))=0,"B",IF(N(VLOOKUP(Frota!$B33,Premissas!$A$39:$E$43,4,0))&gt;0,IF(MOD(INT(Cron_Uso!AP33/Frota!$L33)*Frota!$L33,N(VLOOKUP(Frota!$B33,Premissas!$A$39:$E$43,4,0)))=0,"A","S"),"S")),IF(N(VLOOKUP(Frota!$B33,Premissas!$A$39:$E$43,4,0))&gt;0,IF(MOD(INT(Cron_Uso!AP33/Frota!$L33)*Frota!$L33,N(VLOOKUP(Frota!$B33,Premissas!$A$39:$E$43,4,0)))=0,"A","S"),"S")),""))</f>
        <v/>
      </c>
      <c r="AQ33" s="16" t="str">
        <f aca="false">IF(Cron_Uso!AQ33="","",IF(INT(Cron_Uso!AQ33/Frota!$L33)&gt;INT(Cron_Uso!AP33/Frota!$L33),IF(N(VLOOKUP(Frota!$B33,Premissas!$A$39:$E$43,5,0))&gt;0,IF(MOD(INT(Cron_Uso!AQ33/Frota!$L33)*Frota!$L33,N(VLOOKUP(Frota!$B33,Premissas!$A$39:$E$43,5,0)))=0,"B",IF(N(VLOOKUP(Frota!$B33,Premissas!$A$39:$E$43,4,0))&gt;0,IF(MOD(INT(Cron_Uso!AQ33/Frota!$L33)*Frota!$L33,N(VLOOKUP(Frota!$B33,Premissas!$A$39:$E$43,4,0)))=0,"A","S"),"S")),IF(N(VLOOKUP(Frota!$B33,Premissas!$A$39:$E$43,4,0))&gt;0,IF(MOD(INT(Cron_Uso!AQ33/Frota!$L33)*Frota!$L33,N(VLOOKUP(Frota!$B33,Premissas!$A$39:$E$43,4,0)))=0,"A","S"),"S")),""))</f>
        <v/>
      </c>
      <c r="AR33" s="16" t="str">
        <f aca="false">IF(Cron_Uso!AR33="","",IF(INT(Cron_Uso!AR33/Frota!$L33)&gt;INT(Cron_Uso!AQ33/Frota!$L33),IF(N(VLOOKUP(Frota!$B33,Premissas!$A$39:$E$43,5,0))&gt;0,IF(MOD(INT(Cron_Uso!AR33/Frota!$L33)*Frota!$L33,N(VLOOKUP(Frota!$B33,Premissas!$A$39:$E$43,5,0)))=0,"B",IF(N(VLOOKUP(Frota!$B33,Premissas!$A$39:$E$43,4,0))&gt;0,IF(MOD(INT(Cron_Uso!AR33/Frota!$L33)*Frota!$L33,N(VLOOKUP(Frota!$B33,Premissas!$A$39:$E$43,4,0)))=0,"A","S"),"S")),IF(N(VLOOKUP(Frota!$B33,Premissas!$A$39:$E$43,4,0))&gt;0,IF(MOD(INT(Cron_Uso!AR33/Frota!$L33)*Frota!$L33,N(VLOOKUP(Frota!$B33,Premissas!$A$39:$E$43,4,0)))=0,"A","S"),"S")),""))</f>
        <v/>
      </c>
      <c r="AS33" s="16" t="str">
        <f aca="false">IF(Cron_Uso!AS33="","",IF(INT(Cron_Uso!AS33/Frota!$L33)&gt;INT(Cron_Uso!AR33/Frota!$L33),IF(N(VLOOKUP(Frota!$B33,Premissas!$A$39:$E$43,5,0))&gt;0,IF(MOD(INT(Cron_Uso!AS33/Frota!$L33)*Frota!$L33,N(VLOOKUP(Frota!$B33,Premissas!$A$39:$E$43,5,0)))=0,"B",IF(N(VLOOKUP(Frota!$B33,Premissas!$A$39:$E$43,4,0))&gt;0,IF(MOD(INT(Cron_Uso!AS33/Frota!$L33)*Frota!$L33,N(VLOOKUP(Frota!$B33,Premissas!$A$39:$E$43,4,0)))=0,"A","S"),"S")),IF(N(VLOOKUP(Frota!$B33,Premissas!$A$39:$E$43,4,0))&gt;0,IF(MOD(INT(Cron_Uso!AS33/Frota!$L33)*Frota!$L33,N(VLOOKUP(Frota!$B33,Premissas!$A$39:$E$43,4,0)))=0,"A","S"),"S")),""))</f>
        <v/>
      </c>
      <c r="AT33" s="16" t="str">
        <f aca="false">IF(Cron_Uso!AT33="","",IF(INT(Cron_Uso!AT33/Frota!$L33)&gt;INT(Cron_Uso!AS33/Frota!$L33),IF(N(VLOOKUP(Frota!$B33,Premissas!$A$39:$E$43,5,0))&gt;0,IF(MOD(INT(Cron_Uso!AT33/Frota!$L33)*Frota!$L33,N(VLOOKUP(Frota!$B33,Premissas!$A$39:$E$43,5,0)))=0,"B",IF(N(VLOOKUP(Frota!$B33,Premissas!$A$39:$E$43,4,0))&gt;0,IF(MOD(INT(Cron_Uso!AT33/Frota!$L33)*Frota!$L33,N(VLOOKUP(Frota!$B33,Premissas!$A$39:$E$43,4,0)))=0,"A","S"),"S")),IF(N(VLOOKUP(Frota!$B33,Premissas!$A$39:$E$43,4,0))&gt;0,IF(MOD(INT(Cron_Uso!AT33/Frota!$L33)*Frota!$L33,N(VLOOKUP(Frota!$B33,Premissas!$A$39:$E$43,4,0)))=0,"A","S"),"S")),""))</f>
        <v/>
      </c>
      <c r="AU33" s="16" t="str">
        <f aca="false">IF(Cron_Uso!AU33="","",IF(INT(Cron_Uso!AU33/Frota!$L33)&gt;INT(Cron_Uso!AT33/Frota!$L33),IF(N(VLOOKUP(Frota!$B33,Premissas!$A$39:$E$43,5,0))&gt;0,IF(MOD(INT(Cron_Uso!AU33/Frota!$L33)*Frota!$L33,N(VLOOKUP(Frota!$B33,Premissas!$A$39:$E$43,5,0)))=0,"B",IF(N(VLOOKUP(Frota!$B33,Premissas!$A$39:$E$43,4,0))&gt;0,IF(MOD(INT(Cron_Uso!AU33/Frota!$L33)*Frota!$L33,N(VLOOKUP(Frota!$B33,Premissas!$A$39:$E$43,4,0)))=0,"A","S"),"S")),IF(N(VLOOKUP(Frota!$B33,Premissas!$A$39:$E$43,4,0))&gt;0,IF(MOD(INT(Cron_Uso!AU33/Frota!$L33)*Frota!$L33,N(VLOOKUP(Frota!$B33,Premissas!$A$39:$E$43,4,0)))=0,"A","S"),"S")),""))</f>
        <v/>
      </c>
      <c r="AV33" s="16" t="str">
        <f aca="false">IF(Cron_Uso!AV33="","",IF(INT(Cron_Uso!AV33/Frota!$L33)&gt;INT(Cron_Uso!AU33/Frota!$L33),IF(N(VLOOKUP(Frota!$B33,Premissas!$A$39:$E$43,5,0))&gt;0,IF(MOD(INT(Cron_Uso!AV33/Frota!$L33)*Frota!$L33,N(VLOOKUP(Frota!$B33,Premissas!$A$39:$E$43,5,0)))=0,"B",IF(N(VLOOKUP(Frota!$B33,Premissas!$A$39:$E$43,4,0))&gt;0,IF(MOD(INT(Cron_Uso!AV33/Frota!$L33)*Frota!$L33,N(VLOOKUP(Frota!$B33,Premissas!$A$39:$E$43,4,0)))=0,"A","S"),"S")),IF(N(VLOOKUP(Frota!$B33,Premissas!$A$39:$E$43,4,0))&gt;0,IF(MOD(INT(Cron_Uso!AV33/Frota!$L33)*Frota!$L33,N(VLOOKUP(Frota!$B33,Premissas!$A$39:$E$43,4,0)))=0,"A","S"),"S")),""))</f>
        <v/>
      </c>
      <c r="AW33" s="16" t="str">
        <f aca="false">IF(Cron_Uso!AW33="","",IF(INT(Cron_Uso!AW33/Frota!$L33)&gt;INT(Cron_Uso!AV33/Frota!$L33),IF(N(VLOOKUP(Frota!$B33,Premissas!$A$39:$E$43,5,0))&gt;0,IF(MOD(INT(Cron_Uso!AW33/Frota!$L33)*Frota!$L33,N(VLOOKUP(Frota!$B33,Premissas!$A$39:$E$43,5,0)))=0,"B",IF(N(VLOOKUP(Frota!$B33,Premissas!$A$39:$E$43,4,0))&gt;0,IF(MOD(INT(Cron_Uso!AW33/Frota!$L33)*Frota!$L33,N(VLOOKUP(Frota!$B33,Premissas!$A$39:$E$43,4,0)))=0,"A","S"),"S")),IF(N(VLOOKUP(Frota!$B33,Premissas!$A$39:$E$43,4,0))&gt;0,IF(MOD(INT(Cron_Uso!AW33/Frota!$L33)*Frota!$L33,N(VLOOKUP(Frota!$B33,Premissas!$A$39:$E$43,4,0)))=0,"A","S"),"S")),""))</f>
        <v/>
      </c>
      <c r="AX33" s="16" t="str">
        <f aca="false">IF(Cron_Uso!AX33="","",IF(INT(Cron_Uso!AX33/Frota!$L33)&gt;INT(Cron_Uso!AW33/Frota!$L33),IF(N(VLOOKUP(Frota!$B33,Premissas!$A$39:$E$43,5,0))&gt;0,IF(MOD(INT(Cron_Uso!AX33/Frota!$L33)*Frota!$L33,N(VLOOKUP(Frota!$B33,Premissas!$A$39:$E$43,5,0)))=0,"B",IF(N(VLOOKUP(Frota!$B33,Premissas!$A$39:$E$43,4,0))&gt;0,IF(MOD(INT(Cron_Uso!AX33/Frota!$L33)*Frota!$L33,N(VLOOKUP(Frota!$B33,Premissas!$A$39:$E$43,4,0)))=0,"A","S"),"S")),IF(N(VLOOKUP(Frota!$B33,Premissas!$A$39:$E$43,4,0))&gt;0,IF(MOD(INT(Cron_Uso!AX33/Frota!$L33)*Frota!$L33,N(VLOOKUP(Frota!$B33,Premissas!$A$39:$E$43,4,0)))=0,"A","S"),"S")),""))</f>
        <v/>
      </c>
      <c r="AY33" s="16" t="str">
        <f aca="false">IF(Cron_Uso!AY33="","",IF(INT(Cron_Uso!AY33/Frota!$L33)&gt;INT(Cron_Uso!AX33/Frota!$L33),IF(N(VLOOKUP(Frota!$B33,Premissas!$A$39:$E$43,5,0))&gt;0,IF(MOD(INT(Cron_Uso!AY33/Frota!$L33)*Frota!$L33,N(VLOOKUP(Frota!$B33,Premissas!$A$39:$E$43,5,0)))=0,"B",IF(N(VLOOKUP(Frota!$B33,Premissas!$A$39:$E$43,4,0))&gt;0,IF(MOD(INT(Cron_Uso!AY33/Frota!$L33)*Frota!$L33,N(VLOOKUP(Frota!$B33,Premissas!$A$39:$E$43,4,0)))=0,"A","S"),"S")),IF(N(VLOOKUP(Frota!$B33,Premissas!$A$39:$E$43,4,0))&gt;0,IF(MOD(INT(Cron_Uso!AY33/Frota!$L33)*Frota!$L33,N(VLOOKUP(Frota!$B33,Premissas!$A$39:$E$43,4,0)))=0,"A","S"),"S")),""))</f>
        <v/>
      </c>
      <c r="AZ33" s="16" t="str">
        <f aca="false">IF(Cron_Uso!AZ33="","",IF(INT(Cron_Uso!AZ33/Frota!$L33)&gt;INT(Cron_Uso!AY33/Frota!$L33),IF(N(VLOOKUP(Frota!$B33,Premissas!$A$39:$E$43,5,0))&gt;0,IF(MOD(INT(Cron_Uso!AZ33/Frota!$L33)*Frota!$L33,N(VLOOKUP(Frota!$B33,Premissas!$A$39:$E$43,5,0)))=0,"B",IF(N(VLOOKUP(Frota!$B33,Premissas!$A$39:$E$43,4,0))&gt;0,IF(MOD(INT(Cron_Uso!AZ33/Frota!$L33)*Frota!$L33,N(VLOOKUP(Frota!$B33,Premissas!$A$39:$E$43,4,0)))=0,"A","S"),"S")),IF(N(VLOOKUP(Frota!$B33,Premissas!$A$39:$E$43,4,0))&gt;0,IF(MOD(INT(Cron_Uso!AZ33/Frota!$L33)*Frota!$L33,N(VLOOKUP(Frota!$B33,Premissas!$A$39:$E$43,4,0)))=0,"A","S"),"S")),""))</f>
        <v/>
      </c>
      <c r="BA33" s="16" t="str">
        <f aca="false">IF(Cron_Uso!BA33="","",IF(INT(Cron_Uso!BA33/Frota!$L33)&gt;INT(Cron_Uso!AZ33/Frota!$L33),IF(N(VLOOKUP(Frota!$B33,Premissas!$A$39:$E$43,5,0))&gt;0,IF(MOD(INT(Cron_Uso!BA33/Frota!$L33)*Frota!$L33,N(VLOOKUP(Frota!$B33,Premissas!$A$39:$E$43,5,0)))=0,"B",IF(N(VLOOKUP(Frota!$B33,Premissas!$A$39:$E$43,4,0))&gt;0,IF(MOD(INT(Cron_Uso!BA33/Frota!$L33)*Frota!$L33,N(VLOOKUP(Frota!$B33,Premissas!$A$39:$E$43,4,0)))=0,"A","S"),"S")),IF(N(VLOOKUP(Frota!$B33,Premissas!$A$39:$E$43,4,0))&gt;0,IF(MOD(INT(Cron_Uso!BA33/Frota!$L33)*Frota!$L33,N(VLOOKUP(Frota!$B33,Premissas!$A$39:$E$43,4,0)))=0,"A","S"),"S")),""))</f>
        <v/>
      </c>
    </row>
    <row r="34" customFormat="false" ht="15" hidden="false" customHeight="false" outlineLevel="0" collapsed="false">
      <c r="A34" s="6" t="str">
        <f aca="false">IF(Frota!$A34="","",Frota!$A34)</f>
        <v/>
      </c>
      <c r="B34" s="16" t="str">
        <f aca="false">IF(Cron_Uso!B34="","",IF(INT(Cron_Uso!B34/Frota!$L34)&gt;INT(Frota!$I34/Frota!$L34),IF(N(VLOOKUP(Frota!$B34,Premissas!$A$39:$E$43,5,0))&gt;0,IF(MOD(INT(Cron_Uso!B34/Frota!$L34)*Frota!$L34,N(VLOOKUP(Frota!$B34,Premissas!$A$39:$E$43,5,0)))=0,"B",IF(N(VLOOKUP(Frota!$B34,Premissas!$A$39:$E$43,4,0))&gt;0,IF(MOD(INT(Cron_Uso!B34/Frota!$L34)*Frota!$L34,N(VLOOKUP(Frota!$B34,Premissas!$A$39:$E$43,4,0)))=0,"A","S"),"S")),IF(N(VLOOKUP(Frota!$B34,Premissas!$A$39:$E$43,4,0))&gt;0,IF(MOD(INT(Cron_Uso!B34/Frota!$L34)*Frota!$L34,N(VLOOKUP(Frota!$B34,Premissas!$A$39:$E$43,4,0)))=0,"A","S"),"S")),""))</f>
        <v/>
      </c>
      <c r="C34" s="16" t="str">
        <f aca="false">IF(Cron_Uso!C34="","",IF(INT(Cron_Uso!C34/Frota!$L34)&gt;INT(Cron_Uso!B34/Frota!$L34),IF(N(VLOOKUP(Frota!$B34,Premissas!$A$39:$E$43,5,0))&gt;0,IF(MOD(INT(Cron_Uso!C34/Frota!$L34)*Frota!$L34,N(VLOOKUP(Frota!$B34,Premissas!$A$39:$E$43,5,0)))=0,"B",IF(N(VLOOKUP(Frota!$B34,Premissas!$A$39:$E$43,4,0))&gt;0,IF(MOD(INT(Cron_Uso!C34/Frota!$L34)*Frota!$L34,N(VLOOKUP(Frota!$B34,Premissas!$A$39:$E$43,4,0)))=0,"A","S"),"S")),IF(N(VLOOKUP(Frota!$B34,Premissas!$A$39:$E$43,4,0))&gt;0,IF(MOD(INT(Cron_Uso!C34/Frota!$L34)*Frota!$L34,N(VLOOKUP(Frota!$B34,Premissas!$A$39:$E$43,4,0)))=0,"A","S"),"S")),""))</f>
        <v/>
      </c>
      <c r="D34" s="16" t="str">
        <f aca="false">IF(Cron_Uso!D34="","",IF(INT(Cron_Uso!D34/Frota!$L34)&gt;INT(Cron_Uso!C34/Frota!$L34),IF(N(VLOOKUP(Frota!$B34,Premissas!$A$39:$E$43,5,0))&gt;0,IF(MOD(INT(Cron_Uso!D34/Frota!$L34)*Frota!$L34,N(VLOOKUP(Frota!$B34,Premissas!$A$39:$E$43,5,0)))=0,"B",IF(N(VLOOKUP(Frota!$B34,Premissas!$A$39:$E$43,4,0))&gt;0,IF(MOD(INT(Cron_Uso!D34/Frota!$L34)*Frota!$L34,N(VLOOKUP(Frota!$B34,Premissas!$A$39:$E$43,4,0)))=0,"A","S"),"S")),IF(N(VLOOKUP(Frota!$B34,Premissas!$A$39:$E$43,4,0))&gt;0,IF(MOD(INT(Cron_Uso!D34/Frota!$L34)*Frota!$L34,N(VLOOKUP(Frota!$B34,Premissas!$A$39:$E$43,4,0)))=0,"A","S"),"S")),""))</f>
        <v/>
      </c>
      <c r="E34" s="16" t="str">
        <f aca="false">IF(Cron_Uso!E34="","",IF(INT(Cron_Uso!E34/Frota!$L34)&gt;INT(Cron_Uso!D34/Frota!$L34),IF(N(VLOOKUP(Frota!$B34,Premissas!$A$39:$E$43,5,0))&gt;0,IF(MOD(INT(Cron_Uso!E34/Frota!$L34)*Frota!$L34,N(VLOOKUP(Frota!$B34,Premissas!$A$39:$E$43,5,0)))=0,"B",IF(N(VLOOKUP(Frota!$B34,Premissas!$A$39:$E$43,4,0))&gt;0,IF(MOD(INT(Cron_Uso!E34/Frota!$L34)*Frota!$L34,N(VLOOKUP(Frota!$B34,Premissas!$A$39:$E$43,4,0)))=0,"A","S"),"S")),IF(N(VLOOKUP(Frota!$B34,Premissas!$A$39:$E$43,4,0))&gt;0,IF(MOD(INT(Cron_Uso!E34/Frota!$L34)*Frota!$L34,N(VLOOKUP(Frota!$B34,Premissas!$A$39:$E$43,4,0)))=0,"A","S"),"S")),""))</f>
        <v/>
      </c>
      <c r="F34" s="16" t="str">
        <f aca="false">IF(Cron_Uso!F34="","",IF(INT(Cron_Uso!F34/Frota!$L34)&gt;INT(Cron_Uso!E34/Frota!$L34),IF(N(VLOOKUP(Frota!$B34,Premissas!$A$39:$E$43,5,0))&gt;0,IF(MOD(INT(Cron_Uso!F34/Frota!$L34)*Frota!$L34,N(VLOOKUP(Frota!$B34,Premissas!$A$39:$E$43,5,0)))=0,"B",IF(N(VLOOKUP(Frota!$B34,Premissas!$A$39:$E$43,4,0))&gt;0,IF(MOD(INT(Cron_Uso!F34/Frota!$L34)*Frota!$L34,N(VLOOKUP(Frota!$B34,Premissas!$A$39:$E$43,4,0)))=0,"A","S"),"S")),IF(N(VLOOKUP(Frota!$B34,Premissas!$A$39:$E$43,4,0))&gt;0,IF(MOD(INT(Cron_Uso!F34/Frota!$L34)*Frota!$L34,N(VLOOKUP(Frota!$B34,Premissas!$A$39:$E$43,4,0)))=0,"A","S"),"S")),""))</f>
        <v/>
      </c>
      <c r="G34" s="16" t="str">
        <f aca="false">IF(Cron_Uso!G34="","",IF(INT(Cron_Uso!G34/Frota!$L34)&gt;INT(Cron_Uso!F34/Frota!$L34),IF(N(VLOOKUP(Frota!$B34,Premissas!$A$39:$E$43,5,0))&gt;0,IF(MOD(INT(Cron_Uso!G34/Frota!$L34)*Frota!$L34,N(VLOOKUP(Frota!$B34,Premissas!$A$39:$E$43,5,0)))=0,"B",IF(N(VLOOKUP(Frota!$B34,Premissas!$A$39:$E$43,4,0))&gt;0,IF(MOD(INT(Cron_Uso!G34/Frota!$L34)*Frota!$L34,N(VLOOKUP(Frota!$B34,Premissas!$A$39:$E$43,4,0)))=0,"A","S"),"S")),IF(N(VLOOKUP(Frota!$B34,Premissas!$A$39:$E$43,4,0))&gt;0,IF(MOD(INT(Cron_Uso!G34/Frota!$L34)*Frota!$L34,N(VLOOKUP(Frota!$B34,Premissas!$A$39:$E$43,4,0)))=0,"A","S"),"S")),""))</f>
        <v/>
      </c>
      <c r="H34" s="16" t="str">
        <f aca="false">IF(Cron_Uso!H34="","",IF(INT(Cron_Uso!H34/Frota!$L34)&gt;INT(Cron_Uso!G34/Frota!$L34),IF(N(VLOOKUP(Frota!$B34,Premissas!$A$39:$E$43,5,0))&gt;0,IF(MOD(INT(Cron_Uso!H34/Frota!$L34)*Frota!$L34,N(VLOOKUP(Frota!$B34,Premissas!$A$39:$E$43,5,0)))=0,"B",IF(N(VLOOKUP(Frota!$B34,Premissas!$A$39:$E$43,4,0))&gt;0,IF(MOD(INT(Cron_Uso!H34/Frota!$L34)*Frota!$L34,N(VLOOKUP(Frota!$B34,Premissas!$A$39:$E$43,4,0)))=0,"A","S"),"S")),IF(N(VLOOKUP(Frota!$B34,Premissas!$A$39:$E$43,4,0))&gt;0,IF(MOD(INT(Cron_Uso!H34/Frota!$L34)*Frota!$L34,N(VLOOKUP(Frota!$B34,Premissas!$A$39:$E$43,4,0)))=0,"A","S"),"S")),""))</f>
        <v/>
      </c>
      <c r="I34" s="16" t="str">
        <f aca="false">IF(Cron_Uso!I34="","",IF(INT(Cron_Uso!I34/Frota!$L34)&gt;INT(Cron_Uso!H34/Frota!$L34),IF(N(VLOOKUP(Frota!$B34,Premissas!$A$39:$E$43,5,0))&gt;0,IF(MOD(INT(Cron_Uso!I34/Frota!$L34)*Frota!$L34,N(VLOOKUP(Frota!$B34,Premissas!$A$39:$E$43,5,0)))=0,"B",IF(N(VLOOKUP(Frota!$B34,Premissas!$A$39:$E$43,4,0))&gt;0,IF(MOD(INT(Cron_Uso!I34/Frota!$L34)*Frota!$L34,N(VLOOKUP(Frota!$B34,Premissas!$A$39:$E$43,4,0)))=0,"A","S"),"S")),IF(N(VLOOKUP(Frota!$B34,Premissas!$A$39:$E$43,4,0))&gt;0,IF(MOD(INT(Cron_Uso!I34/Frota!$L34)*Frota!$L34,N(VLOOKUP(Frota!$B34,Premissas!$A$39:$E$43,4,0)))=0,"A","S"),"S")),""))</f>
        <v/>
      </c>
      <c r="J34" s="16" t="str">
        <f aca="false">IF(Cron_Uso!J34="","",IF(INT(Cron_Uso!J34/Frota!$L34)&gt;INT(Cron_Uso!I34/Frota!$L34),IF(N(VLOOKUP(Frota!$B34,Premissas!$A$39:$E$43,5,0))&gt;0,IF(MOD(INT(Cron_Uso!J34/Frota!$L34)*Frota!$L34,N(VLOOKUP(Frota!$B34,Premissas!$A$39:$E$43,5,0)))=0,"B",IF(N(VLOOKUP(Frota!$B34,Premissas!$A$39:$E$43,4,0))&gt;0,IF(MOD(INT(Cron_Uso!J34/Frota!$L34)*Frota!$L34,N(VLOOKUP(Frota!$B34,Premissas!$A$39:$E$43,4,0)))=0,"A","S"),"S")),IF(N(VLOOKUP(Frota!$B34,Premissas!$A$39:$E$43,4,0))&gt;0,IF(MOD(INT(Cron_Uso!J34/Frota!$L34)*Frota!$L34,N(VLOOKUP(Frota!$B34,Premissas!$A$39:$E$43,4,0)))=0,"A","S"),"S")),""))</f>
        <v/>
      </c>
      <c r="K34" s="16" t="str">
        <f aca="false">IF(Cron_Uso!K34="","",IF(INT(Cron_Uso!K34/Frota!$L34)&gt;INT(Cron_Uso!J34/Frota!$L34),IF(N(VLOOKUP(Frota!$B34,Premissas!$A$39:$E$43,5,0))&gt;0,IF(MOD(INT(Cron_Uso!K34/Frota!$L34)*Frota!$L34,N(VLOOKUP(Frota!$B34,Premissas!$A$39:$E$43,5,0)))=0,"B",IF(N(VLOOKUP(Frota!$B34,Premissas!$A$39:$E$43,4,0))&gt;0,IF(MOD(INT(Cron_Uso!K34/Frota!$L34)*Frota!$L34,N(VLOOKUP(Frota!$B34,Premissas!$A$39:$E$43,4,0)))=0,"A","S"),"S")),IF(N(VLOOKUP(Frota!$B34,Premissas!$A$39:$E$43,4,0))&gt;0,IF(MOD(INT(Cron_Uso!K34/Frota!$L34)*Frota!$L34,N(VLOOKUP(Frota!$B34,Premissas!$A$39:$E$43,4,0)))=0,"A","S"),"S")),""))</f>
        <v/>
      </c>
      <c r="L34" s="16" t="str">
        <f aca="false">IF(Cron_Uso!L34="","",IF(INT(Cron_Uso!L34/Frota!$L34)&gt;INT(Cron_Uso!K34/Frota!$L34),IF(N(VLOOKUP(Frota!$B34,Premissas!$A$39:$E$43,5,0))&gt;0,IF(MOD(INT(Cron_Uso!L34/Frota!$L34)*Frota!$L34,N(VLOOKUP(Frota!$B34,Premissas!$A$39:$E$43,5,0)))=0,"B",IF(N(VLOOKUP(Frota!$B34,Premissas!$A$39:$E$43,4,0))&gt;0,IF(MOD(INT(Cron_Uso!L34/Frota!$L34)*Frota!$L34,N(VLOOKUP(Frota!$B34,Premissas!$A$39:$E$43,4,0)))=0,"A","S"),"S")),IF(N(VLOOKUP(Frota!$B34,Premissas!$A$39:$E$43,4,0))&gt;0,IF(MOD(INT(Cron_Uso!L34/Frota!$L34)*Frota!$L34,N(VLOOKUP(Frota!$B34,Premissas!$A$39:$E$43,4,0)))=0,"A","S"),"S")),""))</f>
        <v/>
      </c>
      <c r="M34" s="16" t="str">
        <f aca="false">IF(Cron_Uso!M34="","",IF(INT(Cron_Uso!M34/Frota!$L34)&gt;INT(Cron_Uso!L34/Frota!$L34),IF(N(VLOOKUP(Frota!$B34,Premissas!$A$39:$E$43,5,0))&gt;0,IF(MOD(INT(Cron_Uso!M34/Frota!$L34)*Frota!$L34,N(VLOOKUP(Frota!$B34,Premissas!$A$39:$E$43,5,0)))=0,"B",IF(N(VLOOKUP(Frota!$B34,Premissas!$A$39:$E$43,4,0))&gt;0,IF(MOD(INT(Cron_Uso!M34/Frota!$L34)*Frota!$L34,N(VLOOKUP(Frota!$B34,Premissas!$A$39:$E$43,4,0)))=0,"A","S"),"S")),IF(N(VLOOKUP(Frota!$B34,Premissas!$A$39:$E$43,4,0))&gt;0,IF(MOD(INT(Cron_Uso!M34/Frota!$L34)*Frota!$L34,N(VLOOKUP(Frota!$B34,Premissas!$A$39:$E$43,4,0)))=0,"A","S"),"S")),""))</f>
        <v/>
      </c>
      <c r="N34" s="16" t="str">
        <f aca="false">IF(Cron_Uso!N34="","",IF(INT(Cron_Uso!N34/Frota!$L34)&gt;INT(Cron_Uso!M34/Frota!$L34),IF(N(VLOOKUP(Frota!$B34,Premissas!$A$39:$E$43,5,0))&gt;0,IF(MOD(INT(Cron_Uso!N34/Frota!$L34)*Frota!$L34,N(VLOOKUP(Frota!$B34,Premissas!$A$39:$E$43,5,0)))=0,"B",IF(N(VLOOKUP(Frota!$B34,Premissas!$A$39:$E$43,4,0))&gt;0,IF(MOD(INT(Cron_Uso!N34/Frota!$L34)*Frota!$L34,N(VLOOKUP(Frota!$B34,Premissas!$A$39:$E$43,4,0)))=0,"A","S"),"S")),IF(N(VLOOKUP(Frota!$B34,Premissas!$A$39:$E$43,4,0))&gt;0,IF(MOD(INT(Cron_Uso!N34/Frota!$L34)*Frota!$L34,N(VLOOKUP(Frota!$B34,Premissas!$A$39:$E$43,4,0)))=0,"A","S"),"S")),""))</f>
        <v/>
      </c>
      <c r="O34" s="16" t="str">
        <f aca="false">IF(Cron_Uso!O34="","",IF(INT(Cron_Uso!O34/Frota!$L34)&gt;INT(Cron_Uso!N34/Frota!$L34),IF(N(VLOOKUP(Frota!$B34,Premissas!$A$39:$E$43,5,0))&gt;0,IF(MOD(INT(Cron_Uso!O34/Frota!$L34)*Frota!$L34,N(VLOOKUP(Frota!$B34,Premissas!$A$39:$E$43,5,0)))=0,"B",IF(N(VLOOKUP(Frota!$B34,Premissas!$A$39:$E$43,4,0))&gt;0,IF(MOD(INT(Cron_Uso!O34/Frota!$L34)*Frota!$L34,N(VLOOKUP(Frota!$B34,Premissas!$A$39:$E$43,4,0)))=0,"A","S"),"S")),IF(N(VLOOKUP(Frota!$B34,Premissas!$A$39:$E$43,4,0))&gt;0,IF(MOD(INT(Cron_Uso!O34/Frota!$L34)*Frota!$L34,N(VLOOKUP(Frota!$B34,Premissas!$A$39:$E$43,4,0)))=0,"A","S"),"S")),""))</f>
        <v/>
      </c>
      <c r="P34" s="16" t="str">
        <f aca="false">IF(Cron_Uso!P34="","",IF(INT(Cron_Uso!P34/Frota!$L34)&gt;INT(Cron_Uso!O34/Frota!$L34),IF(N(VLOOKUP(Frota!$B34,Premissas!$A$39:$E$43,5,0))&gt;0,IF(MOD(INT(Cron_Uso!P34/Frota!$L34)*Frota!$L34,N(VLOOKUP(Frota!$B34,Premissas!$A$39:$E$43,5,0)))=0,"B",IF(N(VLOOKUP(Frota!$B34,Premissas!$A$39:$E$43,4,0))&gt;0,IF(MOD(INT(Cron_Uso!P34/Frota!$L34)*Frota!$L34,N(VLOOKUP(Frota!$B34,Premissas!$A$39:$E$43,4,0)))=0,"A","S"),"S")),IF(N(VLOOKUP(Frota!$B34,Premissas!$A$39:$E$43,4,0))&gt;0,IF(MOD(INT(Cron_Uso!P34/Frota!$L34)*Frota!$L34,N(VLOOKUP(Frota!$B34,Premissas!$A$39:$E$43,4,0)))=0,"A","S"),"S")),""))</f>
        <v/>
      </c>
      <c r="Q34" s="16" t="str">
        <f aca="false">IF(Cron_Uso!Q34="","",IF(INT(Cron_Uso!Q34/Frota!$L34)&gt;INT(Cron_Uso!P34/Frota!$L34),IF(N(VLOOKUP(Frota!$B34,Premissas!$A$39:$E$43,5,0))&gt;0,IF(MOD(INT(Cron_Uso!Q34/Frota!$L34)*Frota!$L34,N(VLOOKUP(Frota!$B34,Premissas!$A$39:$E$43,5,0)))=0,"B",IF(N(VLOOKUP(Frota!$B34,Premissas!$A$39:$E$43,4,0))&gt;0,IF(MOD(INT(Cron_Uso!Q34/Frota!$L34)*Frota!$L34,N(VLOOKUP(Frota!$B34,Premissas!$A$39:$E$43,4,0)))=0,"A","S"),"S")),IF(N(VLOOKUP(Frota!$B34,Premissas!$A$39:$E$43,4,0))&gt;0,IF(MOD(INT(Cron_Uso!Q34/Frota!$L34)*Frota!$L34,N(VLOOKUP(Frota!$B34,Premissas!$A$39:$E$43,4,0)))=0,"A","S"),"S")),""))</f>
        <v/>
      </c>
      <c r="R34" s="16" t="str">
        <f aca="false">IF(Cron_Uso!R34="","",IF(INT(Cron_Uso!R34/Frota!$L34)&gt;INT(Cron_Uso!Q34/Frota!$L34),IF(N(VLOOKUP(Frota!$B34,Premissas!$A$39:$E$43,5,0))&gt;0,IF(MOD(INT(Cron_Uso!R34/Frota!$L34)*Frota!$L34,N(VLOOKUP(Frota!$B34,Premissas!$A$39:$E$43,5,0)))=0,"B",IF(N(VLOOKUP(Frota!$B34,Premissas!$A$39:$E$43,4,0))&gt;0,IF(MOD(INT(Cron_Uso!R34/Frota!$L34)*Frota!$L34,N(VLOOKUP(Frota!$B34,Premissas!$A$39:$E$43,4,0)))=0,"A","S"),"S")),IF(N(VLOOKUP(Frota!$B34,Premissas!$A$39:$E$43,4,0))&gt;0,IF(MOD(INT(Cron_Uso!R34/Frota!$L34)*Frota!$L34,N(VLOOKUP(Frota!$B34,Premissas!$A$39:$E$43,4,0)))=0,"A","S"),"S")),""))</f>
        <v/>
      </c>
      <c r="S34" s="16" t="str">
        <f aca="false">IF(Cron_Uso!S34="","",IF(INT(Cron_Uso!S34/Frota!$L34)&gt;INT(Cron_Uso!R34/Frota!$L34),IF(N(VLOOKUP(Frota!$B34,Premissas!$A$39:$E$43,5,0))&gt;0,IF(MOD(INT(Cron_Uso!S34/Frota!$L34)*Frota!$L34,N(VLOOKUP(Frota!$B34,Premissas!$A$39:$E$43,5,0)))=0,"B",IF(N(VLOOKUP(Frota!$B34,Premissas!$A$39:$E$43,4,0))&gt;0,IF(MOD(INT(Cron_Uso!S34/Frota!$L34)*Frota!$L34,N(VLOOKUP(Frota!$B34,Premissas!$A$39:$E$43,4,0)))=0,"A","S"),"S")),IF(N(VLOOKUP(Frota!$B34,Premissas!$A$39:$E$43,4,0))&gt;0,IF(MOD(INT(Cron_Uso!S34/Frota!$L34)*Frota!$L34,N(VLOOKUP(Frota!$B34,Premissas!$A$39:$E$43,4,0)))=0,"A","S"),"S")),""))</f>
        <v/>
      </c>
      <c r="T34" s="16" t="str">
        <f aca="false">IF(Cron_Uso!T34="","",IF(INT(Cron_Uso!T34/Frota!$L34)&gt;INT(Cron_Uso!S34/Frota!$L34),IF(N(VLOOKUP(Frota!$B34,Premissas!$A$39:$E$43,5,0))&gt;0,IF(MOD(INT(Cron_Uso!T34/Frota!$L34)*Frota!$L34,N(VLOOKUP(Frota!$B34,Premissas!$A$39:$E$43,5,0)))=0,"B",IF(N(VLOOKUP(Frota!$B34,Premissas!$A$39:$E$43,4,0))&gt;0,IF(MOD(INT(Cron_Uso!T34/Frota!$L34)*Frota!$L34,N(VLOOKUP(Frota!$B34,Premissas!$A$39:$E$43,4,0)))=0,"A","S"),"S")),IF(N(VLOOKUP(Frota!$B34,Premissas!$A$39:$E$43,4,0))&gt;0,IF(MOD(INT(Cron_Uso!T34/Frota!$L34)*Frota!$L34,N(VLOOKUP(Frota!$B34,Premissas!$A$39:$E$43,4,0)))=0,"A","S"),"S")),""))</f>
        <v/>
      </c>
      <c r="U34" s="16" t="str">
        <f aca="false">IF(Cron_Uso!U34="","",IF(INT(Cron_Uso!U34/Frota!$L34)&gt;INT(Cron_Uso!T34/Frota!$L34),IF(N(VLOOKUP(Frota!$B34,Premissas!$A$39:$E$43,5,0))&gt;0,IF(MOD(INT(Cron_Uso!U34/Frota!$L34)*Frota!$L34,N(VLOOKUP(Frota!$B34,Premissas!$A$39:$E$43,5,0)))=0,"B",IF(N(VLOOKUP(Frota!$B34,Premissas!$A$39:$E$43,4,0))&gt;0,IF(MOD(INT(Cron_Uso!U34/Frota!$L34)*Frota!$L34,N(VLOOKUP(Frota!$B34,Premissas!$A$39:$E$43,4,0)))=0,"A","S"),"S")),IF(N(VLOOKUP(Frota!$B34,Premissas!$A$39:$E$43,4,0))&gt;0,IF(MOD(INT(Cron_Uso!U34/Frota!$L34)*Frota!$L34,N(VLOOKUP(Frota!$B34,Premissas!$A$39:$E$43,4,0)))=0,"A","S"),"S")),""))</f>
        <v/>
      </c>
      <c r="V34" s="16" t="str">
        <f aca="false">IF(Cron_Uso!V34="","",IF(INT(Cron_Uso!V34/Frota!$L34)&gt;INT(Cron_Uso!U34/Frota!$L34),IF(N(VLOOKUP(Frota!$B34,Premissas!$A$39:$E$43,5,0))&gt;0,IF(MOD(INT(Cron_Uso!V34/Frota!$L34)*Frota!$L34,N(VLOOKUP(Frota!$B34,Premissas!$A$39:$E$43,5,0)))=0,"B",IF(N(VLOOKUP(Frota!$B34,Premissas!$A$39:$E$43,4,0))&gt;0,IF(MOD(INT(Cron_Uso!V34/Frota!$L34)*Frota!$L34,N(VLOOKUP(Frota!$B34,Premissas!$A$39:$E$43,4,0)))=0,"A","S"),"S")),IF(N(VLOOKUP(Frota!$B34,Premissas!$A$39:$E$43,4,0))&gt;0,IF(MOD(INT(Cron_Uso!V34/Frota!$L34)*Frota!$L34,N(VLOOKUP(Frota!$B34,Premissas!$A$39:$E$43,4,0)))=0,"A","S"),"S")),""))</f>
        <v/>
      </c>
      <c r="W34" s="16" t="str">
        <f aca="false">IF(Cron_Uso!W34="","",IF(INT(Cron_Uso!W34/Frota!$L34)&gt;INT(Cron_Uso!V34/Frota!$L34),IF(N(VLOOKUP(Frota!$B34,Premissas!$A$39:$E$43,5,0))&gt;0,IF(MOD(INT(Cron_Uso!W34/Frota!$L34)*Frota!$L34,N(VLOOKUP(Frota!$B34,Premissas!$A$39:$E$43,5,0)))=0,"B",IF(N(VLOOKUP(Frota!$B34,Premissas!$A$39:$E$43,4,0))&gt;0,IF(MOD(INT(Cron_Uso!W34/Frota!$L34)*Frota!$L34,N(VLOOKUP(Frota!$B34,Premissas!$A$39:$E$43,4,0)))=0,"A","S"),"S")),IF(N(VLOOKUP(Frota!$B34,Premissas!$A$39:$E$43,4,0))&gt;0,IF(MOD(INT(Cron_Uso!W34/Frota!$L34)*Frota!$L34,N(VLOOKUP(Frota!$B34,Premissas!$A$39:$E$43,4,0)))=0,"A","S"),"S")),""))</f>
        <v/>
      </c>
      <c r="X34" s="16" t="str">
        <f aca="false">IF(Cron_Uso!X34="","",IF(INT(Cron_Uso!X34/Frota!$L34)&gt;INT(Cron_Uso!W34/Frota!$L34),IF(N(VLOOKUP(Frota!$B34,Premissas!$A$39:$E$43,5,0))&gt;0,IF(MOD(INT(Cron_Uso!X34/Frota!$L34)*Frota!$L34,N(VLOOKUP(Frota!$B34,Premissas!$A$39:$E$43,5,0)))=0,"B",IF(N(VLOOKUP(Frota!$B34,Premissas!$A$39:$E$43,4,0))&gt;0,IF(MOD(INT(Cron_Uso!X34/Frota!$L34)*Frota!$L34,N(VLOOKUP(Frota!$B34,Premissas!$A$39:$E$43,4,0)))=0,"A","S"),"S")),IF(N(VLOOKUP(Frota!$B34,Premissas!$A$39:$E$43,4,0))&gt;0,IF(MOD(INT(Cron_Uso!X34/Frota!$L34)*Frota!$L34,N(VLOOKUP(Frota!$B34,Premissas!$A$39:$E$43,4,0)))=0,"A","S"),"S")),""))</f>
        <v/>
      </c>
      <c r="Y34" s="16" t="str">
        <f aca="false">IF(Cron_Uso!Y34="","",IF(INT(Cron_Uso!Y34/Frota!$L34)&gt;INT(Cron_Uso!X34/Frota!$L34),IF(N(VLOOKUP(Frota!$B34,Premissas!$A$39:$E$43,5,0))&gt;0,IF(MOD(INT(Cron_Uso!Y34/Frota!$L34)*Frota!$L34,N(VLOOKUP(Frota!$B34,Premissas!$A$39:$E$43,5,0)))=0,"B",IF(N(VLOOKUP(Frota!$B34,Premissas!$A$39:$E$43,4,0))&gt;0,IF(MOD(INT(Cron_Uso!Y34/Frota!$L34)*Frota!$L34,N(VLOOKUP(Frota!$B34,Premissas!$A$39:$E$43,4,0)))=0,"A","S"),"S")),IF(N(VLOOKUP(Frota!$B34,Premissas!$A$39:$E$43,4,0))&gt;0,IF(MOD(INT(Cron_Uso!Y34/Frota!$L34)*Frota!$L34,N(VLOOKUP(Frota!$B34,Premissas!$A$39:$E$43,4,0)))=0,"A","S"),"S")),""))</f>
        <v/>
      </c>
      <c r="Z34" s="16" t="str">
        <f aca="false">IF(Cron_Uso!Z34="","",IF(INT(Cron_Uso!Z34/Frota!$L34)&gt;INT(Cron_Uso!Y34/Frota!$L34),IF(N(VLOOKUP(Frota!$B34,Premissas!$A$39:$E$43,5,0))&gt;0,IF(MOD(INT(Cron_Uso!Z34/Frota!$L34)*Frota!$L34,N(VLOOKUP(Frota!$B34,Premissas!$A$39:$E$43,5,0)))=0,"B",IF(N(VLOOKUP(Frota!$B34,Premissas!$A$39:$E$43,4,0))&gt;0,IF(MOD(INT(Cron_Uso!Z34/Frota!$L34)*Frota!$L34,N(VLOOKUP(Frota!$B34,Premissas!$A$39:$E$43,4,0)))=0,"A","S"),"S")),IF(N(VLOOKUP(Frota!$B34,Premissas!$A$39:$E$43,4,0))&gt;0,IF(MOD(INT(Cron_Uso!Z34/Frota!$L34)*Frota!$L34,N(VLOOKUP(Frota!$B34,Premissas!$A$39:$E$43,4,0)))=0,"A","S"),"S")),""))</f>
        <v/>
      </c>
      <c r="AA34" s="16" t="str">
        <f aca="false">IF(Cron_Uso!AA34="","",IF(INT(Cron_Uso!AA34/Frota!$L34)&gt;INT(Cron_Uso!Z34/Frota!$L34),IF(N(VLOOKUP(Frota!$B34,Premissas!$A$39:$E$43,5,0))&gt;0,IF(MOD(INT(Cron_Uso!AA34/Frota!$L34)*Frota!$L34,N(VLOOKUP(Frota!$B34,Premissas!$A$39:$E$43,5,0)))=0,"B",IF(N(VLOOKUP(Frota!$B34,Premissas!$A$39:$E$43,4,0))&gt;0,IF(MOD(INT(Cron_Uso!AA34/Frota!$L34)*Frota!$L34,N(VLOOKUP(Frota!$B34,Premissas!$A$39:$E$43,4,0)))=0,"A","S"),"S")),IF(N(VLOOKUP(Frota!$B34,Premissas!$A$39:$E$43,4,0))&gt;0,IF(MOD(INT(Cron_Uso!AA34/Frota!$L34)*Frota!$L34,N(VLOOKUP(Frota!$B34,Premissas!$A$39:$E$43,4,0)))=0,"A","S"),"S")),""))</f>
        <v/>
      </c>
      <c r="AB34" s="16" t="str">
        <f aca="false">IF(Cron_Uso!AB34="","",IF(INT(Cron_Uso!AB34/Frota!$L34)&gt;INT(Cron_Uso!AA34/Frota!$L34),IF(N(VLOOKUP(Frota!$B34,Premissas!$A$39:$E$43,5,0))&gt;0,IF(MOD(INT(Cron_Uso!AB34/Frota!$L34)*Frota!$L34,N(VLOOKUP(Frota!$B34,Premissas!$A$39:$E$43,5,0)))=0,"B",IF(N(VLOOKUP(Frota!$B34,Premissas!$A$39:$E$43,4,0))&gt;0,IF(MOD(INT(Cron_Uso!AB34/Frota!$L34)*Frota!$L34,N(VLOOKUP(Frota!$B34,Premissas!$A$39:$E$43,4,0)))=0,"A","S"),"S")),IF(N(VLOOKUP(Frota!$B34,Premissas!$A$39:$E$43,4,0))&gt;0,IF(MOD(INT(Cron_Uso!AB34/Frota!$L34)*Frota!$L34,N(VLOOKUP(Frota!$B34,Premissas!$A$39:$E$43,4,0)))=0,"A","S"),"S")),""))</f>
        <v/>
      </c>
      <c r="AC34" s="16" t="str">
        <f aca="false">IF(Cron_Uso!AC34="","",IF(INT(Cron_Uso!AC34/Frota!$L34)&gt;INT(Cron_Uso!AB34/Frota!$L34),IF(N(VLOOKUP(Frota!$B34,Premissas!$A$39:$E$43,5,0))&gt;0,IF(MOD(INT(Cron_Uso!AC34/Frota!$L34)*Frota!$L34,N(VLOOKUP(Frota!$B34,Premissas!$A$39:$E$43,5,0)))=0,"B",IF(N(VLOOKUP(Frota!$B34,Premissas!$A$39:$E$43,4,0))&gt;0,IF(MOD(INT(Cron_Uso!AC34/Frota!$L34)*Frota!$L34,N(VLOOKUP(Frota!$B34,Premissas!$A$39:$E$43,4,0)))=0,"A","S"),"S")),IF(N(VLOOKUP(Frota!$B34,Premissas!$A$39:$E$43,4,0))&gt;0,IF(MOD(INT(Cron_Uso!AC34/Frota!$L34)*Frota!$L34,N(VLOOKUP(Frota!$B34,Premissas!$A$39:$E$43,4,0)))=0,"A","S"),"S")),""))</f>
        <v/>
      </c>
      <c r="AD34" s="16" t="str">
        <f aca="false">IF(Cron_Uso!AD34="","",IF(INT(Cron_Uso!AD34/Frota!$L34)&gt;INT(Cron_Uso!AC34/Frota!$L34),IF(N(VLOOKUP(Frota!$B34,Premissas!$A$39:$E$43,5,0))&gt;0,IF(MOD(INT(Cron_Uso!AD34/Frota!$L34)*Frota!$L34,N(VLOOKUP(Frota!$B34,Premissas!$A$39:$E$43,5,0)))=0,"B",IF(N(VLOOKUP(Frota!$B34,Premissas!$A$39:$E$43,4,0))&gt;0,IF(MOD(INT(Cron_Uso!AD34/Frota!$L34)*Frota!$L34,N(VLOOKUP(Frota!$B34,Premissas!$A$39:$E$43,4,0)))=0,"A","S"),"S")),IF(N(VLOOKUP(Frota!$B34,Premissas!$A$39:$E$43,4,0))&gt;0,IF(MOD(INT(Cron_Uso!AD34/Frota!$L34)*Frota!$L34,N(VLOOKUP(Frota!$B34,Premissas!$A$39:$E$43,4,0)))=0,"A","S"),"S")),""))</f>
        <v/>
      </c>
      <c r="AE34" s="16" t="str">
        <f aca="false">IF(Cron_Uso!AE34="","",IF(INT(Cron_Uso!AE34/Frota!$L34)&gt;INT(Cron_Uso!AD34/Frota!$L34),IF(N(VLOOKUP(Frota!$B34,Premissas!$A$39:$E$43,5,0))&gt;0,IF(MOD(INT(Cron_Uso!AE34/Frota!$L34)*Frota!$L34,N(VLOOKUP(Frota!$B34,Premissas!$A$39:$E$43,5,0)))=0,"B",IF(N(VLOOKUP(Frota!$B34,Premissas!$A$39:$E$43,4,0))&gt;0,IF(MOD(INT(Cron_Uso!AE34/Frota!$L34)*Frota!$L34,N(VLOOKUP(Frota!$B34,Premissas!$A$39:$E$43,4,0)))=0,"A","S"),"S")),IF(N(VLOOKUP(Frota!$B34,Premissas!$A$39:$E$43,4,0))&gt;0,IF(MOD(INT(Cron_Uso!AE34/Frota!$L34)*Frota!$L34,N(VLOOKUP(Frota!$B34,Premissas!$A$39:$E$43,4,0)))=0,"A","S"),"S")),""))</f>
        <v/>
      </c>
      <c r="AF34" s="16" t="str">
        <f aca="false">IF(Cron_Uso!AF34="","",IF(INT(Cron_Uso!AF34/Frota!$L34)&gt;INT(Cron_Uso!AE34/Frota!$L34),IF(N(VLOOKUP(Frota!$B34,Premissas!$A$39:$E$43,5,0))&gt;0,IF(MOD(INT(Cron_Uso!AF34/Frota!$L34)*Frota!$L34,N(VLOOKUP(Frota!$B34,Premissas!$A$39:$E$43,5,0)))=0,"B",IF(N(VLOOKUP(Frota!$B34,Premissas!$A$39:$E$43,4,0))&gt;0,IF(MOD(INT(Cron_Uso!AF34/Frota!$L34)*Frota!$L34,N(VLOOKUP(Frota!$B34,Premissas!$A$39:$E$43,4,0)))=0,"A","S"),"S")),IF(N(VLOOKUP(Frota!$B34,Premissas!$A$39:$E$43,4,0))&gt;0,IF(MOD(INT(Cron_Uso!AF34/Frota!$L34)*Frota!$L34,N(VLOOKUP(Frota!$B34,Premissas!$A$39:$E$43,4,0)))=0,"A","S"),"S")),""))</f>
        <v/>
      </c>
      <c r="AG34" s="16" t="str">
        <f aca="false">IF(Cron_Uso!AG34="","",IF(INT(Cron_Uso!AG34/Frota!$L34)&gt;INT(Cron_Uso!AF34/Frota!$L34),IF(N(VLOOKUP(Frota!$B34,Premissas!$A$39:$E$43,5,0))&gt;0,IF(MOD(INT(Cron_Uso!AG34/Frota!$L34)*Frota!$L34,N(VLOOKUP(Frota!$B34,Premissas!$A$39:$E$43,5,0)))=0,"B",IF(N(VLOOKUP(Frota!$B34,Premissas!$A$39:$E$43,4,0))&gt;0,IF(MOD(INT(Cron_Uso!AG34/Frota!$L34)*Frota!$L34,N(VLOOKUP(Frota!$B34,Premissas!$A$39:$E$43,4,0)))=0,"A","S"),"S")),IF(N(VLOOKUP(Frota!$B34,Premissas!$A$39:$E$43,4,0))&gt;0,IF(MOD(INT(Cron_Uso!AG34/Frota!$L34)*Frota!$L34,N(VLOOKUP(Frota!$B34,Premissas!$A$39:$E$43,4,0)))=0,"A","S"),"S")),""))</f>
        <v/>
      </c>
      <c r="AH34" s="16" t="str">
        <f aca="false">IF(Cron_Uso!AH34="","",IF(INT(Cron_Uso!AH34/Frota!$L34)&gt;INT(Cron_Uso!AG34/Frota!$L34),IF(N(VLOOKUP(Frota!$B34,Premissas!$A$39:$E$43,5,0))&gt;0,IF(MOD(INT(Cron_Uso!AH34/Frota!$L34)*Frota!$L34,N(VLOOKUP(Frota!$B34,Premissas!$A$39:$E$43,5,0)))=0,"B",IF(N(VLOOKUP(Frota!$B34,Premissas!$A$39:$E$43,4,0))&gt;0,IF(MOD(INT(Cron_Uso!AH34/Frota!$L34)*Frota!$L34,N(VLOOKUP(Frota!$B34,Premissas!$A$39:$E$43,4,0)))=0,"A","S"),"S")),IF(N(VLOOKUP(Frota!$B34,Premissas!$A$39:$E$43,4,0))&gt;0,IF(MOD(INT(Cron_Uso!AH34/Frota!$L34)*Frota!$L34,N(VLOOKUP(Frota!$B34,Premissas!$A$39:$E$43,4,0)))=0,"A","S"),"S")),""))</f>
        <v/>
      </c>
      <c r="AI34" s="16" t="str">
        <f aca="false">IF(Cron_Uso!AI34="","",IF(INT(Cron_Uso!AI34/Frota!$L34)&gt;INT(Cron_Uso!AH34/Frota!$L34),IF(N(VLOOKUP(Frota!$B34,Premissas!$A$39:$E$43,5,0))&gt;0,IF(MOD(INT(Cron_Uso!AI34/Frota!$L34)*Frota!$L34,N(VLOOKUP(Frota!$B34,Premissas!$A$39:$E$43,5,0)))=0,"B",IF(N(VLOOKUP(Frota!$B34,Premissas!$A$39:$E$43,4,0))&gt;0,IF(MOD(INT(Cron_Uso!AI34/Frota!$L34)*Frota!$L34,N(VLOOKUP(Frota!$B34,Premissas!$A$39:$E$43,4,0)))=0,"A","S"),"S")),IF(N(VLOOKUP(Frota!$B34,Premissas!$A$39:$E$43,4,0))&gt;0,IF(MOD(INT(Cron_Uso!AI34/Frota!$L34)*Frota!$L34,N(VLOOKUP(Frota!$B34,Premissas!$A$39:$E$43,4,0)))=0,"A","S"),"S")),""))</f>
        <v/>
      </c>
      <c r="AJ34" s="16" t="str">
        <f aca="false">IF(Cron_Uso!AJ34="","",IF(INT(Cron_Uso!AJ34/Frota!$L34)&gt;INT(Cron_Uso!AI34/Frota!$L34),IF(N(VLOOKUP(Frota!$B34,Premissas!$A$39:$E$43,5,0))&gt;0,IF(MOD(INT(Cron_Uso!AJ34/Frota!$L34)*Frota!$L34,N(VLOOKUP(Frota!$B34,Premissas!$A$39:$E$43,5,0)))=0,"B",IF(N(VLOOKUP(Frota!$B34,Premissas!$A$39:$E$43,4,0))&gt;0,IF(MOD(INT(Cron_Uso!AJ34/Frota!$L34)*Frota!$L34,N(VLOOKUP(Frota!$B34,Premissas!$A$39:$E$43,4,0)))=0,"A","S"),"S")),IF(N(VLOOKUP(Frota!$B34,Premissas!$A$39:$E$43,4,0))&gt;0,IF(MOD(INT(Cron_Uso!AJ34/Frota!$L34)*Frota!$L34,N(VLOOKUP(Frota!$B34,Premissas!$A$39:$E$43,4,0)))=0,"A","S"),"S")),""))</f>
        <v/>
      </c>
      <c r="AK34" s="16" t="str">
        <f aca="false">IF(Cron_Uso!AK34="","",IF(INT(Cron_Uso!AK34/Frota!$L34)&gt;INT(Cron_Uso!AJ34/Frota!$L34),IF(N(VLOOKUP(Frota!$B34,Premissas!$A$39:$E$43,5,0))&gt;0,IF(MOD(INT(Cron_Uso!AK34/Frota!$L34)*Frota!$L34,N(VLOOKUP(Frota!$B34,Premissas!$A$39:$E$43,5,0)))=0,"B",IF(N(VLOOKUP(Frota!$B34,Premissas!$A$39:$E$43,4,0))&gt;0,IF(MOD(INT(Cron_Uso!AK34/Frota!$L34)*Frota!$L34,N(VLOOKUP(Frota!$B34,Premissas!$A$39:$E$43,4,0)))=0,"A","S"),"S")),IF(N(VLOOKUP(Frota!$B34,Premissas!$A$39:$E$43,4,0))&gt;0,IF(MOD(INT(Cron_Uso!AK34/Frota!$L34)*Frota!$L34,N(VLOOKUP(Frota!$B34,Premissas!$A$39:$E$43,4,0)))=0,"A","S"),"S")),""))</f>
        <v/>
      </c>
      <c r="AL34" s="16" t="str">
        <f aca="false">IF(Cron_Uso!AL34="","",IF(INT(Cron_Uso!AL34/Frota!$L34)&gt;INT(Cron_Uso!AK34/Frota!$L34),IF(N(VLOOKUP(Frota!$B34,Premissas!$A$39:$E$43,5,0))&gt;0,IF(MOD(INT(Cron_Uso!AL34/Frota!$L34)*Frota!$L34,N(VLOOKUP(Frota!$B34,Premissas!$A$39:$E$43,5,0)))=0,"B",IF(N(VLOOKUP(Frota!$B34,Premissas!$A$39:$E$43,4,0))&gt;0,IF(MOD(INT(Cron_Uso!AL34/Frota!$L34)*Frota!$L34,N(VLOOKUP(Frota!$B34,Premissas!$A$39:$E$43,4,0)))=0,"A","S"),"S")),IF(N(VLOOKUP(Frota!$B34,Premissas!$A$39:$E$43,4,0))&gt;0,IF(MOD(INT(Cron_Uso!AL34/Frota!$L34)*Frota!$L34,N(VLOOKUP(Frota!$B34,Premissas!$A$39:$E$43,4,0)))=0,"A","S"),"S")),""))</f>
        <v/>
      </c>
      <c r="AM34" s="16" t="str">
        <f aca="false">IF(Cron_Uso!AM34="","",IF(INT(Cron_Uso!AM34/Frota!$L34)&gt;INT(Cron_Uso!AL34/Frota!$L34),IF(N(VLOOKUP(Frota!$B34,Premissas!$A$39:$E$43,5,0))&gt;0,IF(MOD(INT(Cron_Uso!AM34/Frota!$L34)*Frota!$L34,N(VLOOKUP(Frota!$B34,Premissas!$A$39:$E$43,5,0)))=0,"B",IF(N(VLOOKUP(Frota!$B34,Premissas!$A$39:$E$43,4,0))&gt;0,IF(MOD(INT(Cron_Uso!AM34/Frota!$L34)*Frota!$L34,N(VLOOKUP(Frota!$B34,Premissas!$A$39:$E$43,4,0)))=0,"A","S"),"S")),IF(N(VLOOKUP(Frota!$B34,Premissas!$A$39:$E$43,4,0))&gt;0,IF(MOD(INT(Cron_Uso!AM34/Frota!$L34)*Frota!$L34,N(VLOOKUP(Frota!$B34,Premissas!$A$39:$E$43,4,0)))=0,"A","S"),"S")),""))</f>
        <v/>
      </c>
      <c r="AN34" s="16" t="str">
        <f aca="false">IF(Cron_Uso!AN34="","",IF(INT(Cron_Uso!AN34/Frota!$L34)&gt;INT(Cron_Uso!AM34/Frota!$L34),IF(N(VLOOKUP(Frota!$B34,Premissas!$A$39:$E$43,5,0))&gt;0,IF(MOD(INT(Cron_Uso!AN34/Frota!$L34)*Frota!$L34,N(VLOOKUP(Frota!$B34,Premissas!$A$39:$E$43,5,0)))=0,"B",IF(N(VLOOKUP(Frota!$B34,Premissas!$A$39:$E$43,4,0))&gt;0,IF(MOD(INT(Cron_Uso!AN34/Frota!$L34)*Frota!$L34,N(VLOOKUP(Frota!$B34,Premissas!$A$39:$E$43,4,0)))=0,"A","S"),"S")),IF(N(VLOOKUP(Frota!$B34,Premissas!$A$39:$E$43,4,0))&gt;0,IF(MOD(INT(Cron_Uso!AN34/Frota!$L34)*Frota!$L34,N(VLOOKUP(Frota!$B34,Premissas!$A$39:$E$43,4,0)))=0,"A","S"),"S")),""))</f>
        <v/>
      </c>
      <c r="AO34" s="16" t="str">
        <f aca="false">IF(Cron_Uso!AO34="","",IF(INT(Cron_Uso!AO34/Frota!$L34)&gt;INT(Cron_Uso!AN34/Frota!$L34),IF(N(VLOOKUP(Frota!$B34,Premissas!$A$39:$E$43,5,0))&gt;0,IF(MOD(INT(Cron_Uso!AO34/Frota!$L34)*Frota!$L34,N(VLOOKUP(Frota!$B34,Premissas!$A$39:$E$43,5,0)))=0,"B",IF(N(VLOOKUP(Frota!$B34,Premissas!$A$39:$E$43,4,0))&gt;0,IF(MOD(INT(Cron_Uso!AO34/Frota!$L34)*Frota!$L34,N(VLOOKUP(Frota!$B34,Premissas!$A$39:$E$43,4,0)))=0,"A","S"),"S")),IF(N(VLOOKUP(Frota!$B34,Premissas!$A$39:$E$43,4,0))&gt;0,IF(MOD(INT(Cron_Uso!AO34/Frota!$L34)*Frota!$L34,N(VLOOKUP(Frota!$B34,Premissas!$A$39:$E$43,4,0)))=0,"A","S"),"S")),""))</f>
        <v/>
      </c>
      <c r="AP34" s="16" t="str">
        <f aca="false">IF(Cron_Uso!AP34="","",IF(INT(Cron_Uso!AP34/Frota!$L34)&gt;INT(Cron_Uso!AO34/Frota!$L34),IF(N(VLOOKUP(Frota!$B34,Premissas!$A$39:$E$43,5,0))&gt;0,IF(MOD(INT(Cron_Uso!AP34/Frota!$L34)*Frota!$L34,N(VLOOKUP(Frota!$B34,Premissas!$A$39:$E$43,5,0)))=0,"B",IF(N(VLOOKUP(Frota!$B34,Premissas!$A$39:$E$43,4,0))&gt;0,IF(MOD(INT(Cron_Uso!AP34/Frota!$L34)*Frota!$L34,N(VLOOKUP(Frota!$B34,Premissas!$A$39:$E$43,4,0)))=0,"A","S"),"S")),IF(N(VLOOKUP(Frota!$B34,Premissas!$A$39:$E$43,4,0))&gt;0,IF(MOD(INT(Cron_Uso!AP34/Frota!$L34)*Frota!$L34,N(VLOOKUP(Frota!$B34,Premissas!$A$39:$E$43,4,0)))=0,"A","S"),"S")),""))</f>
        <v/>
      </c>
      <c r="AQ34" s="16" t="str">
        <f aca="false">IF(Cron_Uso!AQ34="","",IF(INT(Cron_Uso!AQ34/Frota!$L34)&gt;INT(Cron_Uso!AP34/Frota!$L34),IF(N(VLOOKUP(Frota!$B34,Premissas!$A$39:$E$43,5,0))&gt;0,IF(MOD(INT(Cron_Uso!AQ34/Frota!$L34)*Frota!$L34,N(VLOOKUP(Frota!$B34,Premissas!$A$39:$E$43,5,0)))=0,"B",IF(N(VLOOKUP(Frota!$B34,Premissas!$A$39:$E$43,4,0))&gt;0,IF(MOD(INT(Cron_Uso!AQ34/Frota!$L34)*Frota!$L34,N(VLOOKUP(Frota!$B34,Premissas!$A$39:$E$43,4,0)))=0,"A","S"),"S")),IF(N(VLOOKUP(Frota!$B34,Premissas!$A$39:$E$43,4,0))&gt;0,IF(MOD(INT(Cron_Uso!AQ34/Frota!$L34)*Frota!$L34,N(VLOOKUP(Frota!$B34,Premissas!$A$39:$E$43,4,0)))=0,"A","S"),"S")),""))</f>
        <v/>
      </c>
      <c r="AR34" s="16" t="str">
        <f aca="false">IF(Cron_Uso!AR34="","",IF(INT(Cron_Uso!AR34/Frota!$L34)&gt;INT(Cron_Uso!AQ34/Frota!$L34),IF(N(VLOOKUP(Frota!$B34,Premissas!$A$39:$E$43,5,0))&gt;0,IF(MOD(INT(Cron_Uso!AR34/Frota!$L34)*Frota!$L34,N(VLOOKUP(Frota!$B34,Premissas!$A$39:$E$43,5,0)))=0,"B",IF(N(VLOOKUP(Frota!$B34,Premissas!$A$39:$E$43,4,0))&gt;0,IF(MOD(INT(Cron_Uso!AR34/Frota!$L34)*Frota!$L34,N(VLOOKUP(Frota!$B34,Premissas!$A$39:$E$43,4,0)))=0,"A","S"),"S")),IF(N(VLOOKUP(Frota!$B34,Premissas!$A$39:$E$43,4,0))&gt;0,IF(MOD(INT(Cron_Uso!AR34/Frota!$L34)*Frota!$L34,N(VLOOKUP(Frota!$B34,Premissas!$A$39:$E$43,4,0)))=0,"A","S"),"S")),""))</f>
        <v/>
      </c>
      <c r="AS34" s="16" t="str">
        <f aca="false">IF(Cron_Uso!AS34="","",IF(INT(Cron_Uso!AS34/Frota!$L34)&gt;INT(Cron_Uso!AR34/Frota!$L34),IF(N(VLOOKUP(Frota!$B34,Premissas!$A$39:$E$43,5,0))&gt;0,IF(MOD(INT(Cron_Uso!AS34/Frota!$L34)*Frota!$L34,N(VLOOKUP(Frota!$B34,Premissas!$A$39:$E$43,5,0)))=0,"B",IF(N(VLOOKUP(Frota!$B34,Premissas!$A$39:$E$43,4,0))&gt;0,IF(MOD(INT(Cron_Uso!AS34/Frota!$L34)*Frota!$L34,N(VLOOKUP(Frota!$B34,Premissas!$A$39:$E$43,4,0)))=0,"A","S"),"S")),IF(N(VLOOKUP(Frota!$B34,Premissas!$A$39:$E$43,4,0))&gt;0,IF(MOD(INT(Cron_Uso!AS34/Frota!$L34)*Frota!$L34,N(VLOOKUP(Frota!$B34,Premissas!$A$39:$E$43,4,0)))=0,"A","S"),"S")),""))</f>
        <v/>
      </c>
      <c r="AT34" s="16" t="str">
        <f aca="false">IF(Cron_Uso!AT34="","",IF(INT(Cron_Uso!AT34/Frota!$L34)&gt;INT(Cron_Uso!AS34/Frota!$L34),IF(N(VLOOKUP(Frota!$B34,Premissas!$A$39:$E$43,5,0))&gt;0,IF(MOD(INT(Cron_Uso!AT34/Frota!$L34)*Frota!$L34,N(VLOOKUP(Frota!$B34,Premissas!$A$39:$E$43,5,0)))=0,"B",IF(N(VLOOKUP(Frota!$B34,Premissas!$A$39:$E$43,4,0))&gt;0,IF(MOD(INT(Cron_Uso!AT34/Frota!$L34)*Frota!$L34,N(VLOOKUP(Frota!$B34,Premissas!$A$39:$E$43,4,0)))=0,"A","S"),"S")),IF(N(VLOOKUP(Frota!$B34,Premissas!$A$39:$E$43,4,0))&gt;0,IF(MOD(INT(Cron_Uso!AT34/Frota!$L34)*Frota!$L34,N(VLOOKUP(Frota!$B34,Premissas!$A$39:$E$43,4,0)))=0,"A","S"),"S")),""))</f>
        <v/>
      </c>
      <c r="AU34" s="16" t="str">
        <f aca="false">IF(Cron_Uso!AU34="","",IF(INT(Cron_Uso!AU34/Frota!$L34)&gt;INT(Cron_Uso!AT34/Frota!$L34),IF(N(VLOOKUP(Frota!$B34,Premissas!$A$39:$E$43,5,0))&gt;0,IF(MOD(INT(Cron_Uso!AU34/Frota!$L34)*Frota!$L34,N(VLOOKUP(Frota!$B34,Premissas!$A$39:$E$43,5,0)))=0,"B",IF(N(VLOOKUP(Frota!$B34,Premissas!$A$39:$E$43,4,0))&gt;0,IF(MOD(INT(Cron_Uso!AU34/Frota!$L34)*Frota!$L34,N(VLOOKUP(Frota!$B34,Premissas!$A$39:$E$43,4,0)))=0,"A","S"),"S")),IF(N(VLOOKUP(Frota!$B34,Premissas!$A$39:$E$43,4,0))&gt;0,IF(MOD(INT(Cron_Uso!AU34/Frota!$L34)*Frota!$L34,N(VLOOKUP(Frota!$B34,Premissas!$A$39:$E$43,4,0)))=0,"A","S"),"S")),""))</f>
        <v/>
      </c>
      <c r="AV34" s="16" t="str">
        <f aca="false">IF(Cron_Uso!AV34="","",IF(INT(Cron_Uso!AV34/Frota!$L34)&gt;INT(Cron_Uso!AU34/Frota!$L34),IF(N(VLOOKUP(Frota!$B34,Premissas!$A$39:$E$43,5,0))&gt;0,IF(MOD(INT(Cron_Uso!AV34/Frota!$L34)*Frota!$L34,N(VLOOKUP(Frota!$B34,Premissas!$A$39:$E$43,5,0)))=0,"B",IF(N(VLOOKUP(Frota!$B34,Premissas!$A$39:$E$43,4,0))&gt;0,IF(MOD(INT(Cron_Uso!AV34/Frota!$L34)*Frota!$L34,N(VLOOKUP(Frota!$B34,Premissas!$A$39:$E$43,4,0)))=0,"A","S"),"S")),IF(N(VLOOKUP(Frota!$B34,Premissas!$A$39:$E$43,4,0))&gt;0,IF(MOD(INT(Cron_Uso!AV34/Frota!$L34)*Frota!$L34,N(VLOOKUP(Frota!$B34,Premissas!$A$39:$E$43,4,0)))=0,"A","S"),"S")),""))</f>
        <v/>
      </c>
      <c r="AW34" s="16" t="str">
        <f aca="false">IF(Cron_Uso!AW34="","",IF(INT(Cron_Uso!AW34/Frota!$L34)&gt;INT(Cron_Uso!AV34/Frota!$L34),IF(N(VLOOKUP(Frota!$B34,Premissas!$A$39:$E$43,5,0))&gt;0,IF(MOD(INT(Cron_Uso!AW34/Frota!$L34)*Frota!$L34,N(VLOOKUP(Frota!$B34,Premissas!$A$39:$E$43,5,0)))=0,"B",IF(N(VLOOKUP(Frota!$B34,Premissas!$A$39:$E$43,4,0))&gt;0,IF(MOD(INT(Cron_Uso!AW34/Frota!$L34)*Frota!$L34,N(VLOOKUP(Frota!$B34,Premissas!$A$39:$E$43,4,0)))=0,"A","S"),"S")),IF(N(VLOOKUP(Frota!$B34,Premissas!$A$39:$E$43,4,0))&gt;0,IF(MOD(INT(Cron_Uso!AW34/Frota!$L34)*Frota!$L34,N(VLOOKUP(Frota!$B34,Premissas!$A$39:$E$43,4,0)))=0,"A","S"),"S")),""))</f>
        <v/>
      </c>
      <c r="AX34" s="16" t="str">
        <f aca="false">IF(Cron_Uso!AX34="","",IF(INT(Cron_Uso!AX34/Frota!$L34)&gt;INT(Cron_Uso!AW34/Frota!$L34),IF(N(VLOOKUP(Frota!$B34,Premissas!$A$39:$E$43,5,0))&gt;0,IF(MOD(INT(Cron_Uso!AX34/Frota!$L34)*Frota!$L34,N(VLOOKUP(Frota!$B34,Premissas!$A$39:$E$43,5,0)))=0,"B",IF(N(VLOOKUP(Frota!$B34,Premissas!$A$39:$E$43,4,0))&gt;0,IF(MOD(INT(Cron_Uso!AX34/Frota!$L34)*Frota!$L34,N(VLOOKUP(Frota!$B34,Premissas!$A$39:$E$43,4,0)))=0,"A","S"),"S")),IF(N(VLOOKUP(Frota!$B34,Premissas!$A$39:$E$43,4,0))&gt;0,IF(MOD(INT(Cron_Uso!AX34/Frota!$L34)*Frota!$L34,N(VLOOKUP(Frota!$B34,Premissas!$A$39:$E$43,4,0)))=0,"A","S"),"S")),""))</f>
        <v/>
      </c>
      <c r="AY34" s="16" t="str">
        <f aca="false">IF(Cron_Uso!AY34="","",IF(INT(Cron_Uso!AY34/Frota!$L34)&gt;INT(Cron_Uso!AX34/Frota!$L34),IF(N(VLOOKUP(Frota!$B34,Premissas!$A$39:$E$43,5,0))&gt;0,IF(MOD(INT(Cron_Uso!AY34/Frota!$L34)*Frota!$L34,N(VLOOKUP(Frota!$B34,Premissas!$A$39:$E$43,5,0)))=0,"B",IF(N(VLOOKUP(Frota!$B34,Premissas!$A$39:$E$43,4,0))&gt;0,IF(MOD(INT(Cron_Uso!AY34/Frota!$L34)*Frota!$L34,N(VLOOKUP(Frota!$B34,Premissas!$A$39:$E$43,4,0)))=0,"A","S"),"S")),IF(N(VLOOKUP(Frota!$B34,Premissas!$A$39:$E$43,4,0))&gt;0,IF(MOD(INT(Cron_Uso!AY34/Frota!$L34)*Frota!$L34,N(VLOOKUP(Frota!$B34,Premissas!$A$39:$E$43,4,0)))=0,"A","S"),"S")),""))</f>
        <v/>
      </c>
      <c r="AZ34" s="16" t="str">
        <f aca="false">IF(Cron_Uso!AZ34="","",IF(INT(Cron_Uso!AZ34/Frota!$L34)&gt;INT(Cron_Uso!AY34/Frota!$L34),IF(N(VLOOKUP(Frota!$B34,Premissas!$A$39:$E$43,5,0))&gt;0,IF(MOD(INT(Cron_Uso!AZ34/Frota!$L34)*Frota!$L34,N(VLOOKUP(Frota!$B34,Premissas!$A$39:$E$43,5,0)))=0,"B",IF(N(VLOOKUP(Frota!$B34,Premissas!$A$39:$E$43,4,0))&gt;0,IF(MOD(INT(Cron_Uso!AZ34/Frota!$L34)*Frota!$L34,N(VLOOKUP(Frota!$B34,Premissas!$A$39:$E$43,4,0)))=0,"A","S"),"S")),IF(N(VLOOKUP(Frota!$B34,Premissas!$A$39:$E$43,4,0))&gt;0,IF(MOD(INT(Cron_Uso!AZ34/Frota!$L34)*Frota!$L34,N(VLOOKUP(Frota!$B34,Premissas!$A$39:$E$43,4,0)))=0,"A","S"),"S")),""))</f>
        <v/>
      </c>
      <c r="BA34" s="16" t="str">
        <f aca="false">IF(Cron_Uso!BA34="","",IF(INT(Cron_Uso!BA34/Frota!$L34)&gt;INT(Cron_Uso!AZ34/Frota!$L34),IF(N(VLOOKUP(Frota!$B34,Premissas!$A$39:$E$43,5,0))&gt;0,IF(MOD(INT(Cron_Uso!BA34/Frota!$L34)*Frota!$L34,N(VLOOKUP(Frota!$B34,Premissas!$A$39:$E$43,5,0)))=0,"B",IF(N(VLOOKUP(Frota!$B34,Premissas!$A$39:$E$43,4,0))&gt;0,IF(MOD(INT(Cron_Uso!BA34/Frota!$L34)*Frota!$L34,N(VLOOKUP(Frota!$B34,Premissas!$A$39:$E$43,4,0)))=0,"A","S"),"S")),IF(N(VLOOKUP(Frota!$B34,Premissas!$A$39:$E$43,4,0))&gt;0,IF(MOD(INT(Cron_Uso!BA34/Frota!$L34)*Frota!$L34,N(VLOOKUP(Frota!$B34,Premissas!$A$39:$E$43,4,0)))=0,"A","S"),"S")),""))</f>
        <v/>
      </c>
    </row>
  </sheetData>
  <mergeCells count="2">
    <mergeCell ref="A1:BB1"/>
    <mergeCell ref="A2:BB2"/>
  </mergeCells>
  <conditionalFormatting sqref="B5:BA34">
    <cfRule type="expression" priority="2" aboveAverage="0" equalAverage="0" bottom="0" percent="0" rank="0" text="" dxfId="1">
      <formula>EXACT(B5,"B")</formula>
    </cfRule>
    <cfRule type="expression" priority="3" aboveAverage="0" equalAverage="0" bottom="0" percent="0" rank="0" text="" dxfId="2">
      <formula>EXACT(B5,"A")</formula>
    </cfRule>
    <cfRule type="expression" priority="4" aboveAverage="0" equalAverage="0" bottom="0" percent="0" rank="0" text="" dxfId="0">
      <formula>EXACT(B5,"S")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B5B7"/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9" min="4" style="0" width="11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3.85" hidden="false" customHeight="false" outlineLevel="0" collapsed="false">
      <c r="A3" s="5" t="s">
        <v>300</v>
      </c>
      <c r="B3" s="5" t="s">
        <v>75</v>
      </c>
      <c r="C3" s="5" t="s">
        <v>301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37</v>
      </c>
      <c r="I3" s="5" t="s">
        <v>38</v>
      </c>
      <c r="J3" s="5" t="s">
        <v>302</v>
      </c>
      <c r="K3" s="5" t="s">
        <v>303</v>
      </c>
    </row>
    <row r="4" customFormat="false" ht="15" hidden="false" customHeight="false" outlineLevel="0" collapsed="false">
      <c r="A4" s="9" t="str">
        <f aca="false">B4&amp;"|"&amp;C4</f>
        <v>Colhedora|S</v>
      </c>
      <c r="B4" s="9" t="s">
        <v>80</v>
      </c>
      <c r="C4" s="9" t="s">
        <v>183</v>
      </c>
      <c r="D4" s="9" t="n">
        <f aca="false">ROUND(SUMIFS(Checklist!$H$5:$H$104,Checklist!$C$5:$C$104,$B4,Checklist!$D$5:$D$104,D$3,Checklist!$B$5:$B$104,"S"),2)</f>
        <v>3.75</v>
      </c>
      <c r="E4" s="9" t="n">
        <f aca="false">ROUND(SUMIFS(Checklist!$H$5:$H$104,Checklist!$C$5:$C$104,$B4,Checklist!$D$5:$D$104,E$3,Checklist!$B$5:$B$104,"S"),2)</f>
        <v>0</v>
      </c>
      <c r="F4" s="9" t="n">
        <f aca="false">ROUND(SUMIFS(Checklist!$H$5:$H$104,Checklist!$C$5:$C$104,$B4,Checklist!$D$5:$D$104,F$3,Checklist!$B$5:$B$104,"S"),2)</f>
        <v>1</v>
      </c>
      <c r="G4" s="9" t="n">
        <f aca="false">ROUND(SUMIFS(Checklist!$H$5:$H$104,Checklist!$C$5:$C$104,$B4,Checklist!$D$5:$D$104,G$3,Checklist!$B$5:$B$104,"S"),2)</f>
        <v>0.75</v>
      </c>
      <c r="H4" s="9" t="n">
        <f aca="false">ROUND(SUMIFS(Checklist!$H$5:$H$104,Checklist!$C$5:$C$104,$B4,Checklist!$D$5:$D$104,H$3,Checklist!$B$5:$B$104,"S"),2)</f>
        <v>0</v>
      </c>
      <c r="I4" s="9" t="n">
        <f aca="false">ROUND(SUMIFS(Checklist!$H$5:$H$104,Checklist!$C$5:$C$104,$B4,Checklist!$D$5:$D$104,I$3,Checklist!$B$5:$B$104,"S"),2)</f>
        <v>0</v>
      </c>
      <c r="J4" s="9" t="n">
        <f aca="false">ROUND(SUM(D4:I4),2)</f>
        <v>5.5</v>
      </c>
      <c r="K4" s="9" t="n">
        <f aca="false">COUNTIFS(Eventos!$B$4:$B$1563,$B4,Eventos!$E$4:$E$1563,$C4)</f>
        <v>13</v>
      </c>
    </row>
    <row r="5" customFormat="false" ht="15" hidden="false" customHeight="false" outlineLevel="0" collapsed="false">
      <c r="A5" s="9" t="str">
        <f aca="false">B5&amp;"|"&amp;C5</f>
        <v>Colhedora|A</v>
      </c>
      <c r="B5" s="9" t="s">
        <v>80</v>
      </c>
      <c r="C5" s="9" t="s">
        <v>202</v>
      </c>
      <c r="D5" s="9" t="n">
        <f aca="false">ROUND(SUMIFS(Checklist!$H$5:$H$104,Checklist!$C$5:$C$104,$B5,Checklist!$D$5:$D$104,D$3,Checklist!$B$5:$B$104,"S")+SUMIFS(Checklist!$H$5:$H$104,Checklist!$C$5:$C$104,$B5,Checklist!$D$5:$D$104,D$3,Checklist!$B$5:$B$104,"A"),2)</f>
        <v>10.25</v>
      </c>
      <c r="E5" s="9" t="n">
        <f aca="false">ROUND(SUMIFS(Checklist!$H$5:$H$104,Checklist!$C$5:$C$104,$B5,Checklist!$D$5:$D$104,E$3,Checklist!$B$5:$B$104,"S")+SUMIFS(Checklist!$H$5:$H$104,Checklist!$C$5:$C$104,$B5,Checklist!$D$5:$D$104,E$3,Checklist!$B$5:$B$104,"A"),2)</f>
        <v>0</v>
      </c>
      <c r="F5" s="9" t="n">
        <f aca="false">ROUND(SUMIFS(Checklist!$H$5:$H$104,Checklist!$C$5:$C$104,$B5,Checklist!$D$5:$D$104,F$3,Checklist!$B$5:$B$104,"S")+SUMIFS(Checklist!$H$5:$H$104,Checklist!$C$5:$C$104,$B5,Checklist!$D$5:$D$104,F$3,Checklist!$B$5:$B$104,"A"),2)</f>
        <v>3</v>
      </c>
      <c r="G5" s="9" t="n">
        <f aca="false">ROUND(SUMIFS(Checklist!$H$5:$H$104,Checklist!$C$5:$C$104,$B5,Checklist!$D$5:$D$104,G$3,Checklist!$B$5:$B$104,"S")+SUMIFS(Checklist!$H$5:$H$104,Checklist!$C$5:$C$104,$B5,Checklist!$D$5:$D$104,G$3,Checklist!$B$5:$B$104,"A"),2)</f>
        <v>1.75</v>
      </c>
      <c r="H5" s="9" t="n">
        <f aca="false">ROUND(SUMIFS(Checklist!$H$5:$H$104,Checklist!$C$5:$C$104,$B5,Checklist!$D$5:$D$104,H$3,Checklist!$B$5:$B$104,"S")+SUMIFS(Checklist!$H$5:$H$104,Checklist!$C$5:$C$104,$B5,Checklist!$D$5:$D$104,H$3,Checklist!$B$5:$B$104,"A"),2)</f>
        <v>0</v>
      </c>
      <c r="I5" s="9" t="n">
        <f aca="false">ROUND(SUMIFS(Checklist!$H$5:$H$104,Checklist!$C$5:$C$104,$B5,Checklist!$D$5:$D$104,I$3,Checklist!$B$5:$B$104,"S")+SUMIFS(Checklist!$H$5:$H$104,Checklist!$C$5:$C$104,$B5,Checklist!$D$5:$D$104,I$3,Checklist!$B$5:$B$104,"A"),2)</f>
        <v>0</v>
      </c>
      <c r="J5" s="9" t="n">
        <f aca="false">ROUND(SUM(D5:I5),2)</f>
        <v>15</v>
      </c>
      <c r="K5" s="9" t="n">
        <f aca="false">COUNTIFS(Eventos!$B$4:$B$1563,$B5,Eventos!$E$4:$E$1563,$C5)</f>
        <v>6</v>
      </c>
    </row>
    <row r="6" customFormat="false" ht="15" hidden="false" customHeight="false" outlineLevel="0" collapsed="false">
      <c r="A6" s="9" t="str">
        <f aca="false">B6&amp;"|"&amp;C6</f>
        <v>Colhedora|B</v>
      </c>
      <c r="B6" s="9" t="s">
        <v>80</v>
      </c>
      <c r="C6" s="9" t="s">
        <v>304</v>
      </c>
      <c r="D6" s="9" t="n">
        <f aca="false">ROUND(SUMIFS(Checklist!$H$5:$H$104,Checklist!$C$5:$C$104,$B6,Checklist!$D$5:$D$104,D$3,Checklist!$B$5:$B$104,"S")+SUMIFS(Checklist!$H$5:$H$104,Checklist!$C$5:$C$104,$B6,Checklist!$D$5:$D$104,D$3,Checklist!$B$5:$B$104,"A")+SUMIFS(Checklist!$H$5:$H$104,Checklist!$C$5:$C$104,$B6,Checklist!$D$5:$D$104,D$3,Checklist!$B$5:$B$104,"B"),2)</f>
        <v>10.25</v>
      </c>
      <c r="E6" s="9" t="n">
        <f aca="false">ROUND(SUMIFS(Checklist!$H$5:$H$104,Checklist!$C$5:$C$104,$B6,Checklist!$D$5:$D$104,E$3,Checklist!$B$5:$B$104,"S")+SUMIFS(Checklist!$H$5:$H$104,Checklist!$C$5:$C$104,$B6,Checklist!$D$5:$D$104,E$3,Checklist!$B$5:$B$104,"A")+SUMIFS(Checklist!$H$5:$H$104,Checklist!$C$5:$C$104,$B6,Checklist!$D$5:$D$104,E$3,Checklist!$B$5:$B$104,"B"),2)</f>
        <v>0</v>
      </c>
      <c r="F6" s="9" t="n">
        <f aca="false">ROUND(SUMIFS(Checklist!$H$5:$H$104,Checklist!$C$5:$C$104,$B6,Checklist!$D$5:$D$104,F$3,Checklist!$B$5:$B$104,"S")+SUMIFS(Checklist!$H$5:$H$104,Checklist!$C$5:$C$104,$B6,Checklist!$D$5:$D$104,F$3,Checklist!$B$5:$B$104,"A")+SUMIFS(Checklist!$H$5:$H$104,Checklist!$C$5:$C$104,$B6,Checklist!$D$5:$D$104,F$3,Checklist!$B$5:$B$104,"B"),2)</f>
        <v>3</v>
      </c>
      <c r="G6" s="9" t="n">
        <f aca="false">ROUND(SUMIFS(Checklist!$H$5:$H$104,Checklist!$C$5:$C$104,$B6,Checklist!$D$5:$D$104,G$3,Checklist!$B$5:$B$104,"S")+SUMIFS(Checklist!$H$5:$H$104,Checklist!$C$5:$C$104,$B6,Checklist!$D$5:$D$104,G$3,Checklist!$B$5:$B$104,"A")+SUMIFS(Checklist!$H$5:$H$104,Checklist!$C$5:$C$104,$B6,Checklist!$D$5:$D$104,G$3,Checklist!$B$5:$B$104,"B"),2)</f>
        <v>1.75</v>
      </c>
      <c r="H6" s="9" t="n">
        <f aca="false">ROUND(SUMIFS(Checklist!$H$5:$H$104,Checklist!$C$5:$C$104,$B6,Checklist!$D$5:$D$104,H$3,Checklist!$B$5:$B$104,"S")+SUMIFS(Checklist!$H$5:$H$104,Checklist!$C$5:$C$104,$B6,Checklist!$D$5:$D$104,H$3,Checklist!$B$5:$B$104,"A")+SUMIFS(Checklist!$H$5:$H$104,Checklist!$C$5:$C$104,$B6,Checklist!$D$5:$D$104,H$3,Checklist!$B$5:$B$104,"B"),2)</f>
        <v>0</v>
      </c>
      <c r="I6" s="9" t="n">
        <f aca="false">ROUND(SUMIFS(Checklist!$H$5:$H$104,Checklist!$C$5:$C$104,$B6,Checklist!$D$5:$D$104,I$3,Checklist!$B$5:$B$104,"S")+SUMIFS(Checklist!$H$5:$H$104,Checklist!$C$5:$C$104,$B6,Checklist!$D$5:$D$104,I$3,Checklist!$B$5:$B$104,"A")+SUMIFS(Checklist!$H$5:$H$104,Checklist!$C$5:$C$104,$B6,Checklist!$D$5:$D$104,I$3,Checklist!$B$5:$B$104,"B"),2)</f>
        <v>0</v>
      </c>
      <c r="J6" s="9" t="n">
        <f aca="false">ROUND(SUM(D6:I6),2)</f>
        <v>15</v>
      </c>
      <c r="K6" s="9" t="n">
        <f aca="false">COUNTIFS(Eventos!$B$4:$B$1563,$B6,Eventos!$E$4:$E$1563,$C6)</f>
        <v>8</v>
      </c>
    </row>
    <row r="7" customFormat="false" ht="15" hidden="false" customHeight="false" outlineLevel="0" collapsed="false">
      <c r="A7" s="9" t="str">
        <f aca="false">B7&amp;"|"&amp;C7</f>
        <v>Trator|S</v>
      </c>
      <c r="B7" s="9" t="s">
        <v>82</v>
      </c>
      <c r="C7" s="9" t="s">
        <v>183</v>
      </c>
      <c r="D7" s="9" t="n">
        <f aca="false">ROUND(SUMIFS(Checklist!$H$5:$H$104,Checklist!$C$5:$C$104,$B7,Checklist!$D$5:$D$104,D$3,Checklist!$B$5:$B$104,"S"),2)</f>
        <v>1.5</v>
      </c>
      <c r="E7" s="9" t="n">
        <f aca="false">ROUND(SUMIFS(Checklist!$H$5:$H$104,Checklist!$C$5:$C$104,$B7,Checklist!$D$5:$D$104,E$3,Checklist!$B$5:$B$104,"S"),2)</f>
        <v>0</v>
      </c>
      <c r="F7" s="9" t="n">
        <f aca="false">ROUND(SUMIFS(Checklist!$H$5:$H$104,Checklist!$C$5:$C$104,$B7,Checklist!$D$5:$D$104,F$3,Checklist!$B$5:$B$104,"S"),2)</f>
        <v>0</v>
      </c>
      <c r="G7" s="9" t="n">
        <f aca="false">ROUND(SUMIFS(Checklist!$H$5:$H$104,Checklist!$C$5:$C$104,$B7,Checklist!$D$5:$D$104,G$3,Checklist!$B$5:$B$104,"S"),2)</f>
        <v>0.5</v>
      </c>
      <c r="H7" s="9" t="n">
        <f aca="false">ROUND(SUMIFS(Checklist!$H$5:$H$104,Checklist!$C$5:$C$104,$B7,Checklist!$D$5:$D$104,H$3,Checklist!$B$5:$B$104,"S"),2)</f>
        <v>0</v>
      </c>
      <c r="I7" s="9" t="n">
        <f aca="false">ROUND(SUMIFS(Checklist!$H$5:$H$104,Checklist!$C$5:$C$104,$B7,Checklist!$D$5:$D$104,I$3,Checklist!$B$5:$B$104,"S"),2)</f>
        <v>0</v>
      </c>
      <c r="J7" s="9" t="n">
        <f aca="false">ROUND(SUM(D7:I7),2)</f>
        <v>2</v>
      </c>
      <c r="K7" s="9" t="n">
        <f aca="false">COUNTIFS(Eventos!$B$4:$B$1563,$B7,Eventos!$E$4:$E$1563,$C7)</f>
        <v>12</v>
      </c>
    </row>
    <row r="8" customFormat="false" ht="15" hidden="false" customHeight="false" outlineLevel="0" collapsed="false">
      <c r="A8" s="9" t="str">
        <f aca="false">B8&amp;"|"&amp;C8</f>
        <v>Trator|A</v>
      </c>
      <c r="B8" s="9" t="s">
        <v>82</v>
      </c>
      <c r="C8" s="9" t="s">
        <v>202</v>
      </c>
      <c r="D8" s="9" t="n">
        <f aca="false">ROUND(SUMIFS(Checklist!$H$5:$H$104,Checklist!$C$5:$C$104,$B8,Checklist!$D$5:$D$104,D$3,Checklist!$B$5:$B$104,"S")+SUMIFS(Checklist!$H$5:$H$104,Checklist!$C$5:$C$104,$B8,Checklist!$D$5:$D$104,D$3,Checklist!$B$5:$B$104,"A"),2)</f>
        <v>1.5</v>
      </c>
      <c r="E8" s="9" t="n">
        <f aca="false">ROUND(SUMIFS(Checklist!$H$5:$H$104,Checklist!$C$5:$C$104,$B8,Checklist!$D$5:$D$104,E$3,Checklist!$B$5:$B$104,"S")+SUMIFS(Checklist!$H$5:$H$104,Checklist!$C$5:$C$104,$B8,Checklist!$D$5:$D$104,E$3,Checklist!$B$5:$B$104,"A"),2)</f>
        <v>0</v>
      </c>
      <c r="F8" s="9" t="n">
        <f aca="false">ROUND(SUMIFS(Checklist!$H$5:$H$104,Checklist!$C$5:$C$104,$B8,Checklist!$D$5:$D$104,F$3,Checklist!$B$5:$B$104,"S")+SUMIFS(Checklist!$H$5:$H$104,Checklist!$C$5:$C$104,$B8,Checklist!$D$5:$D$104,F$3,Checklist!$B$5:$B$104,"A"),2)</f>
        <v>0</v>
      </c>
      <c r="G8" s="9" t="n">
        <f aca="false">ROUND(SUMIFS(Checklist!$H$5:$H$104,Checklist!$C$5:$C$104,$B8,Checklist!$D$5:$D$104,G$3,Checklist!$B$5:$B$104,"S")+SUMIFS(Checklist!$H$5:$H$104,Checklist!$C$5:$C$104,$B8,Checklist!$D$5:$D$104,G$3,Checklist!$B$5:$B$104,"A"),2)</f>
        <v>0.5</v>
      </c>
      <c r="H8" s="9" t="n">
        <f aca="false">ROUND(SUMIFS(Checklist!$H$5:$H$104,Checklist!$C$5:$C$104,$B8,Checklist!$D$5:$D$104,H$3,Checklist!$B$5:$B$104,"S")+SUMIFS(Checklist!$H$5:$H$104,Checklist!$C$5:$C$104,$B8,Checklist!$D$5:$D$104,H$3,Checklist!$B$5:$B$104,"A"),2)</f>
        <v>0</v>
      </c>
      <c r="I8" s="9" t="n">
        <f aca="false">ROUND(SUMIFS(Checklist!$H$5:$H$104,Checklist!$C$5:$C$104,$B8,Checklist!$D$5:$D$104,I$3,Checklist!$B$5:$B$104,"S")+SUMIFS(Checklist!$H$5:$H$104,Checklist!$C$5:$C$104,$B8,Checklist!$D$5:$D$104,I$3,Checklist!$B$5:$B$104,"A"),2)</f>
        <v>0</v>
      </c>
      <c r="J8" s="9" t="n">
        <f aca="false">ROUND(SUM(D8:I8),2)</f>
        <v>2</v>
      </c>
      <c r="K8" s="9" t="n">
        <f aca="false">COUNTIFS(Eventos!$B$4:$B$1563,$B8,Eventos!$E$4:$E$1563,$C8)</f>
        <v>6</v>
      </c>
    </row>
    <row r="9" customFormat="false" ht="15" hidden="false" customHeight="false" outlineLevel="0" collapsed="false">
      <c r="A9" s="9" t="str">
        <f aca="false">B9&amp;"|"&amp;C9</f>
        <v>Trator|B</v>
      </c>
      <c r="B9" s="9" t="s">
        <v>82</v>
      </c>
      <c r="C9" s="9" t="s">
        <v>304</v>
      </c>
      <c r="D9" s="9" t="n">
        <f aca="false">ROUND(SUMIFS(Checklist!$H$5:$H$104,Checklist!$C$5:$C$104,$B9,Checklist!$D$5:$D$104,D$3,Checklist!$B$5:$B$104,"S")+SUMIFS(Checklist!$H$5:$H$104,Checklist!$C$5:$C$104,$B9,Checklist!$D$5:$D$104,D$3,Checklist!$B$5:$B$104,"A")+SUMIFS(Checklist!$H$5:$H$104,Checklist!$C$5:$C$104,$B9,Checklist!$D$5:$D$104,D$3,Checklist!$B$5:$B$104,"B"),2)</f>
        <v>1.5</v>
      </c>
      <c r="E9" s="9" t="n">
        <f aca="false">ROUND(SUMIFS(Checklist!$H$5:$H$104,Checklist!$C$5:$C$104,$B9,Checklist!$D$5:$D$104,E$3,Checklist!$B$5:$B$104,"S")+SUMIFS(Checklist!$H$5:$H$104,Checklist!$C$5:$C$104,$B9,Checklist!$D$5:$D$104,E$3,Checklist!$B$5:$B$104,"A")+SUMIFS(Checklist!$H$5:$H$104,Checklist!$C$5:$C$104,$B9,Checklist!$D$5:$D$104,E$3,Checklist!$B$5:$B$104,"B"),2)</f>
        <v>0</v>
      </c>
      <c r="F9" s="9" t="n">
        <f aca="false">ROUND(SUMIFS(Checklist!$H$5:$H$104,Checklist!$C$5:$C$104,$B9,Checklist!$D$5:$D$104,F$3,Checklist!$B$5:$B$104,"S")+SUMIFS(Checklist!$H$5:$H$104,Checklist!$C$5:$C$104,$B9,Checklist!$D$5:$D$104,F$3,Checklist!$B$5:$B$104,"A")+SUMIFS(Checklist!$H$5:$H$104,Checklist!$C$5:$C$104,$B9,Checklist!$D$5:$D$104,F$3,Checklist!$B$5:$B$104,"B"),2)</f>
        <v>0</v>
      </c>
      <c r="G9" s="9" t="n">
        <f aca="false">ROUND(SUMIFS(Checklist!$H$5:$H$104,Checklist!$C$5:$C$104,$B9,Checklist!$D$5:$D$104,G$3,Checklist!$B$5:$B$104,"S")+SUMIFS(Checklist!$H$5:$H$104,Checklist!$C$5:$C$104,$B9,Checklist!$D$5:$D$104,G$3,Checklist!$B$5:$B$104,"A")+SUMIFS(Checklist!$H$5:$H$104,Checklist!$C$5:$C$104,$B9,Checklist!$D$5:$D$104,G$3,Checklist!$B$5:$B$104,"B"),2)</f>
        <v>0.5</v>
      </c>
      <c r="H9" s="9" t="n">
        <f aca="false">ROUND(SUMIFS(Checklist!$H$5:$H$104,Checklist!$C$5:$C$104,$B9,Checklist!$D$5:$D$104,H$3,Checklist!$B$5:$B$104,"S")+SUMIFS(Checklist!$H$5:$H$104,Checklist!$C$5:$C$104,$B9,Checklist!$D$5:$D$104,H$3,Checklist!$B$5:$B$104,"A")+SUMIFS(Checklist!$H$5:$H$104,Checklist!$C$5:$C$104,$B9,Checklist!$D$5:$D$104,H$3,Checklist!$B$5:$B$104,"B"),2)</f>
        <v>0</v>
      </c>
      <c r="I9" s="9" t="n">
        <f aca="false">ROUND(SUMIFS(Checklist!$H$5:$H$104,Checklist!$C$5:$C$104,$B9,Checklist!$D$5:$D$104,I$3,Checklist!$B$5:$B$104,"S")+SUMIFS(Checklist!$H$5:$H$104,Checklist!$C$5:$C$104,$B9,Checklist!$D$5:$D$104,I$3,Checklist!$B$5:$B$104,"A")+SUMIFS(Checklist!$H$5:$H$104,Checklist!$C$5:$C$104,$B9,Checklist!$D$5:$D$104,I$3,Checklist!$B$5:$B$104,"B"),2)</f>
        <v>0</v>
      </c>
      <c r="J9" s="9" t="n">
        <f aca="false">ROUND(SUM(D9:I9),2)</f>
        <v>2</v>
      </c>
      <c r="K9" s="9" t="n">
        <f aca="false">COUNTIFS(Eventos!$B$4:$B$1563,$B9,Eventos!$E$4:$E$1563,$C9)</f>
        <v>5</v>
      </c>
    </row>
    <row r="10" customFormat="false" ht="15" hidden="false" customHeight="false" outlineLevel="0" collapsed="false">
      <c r="A10" s="9" t="str">
        <f aca="false">B10&amp;"|"&amp;C10</f>
        <v>Caminhão|S</v>
      </c>
      <c r="B10" s="9" t="s">
        <v>83</v>
      </c>
      <c r="C10" s="9" t="s">
        <v>183</v>
      </c>
      <c r="D10" s="9" t="n">
        <f aca="false">ROUND(SUMIFS(Checklist!$H$5:$H$104,Checklist!$C$5:$C$104,$B10,Checklist!$D$5:$D$104,D$3,Checklist!$B$5:$B$104,"S"),2)</f>
        <v>2.25</v>
      </c>
      <c r="E10" s="9" t="n">
        <f aca="false">ROUND(SUMIFS(Checklist!$H$5:$H$104,Checklist!$C$5:$C$104,$B10,Checklist!$D$5:$D$104,E$3,Checklist!$B$5:$B$104,"S"),2)</f>
        <v>0</v>
      </c>
      <c r="F10" s="9" t="n">
        <f aca="false">ROUND(SUMIFS(Checklist!$H$5:$H$104,Checklist!$C$5:$C$104,$B10,Checklist!$D$5:$D$104,F$3,Checklist!$B$5:$B$104,"S"),2)</f>
        <v>0</v>
      </c>
      <c r="G10" s="9" t="n">
        <f aca="false">ROUND(SUMIFS(Checklist!$H$5:$H$104,Checklist!$C$5:$C$104,$B10,Checklist!$D$5:$D$104,G$3,Checklist!$B$5:$B$104,"S"),2)</f>
        <v>0.5</v>
      </c>
      <c r="H10" s="9" t="n">
        <f aca="false">ROUND(SUMIFS(Checklist!$H$5:$H$104,Checklist!$C$5:$C$104,$B10,Checklist!$D$5:$D$104,H$3,Checklist!$B$5:$B$104,"S"),2)</f>
        <v>0.5</v>
      </c>
      <c r="I10" s="9" t="n">
        <f aca="false">ROUND(SUMIFS(Checklist!$H$5:$H$104,Checklist!$C$5:$C$104,$B10,Checklist!$D$5:$D$104,I$3,Checklist!$B$5:$B$104,"S"),2)</f>
        <v>0</v>
      </c>
      <c r="J10" s="9" t="n">
        <f aca="false">ROUND(SUM(D10:I10),2)</f>
        <v>3.25</v>
      </c>
      <c r="K10" s="9" t="n">
        <f aca="false">COUNTIFS(Eventos!$B$4:$B$1563,$B10,Eventos!$E$4:$E$1563,$C10)</f>
        <v>6</v>
      </c>
    </row>
    <row r="11" customFormat="false" ht="15" hidden="false" customHeight="false" outlineLevel="0" collapsed="false">
      <c r="A11" s="9" t="str">
        <f aca="false">B11&amp;"|"&amp;C11</f>
        <v>Caminhão|A</v>
      </c>
      <c r="B11" s="9" t="s">
        <v>83</v>
      </c>
      <c r="C11" s="9" t="s">
        <v>202</v>
      </c>
      <c r="D11" s="9" t="n">
        <f aca="false">ROUND(SUMIFS(Checklist!$H$5:$H$104,Checklist!$C$5:$C$104,$B11,Checklist!$D$5:$D$104,D$3,Checklist!$B$5:$B$104,"S")+SUMIFS(Checklist!$H$5:$H$104,Checklist!$C$5:$C$104,$B11,Checklist!$D$5:$D$104,D$3,Checklist!$B$5:$B$104,"A"),2)</f>
        <v>6.25</v>
      </c>
      <c r="E11" s="9" t="n">
        <f aca="false">ROUND(SUMIFS(Checklist!$H$5:$H$104,Checklist!$C$5:$C$104,$B11,Checklist!$D$5:$D$104,E$3,Checklist!$B$5:$B$104,"S")+SUMIFS(Checklist!$H$5:$H$104,Checklist!$C$5:$C$104,$B11,Checklist!$D$5:$D$104,E$3,Checklist!$B$5:$B$104,"A"),2)</f>
        <v>0</v>
      </c>
      <c r="F11" s="9" t="n">
        <f aca="false">ROUND(SUMIFS(Checklist!$H$5:$H$104,Checklist!$C$5:$C$104,$B11,Checklist!$D$5:$D$104,F$3,Checklist!$B$5:$B$104,"S")+SUMIFS(Checklist!$H$5:$H$104,Checklist!$C$5:$C$104,$B11,Checklist!$D$5:$D$104,F$3,Checklist!$B$5:$B$104,"A"),2)</f>
        <v>1</v>
      </c>
      <c r="G11" s="9" t="n">
        <f aca="false">ROUND(SUMIFS(Checklist!$H$5:$H$104,Checklist!$C$5:$C$104,$B11,Checklist!$D$5:$D$104,G$3,Checklist!$B$5:$B$104,"S")+SUMIFS(Checklist!$H$5:$H$104,Checklist!$C$5:$C$104,$B11,Checklist!$D$5:$D$104,G$3,Checklist!$B$5:$B$104,"A"),2)</f>
        <v>0.5</v>
      </c>
      <c r="H11" s="9" t="n">
        <f aca="false">ROUND(SUMIFS(Checklist!$H$5:$H$104,Checklist!$C$5:$C$104,$B11,Checklist!$D$5:$D$104,H$3,Checklist!$B$5:$B$104,"S")+SUMIFS(Checklist!$H$5:$H$104,Checklist!$C$5:$C$104,$B11,Checklist!$D$5:$D$104,H$3,Checklist!$B$5:$B$104,"A"),2)</f>
        <v>0.5</v>
      </c>
      <c r="I11" s="9" t="n">
        <f aca="false">ROUND(SUMIFS(Checklist!$H$5:$H$104,Checklist!$C$5:$C$104,$B11,Checklist!$D$5:$D$104,I$3,Checklist!$B$5:$B$104,"S")+SUMIFS(Checklist!$H$5:$H$104,Checklist!$C$5:$C$104,$B11,Checklist!$D$5:$D$104,I$3,Checklist!$B$5:$B$104,"A"),2)</f>
        <v>0</v>
      </c>
      <c r="J11" s="9" t="n">
        <f aca="false">ROUND(SUM(D11:I11),2)</f>
        <v>8.25</v>
      </c>
      <c r="K11" s="9" t="n">
        <f aca="false">COUNTIFS(Eventos!$B$4:$B$1563,$B11,Eventos!$E$4:$E$1563,$C11)</f>
        <v>3</v>
      </c>
    </row>
    <row r="12" customFormat="false" ht="15" hidden="false" customHeight="false" outlineLevel="0" collapsed="false">
      <c r="A12" s="9" t="str">
        <f aca="false">B12&amp;"|"&amp;C12</f>
        <v>Caminhão|B</v>
      </c>
      <c r="B12" s="9" t="s">
        <v>83</v>
      </c>
      <c r="C12" s="9" t="s">
        <v>304</v>
      </c>
      <c r="D12" s="9" t="n">
        <f aca="false">ROUND(SUMIFS(Checklist!$H$5:$H$104,Checklist!$C$5:$C$104,$B12,Checklist!$D$5:$D$104,D$3,Checklist!$B$5:$B$104,"S")+SUMIFS(Checklist!$H$5:$H$104,Checklist!$C$5:$C$104,$B12,Checklist!$D$5:$D$104,D$3,Checklist!$B$5:$B$104,"A")+SUMIFS(Checklist!$H$5:$H$104,Checklist!$C$5:$C$104,$B12,Checklist!$D$5:$D$104,D$3,Checklist!$B$5:$B$104,"B"),2)</f>
        <v>6.25</v>
      </c>
      <c r="E12" s="9" t="n">
        <f aca="false">ROUND(SUMIFS(Checklist!$H$5:$H$104,Checklist!$C$5:$C$104,$B12,Checklist!$D$5:$D$104,E$3,Checklist!$B$5:$B$104,"S")+SUMIFS(Checklist!$H$5:$H$104,Checklist!$C$5:$C$104,$B12,Checklist!$D$5:$D$104,E$3,Checklist!$B$5:$B$104,"A")+SUMIFS(Checklist!$H$5:$H$104,Checklist!$C$5:$C$104,$B12,Checklist!$D$5:$D$104,E$3,Checklist!$B$5:$B$104,"B"),2)</f>
        <v>0</v>
      </c>
      <c r="F12" s="9" t="n">
        <f aca="false">ROUND(SUMIFS(Checklist!$H$5:$H$104,Checklist!$C$5:$C$104,$B12,Checklist!$D$5:$D$104,F$3,Checklist!$B$5:$B$104,"S")+SUMIFS(Checklist!$H$5:$H$104,Checklist!$C$5:$C$104,$B12,Checklist!$D$5:$D$104,F$3,Checklist!$B$5:$B$104,"A")+SUMIFS(Checklist!$H$5:$H$104,Checklist!$C$5:$C$104,$B12,Checklist!$D$5:$D$104,F$3,Checklist!$B$5:$B$104,"B"),2)</f>
        <v>1</v>
      </c>
      <c r="G12" s="9" t="n">
        <f aca="false">ROUND(SUMIFS(Checklist!$H$5:$H$104,Checklist!$C$5:$C$104,$B12,Checklist!$D$5:$D$104,G$3,Checklist!$B$5:$B$104,"S")+SUMIFS(Checklist!$H$5:$H$104,Checklist!$C$5:$C$104,$B12,Checklist!$D$5:$D$104,G$3,Checklist!$B$5:$B$104,"A")+SUMIFS(Checklist!$H$5:$H$104,Checklist!$C$5:$C$104,$B12,Checklist!$D$5:$D$104,G$3,Checklist!$B$5:$B$104,"B"),2)</f>
        <v>0.5</v>
      </c>
      <c r="H12" s="9" t="n">
        <f aca="false">ROUND(SUMIFS(Checklist!$H$5:$H$104,Checklist!$C$5:$C$104,$B12,Checklist!$D$5:$D$104,H$3,Checklist!$B$5:$B$104,"S")+SUMIFS(Checklist!$H$5:$H$104,Checklist!$C$5:$C$104,$B12,Checklist!$D$5:$D$104,H$3,Checklist!$B$5:$B$104,"A")+SUMIFS(Checklist!$H$5:$H$104,Checklist!$C$5:$C$104,$B12,Checklist!$D$5:$D$104,H$3,Checklist!$B$5:$B$104,"B"),2)</f>
        <v>0.5</v>
      </c>
      <c r="I12" s="9" t="n">
        <f aca="false">ROUND(SUMIFS(Checklist!$H$5:$H$104,Checklist!$C$5:$C$104,$B12,Checklist!$D$5:$D$104,I$3,Checklist!$B$5:$B$104,"S")+SUMIFS(Checklist!$H$5:$H$104,Checklist!$C$5:$C$104,$B12,Checklist!$D$5:$D$104,I$3,Checklist!$B$5:$B$104,"A")+SUMIFS(Checklist!$H$5:$H$104,Checklist!$C$5:$C$104,$B12,Checklist!$D$5:$D$104,I$3,Checklist!$B$5:$B$104,"B"),2)</f>
        <v>0</v>
      </c>
      <c r="J12" s="9" t="n">
        <f aca="false">ROUND(SUM(D12:I12),2)</f>
        <v>8.25</v>
      </c>
      <c r="K12" s="9" t="n">
        <f aca="false">COUNTIFS(Eventos!$B$4:$B$1563,$B12,Eventos!$E$4:$E$1563,$C12)</f>
        <v>3</v>
      </c>
    </row>
    <row r="13" customFormat="false" ht="15" hidden="false" customHeight="false" outlineLevel="0" collapsed="false">
      <c r="A13" s="9" t="str">
        <f aca="false">B13&amp;"|"&amp;C13</f>
        <v>Implemento|S</v>
      </c>
      <c r="B13" s="9" t="s">
        <v>85</v>
      </c>
      <c r="C13" s="9" t="s">
        <v>183</v>
      </c>
      <c r="D13" s="9" t="n">
        <f aca="false">ROUND(SUMIFS(Checklist!$H$5:$H$104,Checklist!$C$5:$C$104,$B13,Checklist!$D$5:$D$104,D$3,Checklist!$B$5:$B$104,"S"),2)</f>
        <v>0.75</v>
      </c>
      <c r="E13" s="9" t="n">
        <f aca="false">ROUND(SUMIFS(Checklist!$H$5:$H$104,Checklist!$C$5:$C$104,$B13,Checklist!$D$5:$D$104,E$3,Checklist!$B$5:$B$104,"S"),2)</f>
        <v>0</v>
      </c>
      <c r="F13" s="9" t="n">
        <f aca="false">ROUND(SUMIFS(Checklist!$H$5:$H$104,Checklist!$C$5:$C$104,$B13,Checklist!$D$5:$D$104,F$3,Checklist!$B$5:$B$104,"S"),2)</f>
        <v>0</v>
      </c>
      <c r="G13" s="9" t="n">
        <f aca="false">ROUND(SUMIFS(Checklist!$H$5:$H$104,Checklist!$C$5:$C$104,$B13,Checklist!$D$5:$D$104,G$3,Checklist!$B$5:$B$104,"S"),2)</f>
        <v>0.5</v>
      </c>
      <c r="H13" s="9" t="n">
        <f aca="false">ROUND(SUMIFS(Checklist!$H$5:$H$104,Checklist!$C$5:$C$104,$B13,Checklist!$D$5:$D$104,H$3,Checklist!$B$5:$B$104,"S"),2)</f>
        <v>0</v>
      </c>
      <c r="I13" s="9" t="n">
        <f aca="false">ROUND(SUMIFS(Checklist!$H$5:$H$104,Checklist!$C$5:$C$104,$B13,Checklist!$D$5:$D$104,I$3,Checklist!$B$5:$B$104,"S"),2)</f>
        <v>1.5</v>
      </c>
      <c r="J13" s="9" t="n">
        <f aca="false">ROUND(SUM(D13:I13),2)</f>
        <v>2.75</v>
      </c>
      <c r="K13" s="9" t="n">
        <f aca="false">COUNTIFS(Eventos!$B$4:$B$1563,$B13,Eventos!$E$4:$E$1563,$C13)</f>
        <v>5</v>
      </c>
    </row>
    <row r="14" customFormat="false" ht="15" hidden="false" customHeight="false" outlineLevel="0" collapsed="false">
      <c r="A14" s="9" t="str">
        <f aca="false">B14&amp;"|"&amp;C14</f>
        <v>Implemento|A</v>
      </c>
      <c r="B14" s="9" t="s">
        <v>85</v>
      </c>
      <c r="C14" s="9" t="s">
        <v>202</v>
      </c>
      <c r="D14" s="9" t="n">
        <f aca="false">ROUND(SUMIFS(Checklist!$H$5:$H$104,Checklist!$C$5:$C$104,$B14,Checklist!$D$5:$D$104,D$3,Checklist!$B$5:$B$104,"S")+SUMIFS(Checklist!$H$5:$H$104,Checklist!$C$5:$C$104,$B14,Checklist!$D$5:$D$104,D$3,Checklist!$B$5:$B$104,"A"),2)</f>
        <v>0.75</v>
      </c>
      <c r="E14" s="9" t="n">
        <f aca="false">ROUND(SUMIFS(Checklist!$H$5:$H$104,Checklist!$C$5:$C$104,$B14,Checklist!$D$5:$D$104,E$3,Checklist!$B$5:$B$104,"S")+SUMIFS(Checklist!$H$5:$H$104,Checklist!$C$5:$C$104,$B14,Checklist!$D$5:$D$104,E$3,Checklist!$B$5:$B$104,"A"),2)</f>
        <v>0</v>
      </c>
      <c r="F14" s="9" t="n">
        <f aca="false">ROUND(SUMIFS(Checklist!$H$5:$H$104,Checklist!$C$5:$C$104,$B14,Checklist!$D$5:$D$104,F$3,Checklist!$B$5:$B$104,"S")+SUMIFS(Checklist!$H$5:$H$104,Checklist!$C$5:$C$104,$B14,Checklist!$D$5:$D$104,F$3,Checklist!$B$5:$B$104,"A"),2)</f>
        <v>0</v>
      </c>
      <c r="G14" s="9" t="n">
        <f aca="false">ROUND(SUMIFS(Checklist!$H$5:$H$104,Checklist!$C$5:$C$104,$B14,Checklist!$D$5:$D$104,G$3,Checklist!$B$5:$B$104,"S")+SUMIFS(Checklist!$H$5:$H$104,Checklist!$C$5:$C$104,$B14,Checklist!$D$5:$D$104,G$3,Checklist!$B$5:$B$104,"A"),2)</f>
        <v>0.5</v>
      </c>
      <c r="H14" s="9" t="n">
        <f aca="false">ROUND(SUMIFS(Checklist!$H$5:$H$104,Checklist!$C$5:$C$104,$B14,Checklist!$D$5:$D$104,H$3,Checklist!$B$5:$B$104,"S")+SUMIFS(Checklist!$H$5:$H$104,Checklist!$C$5:$C$104,$B14,Checklist!$D$5:$D$104,H$3,Checklist!$B$5:$B$104,"A"),2)</f>
        <v>0</v>
      </c>
      <c r="I14" s="9" t="n">
        <f aca="false">ROUND(SUMIFS(Checklist!$H$5:$H$104,Checklist!$C$5:$C$104,$B14,Checklist!$D$5:$D$104,I$3,Checklist!$B$5:$B$104,"S")+SUMIFS(Checklist!$H$5:$H$104,Checklist!$C$5:$C$104,$B14,Checklist!$D$5:$D$104,I$3,Checklist!$B$5:$B$104,"A"),2)</f>
        <v>1.5</v>
      </c>
      <c r="J14" s="9" t="n">
        <f aca="false">ROUND(SUM(D14:I14),2)</f>
        <v>2.75</v>
      </c>
      <c r="K14" s="9" t="n">
        <f aca="false">COUNTIFS(Eventos!$B$4:$B$1563,$B14,Eventos!$E$4:$E$1563,$C14)</f>
        <v>4</v>
      </c>
    </row>
    <row r="15" customFormat="false" ht="15" hidden="false" customHeight="false" outlineLevel="0" collapsed="false">
      <c r="A15" s="9" t="str">
        <f aca="false">B15&amp;"|"&amp;C15</f>
        <v>Implemento|B</v>
      </c>
      <c r="B15" s="9" t="s">
        <v>85</v>
      </c>
      <c r="C15" s="9" t="s">
        <v>304</v>
      </c>
      <c r="D15" s="9" t="n">
        <f aca="false">ROUND(SUMIFS(Checklist!$H$5:$H$104,Checklist!$C$5:$C$104,$B15,Checklist!$D$5:$D$104,D$3,Checklist!$B$5:$B$104,"S")+SUMIFS(Checklist!$H$5:$H$104,Checklist!$C$5:$C$104,$B15,Checklist!$D$5:$D$104,D$3,Checklist!$B$5:$B$104,"A")+SUMIFS(Checklist!$H$5:$H$104,Checklist!$C$5:$C$104,$B15,Checklist!$D$5:$D$104,D$3,Checklist!$B$5:$B$104,"B"),2)</f>
        <v>0.75</v>
      </c>
      <c r="E15" s="9" t="n">
        <f aca="false">ROUND(SUMIFS(Checklist!$H$5:$H$104,Checklist!$C$5:$C$104,$B15,Checklist!$D$5:$D$104,E$3,Checklist!$B$5:$B$104,"S")+SUMIFS(Checklist!$H$5:$H$104,Checklist!$C$5:$C$104,$B15,Checklist!$D$5:$D$104,E$3,Checklist!$B$5:$B$104,"A")+SUMIFS(Checklist!$H$5:$H$104,Checklist!$C$5:$C$104,$B15,Checklist!$D$5:$D$104,E$3,Checklist!$B$5:$B$104,"B"),2)</f>
        <v>0</v>
      </c>
      <c r="F15" s="9" t="n">
        <f aca="false">ROUND(SUMIFS(Checklist!$H$5:$H$104,Checklist!$C$5:$C$104,$B15,Checklist!$D$5:$D$104,F$3,Checklist!$B$5:$B$104,"S")+SUMIFS(Checklist!$H$5:$H$104,Checklist!$C$5:$C$104,$B15,Checklist!$D$5:$D$104,F$3,Checklist!$B$5:$B$104,"A")+SUMIFS(Checklist!$H$5:$H$104,Checklist!$C$5:$C$104,$B15,Checklist!$D$5:$D$104,F$3,Checklist!$B$5:$B$104,"B"),2)</f>
        <v>0</v>
      </c>
      <c r="G15" s="9" t="n">
        <f aca="false">ROUND(SUMIFS(Checklist!$H$5:$H$104,Checklist!$C$5:$C$104,$B15,Checklist!$D$5:$D$104,G$3,Checklist!$B$5:$B$104,"S")+SUMIFS(Checklist!$H$5:$H$104,Checklist!$C$5:$C$104,$B15,Checklist!$D$5:$D$104,G$3,Checklist!$B$5:$B$104,"A")+SUMIFS(Checklist!$H$5:$H$104,Checklist!$C$5:$C$104,$B15,Checklist!$D$5:$D$104,G$3,Checklist!$B$5:$B$104,"B"),2)</f>
        <v>0.5</v>
      </c>
      <c r="H15" s="9" t="n">
        <f aca="false">ROUND(SUMIFS(Checklist!$H$5:$H$104,Checklist!$C$5:$C$104,$B15,Checklist!$D$5:$D$104,H$3,Checklist!$B$5:$B$104,"S")+SUMIFS(Checklist!$H$5:$H$104,Checklist!$C$5:$C$104,$B15,Checklist!$D$5:$D$104,H$3,Checklist!$B$5:$B$104,"A")+SUMIFS(Checklist!$H$5:$H$104,Checklist!$C$5:$C$104,$B15,Checklist!$D$5:$D$104,H$3,Checklist!$B$5:$B$104,"B"),2)</f>
        <v>0</v>
      </c>
      <c r="I15" s="9" t="n">
        <f aca="false">ROUND(SUMIFS(Checklist!$H$5:$H$104,Checklist!$C$5:$C$104,$B15,Checklist!$D$5:$D$104,I$3,Checklist!$B$5:$B$104,"S")+SUMIFS(Checklist!$H$5:$H$104,Checklist!$C$5:$C$104,$B15,Checklist!$D$5:$D$104,I$3,Checklist!$B$5:$B$104,"A")+SUMIFS(Checklist!$H$5:$H$104,Checklist!$C$5:$C$104,$B15,Checklist!$D$5:$D$104,I$3,Checklist!$B$5:$B$104,"B"),2)</f>
        <v>1.5</v>
      </c>
      <c r="J15" s="9" t="n">
        <f aca="false">ROUND(SUM(D15:I15),2)</f>
        <v>2.75</v>
      </c>
      <c r="K15" s="9" t="n">
        <f aca="false">COUNTIFS(Eventos!$B$4:$B$1563,$B15,Eventos!$E$4:$E$1563,$C15)</f>
        <v>0</v>
      </c>
    </row>
    <row r="16" customFormat="false" ht="15" hidden="false" customHeight="false" outlineLevel="0" collapsed="false">
      <c r="A16" s="9" t="str">
        <f aca="false">B16&amp;"|"&amp;C16</f>
        <v>Veículo Leve|S</v>
      </c>
      <c r="B16" s="9" t="s">
        <v>86</v>
      </c>
      <c r="C16" s="9" t="s">
        <v>183</v>
      </c>
      <c r="D16" s="9" t="n">
        <f aca="false">ROUND(SUMIFS(Checklist!$H$5:$H$104,Checklist!$C$5:$C$104,$B16,Checklist!$D$5:$D$104,D$3,Checklist!$B$5:$B$104,"S"),2)</f>
        <v>0</v>
      </c>
      <c r="E16" s="9" t="n">
        <f aca="false">ROUND(SUMIFS(Checklist!$H$5:$H$104,Checklist!$C$5:$C$104,$B16,Checklist!$D$5:$D$104,E$3,Checklist!$B$5:$B$104,"S"),2)</f>
        <v>0</v>
      </c>
      <c r="F16" s="9" t="n">
        <f aca="false">ROUND(SUMIFS(Checklist!$H$5:$H$104,Checklist!$C$5:$C$104,$B16,Checklist!$D$5:$D$104,F$3,Checklist!$B$5:$B$104,"S"),2)</f>
        <v>0</v>
      </c>
      <c r="G16" s="9" t="n">
        <f aca="false">ROUND(SUMIFS(Checklist!$H$5:$H$104,Checklist!$C$5:$C$104,$B16,Checklist!$D$5:$D$104,G$3,Checklist!$B$5:$B$104,"S"),2)</f>
        <v>0</v>
      </c>
      <c r="H16" s="9" t="n">
        <f aca="false">ROUND(SUMIFS(Checklist!$H$5:$H$104,Checklist!$C$5:$C$104,$B16,Checklist!$D$5:$D$104,H$3,Checklist!$B$5:$B$104,"S"),2)</f>
        <v>0</v>
      </c>
      <c r="I16" s="9" t="n">
        <f aca="false">ROUND(SUMIFS(Checklist!$H$5:$H$104,Checklist!$C$5:$C$104,$B16,Checklist!$D$5:$D$104,I$3,Checklist!$B$5:$B$104,"S"),2)</f>
        <v>0</v>
      </c>
      <c r="J16" s="9" t="n">
        <f aca="false">ROUND(SUM(D16:I16),2)</f>
        <v>0</v>
      </c>
      <c r="K16" s="9" t="n">
        <f aca="false">COUNTIFS(Eventos!$B$4:$B$1563,$B16,Eventos!$E$4:$E$1563,$C16)</f>
        <v>3</v>
      </c>
    </row>
    <row r="17" customFormat="false" ht="15" hidden="false" customHeight="false" outlineLevel="0" collapsed="false">
      <c r="A17" s="9" t="str">
        <f aca="false">B17&amp;"|"&amp;C17</f>
        <v>Veículo Leve|A</v>
      </c>
      <c r="B17" s="9" t="s">
        <v>86</v>
      </c>
      <c r="C17" s="9" t="s">
        <v>202</v>
      </c>
      <c r="D17" s="9" t="n">
        <f aca="false">ROUND(SUMIFS(Checklist!$H$5:$H$104,Checklist!$C$5:$C$104,$B17,Checklist!$D$5:$D$104,D$3,Checklist!$B$5:$B$104,"S")+SUMIFS(Checklist!$H$5:$H$104,Checklist!$C$5:$C$104,$B17,Checklist!$D$5:$D$104,D$3,Checklist!$B$5:$B$104,"A"),2)</f>
        <v>0</v>
      </c>
      <c r="E17" s="9" t="n">
        <f aca="false">ROUND(SUMIFS(Checklist!$H$5:$H$104,Checklist!$C$5:$C$104,$B17,Checklist!$D$5:$D$104,E$3,Checklist!$B$5:$B$104,"S")+SUMIFS(Checklist!$H$5:$H$104,Checklist!$C$5:$C$104,$B17,Checklist!$D$5:$D$104,E$3,Checklist!$B$5:$B$104,"A"),2)</f>
        <v>0</v>
      </c>
      <c r="F17" s="9" t="n">
        <f aca="false">ROUND(SUMIFS(Checklist!$H$5:$H$104,Checklist!$C$5:$C$104,$B17,Checklist!$D$5:$D$104,F$3,Checklist!$B$5:$B$104,"S")+SUMIFS(Checklist!$H$5:$H$104,Checklist!$C$5:$C$104,$B17,Checklist!$D$5:$D$104,F$3,Checklist!$B$5:$B$104,"A"),2)</f>
        <v>0</v>
      </c>
      <c r="G17" s="9" t="n">
        <f aca="false">ROUND(SUMIFS(Checklist!$H$5:$H$104,Checklist!$C$5:$C$104,$B17,Checklist!$D$5:$D$104,G$3,Checklist!$B$5:$B$104,"S")+SUMIFS(Checklist!$H$5:$H$104,Checklist!$C$5:$C$104,$B17,Checklist!$D$5:$D$104,G$3,Checklist!$B$5:$B$104,"A"),2)</f>
        <v>0</v>
      </c>
      <c r="H17" s="9" t="n">
        <f aca="false">ROUND(SUMIFS(Checklist!$H$5:$H$104,Checklist!$C$5:$C$104,$B17,Checklist!$D$5:$D$104,H$3,Checklist!$B$5:$B$104,"S")+SUMIFS(Checklist!$H$5:$H$104,Checklist!$C$5:$C$104,$B17,Checklist!$D$5:$D$104,H$3,Checklist!$B$5:$B$104,"A"),2)</f>
        <v>0</v>
      </c>
      <c r="I17" s="9" t="n">
        <f aca="false">ROUND(SUMIFS(Checklist!$H$5:$H$104,Checklist!$C$5:$C$104,$B17,Checklist!$D$5:$D$104,I$3,Checklist!$B$5:$B$104,"S")+SUMIFS(Checklist!$H$5:$H$104,Checklist!$C$5:$C$104,$B17,Checklist!$D$5:$D$104,I$3,Checklist!$B$5:$B$104,"A"),2)</f>
        <v>0</v>
      </c>
      <c r="J17" s="9" t="n">
        <f aca="false">ROUND(SUM(D17:I17),2)</f>
        <v>0</v>
      </c>
      <c r="K17" s="9" t="n">
        <f aca="false">COUNTIFS(Eventos!$B$4:$B$1563,$B17,Eventos!$E$4:$E$1563,$C17)</f>
        <v>4</v>
      </c>
    </row>
    <row r="18" customFormat="false" ht="15" hidden="false" customHeight="false" outlineLevel="0" collapsed="false">
      <c r="A18" s="9" t="str">
        <f aca="false">B18&amp;"|"&amp;C18</f>
        <v>Veículo Leve|B</v>
      </c>
      <c r="B18" s="9" t="s">
        <v>86</v>
      </c>
      <c r="C18" s="9" t="s">
        <v>304</v>
      </c>
      <c r="D18" s="9" t="n">
        <f aca="false">ROUND(SUMIFS(Checklist!$H$5:$H$104,Checklist!$C$5:$C$104,$B18,Checklist!$D$5:$D$104,D$3,Checklist!$B$5:$B$104,"S")+SUMIFS(Checklist!$H$5:$H$104,Checklist!$C$5:$C$104,$B18,Checklist!$D$5:$D$104,D$3,Checklist!$B$5:$B$104,"A")+SUMIFS(Checklist!$H$5:$H$104,Checklist!$C$5:$C$104,$B18,Checklist!$D$5:$D$104,D$3,Checklist!$B$5:$B$104,"B"),2)</f>
        <v>0</v>
      </c>
      <c r="E18" s="9" t="n">
        <f aca="false">ROUND(SUMIFS(Checklist!$H$5:$H$104,Checklist!$C$5:$C$104,$B18,Checklist!$D$5:$D$104,E$3,Checklist!$B$5:$B$104,"S")+SUMIFS(Checklist!$H$5:$H$104,Checklist!$C$5:$C$104,$B18,Checklist!$D$5:$D$104,E$3,Checklist!$B$5:$B$104,"A")+SUMIFS(Checklist!$H$5:$H$104,Checklist!$C$5:$C$104,$B18,Checklist!$D$5:$D$104,E$3,Checklist!$B$5:$B$104,"B"),2)</f>
        <v>0</v>
      </c>
      <c r="F18" s="9" t="n">
        <f aca="false">ROUND(SUMIFS(Checklist!$H$5:$H$104,Checklist!$C$5:$C$104,$B18,Checklist!$D$5:$D$104,F$3,Checklist!$B$5:$B$104,"S")+SUMIFS(Checklist!$H$5:$H$104,Checklist!$C$5:$C$104,$B18,Checklist!$D$5:$D$104,F$3,Checklist!$B$5:$B$104,"A")+SUMIFS(Checklist!$H$5:$H$104,Checklist!$C$5:$C$104,$B18,Checklist!$D$5:$D$104,F$3,Checklist!$B$5:$B$104,"B"),2)</f>
        <v>0</v>
      </c>
      <c r="G18" s="9" t="n">
        <f aca="false">ROUND(SUMIFS(Checklist!$H$5:$H$104,Checklist!$C$5:$C$104,$B18,Checklist!$D$5:$D$104,G$3,Checklist!$B$5:$B$104,"S")+SUMIFS(Checklist!$H$5:$H$104,Checklist!$C$5:$C$104,$B18,Checklist!$D$5:$D$104,G$3,Checklist!$B$5:$B$104,"A")+SUMIFS(Checklist!$H$5:$H$104,Checklist!$C$5:$C$104,$B18,Checklist!$D$5:$D$104,G$3,Checklist!$B$5:$B$104,"B"),2)</f>
        <v>0</v>
      </c>
      <c r="H18" s="9" t="n">
        <f aca="false">ROUND(SUMIFS(Checklist!$H$5:$H$104,Checklist!$C$5:$C$104,$B18,Checklist!$D$5:$D$104,H$3,Checklist!$B$5:$B$104,"S")+SUMIFS(Checklist!$H$5:$H$104,Checklist!$C$5:$C$104,$B18,Checklist!$D$5:$D$104,H$3,Checklist!$B$5:$B$104,"A")+SUMIFS(Checklist!$H$5:$H$104,Checklist!$C$5:$C$104,$B18,Checklist!$D$5:$D$104,H$3,Checklist!$B$5:$B$104,"B"),2)</f>
        <v>0</v>
      </c>
      <c r="I18" s="9" t="n">
        <f aca="false">ROUND(SUMIFS(Checklist!$H$5:$H$104,Checklist!$C$5:$C$104,$B18,Checklist!$D$5:$D$104,I$3,Checklist!$B$5:$B$104,"S")+SUMIFS(Checklist!$H$5:$H$104,Checklist!$C$5:$C$104,$B18,Checklist!$D$5:$D$104,I$3,Checklist!$B$5:$B$104,"A")+SUMIFS(Checklist!$H$5:$H$104,Checklist!$C$5:$C$104,$B18,Checklist!$D$5:$D$104,I$3,Checklist!$B$5:$B$104,"B"),2)</f>
        <v>0</v>
      </c>
      <c r="J18" s="9" t="n">
        <f aca="false">ROUND(SUM(D18:I18),2)</f>
        <v>0</v>
      </c>
      <c r="K18" s="9" t="n">
        <f aca="false">COUNTIFS(Eventos!$B$4:$B$1563,$B18,Eventos!$E$4:$E$1563,$C18)</f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B5B7"/>
    <pageSetUpPr fitToPage="false"/>
  </sheetPr>
  <dimension ref="A1:L15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5" min="4" style="0" width="6"/>
    <col collapsed="false" customWidth="true" hidden="false" outlineLevel="0" max="6" min="6" style="0" width="9"/>
    <col collapsed="false" customWidth="true" hidden="false" outlineLevel="0" max="12" min="7" style="0" width="12"/>
  </cols>
  <sheetData>
    <row r="1" customFormat="false" ht="16.15" hidden="false" customHeight="false" outlineLevel="0" collapsed="false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3.85" hidden="false" customHeight="false" outlineLevel="0" collapsed="false">
      <c r="A3" s="5" t="s">
        <v>105</v>
      </c>
      <c r="B3" s="5" t="s">
        <v>75</v>
      </c>
      <c r="C3" s="5" t="s">
        <v>237</v>
      </c>
      <c r="D3" s="5" t="s">
        <v>53</v>
      </c>
      <c r="E3" s="5" t="s">
        <v>301</v>
      </c>
      <c r="F3" s="5" t="s">
        <v>306</v>
      </c>
      <c r="G3" s="5" t="s">
        <v>307</v>
      </c>
      <c r="H3" s="5" t="s">
        <v>308</v>
      </c>
      <c r="I3" s="5" t="s">
        <v>309</v>
      </c>
      <c r="J3" s="5" t="s">
        <v>310</v>
      </c>
      <c r="K3" s="5" t="s">
        <v>311</v>
      </c>
      <c r="L3" s="5" t="s">
        <v>312</v>
      </c>
    </row>
    <row r="4" customFormat="false" ht="15" hidden="false" customHeight="false" outlineLevel="0" collapsed="false">
      <c r="A4" s="0" t="str">
        <f aca="false">IF(Frota!$A5="","",Frota!$A5)</f>
        <v>Colhedora CASE A8810 — 1035</v>
      </c>
      <c r="B4" s="0" t="str">
        <f aca="false">IF(Frota!$A5="","",Frota!$B5)</f>
        <v>Colhedora</v>
      </c>
      <c r="C4" s="0" t="n">
        <v>1</v>
      </c>
      <c r="D4" s="0" t="n">
        <f aca="false">INDEX(Semanas!$E$3:$E$54,1)</f>
        <v>4</v>
      </c>
      <c r="E4" s="0" t="str">
        <f aca="false">IF(Frota!$A5="","",Cronograma!B5)</f>
        <v/>
      </c>
      <c r="F4" s="0" t="n">
        <f aca="false">IF(OR($E4="",$E4=0),0,1)</f>
        <v>0</v>
      </c>
      <c r="G4" s="0" t="n">
        <f aca="false">IF($F4=0,0,INDEX(Aux_HH!$D$4:$D$18,MATCH($B4&amp;"|"&amp;$E4,Aux_HH!$A$4:$A$18,0)))</f>
        <v>0</v>
      </c>
      <c r="H4" s="0" t="n">
        <f aca="false">IF($F4=0,0,INDEX(Aux_HH!$E$4:$E$18,MATCH($B4&amp;"|"&amp;$E4,Aux_HH!$A$4:$A$18,0)))</f>
        <v>0</v>
      </c>
      <c r="I4" s="0" t="n">
        <f aca="false">IF($F4=0,0,INDEX(Aux_HH!$F$4:$F$18,MATCH($B4&amp;"|"&amp;$E4,Aux_HH!$A$4:$A$18,0)))</f>
        <v>0</v>
      </c>
      <c r="J4" s="0" t="n">
        <f aca="false">IF($F4=0,0,INDEX(Aux_HH!$G$4:$G$18,MATCH($B4&amp;"|"&amp;$E4,Aux_HH!$A$4:$A$18,0)))</f>
        <v>0</v>
      </c>
      <c r="K4" s="0" t="n">
        <f aca="false">IF($F4=0,0,INDEX(Aux_HH!$H$4:$H$18,MATCH($B4&amp;"|"&amp;$E4,Aux_HH!$A$4:$A$18,0)))</f>
        <v>0</v>
      </c>
      <c r="L4" s="0" t="n">
        <f aca="false">IF($F4=0,0,INDEX(Aux_HH!$I$4:$I$18,MATCH($B4&amp;"|"&amp;$E4,Aux_HH!$A$4:$A$18,0)))</f>
        <v>0</v>
      </c>
    </row>
    <row r="5" customFormat="false" ht="15" hidden="false" customHeight="false" outlineLevel="0" collapsed="false">
      <c r="A5" s="0" t="str">
        <f aca="false">IF(Frota!$A5="","",Frota!$A5)</f>
        <v>Colhedora CASE A8810 — 1035</v>
      </c>
      <c r="B5" s="0" t="str">
        <f aca="false">IF(Frota!$A5="","",Frota!$B5)</f>
        <v>Colhedora</v>
      </c>
      <c r="C5" s="0" t="n">
        <v>2</v>
      </c>
      <c r="D5" s="0" t="n">
        <f aca="false">INDEX(Semanas!$E$3:$E$54,2)</f>
        <v>4</v>
      </c>
      <c r="E5" s="0" t="str">
        <f aca="false">IF(Frota!$A5="","",Cronograma!C5)</f>
        <v/>
      </c>
      <c r="F5" s="0" t="n">
        <f aca="false">IF(OR($E5="",$E5=0),0,1)</f>
        <v>0</v>
      </c>
      <c r="G5" s="0" t="n">
        <f aca="false">IF($F5=0,0,INDEX(Aux_HH!$D$4:$D$18,MATCH($B5&amp;"|"&amp;$E5,Aux_HH!$A$4:$A$18,0)))</f>
        <v>0</v>
      </c>
      <c r="H5" s="0" t="n">
        <f aca="false">IF($F5=0,0,INDEX(Aux_HH!$E$4:$E$18,MATCH($B5&amp;"|"&amp;$E5,Aux_HH!$A$4:$A$18,0)))</f>
        <v>0</v>
      </c>
      <c r="I5" s="0" t="n">
        <f aca="false">IF($F5=0,0,INDEX(Aux_HH!$F$4:$F$18,MATCH($B5&amp;"|"&amp;$E5,Aux_HH!$A$4:$A$18,0)))</f>
        <v>0</v>
      </c>
      <c r="J5" s="0" t="n">
        <f aca="false">IF($F5=0,0,INDEX(Aux_HH!$G$4:$G$18,MATCH($B5&amp;"|"&amp;$E5,Aux_HH!$A$4:$A$18,0)))</f>
        <v>0</v>
      </c>
      <c r="K5" s="0" t="n">
        <f aca="false">IF($F5=0,0,INDEX(Aux_HH!$H$4:$H$18,MATCH($B5&amp;"|"&amp;$E5,Aux_HH!$A$4:$A$18,0)))</f>
        <v>0</v>
      </c>
      <c r="L5" s="0" t="n">
        <f aca="false">IF($F5=0,0,INDEX(Aux_HH!$I$4:$I$18,MATCH($B5&amp;"|"&amp;$E5,Aux_HH!$A$4:$A$18,0)))</f>
        <v>0</v>
      </c>
    </row>
    <row r="6" customFormat="false" ht="15" hidden="false" customHeight="false" outlineLevel="0" collapsed="false">
      <c r="A6" s="0" t="str">
        <f aca="false">IF(Frota!$A5="","",Frota!$A5)</f>
        <v>Colhedora CASE A8810 — 1035</v>
      </c>
      <c r="B6" s="0" t="str">
        <f aca="false">IF(Frota!$A5="","",Frota!$B5)</f>
        <v>Colhedora</v>
      </c>
      <c r="C6" s="0" t="n">
        <v>3</v>
      </c>
      <c r="D6" s="0" t="n">
        <f aca="false">INDEX(Semanas!$E$3:$E$54,3)</f>
        <v>4</v>
      </c>
      <c r="E6" s="0" t="str">
        <f aca="false">IF(Frota!$A5="","",Cronograma!D5)</f>
        <v/>
      </c>
      <c r="F6" s="0" t="n">
        <f aca="false">IF(OR($E6="",$E6=0),0,1)</f>
        <v>0</v>
      </c>
      <c r="G6" s="0" t="n">
        <f aca="false">IF($F6=0,0,INDEX(Aux_HH!$D$4:$D$18,MATCH($B6&amp;"|"&amp;$E6,Aux_HH!$A$4:$A$18,0)))</f>
        <v>0</v>
      </c>
      <c r="H6" s="0" t="n">
        <f aca="false">IF($F6=0,0,INDEX(Aux_HH!$E$4:$E$18,MATCH($B6&amp;"|"&amp;$E6,Aux_HH!$A$4:$A$18,0)))</f>
        <v>0</v>
      </c>
      <c r="I6" s="0" t="n">
        <f aca="false">IF($F6=0,0,INDEX(Aux_HH!$F$4:$F$18,MATCH($B6&amp;"|"&amp;$E6,Aux_HH!$A$4:$A$18,0)))</f>
        <v>0</v>
      </c>
      <c r="J6" s="0" t="n">
        <f aca="false">IF($F6=0,0,INDEX(Aux_HH!$G$4:$G$18,MATCH($B6&amp;"|"&amp;$E6,Aux_HH!$A$4:$A$18,0)))</f>
        <v>0</v>
      </c>
      <c r="K6" s="0" t="n">
        <f aca="false">IF($F6=0,0,INDEX(Aux_HH!$H$4:$H$18,MATCH($B6&amp;"|"&amp;$E6,Aux_HH!$A$4:$A$18,0)))</f>
        <v>0</v>
      </c>
      <c r="L6" s="0" t="n">
        <f aca="false">IF($F6=0,0,INDEX(Aux_HH!$I$4:$I$18,MATCH($B6&amp;"|"&amp;$E6,Aux_HH!$A$4:$A$18,0)))</f>
        <v>0</v>
      </c>
    </row>
    <row r="7" customFormat="false" ht="15" hidden="false" customHeight="false" outlineLevel="0" collapsed="false">
      <c r="A7" s="0" t="str">
        <f aca="false">IF(Frota!$A5="","",Frota!$A5)</f>
        <v>Colhedora CASE A8810 — 1035</v>
      </c>
      <c r="B7" s="0" t="str">
        <f aca="false">IF(Frota!$A5="","",Frota!$B5)</f>
        <v>Colhedora</v>
      </c>
      <c r="C7" s="0" t="n">
        <v>4</v>
      </c>
      <c r="D7" s="0" t="n">
        <f aca="false">INDEX(Semanas!$E$3:$E$54,4)</f>
        <v>4</v>
      </c>
      <c r="E7" s="0" t="str">
        <f aca="false">IF(Frota!$A5="","",Cronograma!E5)</f>
        <v/>
      </c>
      <c r="F7" s="0" t="n">
        <f aca="false">IF(OR($E7="",$E7=0),0,1)</f>
        <v>0</v>
      </c>
      <c r="G7" s="0" t="n">
        <f aca="false">IF($F7=0,0,INDEX(Aux_HH!$D$4:$D$18,MATCH($B7&amp;"|"&amp;$E7,Aux_HH!$A$4:$A$18,0)))</f>
        <v>0</v>
      </c>
      <c r="H7" s="0" t="n">
        <f aca="false">IF($F7=0,0,INDEX(Aux_HH!$E$4:$E$18,MATCH($B7&amp;"|"&amp;$E7,Aux_HH!$A$4:$A$18,0)))</f>
        <v>0</v>
      </c>
      <c r="I7" s="0" t="n">
        <f aca="false">IF($F7=0,0,INDEX(Aux_HH!$F$4:$F$18,MATCH($B7&amp;"|"&amp;$E7,Aux_HH!$A$4:$A$18,0)))</f>
        <v>0</v>
      </c>
      <c r="J7" s="0" t="n">
        <f aca="false">IF($F7=0,0,INDEX(Aux_HH!$G$4:$G$18,MATCH($B7&amp;"|"&amp;$E7,Aux_HH!$A$4:$A$18,0)))</f>
        <v>0</v>
      </c>
      <c r="K7" s="0" t="n">
        <f aca="false">IF($F7=0,0,INDEX(Aux_HH!$H$4:$H$18,MATCH($B7&amp;"|"&amp;$E7,Aux_HH!$A$4:$A$18,0)))</f>
        <v>0</v>
      </c>
      <c r="L7" s="0" t="n">
        <f aca="false">IF($F7=0,0,INDEX(Aux_HH!$I$4:$I$18,MATCH($B7&amp;"|"&amp;$E7,Aux_HH!$A$4:$A$18,0)))</f>
        <v>0</v>
      </c>
    </row>
    <row r="8" customFormat="false" ht="15" hidden="false" customHeight="false" outlineLevel="0" collapsed="false">
      <c r="A8" s="0" t="str">
        <f aca="false">IF(Frota!$A5="","",Frota!$A5)</f>
        <v>Colhedora CASE A8810 — 1035</v>
      </c>
      <c r="B8" s="0" t="str">
        <f aca="false">IF(Frota!$A5="","",Frota!$B5)</f>
        <v>Colhedora</v>
      </c>
      <c r="C8" s="0" t="n">
        <v>5</v>
      </c>
      <c r="D8" s="0" t="n">
        <f aca="false">INDEX(Semanas!$E$3:$E$54,5)</f>
        <v>4</v>
      </c>
      <c r="E8" s="0" t="str">
        <f aca="false">IF(Frota!$A5="","",Cronograma!F5)</f>
        <v>B</v>
      </c>
      <c r="F8" s="0" t="n">
        <f aca="false">IF(OR($E8="",$E8=0),0,1)</f>
        <v>1</v>
      </c>
      <c r="G8" s="0" t="n">
        <f aca="false">IF($F8=0,0,INDEX(Aux_HH!$D$4:$D$18,MATCH($B8&amp;"|"&amp;$E8,Aux_HH!$A$4:$A$18,0)))</f>
        <v>10.25</v>
      </c>
      <c r="H8" s="0" t="n">
        <f aca="false">IF($F8=0,0,INDEX(Aux_HH!$E$4:$E$18,MATCH($B8&amp;"|"&amp;$E8,Aux_HH!$A$4:$A$18,0)))</f>
        <v>0</v>
      </c>
      <c r="I8" s="0" t="n">
        <f aca="false">IF($F8=0,0,INDEX(Aux_HH!$F$4:$F$18,MATCH($B8&amp;"|"&amp;$E8,Aux_HH!$A$4:$A$18,0)))</f>
        <v>3</v>
      </c>
      <c r="J8" s="0" t="n">
        <f aca="false">IF($F8=0,0,INDEX(Aux_HH!$G$4:$G$18,MATCH($B8&amp;"|"&amp;$E8,Aux_HH!$A$4:$A$18,0)))</f>
        <v>1.75</v>
      </c>
      <c r="K8" s="0" t="n">
        <f aca="false">IF($F8=0,0,INDEX(Aux_HH!$H$4:$H$18,MATCH($B8&amp;"|"&amp;$E8,Aux_HH!$A$4:$A$18,0)))</f>
        <v>0</v>
      </c>
      <c r="L8" s="0" t="n">
        <f aca="false">IF($F8=0,0,INDEX(Aux_HH!$I$4:$I$18,MATCH($B8&amp;"|"&amp;$E8,Aux_HH!$A$4:$A$18,0)))</f>
        <v>0</v>
      </c>
    </row>
    <row r="9" customFormat="false" ht="15" hidden="false" customHeight="false" outlineLevel="0" collapsed="false">
      <c r="A9" s="0" t="str">
        <f aca="false">IF(Frota!$A5="","",Frota!$A5)</f>
        <v>Colhedora CASE A8810 — 1035</v>
      </c>
      <c r="B9" s="0" t="str">
        <f aca="false">IF(Frota!$A5="","",Frota!$B5)</f>
        <v>Colhedora</v>
      </c>
      <c r="C9" s="0" t="n">
        <v>6</v>
      </c>
      <c r="D9" s="0" t="n">
        <f aca="false">INDEX(Semanas!$E$3:$E$54,6)</f>
        <v>5</v>
      </c>
      <c r="E9" s="0" t="str">
        <f aca="false">IF(Frota!$A5="","",Cronograma!G5)</f>
        <v/>
      </c>
      <c r="F9" s="0" t="n">
        <f aca="false">IF(OR($E9="",$E9=0),0,1)</f>
        <v>0</v>
      </c>
      <c r="G9" s="0" t="n">
        <f aca="false">IF($F9=0,0,INDEX(Aux_HH!$D$4:$D$18,MATCH($B9&amp;"|"&amp;$E9,Aux_HH!$A$4:$A$18,0)))</f>
        <v>0</v>
      </c>
      <c r="H9" s="0" t="n">
        <f aca="false">IF($F9=0,0,INDEX(Aux_HH!$E$4:$E$18,MATCH($B9&amp;"|"&amp;$E9,Aux_HH!$A$4:$A$18,0)))</f>
        <v>0</v>
      </c>
      <c r="I9" s="0" t="n">
        <f aca="false">IF($F9=0,0,INDEX(Aux_HH!$F$4:$F$18,MATCH($B9&amp;"|"&amp;$E9,Aux_HH!$A$4:$A$18,0)))</f>
        <v>0</v>
      </c>
      <c r="J9" s="0" t="n">
        <f aca="false">IF($F9=0,0,INDEX(Aux_HH!$G$4:$G$18,MATCH($B9&amp;"|"&amp;$E9,Aux_HH!$A$4:$A$18,0)))</f>
        <v>0</v>
      </c>
      <c r="K9" s="0" t="n">
        <f aca="false">IF($F9=0,0,INDEX(Aux_HH!$H$4:$H$18,MATCH($B9&amp;"|"&amp;$E9,Aux_HH!$A$4:$A$18,0)))</f>
        <v>0</v>
      </c>
      <c r="L9" s="0" t="n">
        <f aca="false">IF($F9=0,0,INDEX(Aux_HH!$I$4:$I$18,MATCH($B9&amp;"|"&amp;$E9,Aux_HH!$A$4:$A$18,0)))</f>
        <v>0</v>
      </c>
    </row>
    <row r="10" customFormat="false" ht="15" hidden="false" customHeight="false" outlineLevel="0" collapsed="false">
      <c r="A10" s="0" t="str">
        <f aca="false">IF(Frota!$A5="","",Frota!$A5)</f>
        <v>Colhedora CASE A8810 — 1035</v>
      </c>
      <c r="B10" s="0" t="str">
        <f aca="false">IF(Frota!$A5="","",Frota!$B5)</f>
        <v>Colhedora</v>
      </c>
      <c r="C10" s="0" t="n">
        <v>7</v>
      </c>
      <c r="D10" s="0" t="n">
        <f aca="false">INDEX(Semanas!$E$3:$E$54,7)</f>
        <v>5</v>
      </c>
      <c r="E10" s="0" t="str">
        <f aca="false">IF(Frota!$A5="","",Cronograma!H5)</f>
        <v/>
      </c>
      <c r="F10" s="0" t="n">
        <f aca="false">IF(OR($E10="",$E10=0),0,1)</f>
        <v>0</v>
      </c>
      <c r="G10" s="0" t="n">
        <f aca="false">IF($F10=0,0,INDEX(Aux_HH!$D$4:$D$18,MATCH($B10&amp;"|"&amp;$E10,Aux_HH!$A$4:$A$18,0)))</f>
        <v>0</v>
      </c>
      <c r="H10" s="0" t="n">
        <f aca="false">IF($F10=0,0,INDEX(Aux_HH!$E$4:$E$18,MATCH($B10&amp;"|"&amp;$E10,Aux_HH!$A$4:$A$18,0)))</f>
        <v>0</v>
      </c>
      <c r="I10" s="0" t="n">
        <f aca="false">IF($F10=0,0,INDEX(Aux_HH!$F$4:$F$18,MATCH($B10&amp;"|"&amp;$E10,Aux_HH!$A$4:$A$18,0)))</f>
        <v>0</v>
      </c>
      <c r="J10" s="0" t="n">
        <f aca="false">IF($F10=0,0,INDEX(Aux_HH!$G$4:$G$18,MATCH($B10&amp;"|"&amp;$E10,Aux_HH!$A$4:$A$18,0)))</f>
        <v>0</v>
      </c>
      <c r="K10" s="0" t="n">
        <f aca="false">IF($F10=0,0,INDEX(Aux_HH!$H$4:$H$18,MATCH($B10&amp;"|"&amp;$E10,Aux_HH!$A$4:$A$18,0)))</f>
        <v>0</v>
      </c>
      <c r="L10" s="0" t="n">
        <f aca="false">IF($F10=0,0,INDEX(Aux_HH!$I$4:$I$18,MATCH($B10&amp;"|"&amp;$E10,Aux_HH!$A$4:$A$18,0)))</f>
        <v>0</v>
      </c>
    </row>
    <row r="11" customFormat="false" ht="15" hidden="false" customHeight="false" outlineLevel="0" collapsed="false">
      <c r="A11" s="0" t="str">
        <f aca="false">IF(Frota!$A5="","",Frota!$A5)</f>
        <v>Colhedora CASE A8810 — 1035</v>
      </c>
      <c r="B11" s="0" t="str">
        <f aca="false">IF(Frota!$A5="","",Frota!$B5)</f>
        <v>Colhedora</v>
      </c>
      <c r="C11" s="0" t="n">
        <v>8</v>
      </c>
      <c r="D11" s="0" t="n">
        <f aca="false">INDEX(Semanas!$E$3:$E$54,8)</f>
        <v>5</v>
      </c>
      <c r="E11" s="0" t="str">
        <f aca="false">IF(Frota!$A5="","",Cronograma!I5)</f>
        <v/>
      </c>
      <c r="F11" s="0" t="n">
        <f aca="false">IF(OR($E11="",$E11=0),0,1)</f>
        <v>0</v>
      </c>
      <c r="G11" s="0" t="n">
        <f aca="false">IF($F11=0,0,INDEX(Aux_HH!$D$4:$D$18,MATCH($B11&amp;"|"&amp;$E11,Aux_HH!$A$4:$A$18,0)))</f>
        <v>0</v>
      </c>
      <c r="H11" s="0" t="n">
        <f aca="false">IF($F11=0,0,INDEX(Aux_HH!$E$4:$E$18,MATCH($B11&amp;"|"&amp;$E11,Aux_HH!$A$4:$A$18,0)))</f>
        <v>0</v>
      </c>
      <c r="I11" s="0" t="n">
        <f aca="false">IF($F11=0,0,INDEX(Aux_HH!$F$4:$F$18,MATCH($B11&amp;"|"&amp;$E11,Aux_HH!$A$4:$A$18,0)))</f>
        <v>0</v>
      </c>
      <c r="J11" s="0" t="n">
        <f aca="false">IF($F11=0,0,INDEX(Aux_HH!$G$4:$G$18,MATCH($B11&amp;"|"&amp;$E11,Aux_HH!$A$4:$A$18,0)))</f>
        <v>0</v>
      </c>
      <c r="K11" s="0" t="n">
        <f aca="false">IF($F11=0,0,INDEX(Aux_HH!$H$4:$H$18,MATCH($B11&amp;"|"&amp;$E11,Aux_HH!$A$4:$A$18,0)))</f>
        <v>0</v>
      </c>
      <c r="L11" s="0" t="n">
        <f aca="false">IF($F11=0,0,INDEX(Aux_HH!$I$4:$I$18,MATCH($B11&amp;"|"&amp;$E11,Aux_HH!$A$4:$A$18,0)))</f>
        <v>0</v>
      </c>
    </row>
    <row r="12" customFormat="false" ht="15" hidden="false" customHeight="false" outlineLevel="0" collapsed="false">
      <c r="A12" s="0" t="str">
        <f aca="false">IF(Frota!$A5="","",Frota!$A5)</f>
        <v>Colhedora CASE A8810 — 1035</v>
      </c>
      <c r="B12" s="0" t="str">
        <f aca="false">IF(Frota!$A5="","",Frota!$B5)</f>
        <v>Colhedora</v>
      </c>
      <c r="C12" s="0" t="n">
        <v>9</v>
      </c>
      <c r="D12" s="0" t="n">
        <f aca="false">INDEX(Semanas!$E$3:$E$54,9)</f>
        <v>5</v>
      </c>
      <c r="E12" s="0" t="str">
        <f aca="false">IF(Frota!$A5="","",Cronograma!J5)</f>
        <v/>
      </c>
      <c r="F12" s="0" t="n">
        <f aca="false">IF(OR($E12="",$E12=0),0,1)</f>
        <v>0</v>
      </c>
      <c r="G12" s="0" t="n">
        <f aca="false">IF($F12=0,0,INDEX(Aux_HH!$D$4:$D$18,MATCH($B12&amp;"|"&amp;$E12,Aux_HH!$A$4:$A$18,0)))</f>
        <v>0</v>
      </c>
      <c r="H12" s="0" t="n">
        <f aca="false">IF($F12=0,0,INDEX(Aux_HH!$E$4:$E$18,MATCH($B12&amp;"|"&amp;$E12,Aux_HH!$A$4:$A$18,0)))</f>
        <v>0</v>
      </c>
      <c r="I12" s="0" t="n">
        <f aca="false">IF($F12=0,0,INDEX(Aux_HH!$F$4:$F$18,MATCH($B12&amp;"|"&amp;$E12,Aux_HH!$A$4:$A$18,0)))</f>
        <v>0</v>
      </c>
      <c r="J12" s="0" t="n">
        <f aca="false">IF($F12=0,0,INDEX(Aux_HH!$G$4:$G$18,MATCH($B12&amp;"|"&amp;$E12,Aux_HH!$A$4:$A$18,0)))</f>
        <v>0</v>
      </c>
      <c r="K12" s="0" t="n">
        <f aca="false">IF($F12=0,0,INDEX(Aux_HH!$H$4:$H$18,MATCH($B12&amp;"|"&amp;$E12,Aux_HH!$A$4:$A$18,0)))</f>
        <v>0</v>
      </c>
      <c r="L12" s="0" t="n">
        <f aca="false">IF($F12=0,0,INDEX(Aux_HH!$I$4:$I$18,MATCH($B12&amp;"|"&amp;$E12,Aux_HH!$A$4:$A$18,0)))</f>
        <v>0</v>
      </c>
    </row>
    <row r="13" customFormat="false" ht="15" hidden="false" customHeight="false" outlineLevel="0" collapsed="false">
      <c r="A13" s="0" t="str">
        <f aca="false">IF(Frota!$A5="","",Frota!$A5)</f>
        <v>Colhedora CASE A8810 — 1035</v>
      </c>
      <c r="B13" s="0" t="str">
        <f aca="false">IF(Frota!$A5="","",Frota!$B5)</f>
        <v>Colhedora</v>
      </c>
      <c r="C13" s="0" t="n">
        <v>10</v>
      </c>
      <c r="D13" s="0" t="n">
        <f aca="false">INDEX(Semanas!$E$3:$E$54,10)</f>
        <v>6</v>
      </c>
      <c r="E13" s="0" t="str">
        <f aca="false">IF(Frota!$A5="","",Cronograma!K5)</f>
        <v/>
      </c>
      <c r="F13" s="0" t="n">
        <f aca="false">IF(OR($E13="",$E13=0),0,1)</f>
        <v>0</v>
      </c>
      <c r="G13" s="0" t="n">
        <f aca="false">IF($F13=0,0,INDEX(Aux_HH!$D$4:$D$18,MATCH($B13&amp;"|"&amp;$E13,Aux_HH!$A$4:$A$18,0)))</f>
        <v>0</v>
      </c>
      <c r="H13" s="0" t="n">
        <f aca="false">IF($F13=0,0,INDEX(Aux_HH!$E$4:$E$18,MATCH($B13&amp;"|"&amp;$E13,Aux_HH!$A$4:$A$18,0)))</f>
        <v>0</v>
      </c>
      <c r="I13" s="0" t="n">
        <f aca="false">IF($F13=0,0,INDEX(Aux_HH!$F$4:$F$18,MATCH($B13&amp;"|"&amp;$E13,Aux_HH!$A$4:$A$18,0)))</f>
        <v>0</v>
      </c>
      <c r="J13" s="0" t="n">
        <f aca="false">IF($F13=0,0,INDEX(Aux_HH!$G$4:$G$18,MATCH($B13&amp;"|"&amp;$E13,Aux_HH!$A$4:$A$18,0)))</f>
        <v>0</v>
      </c>
      <c r="K13" s="0" t="n">
        <f aca="false">IF($F13=0,0,INDEX(Aux_HH!$H$4:$H$18,MATCH($B13&amp;"|"&amp;$E13,Aux_HH!$A$4:$A$18,0)))</f>
        <v>0</v>
      </c>
      <c r="L13" s="0" t="n">
        <f aca="false">IF($F13=0,0,INDEX(Aux_HH!$I$4:$I$18,MATCH($B13&amp;"|"&amp;$E13,Aux_HH!$A$4:$A$18,0)))</f>
        <v>0</v>
      </c>
    </row>
    <row r="14" customFormat="false" ht="15" hidden="false" customHeight="false" outlineLevel="0" collapsed="false">
      <c r="A14" s="0" t="str">
        <f aca="false">IF(Frota!$A5="","",Frota!$A5)</f>
        <v>Colhedora CASE A8810 — 1035</v>
      </c>
      <c r="B14" s="0" t="str">
        <f aca="false">IF(Frota!$A5="","",Frota!$B5)</f>
        <v>Colhedora</v>
      </c>
      <c r="C14" s="0" t="n">
        <v>11</v>
      </c>
      <c r="D14" s="0" t="n">
        <f aca="false">INDEX(Semanas!$E$3:$E$54,11)</f>
        <v>6</v>
      </c>
      <c r="E14" s="0" t="str">
        <f aca="false">IF(Frota!$A5="","",Cronograma!L5)</f>
        <v>S</v>
      </c>
      <c r="F14" s="0" t="n">
        <f aca="false">IF(OR($E14="",$E14=0),0,1)</f>
        <v>1</v>
      </c>
      <c r="G14" s="0" t="n">
        <f aca="false">IF($F14=0,0,INDEX(Aux_HH!$D$4:$D$18,MATCH($B14&amp;"|"&amp;$E14,Aux_HH!$A$4:$A$18,0)))</f>
        <v>3.75</v>
      </c>
      <c r="H14" s="0" t="n">
        <f aca="false">IF($F14=0,0,INDEX(Aux_HH!$E$4:$E$18,MATCH($B14&amp;"|"&amp;$E14,Aux_HH!$A$4:$A$18,0)))</f>
        <v>0</v>
      </c>
      <c r="I14" s="0" t="n">
        <f aca="false">IF($F14=0,0,INDEX(Aux_HH!$F$4:$F$18,MATCH($B14&amp;"|"&amp;$E14,Aux_HH!$A$4:$A$18,0)))</f>
        <v>1</v>
      </c>
      <c r="J14" s="0" t="n">
        <f aca="false">IF($F14=0,0,INDEX(Aux_HH!$G$4:$G$18,MATCH($B14&amp;"|"&amp;$E14,Aux_HH!$A$4:$A$18,0)))</f>
        <v>0.75</v>
      </c>
      <c r="K14" s="0" t="n">
        <f aca="false">IF($F14=0,0,INDEX(Aux_HH!$H$4:$H$18,MATCH($B14&amp;"|"&amp;$E14,Aux_HH!$A$4:$A$18,0)))</f>
        <v>0</v>
      </c>
      <c r="L14" s="0" t="n">
        <f aca="false">IF($F14=0,0,INDEX(Aux_HH!$I$4:$I$18,MATCH($B14&amp;"|"&amp;$E14,Aux_HH!$A$4:$A$18,0)))</f>
        <v>0</v>
      </c>
    </row>
    <row r="15" customFormat="false" ht="15" hidden="false" customHeight="false" outlineLevel="0" collapsed="false">
      <c r="A15" s="0" t="str">
        <f aca="false">IF(Frota!$A5="","",Frota!$A5)</f>
        <v>Colhedora CASE A8810 — 1035</v>
      </c>
      <c r="B15" s="0" t="str">
        <f aca="false">IF(Frota!$A5="","",Frota!$B5)</f>
        <v>Colhedora</v>
      </c>
      <c r="C15" s="0" t="n">
        <v>12</v>
      </c>
      <c r="D15" s="0" t="n">
        <f aca="false">INDEX(Semanas!$E$3:$E$54,12)</f>
        <v>6</v>
      </c>
      <c r="E15" s="0" t="str">
        <f aca="false">IF(Frota!$A5="","",Cronograma!M5)</f>
        <v/>
      </c>
      <c r="F15" s="0" t="n">
        <f aca="false">IF(OR($E15="",$E15=0),0,1)</f>
        <v>0</v>
      </c>
      <c r="G15" s="0" t="n">
        <f aca="false">IF($F15=0,0,INDEX(Aux_HH!$D$4:$D$18,MATCH($B15&amp;"|"&amp;$E15,Aux_HH!$A$4:$A$18,0)))</f>
        <v>0</v>
      </c>
      <c r="H15" s="0" t="n">
        <f aca="false">IF($F15=0,0,INDEX(Aux_HH!$E$4:$E$18,MATCH($B15&amp;"|"&amp;$E15,Aux_HH!$A$4:$A$18,0)))</f>
        <v>0</v>
      </c>
      <c r="I15" s="0" t="n">
        <f aca="false">IF($F15=0,0,INDEX(Aux_HH!$F$4:$F$18,MATCH($B15&amp;"|"&amp;$E15,Aux_HH!$A$4:$A$18,0)))</f>
        <v>0</v>
      </c>
      <c r="J15" s="0" t="n">
        <f aca="false">IF($F15=0,0,INDEX(Aux_HH!$G$4:$G$18,MATCH($B15&amp;"|"&amp;$E15,Aux_HH!$A$4:$A$18,0)))</f>
        <v>0</v>
      </c>
      <c r="K15" s="0" t="n">
        <f aca="false">IF($F15=0,0,INDEX(Aux_HH!$H$4:$H$18,MATCH($B15&amp;"|"&amp;$E15,Aux_HH!$A$4:$A$18,0)))</f>
        <v>0</v>
      </c>
      <c r="L15" s="0" t="n">
        <f aca="false">IF($F15=0,0,INDEX(Aux_HH!$I$4:$I$18,MATCH($B15&amp;"|"&amp;$E15,Aux_HH!$A$4:$A$18,0)))</f>
        <v>0</v>
      </c>
    </row>
    <row r="16" customFormat="false" ht="15" hidden="false" customHeight="false" outlineLevel="0" collapsed="false">
      <c r="A16" s="0" t="str">
        <f aca="false">IF(Frota!$A5="","",Frota!$A5)</f>
        <v>Colhedora CASE A8810 — 1035</v>
      </c>
      <c r="B16" s="0" t="str">
        <f aca="false">IF(Frota!$A5="","",Frota!$B5)</f>
        <v>Colhedora</v>
      </c>
      <c r="C16" s="0" t="n">
        <v>13</v>
      </c>
      <c r="D16" s="0" t="n">
        <f aca="false">INDEX(Semanas!$E$3:$E$54,13)</f>
        <v>6</v>
      </c>
      <c r="E16" s="0" t="str">
        <f aca="false">IF(Frota!$A5="","",Cronograma!N5)</f>
        <v/>
      </c>
      <c r="F16" s="0" t="n">
        <f aca="false">IF(OR($E16="",$E16=0),0,1)</f>
        <v>0</v>
      </c>
      <c r="G16" s="0" t="n">
        <f aca="false">IF($F16=0,0,INDEX(Aux_HH!$D$4:$D$18,MATCH($B16&amp;"|"&amp;$E16,Aux_HH!$A$4:$A$18,0)))</f>
        <v>0</v>
      </c>
      <c r="H16" s="0" t="n">
        <f aca="false">IF($F16=0,0,INDEX(Aux_HH!$E$4:$E$18,MATCH($B16&amp;"|"&amp;$E16,Aux_HH!$A$4:$A$18,0)))</f>
        <v>0</v>
      </c>
      <c r="I16" s="0" t="n">
        <f aca="false">IF($F16=0,0,INDEX(Aux_HH!$F$4:$F$18,MATCH($B16&amp;"|"&amp;$E16,Aux_HH!$A$4:$A$18,0)))</f>
        <v>0</v>
      </c>
      <c r="J16" s="0" t="n">
        <f aca="false">IF($F16=0,0,INDEX(Aux_HH!$G$4:$G$18,MATCH($B16&amp;"|"&amp;$E16,Aux_HH!$A$4:$A$18,0)))</f>
        <v>0</v>
      </c>
      <c r="K16" s="0" t="n">
        <f aca="false">IF($F16=0,0,INDEX(Aux_HH!$H$4:$H$18,MATCH($B16&amp;"|"&amp;$E16,Aux_HH!$A$4:$A$18,0)))</f>
        <v>0</v>
      </c>
      <c r="L16" s="0" t="n">
        <f aca="false">IF($F16=0,0,INDEX(Aux_HH!$I$4:$I$18,MATCH($B16&amp;"|"&amp;$E16,Aux_HH!$A$4:$A$18,0)))</f>
        <v>0</v>
      </c>
    </row>
    <row r="17" customFormat="false" ht="15" hidden="false" customHeight="false" outlineLevel="0" collapsed="false">
      <c r="A17" s="0" t="str">
        <f aca="false">IF(Frota!$A5="","",Frota!$A5)</f>
        <v>Colhedora CASE A8810 — 1035</v>
      </c>
      <c r="B17" s="0" t="str">
        <f aca="false">IF(Frota!$A5="","",Frota!$B5)</f>
        <v>Colhedora</v>
      </c>
      <c r="C17" s="0" t="n">
        <v>14</v>
      </c>
      <c r="D17" s="0" t="n">
        <f aca="false">INDEX(Semanas!$E$3:$E$54,14)</f>
        <v>7</v>
      </c>
      <c r="E17" s="0" t="str">
        <f aca="false">IF(Frota!$A5="","",Cronograma!O5)</f>
        <v/>
      </c>
      <c r="F17" s="0" t="n">
        <f aca="false">IF(OR($E17="",$E17=0),0,1)</f>
        <v>0</v>
      </c>
      <c r="G17" s="0" t="n">
        <f aca="false">IF($F17=0,0,INDEX(Aux_HH!$D$4:$D$18,MATCH($B17&amp;"|"&amp;$E17,Aux_HH!$A$4:$A$18,0)))</f>
        <v>0</v>
      </c>
      <c r="H17" s="0" t="n">
        <f aca="false">IF($F17=0,0,INDEX(Aux_HH!$E$4:$E$18,MATCH($B17&amp;"|"&amp;$E17,Aux_HH!$A$4:$A$18,0)))</f>
        <v>0</v>
      </c>
      <c r="I17" s="0" t="n">
        <f aca="false">IF($F17=0,0,INDEX(Aux_HH!$F$4:$F$18,MATCH($B17&amp;"|"&amp;$E17,Aux_HH!$A$4:$A$18,0)))</f>
        <v>0</v>
      </c>
      <c r="J17" s="0" t="n">
        <f aca="false">IF($F17=0,0,INDEX(Aux_HH!$G$4:$G$18,MATCH($B17&amp;"|"&amp;$E17,Aux_HH!$A$4:$A$18,0)))</f>
        <v>0</v>
      </c>
      <c r="K17" s="0" t="n">
        <f aca="false">IF($F17=0,0,INDEX(Aux_HH!$H$4:$H$18,MATCH($B17&amp;"|"&amp;$E17,Aux_HH!$A$4:$A$18,0)))</f>
        <v>0</v>
      </c>
      <c r="L17" s="0" t="n">
        <f aca="false">IF($F17=0,0,INDEX(Aux_HH!$I$4:$I$18,MATCH($B17&amp;"|"&amp;$E17,Aux_HH!$A$4:$A$18,0)))</f>
        <v>0</v>
      </c>
    </row>
    <row r="18" customFormat="false" ht="15" hidden="false" customHeight="false" outlineLevel="0" collapsed="false">
      <c r="A18" s="0" t="str">
        <f aca="false">IF(Frota!$A5="","",Frota!$A5)</f>
        <v>Colhedora CASE A8810 — 1035</v>
      </c>
      <c r="B18" s="0" t="str">
        <f aca="false">IF(Frota!$A5="","",Frota!$B5)</f>
        <v>Colhedora</v>
      </c>
      <c r="C18" s="0" t="n">
        <v>15</v>
      </c>
      <c r="D18" s="0" t="n">
        <f aca="false">INDEX(Semanas!$E$3:$E$54,15)</f>
        <v>7</v>
      </c>
      <c r="E18" s="0" t="str">
        <f aca="false">IF(Frota!$A5="","",Cronograma!P5)</f>
        <v/>
      </c>
      <c r="F18" s="0" t="n">
        <f aca="false">IF(OR($E18="",$E18=0),0,1)</f>
        <v>0</v>
      </c>
      <c r="G18" s="0" t="n">
        <f aca="false">IF($F18=0,0,INDEX(Aux_HH!$D$4:$D$18,MATCH($B18&amp;"|"&amp;$E18,Aux_HH!$A$4:$A$18,0)))</f>
        <v>0</v>
      </c>
      <c r="H18" s="0" t="n">
        <f aca="false">IF($F18=0,0,INDEX(Aux_HH!$E$4:$E$18,MATCH($B18&amp;"|"&amp;$E18,Aux_HH!$A$4:$A$18,0)))</f>
        <v>0</v>
      </c>
      <c r="I18" s="0" t="n">
        <f aca="false">IF($F18=0,0,INDEX(Aux_HH!$F$4:$F$18,MATCH($B18&amp;"|"&amp;$E18,Aux_HH!$A$4:$A$18,0)))</f>
        <v>0</v>
      </c>
      <c r="J18" s="0" t="n">
        <f aca="false">IF($F18=0,0,INDEX(Aux_HH!$G$4:$G$18,MATCH($B18&amp;"|"&amp;$E18,Aux_HH!$A$4:$A$18,0)))</f>
        <v>0</v>
      </c>
      <c r="K18" s="0" t="n">
        <f aca="false">IF($F18=0,0,INDEX(Aux_HH!$H$4:$H$18,MATCH($B18&amp;"|"&amp;$E18,Aux_HH!$A$4:$A$18,0)))</f>
        <v>0</v>
      </c>
      <c r="L18" s="0" t="n">
        <f aca="false">IF($F18=0,0,INDEX(Aux_HH!$I$4:$I$18,MATCH($B18&amp;"|"&amp;$E18,Aux_HH!$A$4:$A$18,0)))</f>
        <v>0</v>
      </c>
    </row>
    <row r="19" customFormat="false" ht="15" hidden="false" customHeight="false" outlineLevel="0" collapsed="false">
      <c r="A19" s="0" t="str">
        <f aca="false">IF(Frota!$A5="","",Frota!$A5)</f>
        <v>Colhedora CASE A8810 — 1035</v>
      </c>
      <c r="B19" s="0" t="str">
        <f aca="false">IF(Frota!$A5="","",Frota!$B5)</f>
        <v>Colhedora</v>
      </c>
      <c r="C19" s="0" t="n">
        <v>16</v>
      </c>
      <c r="D19" s="0" t="n">
        <f aca="false">INDEX(Semanas!$E$3:$E$54,16)</f>
        <v>7</v>
      </c>
      <c r="E19" s="0" t="str">
        <f aca="false">IF(Frota!$A5="","",Cronograma!Q5)</f>
        <v>A</v>
      </c>
      <c r="F19" s="0" t="n">
        <f aca="false">IF(OR($E19="",$E19=0),0,1)</f>
        <v>1</v>
      </c>
      <c r="G19" s="0" t="n">
        <f aca="false">IF($F19=0,0,INDEX(Aux_HH!$D$4:$D$18,MATCH($B19&amp;"|"&amp;$E19,Aux_HH!$A$4:$A$18,0)))</f>
        <v>10.25</v>
      </c>
      <c r="H19" s="0" t="n">
        <f aca="false">IF($F19=0,0,INDEX(Aux_HH!$E$4:$E$18,MATCH($B19&amp;"|"&amp;$E19,Aux_HH!$A$4:$A$18,0)))</f>
        <v>0</v>
      </c>
      <c r="I19" s="0" t="n">
        <f aca="false">IF($F19=0,0,INDEX(Aux_HH!$F$4:$F$18,MATCH($B19&amp;"|"&amp;$E19,Aux_HH!$A$4:$A$18,0)))</f>
        <v>3</v>
      </c>
      <c r="J19" s="0" t="n">
        <f aca="false">IF($F19=0,0,INDEX(Aux_HH!$G$4:$G$18,MATCH($B19&amp;"|"&amp;$E19,Aux_HH!$A$4:$A$18,0)))</f>
        <v>1.75</v>
      </c>
      <c r="K19" s="0" t="n">
        <f aca="false">IF($F19=0,0,INDEX(Aux_HH!$H$4:$H$18,MATCH($B19&amp;"|"&amp;$E19,Aux_HH!$A$4:$A$18,0)))</f>
        <v>0</v>
      </c>
      <c r="L19" s="0" t="n">
        <f aca="false">IF($F19=0,0,INDEX(Aux_HH!$I$4:$I$18,MATCH($B19&amp;"|"&amp;$E19,Aux_HH!$A$4:$A$18,0)))</f>
        <v>0</v>
      </c>
    </row>
    <row r="20" customFormat="false" ht="15" hidden="false" customHeight="false" outlineLevel="0" collapsed="false">
      <c r="A20" s="0" t="str">
        <f aca="false">IF(Frota!$A5="","",Frota!$A5)</f>
        <v>Colhedora CASE A8810 — 1035</v>
      </c>
      <c r="B20" s="0" t="str">
        <f aca="false">IF(Frota!$A5="","",Frota!$B5)</f>
        <v>Colhedora</v>
      </c>
      <c r="C20" s="0" t="n">
        <v>17</v>
      </c>
      <c r="D20" s="0" t="n">
        <f aca="false">INDEX(Semanas!$E$3:$E$54,17)</f>
        <v>7</v>
      </c>
      <c r="E20" s="0" t="str">
        <f aca="false">IF(Frota!$A5="","",Cronograma!R5)</f>
        <v/>
      </c>
      <c r="F20" s="0" t="n">
        <f aca="false">IF(OR($E20="",$E20=0),0,1)</f>
        <v>0</v>
      </c>
      <c r="G20" s="0" t="n">
        <f aca="false">IF($F20=0,0,INDEX(Aux_HH!$D$4:$D$18,MATCH($B20&amp;"|"&amp;$E20,Aux_HH!$A$4:$A$18,0)))</f>
        <v>0</v>
      </c>
      <c r="H20" s="0" t="n">
        <f aca="false">IF($F20=0,0,INDEX(Aux_HH!$E$4:$E$18,MATCH($B20&amp;"|"&amp;$E20,Aux_HH!$A$4:$A$18,0)))</f>
        <v>0</v>
      </c>
      <c r="I20" s="0" t="n">
        <f aca="false">IF($F20=0,0,INDEX(Aux_HH!$F$4:$F$18,MATCH($B20&amp;"|"&amp;$E20,Aux_HH!$A$4:$A$18,0)))</f>
        <v>0</v>
      </c>
      <c r="J20" s="0" t="n">
        <f aca="false">IF($F20=0,0,INDEX(Aux_HH!$G$4:$G$18,MATCH($B20&amp;"|"&amp;$E20,Aux_HH!$A$4:$A$18,0)))</f>
        <v>0</v>
      </c>
      <c r="K20" s="0" t="n">
        <f aca="false">IF($F20=0,0,INDEX(Aux_HH!$H$4:$H$18,MATCH($B20&amp;"|"&amp;$E20,Aux_HH!$A$4:$A$18,0)))</f>
        <v>0</v>
      </c>
      <c r="L20" s="0" t="n">
        <f aca="false">IF($F20=0,0,INDEX(Aux_HH!$I$4:$I$18,MATCH($B20&amp;"|"&amp;$E20,Aux_HH!$A$4:$A$18,0)))</f>
        <v>0</v>
      </c>
    </row>
    <row r="21" customFormat="false" ht="15" hidden="false" customHeight="false" outlineLevel="0" collapsed="false">
      <c r="A21" s="0" t="str">
        <f aca="false">IF(Frota!$A5="","",Frota!$A5)</f>
        <v>Colhedora CASE A8810 — 1035</v>
      </c>
      <c r="B21" s="0" t="str">
        <f aca="false">IF(Frota!$A5="","",Frota!$B5)</f>
        <v>Colhedora</v>
      </c>
      <c r="C21" s="0" t="n">
        <v>18</v>
      </c>
      <c r="D21" s="0" t="n">
        <f aca="false">INDEX(Semanas!$E$3:$E$54,18)</f>
        <v>7</v>
      </c>
      <c r="E21" s="0" t="str">
        <f aca="false">IF(Frota!$A5="","",Cronograma!S5)</f>
        <v/>
      </c>
      <c r="F21" s="0" t="n">
        <f aca="false">IF(OR($E21="",$E21=0),0,1)</f>
        <v>0</v>
      </c>
      <c r="G21" s="0" t="n">
        <f aca="false">IF($F21=0,0,INDEX(Aux_HH!$D$4:$D$18,MATCH($B21&amp;"|"&amp;$E21,Aux_HH!$A$4:$A$18,0)))</f>
        <v>0</v>
      </c>
      <c r="H21" s="0" t="n">
        <f aca="false">IF($F21=0,0,INDEX(Aux_HH!$E$4:$E$18,MATCH($B21&amp;"|"&amp;$E21,Aux_HH!$A$4:$A$18,0)))</f>
        <v>0</v>
      </c>
      <c r="I21" s="0" t="n">
        <f aca="false">IF($F21=0,0,INDEX(Aux_HH!$F$4:$F$18,MATCH($B21&amp;"|"&amp;$E21,Aux_HH!$A$4:$A$18,0)))</f>
        <v>0</v>
      </c>
      <c r="J21" s="0" t="n">
        <f aca="false">IF($F21=0,0,INDEX(Aux_HH!$G$4:$G$18,MATCH($B21&amp;"|"&amp;$E21,Aux_HH!$A$4:$A$18,0)))</f>
        <v>0</v>
      </c>
      <c r="K21" s="0" t="n">
        <f aca="false">IF($F21=0,0,INDEX(Aux_HH!$H$4:$H$18,MATCH($B21&amp;"|"&amp;$E21,Aux_HH!$A$4:$A$18,0)))</f>
        <v>0</v>
      </c>
      <c r="L21" s="0" t="n">
        <f aca="false">IF($F21=0,0,INDEX(Aux_HH!$I$4:$I$18,MATCH($B21&amp;"|"&amp;$E21,Aux_HH!$A$4:$A$18,0)))</f>
        <v>0</v>
      </c>
    </row>
    <row r="22" customFormat="false" ht="15" hidden="false" customHeight="false" outlineLevel="0" collapsed="false">
      <c r="A22" s="0" t="str">
        <f aca="false">IF(Frota!$A5="","",Frota!$A5)</f>
        <v>Colhedora CASE A8810 — 1035</v>
      </c>
      <c r="B22" s="0" t="str">
        <f aca="false">IF(Frota!$A5="","",Frota!$B5)</f>
        <v>Colhedora</v>
      </c>
      <c r="C22" s="0" t="n">
        <v>19</v>
      </c>
      <c r="D22" s="0" t="n">
        <f aca="false">INDEX(Semanas!$E$3:$E$54,19)</f>
        <v>8</v>
      </c>
      <c r="E22" s="0" t="str">
        <f aca="false">IF(Frota!$A5="","",Cronograma!T5)</f>
        <v/>
      </c>
      <c r="F22" s="0" t="n">
        <f aca="false">IF(OR($E22="",$E22=0),0,1)</f>
        <v>0</v>
      </c>
      <c r="G22" s="0" t="n">
        <f aca="false">IF($F22=0,0,INDEX(Aux_HH!$D$4:$D$18,MATCH($B22&amp;"|"&amp;$E22,Aux_HH!$A$4:$A$18,0)))</f>
        <v>0</v>
      </c>
      <c r="H22" s="0" t="n">
        <f aca="false">IF($F22=0,0,INDEX(Aux_HH!$E$4:$E$18,MATCH($B22&amp;"|"&amp;$E22,Aux_HH!$A$4:$A$18,0)))</f>
        <v>0</v>
      </c>
      <c r="I22" s="0" t="n">
        <f aca="false">IF($F22=0,0,INDEX(Aux_HH!$F$4:$F$18,MATCH($B22&amp;"|"&amp;$E22,Aux_HH!$A$4:$A$18,0)))</f>
        <v>0</v>
      </c>
      <c r="J22" s="0" t="n">
        <f aca="false">IF($F22=0,0,INDEX(Aux_HH!$G$4:$G$18,MATCH($B22&amp;"|"&amp;$E22,Aux_HH!$A$4:$A$18,0)))</f>
        <v>0</v>
      </c>
      <c r="K22" s="0" t="n">
        <f aca="false">IF($F22=0,0,INDEX(Aux_HH!$H$4:$H$18,MATCH($B22&amp;"|"&amp;$E22,Aux_HH!$A$4:$A$18,0)))</f>
        <v>0</v>
      </c>
      <c r="L22" s="0" t="n">
        <f aca="false">IF($F22=0,0,INDEX(Aux_HH!$I$4:$I$18,MATCH($B22&amp;"|"&amp;$E22,Aux_HH!$A$4:$A$18,0)))</f>
        <v>0</v>
      </c>
    </row>
    <row r="23" customFormat="false" ht="15" hidden="false" customHeight="false" outlineLevel="0" collapsed="false">
      <c r="A23" s="0" t="str">
        <f aca="false">IF(Frota!$A5="","",Frota!$A5)</f>
        <v>Colhedora CASE A8810 — 1035</v>
      </c>
      <c r="B23" s="0" t="str">
        <f aca="false">IF(Frota!$A5="","",Frota!$B5)</f>
        <v>Colhedora</v>
      </c>
      <c r="C23" s="0" t="n">
        <v>20</v>
      </c>
      <c r="D23" s="0" t="n">
        <f aca="false">INDEX(Semanas!$E$3:$E$54,20)</f>
        <v>8</v>
      </c>
      <c r="E23" s="0" t="str">
        <f aca="false">IF(Frota!$A5="","",Cronograma!U5)</f>
        <v/>
      </c>
      <c r="F23" s="0" t="n">
        <f aca="false">IF(OR($E23="",$E23=0),0,1)</f>
        <v>0</v>
      </c>
      <c r="G23" s="0" t="n">
        <f aca="false">IF($F23=0,0,INDEX(Aux_HH!$D$4:$D$18,MATCH($B23&amp;"|"&amp;$E23,Aux_HH!$A$4:$A$18,0)))</f>
        <v>0</v>
      </c>
      <c r="H23" s="0" t="n">
        <f aca="false">IF($F23=0,0,INDEX(Aux_HH!$E$4:$E$18,MATCH($B23&amp;"|"&amp;$E23,Aux_HH!$A$4:$A$18,0)))</f>
        <v>0</v>
      </c>
      <c r="I23" s="0" t="n">
        <f aca="false">IF($F23=0,0,INDEX(Aux_HH!$F$4:$F$18,MATCH($B23&amp;"|"&amp;$E23,Aux_HH!$A$4:$A$18,0)))</f>
        <v>0</v>
      </c>
      <c r="J23" s="0" t="n">
        <f aca="false">IF($F23=0,0,INDEX(Aux_HH!$G$4:$G$18,MATCH($B23&amp;"|"&amp;$E23,Aux_HH!$A$4:$A$18,0)))</f>
        <v>0</v>
      </c>
      <c r="K23" s="0" t="n">
        <f aca="false">IF($F23=0,0,INDEX(Aux_HH!$H$4:$H$18,MATCH($B23&amp;"|"&amp;$E23,Aux_HH!$A$4:$A$18,0)))</f>
        <v>0</v>
      </c>
      <c r="L23" s="0" t="n">
        <f aca="false">IF($F23=0,0,INDEX(Aux_HH!$I$4:$I$18,MATCH($B23&amp;"|"&amp;$E23,Aux_HH!$A$4:$A$18,0)))</f>
        <v>0</v>
      </c>
    </row>
    <row r="24" customFormat="false" ht="15" hidden="false" customHeight="false" outlineLevel="0" collapsed="false">
      <c r="A24" s="0" t="str">
        <f aca="false">IF(Frota!$A5="","",Frota!$A5)</f>
        <v>Colhedora CASE A8810 — 1035</v>
      </c>
      <c r="B24" s="0" t="str">
        <f aca="false">IF(Frota!$A5="","",Frota!$B5)</f>
        <v>Colhedora</v>
      </c>
      <c r="C24" s="0" t="n">
        <v>21</v>
      </c>
      <c r="D24" s="0" t="n">
        <f aca="false">INDEX(Semanas!$E$3:$E$54,21)</f>
        <v>8</v>
      </c>
      <c r="E24" s="0" t="str">
        <f aca="false">IF(Frota!$A5="","",Cronograma!V5)</f>
        <v/>
      </c>
      <c r="F24" s="0" t="n">
        <f aca="false">IF(OR($E24="",$E24=0),0,1)</f>
        <v>0</v>
      </c>
      <c r="G24" s="0" t="n">
        <f aca="false">IF($F24=0,0,INDEX(Aux_HH!$D$4:$D$18,MATCH($B24&amp;"|"&amp;$E24,Aux_HH!$A$4:$A$18,0)))</f>
        <v>0</v>
      </c>
      <c r="H24" s="0" t="n">
        <f aca="false">IF($F24=0,0,INDEX(Aux_HH!$E$4:$E$18,MATCH($B24&amp;"|"&amp;$E24,Aux_HH!$A$4:$A$18,0)))</f>
        <v>0</v>
      </c>
      <c r="I24" s="0" t="n">
        <f aca="false">IF($F24=0,0,INDEX(Aux_HH!$F$4:$F$18,MATCH($B24&amp;"|"&amp;$E24,Aux_HH!$A$4:$A$18,0)))</f>
        <v>0</v>
      </c>
      <c r="J24" s="0" t="n">
        <f aca="false">IF($F24=0,0,INDEX(Aux_HH!$G$4:$G$18,MATCH($B24&amp;"|"&amp;$E24,Aux_HH!$A$4:$A$18,0)))</f>
        <v>0</v>
      </c>
      <c r="K24" s="0" t="n">
        <f aca="false">IF($F24=0,0,INDEX(Aux_HH!$H$4:$H$18,MATCH($B24&amp;"|"&amp;$E24,Aux_HH!$A$4:$A$18,0)))</f>
        <v>0</v>
      </c>
      <c r="L24" s="0" t="n">
        <f aca="false">IF($F24=0,0,INDEX(Aux_HH!$I$4:$I$18,MATCH($B24&amp;"|"&amp;$E24,Aux_HH!$A$4:$A$18,0)))</f>
        <v>0</v>
      </c>
    </row>
    <row r="25" customFormat="false" ht="15" hidden="false" customHeight="false" outlineLevel="0" collapsed="false">
      <c r="A25" s="0" t="str">
        <f aca="false">IF(Frota!$A5="","",Frota!$A5)</f>
        <v>Colhedora CASE A8810 — 1035</v>
      </c>
      <c r="B25" s="0" t="str">
        <f aca="false">IF(Frota!$A5="","",Frota!$B5)</f>
        <v>Colhedora</v>
      </c>
      <c r="C25" s="0" t="n">
        <v>22</v>
      </c>
      <c r="D25" s="0" t="n">
        <f aca="false">INDEX(Semanas!$E$3:$E$54,22)</f>
        <v>8</v>
      </c>
      <c r="E25" s="0" t="str">
        <f aca="false">IF(Frota!$A5="","",Cronograma!W5)</f>
        <v>S</v>
      </c>
      <c r="F25" s="0" t="n">
        <f aca="false">IF(OR($E25="",$E25=0),0,1)</f>
        <v>1</v>
      </c>
      <c r="G25" s="0" t="n">
        <f aca="false">IF($F25=0,0,INDEX(Aux_HH!$D$4:$D$18,MATCH($B25&amp;"|"&amp;$E25,Aux_HH!$A$4:$A$18,0)))</f>
        <v>3.75</v>
      </c>
      <c r="H25" s="0" t="n">
        <f aca="false">IF($F25=0,0,INDEX(Aux_HH!$E$4:$E$18,MATCH($B25&amp;"|"&amp;$E25,Aux_HH!$A$4:$A$18,0)))</f>
        <v>0</v>
      </c>
      <c r="I25" s="0" t="n">
        <f aca="false">IF($F25=0,0,INDEX(Aux_HH!$F$4:$F$18,MATCH($B25&amp;"|"&amp;$E25,Aux_HH!$A$4:$A$18,0)))</f>
        <v>1</v>
      </c>
      <c r="J25" s="0" t="n">
        <f aca="false">IF($F25=0,0,INDEX(Aux_HH!$G$4:$G$18,MATCH($B25&amp;"|"&amp;$E25,Aux_HH!$A$4:$A$18,0)))</f>
        <v>0.75</v>
      </c>
      <c r="K25" s="0" t="n">
        <f aca="false">IF($F25=0,0,INDEX(Aux_HH!$H$4:$H$18,MATCH($B25&amp;"|"&amp;$E25,Aux_HH!$A$4:$A$18,0)))</f>
        <v>0</v>
      </c>
      <c r="L25" s="0" t="n">
        <f aca="false">IF($F25=0,0,INDEX(Aux_HH!$I$4:$I$18,MATCH($B25&amp;"|"&amp;$E25,Aux_HH!$A$4:$A$18,0)))</f>
        <v>0</v>
      </c>
    </row>
    <row r="26" customFormat="false" ht="15" hidden="false" customHeight="false" outlineLevel="0" collapsed="false">
      <c r="A26" s="0" t="str">
        <f aca="false">IF(Frota!$A5="","",Frota!$A5)</f>
        <v>Colhedora CASE A8810 — 1035</v>
      </c>
      <c r="B26" s="0" t="str">
        <f aca="false">IF(Frota!$A5="","",Frota!$B5)</f>
        <v>Colhedora</v>
      </c>
      <c r="C26" s="0" t="n">
        <v>23</v>
      </c>
      <c r="D26" s="0" t="n">
        <f aca="false">INDEX(Semanas!$E$3:$E$54,23)</f>
        <v>9</v>
      </c>
      <c r="E26" s="0" t="str">
        <f aca="false">IF(Frota!$A5="","",Cronograma!X5)</f>
        <v/>
      </c>
      <c r="F26" s="0" t="n">
        <f aca="false">IF(OR($E26="",$E26=0),0,1)</f>
        <v>0</v>
      </c>
      <c r="G26" s="0" t="n">
        <f aca="false">IF($F26=0,0,INDEX(Aux_HH!$D$4:$D$18,MATCH($B26&amp;"|"&amp;$E26,Aux_HH!$A$4:$A$18,0)))</f>
        <v>0</v>
      </c>
      <c r="H26" s="0" t="n">
        <f aca="false">IF($F26=0,0,INDEX(Aux_HH!$E$4:$E$18,MATCH($B26&amp;"|"&amp;$E26,Aux_HH!$A$4:$A$18,0)))</f>
        <v>0</v>
      </c>
      <c r="I26" s="0" t="n">
        <f aca="false">IF($F26=0,0,INDEX(Aux_HH!$F$4:$F$18,MATCH($B26&amp;"|"&amp;$E26,Aux_HH!$A$4:$A$18,0)))</f>
        <v>0</v>
      </c>
      <c r="J26" s="0" t="n">
        <f aca="false">IF($F26=0,0,INDEX(Aux_HH!$G$4:$G$18,MATCH($B26&amp;"|"&amp;$E26,Aux_HH!$A$4:$A$18,0)))</f>
        <v>0</v>
      </c>
      <c r="K26" s="0" t="n">
        <f aca="false">IF($F26=0,0,INDEX(Aux_HH!$H$4:$H$18,MATCH($B26&amp;"|"&amp;$E26,Aux_HH!$A$4:$A$18,0)))</f>
        <v>0</v>
      </c>
      <c r="L26" s="0" t="n">
        <f aca="false">IF($F26=0,0,INDEX(Aux_HH!$I$4:$I$18,MATCH($B26&amp;"|"&amp;$E26,Aux_HH!$A$4:$A$18,0)))</f>
        <v>0</v>
      </c>
    </row>
    <row r="27" customFormat="false" ht="15" hidden="false" customHeight="false" outlineLevel="0" collapsed="false">
      <c r="A27" s="0" t="str">
        <f aca="false">IF(Frota!$A5="","",Frota!$A5)</f>
        <v>Colhedora CASE A8810 — 1035</v>
      </c>
      <c r="B27" s="0" t="str">
        <f aca="false">IF(Frota!$A5="","",Frota!$B5)</f>
        <v>Colhedora</v>
      </c>
      <c r="C27" s="0" t="n">
        <v>24</v>
      </c>
      <c r="D27" s="0" t="n">
        <f aca="false">INDEX(Semanas!$E$3:$E$54,24)</f>
        <v>9</v>
      </c>
      <c r="E27" s="0" t="str">
        <f aca="false">IF(Frota!$A5="","",Cronograma!Y5)</f>
        <v/>
      </c>
      <c r="F27" s="0" t="n">
        <f aca="false">IF(OR($E27="",$E27=0),0,1)</f>
        <v>0</v>
      </c>
      <c r="G27" s="0" t="n">
        <f aca="false">IF($F27=0,0,INDEX(Aux_HH!$D$4:$D$18,MATCH($B27&amp;"|"&amp;$E27,Aux_HH!$A$4:$A$18,0)))</f>
        <v>0</v>
      </c>
      <c r="H27" s="0" t="n">
        <f aca="false">IF($F27=0,0,INDEX(Aux_HH!$E$4:$E$18,MATCH($B27&amp;"|"&amp;$E27,Aux_HH!$A$4:$A$18,0)))</f>
        <v>0</v>
      </c>
      <c r="I27" s="0" t="n">
        <f aca="false">IF($F27=0,0,INDEX(Aux_HH!$F$4:$F$18,MATCH($B27&amp;"|"&amp;$E27,Aux_HH!$A$4:$A$18,0)))</f>
        <v>0</v>
      </c>
      <c r="J27" s="0" t="n">
        <f aca="false">IF($F27=0,0,INDEX(Aux_HH!$G$4:$G$18,MATCH($B27&amp;"|"&amp;$E27,Aux_HH!$A$4:$A$18,0)))</f>
        <v>0</v>
      </c>
      <c r="K27" s="0" t="n">
        <f aca="false">IF($F27=0,0,INDEX(Aux_HH!$H$4:$H$18,MATCH($B27&amp;"|"&amp;$E27,Aux_HH!$A$4:$A$18,0)))</f>
        <v>0</v>
      </c>
      <c r="L27" s="0" t="n">
        <f aca="false">IF($F27=0,0,INDEX(Aux_HH!$I$4:$I$18,MATCH($B27&amp;"|"&amp;$E27,Aux_HH!$A$4:$A$18,0)))</f>
        <v>0</v>
      </c>
    </row>
    <row r="28" customFormat="false" ht="15" hidden="false" customHeight="false" outlineLevel="0" collapsed="false">
      <c r="A28" s="0" t="str">
        <f aca="false">IF(Frota!$A5="","",Frota!$A5)</f>
        <v>Colhedora CASE A8810 — 1035</v>
      </c>
      <c r="B28" s="0" t="str">
        <f aca="false">IF(Frota!$A5="","",Frota!$B5)</f>
        <v>Colhedora</v>
      </c>
      <c r="C28" s="0" t="n">
        <v>25</v>
      </c>
      <c r="D28" s="0" t="n">
        <f aca="false">INDEX(Semanas!$E$3:$E$54,25)</f>
        <v>9</v>
      </c>
      <c r="E28" s="0" t="str">
        <f aca="false">IF(Frota!$A5="","",Cronograma!Z5)</f>
        <v/>
      </c>
      <c r="F28" s="0" t="n">
        <f aca="false">IF(OR($E28="",$E28=0),0,1)</f>
        <v>0</v>
      </c>
      <c r="G28" s="0" t="n">
        <f aca="false">IF($F28=0,0,INDEX(Aux_HH!$D$4:$D$18,MATCH($B28&amp;"|"&amp;$E28,Aux_HH!$A$4:$A$18,0)))</f>
        <v>0</v>
      </c>
      <c r="H28" s="0" t="n">
        <f aca="false">IF($F28=0,0,INDEX(Aux_HH!$E$4:$E$18,MATCH($B28&amp;"|"&amp;$E28,Aux_HH!$A$4:$A$18,0)))</f>
        <v>0</v>
      </c>
      <c r="I28" s="0" t="n">
        <f aca="false">IF($F28=0,0,INDEX(Aux_HH!$F$4:$F$18,MATCH($B28&amp;"|"&amp;$E28,Aux_HH!$A$4:$A$18,0)))</f>
        <v>0</v>
      </c>
      <c r="J28" s="0" t="n">
        <f aca="false">IF($F28=0,0,INDEX(Aux_HH!$G$4:$G$18,MATCH($B28&amp;"|"&amp;$E28,Aux_HH!$A$4:$A$18,0)))</f>
        <v>0</v>
      </c>
      <c r="K28" s="0" t="n">
        <f aca="false">IF($F28=0,0,INDEX(Aux_HH!$H$4:$H$18,MATCH($B28&amp;"|"&amp;$E28,Aux_HH!$A$4:$A$18,0)))</f>
        <v>0</v>
      </c>
      <c r="L28" s="0" t="n">
        <f aca="false">IF($F28=0,0,INDEX(Aux_HH!$I$4:$I$18,MATCH($B28&amp;"|"&amp;$E28,Aux_HH!$A$4:$A$18,0)))</f>
        <v>0</v>
      </c>
    </row>
    <row r="29" customFormat="false" ht="15" hidden="false" customHeight="false" outlineLevel="0" collapsed="false">
      <c r="A29" s="0" t="str">
        <f aca="false">IF(Frota!$A5="","",Frota!$A5)</f>
        <v>Colhedora CASE A8810 — 1035</v>
      </c>
      <c r="B29" s="0" t="str">
        <f aca="false">IF(Frota!$A5="","",Frota!$B5)</f>
        <v>Colhedora</v>
      </c>
      <c r="C29" s="0" t="n">
        <v>26</v>
      </c>
      <c r="D29" s="0" t="n">
        <f aca="false">INDEX(Semanas!$E$3:$E$54,26)</f>
        <v>9</v>
      </c>
      <c r="E29" s="0" t="str">
        <f aca="false">IF(Frota!$A5="","",Cronograma!AA5)</f>
        <v/>
      </c>
      <c r="F29" s="0" t="n">
        <f aca="false">IF(OR($E29="",$E29=0),0,1)</f>
        <v>0</v>
      </c>
      <c r="G29" s="0" t="n">
        <f aca="false">IF($F29=0,0,INDEX(Aux_HH!$D$4:$D$18,MATCH($B29&amp;"|"&amp;$E29,Aux_HH!$A$4:$A$18,0)))</f>
        <v>0</v>
      </c>
      <c r="H29" s="0" t="n">
        <f aca="false">IF($F29=0,0,INDEX(Aux_HH!$E$4:$E$18,MATCH($B29&amp;"|"&amp;$E29,Aux_HH!$A$4:$A$18,0)))</f>
        <v>0</v>
      </c>
      <c r="I29" s="0" t="n">
        <f aca="false">IF($F29=0,0,INDEX(Aux_HH!$F$4:$F$18,MATCH($B29&amp;"|"&amp;$E29,Aux_HH!$A$4:$A$18,0)))</f>
        <v>0</v>
      </c>
      <c r="J29" s="0" t="n">
        <f aca="false">IF($F29=0,0,INDEX(Aux_HH!$G$4:$G$18,MATCH($B29&amp;"|"&amp;$E29,Aux_HH!$A$4:$A$18,0)))</f>
        <v>0</v>
      </c>
      <c r="K29" s="0" t="n">
        <f aca="false">IF($F29=0,0,INDEX(Aux_HH!$H$4:$H$18,MATCH($B29&amp;"|"&amp;$E29,Aux_HH!$A$4:$A$18,0)))</f>
        <v>0</v>
      </c>
      <c r="L29" s="0" t="n">
        <f aca="false">IF($F29=0,0,INDEX(Aux_HH!$I$4:$I$18,MATCH($B29&amp;"|"&amp;$E29,Aux_HH!$A$4:$A$18,0)))</f>
        <v>0</v>
      </c>
    </row>
    <row r="30" customFormat="false" ht="15" hidden="false" customHeight="false" outlineLevel="0" collapsed="false">
      <c r="A30" s="0" t="str">
        <f aca="false">IF(Frota!$A5="","",Frota!$A5)</f>
        <v>Colhedora CASE A8810 — 1035</v>
      </c>
      <c r="B30" s="0" t="str">
        <f aca="false">IF(Frota!$A5="","",Frota!$B5)</f>
        <v>Colhedora</v>
      </c>
      <c r="C30" s="0" t="n">
        <v>27</v>
      </c>
      <c r="D30" s="0" t="n">
        <f aca="false">INDEX(Semanas!$E$3:$E$54,27)</f>
        <v>9</v>
      </c>
      <c r="E30" s="0" t="str">
        <f aca="false">IF(Frota!$A5="","",Cronograma!AB5)</f>
        <v/>
      </c>
      <c r="F30" s="0" t="n">
        <f aca="false">IF(OR($E30="",$E30=0),0,1)</f>
        <v>0</v>
      </c>
      <c r="G30" s="0" t="n">
        <f aca="false">IF($F30=0,0,INDEX(Aux_HH!$D$4:$D$18,MATCH($B30&amp;"|"&amp;$E30,Aux_HH!$A$4:$A$18,0)))</f>
        <v>0</v>
      </c>
      <c r="H30" s="0" t="n">
        <f aca="false">IF($F30=0,0,INDEX(Aux_HH!$E$4:$E$18,MATCH($B30&amp;"|"&amp;$E30,Aux_HH!$A$4:$A$18,0)))</f>
        <v>0</v>
      </c>
      <c r="I30" s="0" t="n">
        <f aca="false">IF($F30=0,0,INDEX(Aux_HH!$F$4:$F$18,MATCH($B30&amp;"|"&amp;$E30,Aux_HH!$A$4:$A$18,0)))</f>
        <v>0</v>
      </c>
      <c r="J30" s="0" t="n">
        <f aca="false">IF($F30=0,0,INDEX(Aux_HH!$G$4:$G$18,MATCH($B30&amp;"|"&amp;$E30,Aux_HH!$A$4:$A$18,0)))</f>
        <v>0</v>
      </c>
      <c r="K30" s="0" t="n">
        <f aca="false">IF($F30=0,0,INDEX(Aux_HH!$H$4:$H$18,MATCH($B30&amp;"|"&amp;$E30,Aux_HH!$A$4:$A$18,0)))</f>
        <v>0</v>
      </c>
      <c r="L30" s="0" t="n">
        <f aca="false">IF($F30=0,0,INDEX(Aux_HH!$I$4:$I$18,MATCH($B30&amp;"|"&amp;$E30,Aux_HH!$A$4:$A$18,0)))</f>
        <v>0</v>
      </c>
    </row>
    <row r="31" customFormat="false" ht="15" hidden="false" customHeight="false" outlineLevel="0" collapsed="false">
      <c r="A31" s="0" t="str">
        <f aca="false">IF(Frota!$A5="","",Frota!$A5)</f>
        <v>Colhedora CASE A8810 — 1035</v>
      </c>
      <c r="B31" s="0" t="str">
        <f aca="false">IF(Frota!$A5="","",Frota!$B5)</f>
        <v>Colhedora</v>
      </c>
      <c r="C31" s="0" t="n">
        <v>28</v>
      </c>
      <c r="D31" s="0" t="n">
        <f aca="false">INDEX(Semanas!$E$3:$E$54,28)</f>
        <v>10</v>
      </c>
      <c r="E31" s="0" t="str">
        <f aca="false">IF(Frota!$A5="","",Cronograma!AC5)</f>
        <v>B</v>
      </c>
      <c r="F31" s="0" t="n">
        <f aca="false">IF(OR($E31="",$E31=0),0,1)</f>
        <v>1</v>
      </c>
      <c r="G31" s="0" t="n">
        <f aca="false">IF($F31=0,0,INDEX(Aux_HH!$D$4:$D$18,MATCH($B31&amp;"|"&amp;$E31,Aux_HH!$A$4:$A$18,0)))</f>
        <v>10.25</v>
      </c>
      <c r="H31" s="0" t="n">
        <f aca="false">IF($F31=0,0,INDEX(Aux_HH!$E$4:$E$18,MATCH($B31&amp;"|"&amp;$E31,Aux_HH!$A$4:$A$18,0)))</f>
        <v>0</v>
      </c>
      <c r="I31" s="0" t="n">
        <f aca="false">IF($F31=0,0,INDEX(Aux_HH!$F$4:$F$18,MATCH($B31&amp;"|"&amp;$E31,Aux_HH!$A$4:$A$18,0)))</f>
        <v>3</v>
      </c>
      <c r="J31" s="0" t="n">
        <f aca="false">IF($F31=0,0,INDEX(Aux_HH!$G$4:$G$18,MATCH($B31&amp;"|"&amp;$E31,Aux_HH!$A$4:$A$18,0)))</f>
        <v>1.75</v>
      </c>
      <c r="K31" s="0" t="n">
        <f aca="false">IF($F31=0,0,INDEX(Aux_HH!$H$4:$H$18,MATCH($B31&amp;"|"&amp;$E31,Aux_HH!$A$4:$A$18,0)))</f>
        <v>0</v>
      </c>
      <c r="L31" s="0" t="n">
        <f aca="false">IF($F31=0,0,INDEX(Aux_HH!$I$4:$I$18,MATCH($B31&amp;"|"&amp;$E31,Aux_HH!$A$4:$A$18,0)))</f>
        <v>0</v>
      </c>
    </row>
    <row r="32" customFormat="false" ht="15" hidden="false" customHeight="false" outlineLevel="0" collapsed="false">
      <c r="A32" s="0" t="str">
        <f aca="false">IF(Frota!$A5="","",Frota!$A5)</f>
        <v>Colhedora CASE A8810 — 1035</v>
      </c>
      <c r="B32" s="0" t="str">
        <f aca="false">IF(Frota!$A5="","",Frota!$B5)</f>
        <v>Colhedora</v>
      </c>
      <c r="C32" s="0" t="n">
        <v>29</v>
      </c>
      <c r="D32" s="0" t="n">
        <f aca="false">INDEX(Semanas!$E$3:$E$54,29)</f>
        <v>10</v>
      </c>
      <c r="E32" s="0" t="str">
        <f aca="false">IF(Frota!$A5="","",Cronograma!AD5)</f>
        <v/>
      </c>
      <c r="F32" s="0" t="n">
        <f aca="false">IF(OR($E32="",$E32=0),0,1)</f>
        <v>0</v>
      </c>
      <c r="G32" s="0" t="n">
        <f aca="false">IF($F32=0,0,INDEX(Aux_HH!$D$4:$D$18,MATCH($B32&amp;"|"&amp;$E32,Aux_HH!$A$4:$A$18,0)))</f>
        <v>0</v>
      </c>
      <c r="H32" s="0" t="n">
        <f aca="false">IF($F32=0,0,INDEX(Aux_HH!$E$4:$E$18,MATCH($B32&amp;"|"&amp;$E32,Aux_HH!$A$4:$A$18,0)))</f>
        <v>0</v>
      </c>
      <c r="I32" s="0" t="n">
        <f aca="false">IF($F32=0,0,INDEX(Aux_HH!$F$4:$F$18,MATCH($B32&amp;"|"&amp;$E32,Aux_HH!$A$4:$A$18,0)))</f>
        <v>0</v>
      </c>
      <c r="J32" s="0" t="n">
        <f aca="false">IF($F32=0,0,INDEX(Aux_HH!$G$4:$G$18,MATCH($B32&amp;"|"&amp;$E32,Aux_HH!$A$4:$A$18,0)))</f>
        <v>0</v>
      </c>
      <c r="K32" s="0" t="n">
        <f aca="false">IF($F32=0,0,INDEX(Aux_HH!$H$4:$H$18,MATCH($B32&amp;"|"&amp;$E32,Aux_HH!$A$4:$A$18,0)))</f>
        <v>0</v>
      </c>
      <c r="L32" s="0" t="n">
        <f aca="false">IF($F32=0,0,INDEX(Aux_HH!$I$4:$I$18,MATCH($B32&amp;"|"&amp;$E32,Aux_HH!$A$4:$A$18,0)))</f>
        <v>0</v>
      </c>
    </row>
    <row r="33" customFormat="false" ht="15" hidden="false" customHeight="false" outlineLevel="0" collapsed="false">
      <c r="A33" s="0" t="str">
        <f aca="false">IF(Frota!$A5="","",Frota!$A5)</f>
        <v>Colhedora CASE A8810 — 1035</v>
      </c>
      <c r="B33" s="0" t="str">
        <f aca="false">IF(Frota!$A5="","",Frota!$B5)</f>
        <v>Colhedora</v>
      </c>
      <c r="C33" s="0" t="n">
        <v>30</v>
      </c>
      <c r="D33" s="0" t="n">
        <f aca="false">INDEX(Semanas!$E$3:$E$54,30)</f>
        <v>10</v>
      </c>
      <c r="E33" s="0" t="str">
        <f aca="false">IF(Frota!$A5="","",Cronograma!AE5)</f>
        <v/>
      </c>
      <c r="F33" s="0" t="n">
        <f aca="false">IF(OR($E33="",$E33=0),0,1)</f>
        <v>0</v>
      </c>
      <c r="G33" s="0" t="n">
        <f aca="false">IF($F33=0,0,INDEX(Aux_HH!$D$4:$D$18,MATCH($B33&amp;"|"&amp;$E33,Aux_HH!$A$4:$A$18,0)))</f>
        <v>0</v>
      </c>
      <c r="H33" s="0" t="n">
        <f aca="false">IF($F33=0,0,INDEX(Aux_HH!$E$4:$E$18,MATCH($B33&amp;"|"&amp;$E33,Aux_HH!$A$4:$A$18,0)))</f>
        <v>0</v>
      </c>
      <c r="I33" s="0" t="n">
        <f aca="false">IF($F33=0,0,INDEX(Aux_HH!$F$4:$F$18,MATCH($B33&amp;"|"&amp;$E33,Aux_HH!$A$4:$A$18,0)))</f>
        <v>0</v>
      </c>
      <c r="J33" s="0" t="n">
        <f aca="false">IF($F33=0,0,INDEX(Aux_HH!$G$4:$G$18,MATCH($B33&amp;"|"&amp;$E33,Aux_HH!$A$4:$A$18,0)))</f>
        <v>0</v>
      </c>
      <c r="K33" s="0" t="n">
        <f aca="false">IF($F33=0,0,INDEX(Aux_HH!$H$4:$H$18,MATCH($B33&amp;"|"&amp;$E33,Aux_HH!$A$4:$A$18,0)))</f>
        <v>0</v>
      </c>
      <c r="L33" s="0" t="n">
        <f aca="false">IF($F33=0,0,INDEX(Aux_HH!$I$4:$I$18,MATCH($B33&amp;"|"&amp;$E33,Aux_HH!$A$4:$A$18,0)))</f>
        <v>0</v>
      </c>
    </row>
    <row r="34" customFormat="false" ht="15" hidden="false" customHeight="false" outlineLevel="0" collapsed="false">
      <c r="A34" s="0" t="str">
        <f aca="false">IF(Frota!$A5="","",Frota!$A5)</f>
        <v>Colhedora CASE A8810 — 1035</v>
      </c>
      <c r="B34" s="0" t="str">
        <f aca="false">IF(Frota!$A5="","",Frota!$B5)</f>
        <v>Colhedora</v>
      </c>
      <c r="C34" s="0" t="n">
        <v>31</v>
      </c>
      <c r="D34" s="0" t="n">
        <f aca="false">INDEX(Semanas!$E$3:$E$54,31)</f>
        <v>10</v>
      </c>
      <c r="E34" s="0" t="str">
        <f aca="false">IF(Frota!$A5="","",Cronograma!AF5)</f>
        <v/>
      </c>
      <c r="F34" s="0" t="n">
        <f aca="false">IF(OR($E34="",$E34=0),0,1)</f>
        <v>0</v>
      </c>
      <c r="G34" s="0" t="n">
        <f aca="false">IF($F34=0,0,INDEX(Aux_HH!$D$4:$D$18,MATCH($B34&amp;"|"&amp;$E34,Aux_HH!$A$4:$A$18,0)))</f>
        <v>0</v>
      </c>
      <c r="H34" s="0" t="n">
        <f aca="false">IF($F34=0,0,INDEX(Aux_HH!$E$4:$E$18,MATCH($B34&amp;"|"&amp;$E34,Aux_HH!$A$4:$A$18,0)))</f>
        <v>0</v>
      </c>
      <c r="I34" s="0" t="n">
        <f aca="false">IF($F34=0,0,INDEX(Aux_HH!$F$4:$F$18,MATCH($B34&amp;"|"&amp;$E34,Aux_HH!$A$4:$A$18,0)))</f>
        <v>0</v>
      </c>
      <c r="J34" s="0" t="n">
        <f aca="false">IF($F34=0,0,INDEX(Aux_HH!$G$4:$G$18,MATCH($B34&amp;"|"&amp;$E34,Aux_HH!$A$4:$A$18,0)))</f>
        <v>0</v>
      </c>
      <c r="K34" s="0" t="n">
        <f aca="false">IF($F34=0,0,INDEX(Aux_HH!$H$4:$H$18,MATCH($B34&amp;"|"&amp;$E34,Aux_HH!$A$4:$A$18,0)))</f>
        <v>0</v>
      </c>
      <c r="L34" s="0" t="n">
        <f aca="false">IF($F34=0,0,INDEX(Aux_HH!$I$4:$I$18,MATCH($B34&amp;"|"&amp;$E34,Aux_HH!$A$4:$A$18,0)))</f>
        <v>0</v>
      </c>
    </row>
    <row r="35" customFormat="false" ht="15" hidden="false" customHeight="false" outlineLevel="0" collapsed="false">
      <c r="A35" s="0" t="str">
        <f aca="false">IF(Frota!$A5="","",Frota!$A5)</f>
        <v>Colhedora CASE A8810 — 1035</v>
      </c>
      <c r="B35" s="0" t="str">
        <f aca="false">IF(Frota!$A5="","",Frota!$B5)</f>
        <v>Colhedora</v>
      </c>
      <c r="C35" s="0" t="n">
        <v>32</v>
      </c>
      <c r="D35" s="0" t="n">
        <f aca="false">INDEX(Semanas!$E$3:$E$54,32)</f>
        <v>11</v>
      </c>
      <c r="E35" s="0" t="str">
        <f aca="false">IF(Frota!$A5="","",Cronograma!AG5)</f>
        <v/>
      </c>
      <c r="F35" s="0" t="n">
        <f aca="false">IF(OR($E35="",$E35=0),0,1)</f>
        <v>0</v>
      </c>
      <c r="G35" s="0" t="n">
        <f aca="false">IF($F35=0,0,INDEX(Aux_HH!$D$4:$D$18,MATCH($B35&amp;"|"&amp;$E35,Aux_HH!$A$4:$A$18,0)))</f>
        <v>0</v>
      </c>
      <c r="H35" s="0" t="n">
        <f aca="false">IF($F35=0,0,INDEX(Aux_HH!$E$4:$E$18,MATCH($B35&amp;"|"&amp;$E35,Aux_HH!$A$4:$A$18,0)))</f>
        <v>0</v>
      </c>
      <c r="I35" s="0" t="n">
        <f aca="false">IF($F35=0,0,INDEX(Aux_HH!$F$4:$F$18,MATCH($B35&amp;"|"&amp;$E35,Aux_HH!$A$4:$A$18,0)))</f>
        <v>0</v>
      </c>
      <c r="J35" s="0" t="n">
        <f aca="false">IF($F35=0,0,INDEX(Aux_HH!$G$4:$G$18,MATCH($B35&amp;"|"&amp;$E35,Aux_HH!$A$4:$A$18,0)))</f>
        <v>0</v>
      </c>
      <c r="K35" s="0" t="n">
        <f aca="false">IF($F35=0,0,INDEX(Aux_HH!$H$4:$H$18,MATCH($B35&amp;"|"&amp;$E35,Aux_HH!$A$4:$A$18,0)))</f>
        <v>0</v>
      </c>
      <c r="L35" s="0" t="n">
        <f aca="false">IF($F35=0,0,INDEX(Aux_HH!$I$4:$I$18,MATCH($B35&amp;"|"&amp;$E35,Aux_HH!$A$4:$A$18,0)))</f>
        <v>0</v>
      </c>
    </row>
    <row r="36" customFormat="false" ht="15" hidden="false" customHeight="false" outlineLevel="0" collapsed="false">
      <c r="A36" s="0" t="str">
        <f aca="false">IF(Frota!$A5="","",Frota!$A5)</f>
        <v>Colhedora CASE A8810 — 1035</v>
      </c>
      <c r="B36" s="0" t="str">
        <f aca="false">IF(Frota!$A5="","",Frota!$B5)</f>
        <v>Colhedora</v>
      </c>
      <c r="C36" s="0" t="n">
        <v>33</v>
      </c>
      <c r="D36" s="0" t="n">
        <f aca="false">INDEX(Semanas!$E$3:$E$54,33)</f>
        <v>11</v>
      </c>
      <c r="E36" s="0" t="str">
        <f aca="false">IF(Frota!$A5="","",Cronograma!AH5)</f>
        <v>S</v>
      </c>
      <c r="F36" s="0" t="n">
        <f aca="false">IF(OR($E36="",$E36=0),0,1)</f>
        <v>1</v>
      </c>
      <c r="G36" s="0" t="n">
        <f aca="false">IF($F36=0,0,INDEX(Aux_HH!$D$4:$D$18,MATCH($B36&amp;"|"&amp;$E36,Aux_HH!$A$4:$A$18,0)))</f>
        <v>3.75</v>
      </c>
      <c r="H36" s="0" t="n">
        <f aca="false">IF($F36=0,0,INDEX(Aux_HH!$E$4:$E$18,MATCH($B36&amp;"|"&amp;$E36,Aux_HH!$A$4:$A$18,0)))</f>
        <v>0</v>
      </c>
      <c r="I36" s="0" t="n">
        <f aca="false">IF($F36=0,0,INDEX(Aux_HH!$F$4:$F$18,MATCH($B36&amp;"|"&amp;$E36,Aux_HH!$A$4:$A$18,0)))</f>
        <v>1</v>
      </c>
      <c r="J36" s="0" t="n">
        <f aca="false">IF($F36=0,0,INDEX(Aux_HH!$G$4:$G$18,MATCH($B36&amp;"|"&amp;$E36,Aux_HH!$A$4:$A$18,0)))</f>
        <v>0.75</v>
      </c>
      <c r="K36" s="0" t="n">
        <f aca="false">IF($F36=0,0,INDEX(Aux_HH!$H$4:$H$18,MATCH($B36&amp;"|"&amp;$E36,Aux_HH!$A$4:$A$18,0)))</f>
        <v>0</v>
      </c>
      <c r="L36" s="0" t="n">
        <f aca="false">IF($F36=0,0,INDEX(Aux_HH!$I$4:$I$18,MATCH($B36&amp;"|"&amp;$E36,Aux_HH!$A$4:$A$18,0)))</f>
        <v>0</v>
      </c>
    </row>
    <row r="37" customFormat="false" ht="15" hidden="false" customHeight="false" outlineLevel="0" collapsed="false">
      <c r="A37" s="0" t="str">
        <f aca="false">IF(Frota!$A5="","",Frota!$A5)</f>
        <v>Colhedora CASE A8810 — 1035</v>
      </c>
      <c r="B37" s="0" t="str">
        <f aca="false">IF(Frota!$A5="","",Frota!$B5)</f>
        <v>Colhedora</v>
      </c>
      <c r="C37" s="0" t="n">
        <v>34</v>
      </c>
      <c r="D37" s="0" t="n">
        <f aca="false">INDEX(Semanas!$E$3:$E$54,34)</f>
        <v>11</v>
      </c>
      <c r="E37" s="0" t="str">
        <f aca="false">IF(Frota!$A5="","",Cronograma!AI5)</f>
        <v/>
      </c>
      <c r="F37" s="0" t="n">
        <f aca="false">IF(OR($E37="",$E37=0),0,1)</f>
        <v>0</v>
      </c>
      <c r="G37" s="0" t="n">
        <f aca="false">IF($F37=0,0,INDEX(Aux_HH!$D$4:$D$18,MATCH($B37&amp;"|"&amp;$E37,Aux_HH!$A$4:$A$18,0)))</f>
        <v>0</v>
      </c>
      <c r="H37" s="0" t="n">
        <f aca="false">IF($F37=0,0,INDEX(Aux_HH!$E$4:$E$18,MATCH($B37&amp;"|"&amp;$E37,Aux_HH!$A$4:$A$18,0)))</f>
        <v>0</v>
      </c>
      <c r="I37" s="0" t="n">
        <f aca="false">IF($F37=0,0,INDEX(Aux_HH!$F$4:$F$18,MATCH($B37&amp;"|"&amp;$E37,Aux_HH!$A$4:$A$18,0)))</f>
        <v>0</v>
      </c>
      <c r="J37" s="0" t="n">
        <f aca="false">IF($F37=0,0,INDEX(Aux_HH!$G$4:$G$18,MATCH($B37&amp;"|"&amp;$E37,Aux_HH!$A$4:$A$18,0)))</f>
        <v>0</v>
      </c>
      <c r="K37" s="0" t="n">
        <f aca="false">IF($F37=0,0,INDEX(Aux_HH!$H$4:$H$18,MATCH($B37&amp;"|"&amp;$E37,Aux_HH!$A$4:$A$18,0)))</f>
        <v>0</v>
      </c>
      <c r="L37" s="0" t="n">
        <f aca="false">IF($F37=0,0,INDEX(Aux_HH!$I$4:$I$18,MATCH($B37&amp;"|"&amp;$E37,Aux_HH!$A$4:$A$18,0)))</f>
        <v>0</v>
      </c>
    </row>
    <row r="38" customFormat="false" ht="15" hidden="false" customHeight="false" outlineLevel="0" collapsed="false">
      <c r="A38" s="0" t="str">
        <f aca="false">IF(Frota!$A5="","",Frota!$A5)</f>
        <v>Colhedora CASE A8810 — 1035</v>
      </c>
      <c r="B38" s="0" t="str">
        <f aca="false">IF(Frota!$A5="","",Frota!$B5)</f>
        <v>Colhedora</v>
      </c>
      <c r="C38" s="0" t="n">
        <v>35</v>
      </c>
      <c r="D38" s="0" t="n">
        <f aca="false">INDEX(Semanas!$E$3:$E$54,35)</f>
        <v>11</v>
      </c>
      <c r="E38" s="0" t="str">
        <f aca="false">IF(Frota!$A5="","",Cronograma!AJ5)</f>
        <v/>
      </c>
      <c r="F38" s="0" t="n">
        <f aca="false">IF(OR($E38="",$E38=0),0,1)</f>
        <v>0</v>
      </c>
      <c r="G38" s="0" t="n">
        <f aca="false">IF($F38=0,0,INDEX(Aux_HH!$D$4:$D$18,MATCH($B38&amp;"|"&amp;$E38,Aux_HH!$A$4:$A$18,0)))</f>
        <v>0</v>
      </c>
      <c r="H38" s="0" t="n">
        <f aca="false">IF($F38=0,0,INDEX(Aux_HH!$E$4:$E$18,MATCH($B38&amp;"|"&amp;$E38,Aux_HH!$A$4:$A$18,0)))</f>
        <v>0</v>
      </c>
      <c r="I38" s="0" t="n">
        <f aca="false">IF($F38=0,0,INDEX(Aux_HH!$F$4:$F$18,MATCH($B38&amp;"|"&amp;$E38,Aux_HH!$A$4:$A$18,0)))</f>
        <v>0</v>
      </c>
      <c r="J38" s="0" t="n">
        <f aca="false">IF($F38=0,0,INDEX(Aux_HH!$G$4:$G$18,MATCH($B38&amp;"|"&amp;$E38,Aux_HH!$A$4:$A$18,0)))</f>
        <v>0</v>
      </c>
      <c r="K38" s="0" t="n">
        <f aca="false">IF($F38=0,0,INDEX(Aux_HH!$H$4:$H$18,MATCH($B38&amp;"|"&amp;$E38,Aux_HH!$A$4:$A$18,0)))</f>
        <v>0</v>
      </c>
      <c r="L38" s="0" t="n">
        <f aca="false">IF($F38=0,0,INDEX(Aux_HH!$I$4:$I$18,MATCH($B38&amp;"|"&amp;$E38,Aux_HH!$A$4:$A$18,0)))</f>
        <v>0</v>
      </c>
    </row>
    <row r="39" customFormat="false" ht="15" hidden="false" customHeight="false" outlineLevel="0" collapsed="false">
      <c r="A39" s="0" t="str">
        <f aca="false">IF(Frota!$A5="","",Frota!$A5)</f>
        <v>Colhedora CASE A8810 — 1035</v>
      </c>
      <c r="B39" s="0" t="str">
        <f aca="false">IF(Frota!$A5="","",Frota!$B5)</f>
        <v>Colhedora</v>
      </c>
      <c r="C39" s="0" t="n">
        <v>36</v>
      </c>
      <c r="D39" s="0" t="n">
        <f aca="false">INDEX(Semanas!$E$3:$E$54,36)</f>
        <v>12</v>
      </c>
      <c r="E39" s="0" t="str">
        <f aca="false">IF(Frota!$A5="","",Cronograma!AK5)</f>
        <v/>
      </c>
      <c r="F39" s="0" t="n">
        <f aca="false">IF(OR($E39="",$E39=0),0,1)</f>
        <v>0</v>
      </c>
      <c r="G39" s="0" t="n">
        <f aca="false">IF($F39=0,0,INDEX(Aux_HH!$D$4:$D$18,MATCH($B39&amp;"|"&amp;$E39,Aux_HH!$A$4:$A$18,0)))</f>
        <v>0</v>
      </c>
      <c r="H39" s="0" t="n">
        <f aca="false">IF($F39=0,0,INDEX(Aux_HH!$E$4:$E$18,MATCH($B39&amp;"|"&amp;$E39,Aux_HH!$A$4:$A$18,0)))</f>
        <v>0</v>
      </c>
      <c r="I39" s="0" t="n">
        <f aca="false">IF($F39=0,0,INDEX(Aux_HH!$F$4:$F$18,MATCH($B39&amp;"|"&amp;$E39,Aux_HH!$A$4:$A$18,0)))</f>
        <v>0</v>
      </c>
      <c r="J39" s="0" t="n">
        <f aca="false">IF($F39=0,0,INDEX(Aux_HH!$G$4:$G$18,MATCH($B39&amp;"|"&amp;$E39,Aux_HH!$A$4:$A$18,0)))</f>
        <v>0</v>
      </c>
      <c r="K39" s="0" t="n">
        <f aca="false">IF($F39=0,0,INDEX(Aux_HH!$H$4:$H$18,MATCH($B39&amp;"|"&amp;$E39,Aux_HH!$A$4:$A$18,0)))</f>
        <v>0</v>
      </c>
      <c r="L39" s="0" t="n">
        <f aca="false">IF($F39=0,0,INDEX(Aux_HH!$I$4:$I$18,MATCH($B39&amp;"|"&amp;$E39,Aux_HH!$A$4:$A$18,0)))</f>
        <v>0</v>
      </c>
    </row>
    <row r="40" customFormat="false" ht="15" hidden="false" customHeight="false" outlineLevel="0" collapsed="false">
      <c r="A40" s="0" t="str">
        <f aca="false">IF(Frota!$A5="","",Frota!$A5)</f>
        <v>Colhedora CASE A8810 — 1035</v>
      </c>
      <c r="B40" s="0" t="str">
        <f aca="false">IF(Frota!$A5="","",Frota!$B5)</f>
        <v>Colhedora</v>
      </c>
      <c r="C40" s="0" t="n">
        <v>37</v>
      </c>
      <c r="D40" s="0" t="n">
        <f aca="false">INDEX(Semanas!$E$3:$E$54,37)</f>
        <v>12</v>
      </c>
      <c r="E40" s="0" t="str">
        <f aca="false">IF(Frota!$A5="","",Cronograma!AL5)</f>
        <v/>
      </c>
      <c r="F40" s="0" t="n">
        <f aca="false">IF(OR($E40="",$E40=0),0,1)</f>
        <v>0</v>
      </c>
      <c r="G40" s="0" t="n">
        <f aca="false">IF($F40=0,0,INDEX(Aux_HH!$D$4:$D$18,MATCH($B40&amp;"|"&amp;$E40,Aux_HH!$A$4:$A$18,0)))</f>
        <v>0</v>
      </c>
      <c r="H40" s="0" t="n">
        <f aca="false">IF($F40=0,0,INDEX(Aux_HH!$E$4:$E$18,MATCH($B40&amp;"|"&amp;$E40,Aux_HH!$A$4:$A$18,0)))</f>
        <v>0</v>
      </c>
      <c r="I40" s="0" t="n">
        <f aca="false">IF($F40=0,0,INDEX(Aux_HH!$F$4:$F$18,MATCH($B40&amp;"|"&amp;$E40,Aux_HH!$A$4:$A$18,0)))</f>
        <v>0</v>
      </c>
      <c r="J40" s="0" t="n">
        <f aca="false">IF($F40=0,0,INDEX(Aux_HH!$G$4:$G$18,MATCH($B40&amp;"|"&amp;$E40,Aux_HH!$A$4:$A$18,0)))</f>
        <v>0</v>
      </c>
      <c r="K40" s="0" t="n">
        <f aca="false">IF($F40=0,0,INDEX(Aux_HH!$H$4:$H$18,MATCH($B40&amp;"|"&amp;$E40,Aux_HH!$A$4:$A$18,0)))</f>
        <v>0</v>
      </c>
      <c r="L40" s="0" t="n">
        <f aca="false">IF($F40=0,0,INDEX(Aux_HH!$I$4:$I$18,MATCH($B40&amp;"|"&amp;$E40,Aux_HH!$A$4:$A$18,0)))</f>
        <v>0</v>
      </c>
    </row>
    <row r="41" customFormat="false" ht="15" hidden="false" customHeight="false" outlineLevel="0" collapsed="false">
      <c r="A41" s="0" t="str">
        <f aca="false">IF(Frota!$A5="","",Frota!$A5)</f>
        <v>Colhedora CASE A8810 — 1035</v>
      </c>
      <c r="B41" s="0" t="str">
        <f aca="false">IF(Frota!$A5="","",Frota!$B5)</f>
        <v>Colhedora</v>
      </c>
      <c r="C41" s="0" t="n">
        <v>38</v>
      </c>
      <c r="D41" s="0" t="n">
        <f aca="false">INDEX(Semanas!$E$3:$E$54,38)</f>
        <v>12</v>
      </c>
      <c r="E41" s="0" t="str">
        <f aca="false">IF(Frota!$A5="","",Cronograma!AM5)</f>
        <v/>
      </c>
      <c r="F41" s="0" t="n">
        <f aca="false">IF(OR($E41="",$E41=0),0,1)</f>
        <v>0</v>
      </c>
      <c r="G41" s="0" t="n">
        <f aca="false">IF($F41=0,0,INDEX(Aux_HH!$D$4:$D$18,MATCH($B41&amp;"|"&amp;$E41,Aux_HH!$A$4:$A$18,0)))</f>
        <v>0</v>
      </c>
      <c r="H41" s="0" t="n">
        <f aca="false">IF($F41=0,0,INDEX(Aux_HH!$E$4:$E$18,MATCH($B41&amp;"|"&amp;$E41,Aux_HH!$A$4:$A$18,0)))</f>
        <v>0</v>
      </c>
      <c r="I41" s="0" t="n">
        <f aca="false">IF($F41=0,0,INDEX(Aux_HH!$F$4:$F$18,MATCH($B41&amp;"|"&amp;$E41,Aux_HH!$A$4:$A$18,0)))</f>
        <v>0</v>
      </c>
      <c r="J41" s="0" t="n">
        <f aca="false">IF($F41=0,0,INDEX(Aux_HH!$G$4:$G$18,MATCH($B41&amp;"|"&amp;$E41,Aux_HH!$A$4:$A$18,0)))</f>
        <v>0</v>
      </c>
      <c r="K41" s="0" t="n">
        <f aca="false">IF($F41=0,0,INDEX(Aux_HH!$H$4:$H$18,MATCH($B41&amp;"|"&amp;$E41,Aux_HH!$A$4:$A$18,0)))</f>
        <v>0</v>
      </c>
      <c r="L41" s="0" t="n">
        <f aca="false">IF($F41=0,0,INDEX(Aux_HH!$I$4:$I$18,MATCH($B41&amp;"|"&amp;$E41,Aux_HH!$A$4:$A$18,0)))</f>
        <v>0</v>
      </c>
    </row>
    <row r="42" customFormat="false" ht="15" hidden="false" customHeight="false" outlineLevel="0" collapsed="false">
      <c r="A42" s="0" t="str">
        <f aca="false">IF(Frota!$A5="","",Frota!$A5)</f>
        <v>Colhedora CASE A8810 — 1035</v>
      </c>
      <c r="B42" s="0" t="str">
        <f aca="false">IF(Frota!$A5="","",Frota!$B5)</f>
        <v>Colhedora</v>
      </c>
      <c r="C42" s="0" t="n">
        <v>39</v>
      </c>
      <c r="D42" s="0" t="n">
        <f aca="false">INDEX(Semanas!$E$3:$E$54,39)</f>
        <v>12</v>
      </c>
      <c r="E42" s="0" t="str">
        <f aca="false">IF(Frota!$A5="","",Cronograma!AN5)</f>
        <v/>
      </c>
      <c r="F42" s="0" t="n">
        <f aca="false">IF(OR($E42="",$E42=0),0,1)</f>
        <v>0</v>
      </c>
      <c r="G42" s="0" t="n">
        <f aca="false">IF($F42=0,0,INDEX(Aux_HH!$D$4:$D$18,MATCH($B42&amp;"|"&amp;$E42,Aux_HH!$A$4:$A$18,0)))</f>
        <v>0</v>
      </c>
      <c r="H42" s="0" t="n">
        <f aca="false">IF($F42=0,0,INDEX(Aux_HH!$E$4:$E$18,MATCH($B42&amp;"|"&amp;$E42,Aux_HH!$A$4:$A$18,0)))</f>
        <v>0</v>
      </c>
      <c r="I42" s="0" t="n">
        <f aca="false">IF($F42=0,0,INDEX(Aux_HH!$F$4:$F$18,MATCH($B42&amp;"|"&amp;$E42,Aux_HH!$A$4:$A$18,0)))</f>
        <v>0</v>
      </c>
      <c r="J42" s="0" t="n">
        <f aca="false">IF($F42=0,0,INDEX(Aux_HH!$G$4:$G$18,MATCH($B42&amp;"|"&amp;$E42,Aux_HH!$A$4:$A$18,0)))</f>
        <v>0</v>
      </c>
      <c r="K42" s="0" t="n">
        <f aca="false">IF($F42=0,0,INDEX(Aux_HH!$H$4:$H$18,MATCH($B42&amp;"|"&amp;$E42,Aux_HH!$A$4:$A$18,0)))</f>
        <v>0</v>
      </c>
      <c r="L42" s="0" t="n">
        <f aca="false">IF($F42=0,0,INDEX(Aux_HH!$I$4:$I$18,MATCH($B42&amp;"|"&amp;$E42,Aux_HH!$A$4:$A$18,0)))</f>
        <v>0</v>
      </c>
    </row>
    <row r="43" customFormat="false" ht="15" hidden="false" customHeight="false" outlineLevel="0" collapsed="false">
      <c r="A43" s="0" t="str">
        <f aca="false">IF(Frota!$A5="","",Frota!$A5)</f>
        <v>Colhedora CASE A8810 — 1035</v>
      </c>
      <c r="B43" s="0" t="str">
        <f aca="false">IF(Frota!$A5="","",Frota!$B5)</f>
        <v>Colhedora</v>
      </c>
      <c r="C43" s="0" t="n">
        <v>40</v>
      </c>
      <c r="D43" s="0" t="n">
        <f aca="false">INDEX(Semanas!$E$3:$E$54,40)</f>
        <v>12</v>
      </c>
      <c r="E43" s="0" t="str">
        <f aca="false">IF(Frota!$A5="","",Cronograma!AO5)</f>
        <v/>
      </c>
      <c r="F43" s="0" t="n">
        <f aca="false">IF(OR($E43="",$E43=0),0,1)</f>
        <v>0</v>
      </c>
      <c r="G43" s="0" t="n">
        <f aca="false">IF($F43=0,0,INDEX(Aux_HH!$D$4:$D$18,MATCH($B43&amp;"|"&amp;$E43,Aux_HH!$A$4:$A$18,0)))</f>
        <v>0</v>
      </c>
      <c r="H43" s="0" t="n">
        <f aca="false">IF($F43=0,0,INDEX(Aux_HH!$E$4:$E$18,MATCH($B43&amp;"|"&amp;$E43,Aux_HH!$A$4:$A$18,0)))</f>
        <v>0</v>
      </c>
      <c r="I43" s="0" t="n">
        <f aca="false">IF($F43=0,0,INDEX(Aux_HH!$F$4:$F$18,MATCH($B43&amp;"|"&amp;$E43,Aux_HH!$A$4:$A$18,0)))</f>
        <v>0</v>
      </c>
      <c r="J43" s="0" t="n">
        <f aca="false">IF($F43=0,0,INDEX(Aux_HH!$G$4:$G$18,MATCH($B43&amp;"|"&amp;$E43,Aux_HH!$A$4:$A$18,0)))</f>
        <v>0</v>
      </c>
      <c r="K43" s="0" t="n">
        <f aca="false">IF($F43=0,0,INDEX(Aux_HH!$H$4:$H$18,MATCH($B43&amp;"|"&amp;$E43,Aux_HH!$A$4:$A$18,0)))</f>
        <v>0</v>
      </c>
      <c r="L43" s="0" t="n">
        <f aca="false">IF($F43=0,0,INDEX(Aux_HH!$I$4:$I$18,MATCH($B43&amp;"|"&amp;$E43,Aux_HH!$A$4:$A$18,0)))</f>
        <v>0</v>
      </c>
    </row>
    <row r="44" customFormat="false" ht="15" hidden="false" customHeight="false" outlineLevel="0" collapsed="false">
      <c r="A44" s="0" t="str">
        <f aca="false">IF(Frota!$A5="","",Frota!$A5)</f>
        <v>Colhedora CASE A8810 — 1035</v>
      </c>
      <c r="B44" s="0" t="str">
        <f aca="false">IF(Frota!$A5="","",Frota!$B5)</f>
        <v>Colhedora</v>
      </c>
      <c r="C44" s="0" t="n">
        <v>41</v>
      </c>
      <c r="D44" s="0" t="n">
        <f aca="false">INDEX(Semanas!$E$3:$E$54,41)</f>
        <v>1</v>
      </c>
      <c r="E44" s="0" t="str">
        <f aca="false">IF(Frota!$A5="","",Cronograma!AP5)</f>
        <v/>
      </c>
      <c r="F44" s="0" t="n">
        <f aca="false">IF(OR($E44="",$E44=0),0,1)</f>
        <v>0</v>
      </c>
      <c r="G44" s="0" t="n">
        <f aca="false">IF($F44=0,0,INDEX(Aux_HH!$D$4:$D$18,MATCH($B44&amp;"|"&amp;$E44,Aux_HH!$A$4:$A$18,0)))</f>
        <v>0</v>
      </c>
      <c r="H44" s="0" t="n">
        <f aca="false">IF($F44=0,0,INDEX(Aux_HH!$E$4:$E$18,MATCH($B44&amp;"|"&amp;$E44,Aux_HH!$A$4:$A$18,0)))</f>
        <v>0</v>
      </c>
      <c r="I44" s="0" t="n">
        <f aca="false">IF($F44=0,0,INDEX(Aux_HH!$F$4:$F$18,MATCH($B44&amp;"|"&amp;$E44,Aux_HH!$A$4:$A$18,0)))</f>
        <v>0</v>
      </c>
      <c r="J44" s="0" t="n">
        <f aca="false">IF($F44=0,0,INDEX(Aux_HH!$G$4:$G$18,MATCH($B44&amp;"|"&amp;$E44,Aux_HH!$A$4:$A$18,0)))</f>
        <v>0</v>
      </c>
      <c r="K44" s="0" t="n">
        <f aca="false">IF($F44=0,0,INDEX(Aux_HH!$H$4:$H$18,MATCH($B44&amp;"|"&amp;$E44,Aux_HH!$A$4:$A$18,0)))</f>
        <v>0</v>
      </c>
      <c r="L44" s="0" t="n">
        <f aca="false">IF($F44=0,0,INDEX(Aux_HH!$I$4:$I$18,MATCH($B44&amp;"|"&amp;$E44,Aux_HH!$A$4:$A$18,0)))</f>
        <v>0</v>
      </c>
    </row>
    <row r="45" customFormat="false" ht="15" hidden="false" customHeight="false" outlineLevel="0" collapsed="false">
      <c r="A45" s="0" t="str">
        <f aca="false">IF(Frota!$A5="","",Frota!$A5)</f>
        <v>Colhedora CASE A8810 — 1035</v>
      </c>
      <c r="B45" s="0" t="str">
        <f aca="false">IF(Frota!$A5="","",Frota!$B5)</f>
        <v>Colhedora</v>
      </c>
      <c r="C45" s="0" t="n">
        <v>42</v>
      </c>
      <c r="D45" s="0" t="n">
        <f aca="false">INDEX(Semanas!$E$3:$E$54,42)</f>
        <v>1</v>
      </c>
      <c r="E45" s="0" t="str">
        <f aca="false">IF(Frota!$A5="","",Cronograma!AQ5)</f>
        <v/>
      </c>
      <c r="F45" s="0" t="n">
        <f aca="false">IF(OR($E45="",$E45=0),0,1)</f>
        <v>0</v>
      </c>
      <c r="G45" s="0" t="n">
        <f aca="false">IF($F45=0,0,INDEX(Aux_HH!$D$4:$D$18,MATCH($B45&amp;"|"&amp;$E45,Aux_HH!$A$4:$A$18,0)))</f>
        <v>0</v>
      </c>
      <c r="H45" s="0" t="n">
        <f aca="false">IF($F45=0,0,INDEX(Aux_HH!$E$4:$E$18,MATCH($B45&amp;"|"&amp;$E45,Aux_HH!$A$4:$A$18,0)))</f>
        <v>0</v>
      </c>
      <c r="I45" s="0" t="n">
        <f aca="false">IF($F45=0,0,INDEX(Aux_HH!$F$4:$F$18,MATCH($B45&amp;"|"&amp;$E45,Aux_HH!$A$4:$A$18,0)))</f>
        <v>0</v>
      </c>
      <c r="J45" s="0" t="n">
        <f aca="false">IF($F45=0,0,INDEX(Aux_HH!$G$4:$G$18,MATCH($B45&amp;"|"&amp;$E45,Aux_HH!$A$4:$A$18,0)))</f>
        <v>0</v>
      </c>
      <c r="K45" s="0" t="n">
        <f aca="false">IF($F45=0,0,INDEX(Aux_HH!$H$4:$H$18,MATCH($B45&amp;"|"&amp;$E45,Aux_HH!$A$4:$A$18,0)))</f>
        <v>0</v>
      </c>
      <c r="L45" s="0" t="n">
        <f aca="false">IF($F45=0,0,INDEX(Aux_HH!$I$4:$I$18,MATCH($B45&amp;"|"&amp;$E45,Aux_HH!$A$4:$A$18,0)))</f>
        <v>0</v>
      </c>
    </row>
    <row r="46" customFormat="false" ht="15" hidden="false" customHeight="false" outlineLevel="0" collapsed="false">
      <c r="A46" s="0" t="str">
        <f aca="false">IF(Frota!$A5="","",Frota!$A5)</f>
        <v>Colhedora CASE A8810 — 1035</v>
      </c>
      <c r="B46" s="0" t="str">
        <f aca="false">IF(Frota!$A5="","",Frota!$B5)</f>
        <v>Colhedora</v>
      </c>
      <c r="C46" s="0" t="n">
        <v>43</v>
      </c>
      <c r="D46" s="0" t="n">
        <f aca="false">INDEX(Semanas!$E$3:$E$54,43)</f>
        <v>1</v>
      </c>
      <c r="E46" s="0" t="str">
        <f aca="false">IF(Frota!$A5="","",Cronograma!AR5)</f>
        <v/>
      </c>
      <c r="F46" s="0" t="n">
        <f aca="false">IF(OR($E46="",$E46=0),0,1)</f>
        <v>0</v>
      </c>
      <c r="G46" s="0" t="n">
        <f aca="false">IF($F46=0,0,INDEX(Aux_HH!$D$4:$D$18,MATCH($B46&amp;"|"&amp;$E46,Aux_HH!$A$4:$A$18,0)))</f>
        <v>0</v>
      </c>
      <c r="H46" s="0" t="n">
        <f aca="false">IF($F46=0,0,INDEX(Aux_HH!$E$4:$E$18,MATCH($B46&amp;"|"&amp;$E46,Aux_HH!$A$4:$A$18,0)))</f>
        <v>0</v>
      </c>
      <c r="I46" s="0" t="n">
        <f aca="false">IF($F46=0,0,INDEX(Aux_HH!$F$4:$F$18,MATCH($B46&amp;"|"&amp;$E46,Aux_HH!$A$4:$A$18,0)))</f>
        <v>0</v>
      </c>
      <c r="J46" s="0" t="n">
        <f aca="false">IF($F46=0,0,INDEX(Aux_HH!$G$4:$G$18,MATCH($B46&amp;"|"&amp;$E46,Aux_HH!$A$4:$A$18,0)))</f>
        <v>0</v>
      </c>
      <c r="K46" s="0" t="n">
        <f aca="false">IF($F46=0,0,INDEX(Aux_HH!$H$4:$H$18,MATCH($B46&amp;"|"&amp;$E46,Aux_HH!$A$4:$A$18,0)))</f>
        <v>0</v>
      </c>
      <c r="L46" s="0" t="n">
        <f aca="false">IF($F46=0,0,INDEX(Aux_HH!$I$4:$I$18,MATCH($B46&amp;"|"&amp;$E46,Aux_HH!$A$4:$A$18,0)))</f>
        <v>0</v>
      </c>
    </row>
    <row r="47" customFormat="false" ht="15" hidden="false" customHeight="false" outlineLevel="0" collapsed="false">
      <c r="A47" s="0" t="str">
        <f aca="false">IF(Frota!$A5="","",Frota!$A5)</f>
        <v>Colhedora CASE A8810 — 1035</v>
      </c>
      <c r="B47" s="0" t="str">
        <f aca="false">IF(Frota!$A5="","",Frota!$B5)</f>
        <v>Colhedora</v>
      </c>
      <c r="C47" s="0" t="n">
        <v>44</v>
      </c>
      <c r="D47" s="0" t="n">
        <f aca="false">INDEX(Semanas!$E$3:$E$54,44)</f>
        <v>1</v>
      </c>
      <c r="E47" s="0" t="str">
        <f aca="false">IF(Frota!$A5="","",Cronograma!AS5)</f>
        <v/>
      </c>
      <c r="F47" s="0" t="n">
        <f aca="false">IF(OR($E47="",$E47=0),0,1)</f>
        <v>0</v>
      </c>
      <c r="G47" s="0" t="n">
        <f aca="false">IF($F47=0,0,INDEX(Aux_HH!$D$4:$D$18,MATCH($B47&amp;"|"&amp;$E47,Aux_HH!$A$4:$A$18,0)))</f>
        <v>0</v>
      </c>
      <c r="H47" s="0" t="n">
        <f aca="false">IF($F47=0,0,INDEX(Aux_HH!$E$4:$E$18,MATCH($B47&amp;"|"&amp;$E47,Aux_HH!$A$4:$A$18,0)))</f>
        <v>0</v>
      </c>
      <c r="I47" s="0" t="n">
        <f aca="false">IF($F47=0,0,INDEX(Aux_HH!$F$4:$F$18,MATCH($B47&amp;"|"&amp;$E47,Aux_HH!$A$4:$A$18,0)))</f>
        <v>0</v>
      </c>
      <c r="J47" s="0" t="n">
        <f aca="false">IF($F47=0,0,INDEX(Aux_HH!$G$4:$G$18,MATCH($B47&amp;"|"&amp;$E47,Aux_HH!$A$4:$A$18,0)))</f>
        <v>0</v>
      </c>
      <c r="K47" s="0" t="n">
        <f aca="false">IF($F47=0,0,INDEX(Aux_HH!$H$4:$H$18,MATCH($B47&amp;"|"&amp;$E47,Aux_HH!$A$4:$A$18,0)))</f>
        <v>0</v>
      </c>
      <c r="L47" s="0" t="n">
        <f aca="false">IF($F47=0,0,INDEX(Aux_HH!$I$4:$I$18,MATCH($B47&amp;"|"&amp;$E47,Aux_HH!$A$4:$A$18,0)))</f>
        <v>0</v>
      </c>
    </row>
    <row r="48" customFormat="false" ht="15" hidden="false" customHeight="false" outlineLevel="0" collapsed="false">
      <c r="A48" s="0" t="str">
        <f aca="false">IF(Frota!$A5="","",Frota!$A5)</f>
        <v>Colhedora CASE A8810 — 1035</v>
      </c>
      <c r="B48" s="0" t="str">
        <f aca="false">IF(Frota!$A5="","",Frota!$B5)</f>
        <v>Colhedora</v>
      </c>
      <c r="C48" s="0" t="n">
        <v>45</v>
      </c>
      <c r="D48" s="0" t="n">
        <f aca="false">INDEX(Semanas!$E$3:$E$54,45)</f>
        <v>2</v>
      </c>
      <c r="E48" s="0" t="str">
        <f aca="false">IF(Frota!$A5="","",Cronograma!AT5)</f>
        <v/>
      </c>
      <c r="F48" s="0" t="n">
        <f aca="false">IF(OR($E48="",$E48=0),0,1)</f>
        <v>0</v>
      </c>
      <c r="G48" s="0" t="n">
        <f aca="false">IF($F48=0,0,INDEX(Aux_HH!$D$4:$D$18,MATCH($B48&amp;"|"&amp;$E48,Aux_HH!$A$4:$A$18,0)))</f>
        <v>0</v>
      </c>
      <c r="H48" s="0" t="n">
        <f aca="false">IF($F48=0,0,INDEX(Aux_HH!$E$4:$E$18,MATCH($B48&amp;"|"&amp;$E48,Aux_HH!$A$4:$A$18,0)))</f>
        <v>0</v>
      </c>
      <c r="I48" s="0" t="n">
        <f aca="false">IF($F48=0,0,INDEX(Aux_HH!$F$4:$F$18,MATCH($B48&amp;"|"&amp;$E48,Aux_HH!$A$4:$A$18,0)))</f>
        <v>0</v>
      </c>
      <c r="J48" s="0" t="n">
        <f aca="false">IF($F48=0,0,INDEX(Aux_HH!$G$4:$G$18,MATCH($B48&amp;"|"&amp;$E48,Aux_HH!$A$4:$A$18,0)))</f>
        <v>0</v>
      </c>
      <c r="K48" s="0" t="n">
        <f aca="false">IF($F48=0,0,INDEX(Aux_HH!$H$4:$H$18,MATCH($B48&amp;"|"&amp;$E48,Aux_HH!$A$4:$A$18,0)))</f>
        <v>0</v>
      </c>
      <c r="L48" s="0" t="n">
        <f aca="false">IF($F48=0,0,INDEX(Aux_HH!$I$4:$I$18,MATCH($B48&amp;"|"&amp;$E48,Aux_HH!$A$4:$A$18,0)))</f>
        <v>0</v>
      </c>
    </row>
    <row r="49" customFormat="false" ht="15" hidden="false" customHeight="false" outlineLevel="0" collapsed="false">
      <c r="A49" s="0" t="str">
        <f aca="false">IF(Frota!$A5="","",Frota!$A5)</f>
        <v>Colhedora CASE A8810 — 1035</v>
      </c>
      <c r="B49" s="0" t="str">
        <f aca="false">IF(Frota!$A5="","",Frota!$B5)</f>
        <v>Colhedora</v>
      </c>
      <c r="C49" s="0" t="n">
        <v>46</v>
      </c>
      <c r="D49" s="0" t="n">
        <f aca="false">INDEX(Semanas!$E$3:$E$54,46)</f>
        <v>2</v>
      </c>
      <c r="E49" s="0" t="str">
        <f aca="false">IF(Frota!$A5="","",Cronograma!AU5)</f>
        <v/>
      </c>
      <c r="F49" s="0" t="n">
        <f aca="false">IF(OR($E49="",$E49=0),0,1)</f>
        <v>0</v>
      </c>
      <c r="G49" s="0" t="n">
        <f aca="false">IF($F49=0,0,INDEX(Aux_HH!$D$4:$D$18,MATCH($B49&amp;"|"&amp;$E49,Aux_HH!$A$4:$A$18,0)))</f>
        <v>0</v>
      </c>
      <c r="H49" s="0" t="n">
        <f aca="false">IF($F49=0,0,INDEX(Aux_HH!$E$4:$E$18,MATCH($B49&amp;"|"&amp;$E49,Aux_HH!$A$4:$A$18,0)))</f>
        <v>0</v>
      </c>
      <c r="I49" s="0" t="n">
        <f aca="false">IF($F49=0,0,INDEX(Aux_HH!$F$4:$F$18,MATCH($B49&amp;"|"&amp;$E49,Aux_HH!$A$4:$A$18,0)))</f>
        <v>0</v>
      </c>
      <c r="J49" s="0" t="n">
        <f aca="false">IF($F49=0,0,INDEX(Aux_HH!$G$4:$G$18,MATCH($B49&amp;"|"&amp;$E49,Aux_HH!$A$4:$A$18,0)))</f>
        <v>0</v>
      </c>
      <c r="K49" s="0" t="n">
        <f aca="false">IF($F49=0,0,INDEX(Aux_HH!$H$4:$H$18,MATCH($B49&amp;"|"&amp;$E49,Aux_HH!$A$4:$A$18,0)))</f>
        <v>0</v>
      </c>
      <c r="L49" s="0" t="n">
        <f aca="false">IF($F49=0,0,INDEX(Aux_HH!$I$4:$I$18,MATCH($B49&amp;"|"&amp;$E49,Aux_HH!$A$4:$A$18,0)))</f>
        <v>0</v>
      </c>
    </row>
    <row r="50" customFormat="false" ht="15" hidden="false" customHeight="false" outlineLevel="0" collapsed="false">
      <c r="A50" s="0" t="str">
        <f aca="false">IF(Frota!$A5="","",Frota!$A5)</f>
        <v>Colhedora CASE A8810 — 1035</v>
      </c>
      <c r="B50" s="0" t="str">
        <f aca="false">IF(Frota!$A5="","",Frota!$B5)</f>
        <v>Colhedora</v>
      </c>
      <c r="C50" s="0" t="n">
        <v>47</v>
      </c>
      <c r="D50" s="0" t="n">
        <f aca="false">INDEX(Semanas!$E$3:$E$54,47)</f>
        <v>2</v>
      </c>
      <c r="E50" s="0" t="str">
        <f aca="false">IF(Frota!$A5="","",Cronograma!AV5)</f>
        <v/>
      </c>
      <c r="F50" s="0" t="n">
        <f aca="false">IF(OR($E50="",$E50=0),0,1)</f>
        <v>0</v>
      </c>
      <c r="G50" s="0" t="n">
        <f aca="false">IF($F50=0,0,INDEX(Aux_HH!$D$4:$D$18,MATCH($B50&amp;"|"&amp;$E50,Aux_HH!$A$4:$A$18,0)))</f>
        <v>0</v>
      </c>
      <c r="H50" s="0" t="n">
        <f aca="false">IF($F50=0,0,INDEX(Aux_HH!$E$4:$E$18,MATCH($B50&amp;"|"&amp;$E50,Aux_HH!$A$4:$A$18,0)))</f>
        <v>0</v>
      </c>
      <c r="I50" s="0" t="n">
        <f aca="false">IF($F50=0,0,INDEX(Aux_HH!$F$4:$F$18,MATCH($B50&amp;"|"&amp;$E50,Aux_HH!$A$4:$A$18,0)))</f>
        <v>0</v>
      </c>
      <c r="J50" s="0" t="n">
        <f aca="false">IF($F50=0,0,INDEX(Aux_HH!$G$4:$G$18,MATCH($B50&amp;"|"&amp;$E50,Aux_HH!$A$4:$A$18,0)))</f>
        <v>0</v>
      </c>
      <c r="K50" s="0" t="n">
        <f aca="false">IF($F50=0,0,INDEX(Aux_HH!$H$4:$H$18,MATCH($B50&amp;"|"&amp;$E50,Aux_HH!$A$4:$A$18,0)))</f>
        <v>0</v>
      </c>
      <c r="L50" s="0" t="n">
        <f aca="false">IF($F50=0,0,INDEX(Aux_HH!$I$4:$I$18,MATCH($B50&amp;"|"&amp;$E50,Aux_HH!$A$4:$A$18,0)))</f>
        <v>0</v>
      </c>
    </row>
    <row r="51" customFormat="false" ht="15" hidden="false" customHeight="false" outlineLevel="0" collapsed="false">
      <c r="A51" s="0" t="str">
        <f aca="false">IF(Frota!$A5="","",Frota!$A5)</f>
        <v>Colhedora CASE A8810 — 1035</v>
      </c>
      <c r="B51" s="0" t="str">
        <f aca="false">IF(Frota!$A5="","",Frota!$B5)</f>
        <v>Colhedora</v>
      </c>
      <c r="C51" s="0" t="n">
        <v>48</v>
      </c>
      <c r="D51" s="0" t="n">
        <f aca="false">INDEX(Semanas!$E$3:$E$54,48)</f>
        <v>2</v>
      </c>
      <c r="E51" s="0" t="str">
        <f aca="false">IF(Frota!$A5="","",Cronograma!AW5)</f>
        <v/>
      </c>
      <c r="F51" s="0" t="n">
        <f aca="false">IF(OR($E51="",$E51=0),0,1)</f>
        <v>0</v>
      </c>
      <c r="G51" s="0" t="n">
        <f aca="false">IF($F51=0,0,INDEX(Aux_HH!$D$4:$D$18,MATCH($B51&amp;"|"&amp;$E51,Aux_HH!$A$4:$A$18,0)))</f>
        <v>0</v>
      </c>
      <c r="H51" s="0" t="n">
        <f aca="false">IF($F51=0,0,INDEX(Aux_HH!$E$4:$E$18,MATCH($B51&amp;"|"&amp;$E51,Aux_HH!$A$4:$A$18,0)))</f>
        <v>0</v>
      </c>
      <c r="I51" s="0" t="n">
        <f aca="false">IF($F51=0,0,INDEX(Aux_HH!$F$4:$F$18,MATCH($B51&amp;"|"&amp;$E51,Aux_HH!$A$4:$A$18,0)))</f>
        <v>0</v>
      </c>
      <c r="J51" s="0" t="n">
        <f aca="false">IF($F51=0,0,INDEX(Aux_HH!$G$4:$G$18,MATCH($B51&amp;"|"&amp;$E51,Aux_HH!$A$4:$A$18,0)))</f>
        <v>0</v>
      </c>
      <c r="K51" s="0" t="n">
        <f aca="false">IF($F51=0,0,INDEX(Aux_HH!$H$4:$H$18,MATCH($B51&amp;"|"&amp;$E51,Aux_HH!$A$4:$A$18,0)))</f>
        <v>0</v>
      </c>
      <c r="L51" s="0" t="n">
        <f aca="false">IF($F51=0,0,INDEX(Aux_HH!$I$4:$I$18,MATCH($B51&amp;"|"&amp;$E51,Aux_HH!$A$4:$A$18,0)))</f>
        <v>0</v>
      </c>
    </row>
    <row r="52" customFormat="false" ht="15" hidden="false" customHeight="false" outlineLevel="0" collapsed="false">
      <c r="A52" s="0" t="str">
        <f aca="false">IF(Frota!$A5="","",Frota!$A5)</f>
        <v>Colhedora CASE A8810 — 1035</v>
      </c>
      <c r="B52" s="0" t="str">
        <f aca="false">IF(Frota!$A5="","",Frota!$B5)</f>
        <v>Colhedora</v>
      </c>
      <c r="C52" s="0" t="n">
        <v>49</v>
      </c>
      <c r="D52" s="0" t="n">
        <f aca="false">INDEX(Semanas!$E$3:$E$54,49)</f>
        <v>3</v>
      </c>
      <c r="E52" s="0" t="str">
        <f aca="false">IF(Frota!$A5="","",Cronograma!AX5)</f>
        <v/>
      </c>
      <c r="F52" s="0" t="n">
        <f aca="false">IF(OR($E52="",$E52=0),0,1)</f>
        <v>0</v>
      </c>
      <c r="G52" s="0" t="n">
        <f aca="false">IF($F52=0,0,INDEX(Aux_HH!$D$4:$D$18,MATCH($B52&amp;"|"&amp;$E52,Aux_HH!$A$4:$A$18,0)))</f>
        <v>0</v>
      </c>
      <c r="H52" s="0" t="n">
        <f aca="false">IF($F52=0,0,INDEX(Aux_HH!$E$4:$E$18,MATCH($B52&amp;"|"&amp;$E52,Aux_HH!$A$4:$A$18,0)))</f>
        <v>0</v>
      </c>
      <c r="I52" s="0" t="n">
        <f aca="false">IF($F52=0,0,INDEX(Aux_HH!$F$4:$F$18,MATCH($B52&amp;"|"&amp;$E52,Aux_HH!$A$4:$A$18,0)))</f>
        <v>0</v>
      </c>
      <c r="J52" s="0" t="n">
        <f aca="false">IF($F52=0,0,INDEX(Aux_HH!$G$4:$G$18,MATCH($B52&amp;"|"&amp;$E52,Aux_HH!$A$4:$A$18,0)))</f>
        <v>0</v>
      </c>
      <c r="K52" s="0" t="n">
        <f aca="false">IF($F52=0,0,INDEX(Aux_HH!$H$4:$H$18,MATCH($B52&amp;"|"&amp;$E52,Aux_HH!$A$4:$A$18,0)))</f>
        <v>0</v>
      </c>
      <c r="L52" s="0" t="n">
        <f aca="false">IF($F52=0,0,INDEX(Aux_HH!$I$4:$I$18,MATCH($B52&amp;"|"&amp;$E52,Aux_HH!$A$4:$A$18,0)))</f>
        <v>0</v>
      </c>
    </row>
    <row r="53" customFormat="false" ht="15" hidden="false" customHeight="false" outlineLevel="0" collapsed="false">
      <c r="A53" s="0" t="str">
        <f aca="false">IF(Frota!$A5="","",Frota!$A5)</f>
        <v>Colhedora CASE A8810 — 1035</v>
      </c>
      <c r="B53" s="0" t="str">
        <f aca="false">IF(Frota!$A5="","",Frota!$B5)</f>
        <v>Colhedora</v>
      </c>
      <c r="C53" s="0" t="n">
        <v>50</v>
      </c>
      <c r="D53" s="0" t="n">
        <f aca="false">INDEX(Semanas!$E$3:$E$54,50)</f>
        <v>3</v>
      </c>
      <c r="E53" s="0" t="str">
        <f aca="false">IF(Frota!$A5="","",Cronograma!AY5)</f>
        <v/>
      </c>
      <c r="F53" s="0" t="n">
        <f aca="false">IF(OR($E53="",$E53=0),0,1)</f>
        <v>0</v>
      </c>
      <c r="G53" s="0" t="n">
        <f aca="false">IF($F53=0,0,INDEX(Aux_HH!$D$4:$D$18,MATCH($B53&amp;"|"&amp;$E53,Aux_HH!$A$4:$A$18,0)))</f>
        <v>0</v>
      </c>
      <c r="H53" s="0" t="n">
        <f aca="false">IF($F53=0,0,INDEX(Aux_HH!$E$4:$E$18,MATCH($B53&amp;"|"&amp;$E53,Aux_HH!$A$4:$A$18,0)))</f>
        <v>0</v>
      </c>
      <c r="I53" s="0" t="n">
        <f aca="false">IF($F53=0,0,INDEX(Aux_HH!$F$4:$F$18,MATCH($B53&amp;"|"&amp;$E53,Aux_HH!$A$4:$A$18,0)))</f>
        <v>0</v>
      </c>
      <c r="J53" s="0" t="n">
        <f aca="false">IF($F53=0,0,INDEX(Aux_HH!$G$4:$G$18,MATCH($B53&amp;"|"&amp;$E53,Aux_HH!$A$4:$A$18,0)))</f>
        <v>0</v>
      </c>
      <c r="K53" s="0" t="n">
        <f aca="false">IF($F53=0,0,INDEX(Aux_HH!$H$4:$H$18,MATCH($B53&amp;"|"&amp;$E53,Aux_HH!$A$4:$A$18,0)))</f>
        <v>0</v>
      </c>
      <c r="L53" s="0" t="n">
        <f aca="false">IF($F53=0,0,INDEX(Aux_HH!$I$4:$I$18,MATCH($B53&amp;"|"&amp;$E53,Aux_HH!$A$4:$A$18,0)))</f>
        <v>0</v>
      </c>
    </row>
    <row r="54" customFormat="false" ht="15" hidden="false" customHeight="false" outlineLevel="0" collapsed="false">
      <c r="A54" s="0" t="str">
        <f aca="false">IF(Frota!$A5="","",Frota!$A5)</f>
        <v>Colhedora CASE A8810 — 1035</v>
      </c>
      <c r="B54" s="0" t="str">
        <f aca="false">IF(Frota!$A5="","",Frota!$B5)</f>
        <v>Colhedora</v>
      </c>
      <c r="C54" s="0" t="n">
        <v>51</v>
      </c>
      <c r="D54" s="0" t="n">
        <f aca="false">INDEX(Semanas!$E$3:$E$54,51)</f>
        <v>3</v>
      </c>
      <c r="E54" s="0" t="str">
        <f aca="false">IF(Frota!$A5="","",Cronograma!AZ5)</f>
        <v/>
      </c>
      <c r="F54" s="0" t="n">
        <f aca="false">IF(OR($E54="",$E54=0),0,1)</f>
        <v>0</v>
      </c>
      <c r="G54" s="0" t="n">
        <f aca="false">IF($F54=0,0,INDEX(Aux_HH!$D$4:$D$18,MATCH($B54&amp;"|"&amp;$E54,Aux_HH!$A$4:$A$18,0)))</f>
        <v>0</v>
      </c>
      <c r="H54" s="0" t="n">
        <f aca="false">IF($F54=0,0,INDEX(Aux_HH!$E$4:$E$18,MATCH($B54&amp;"|"&amp;$E54,Aux_HH!$A$4:$A$18,0)))</f>
        <v>0</v>
      </c>
      <c r="I54" s="0" t="n">
        <f aca="false">IF($F54=0,0,INDEX(Aux_HH!$F$4:$F$18,MATCH($B54&amp;"|"&amp;$E54,Aux_HH!$A$4:$A$18,0)))</f>
        <v>0</v>
      </c>
      <c r="J54" s="0" t="n">
        <f aca="false">IF($F54=0,0,INDEX(Aux_HH!$G$4:$G$18,MATCH($B54&amp;"|"&amp;$E54,Aux_HH!$A$4:$A$18,0)))</f>
        <v>0</v>
      </c>
      <c r="K54" s="0" t="n">
        <f aca="false">IF($F54=0,0,INDEX(Aux_HH!$H$4:$H$18,MATCH($B54&amp;"|"&amp;$E54,Aux_HH!$A$4:$A$18,0)))</f>
        <v>0</v>
      </c>
      <c r="L54" s="0" t="n">
        <f aca="false">IF($F54=0,0,INDEX(Aux_HH!$I$4:$I$18,MATCH($B54&amp;"|"&amp;$E54,Aux_HH!$A$4:$A$18,0)))</f>
        <v>0</v>
      </c>
    </row>
    <row r="55" customFormat="false" ht="15" hidden="false" customHeight="false" outlineLevel="0" collapsed="false">
      <c r="A55" s="0" t="str">
        <f aca="false">IF(Frota!$A5="","",Frota!$A5)</f>
        <v>Colhedora CASE A8810 — 1035</v>
      </c>
      <c r="B55" s="0" t="str">
        <f aca="false">IF(Frota!$A5="","",Frota!$B5)</f>
        <v>Colhedora</v>
      </c>
      <c r="C55" s="0" t="n">
        <v>52</v>
      </c>
      <c r="D55" s="0" t="n">
        <f aca="false">INDEX(Semanas!$E$3:$E$54,52)</f>
        <v>3</v>
      </c>
      <c r="E55" s="0" t="str">
        <f aca="false">IF(Frota!$A5="","",Cronograma!BA5)</f>
        <v/>
      </c>
      <c r="F55" s="0" t="n">
        <f aca="false">IF(OR($E55="",$E55=0),0,1)</f>
        <v>0</v>
      </c>
      <c r="G55" s="0" t="n">
        <f aca="false">IF($F55=0,0,INDEX(Aux_HH!$D$4:$D$18,MATCH($B55&amp;"|"&amp;$E55,Aux_HH!$A$4:$A$18,0)))</f>
        <v>0</v>
      </c>
      <c r="H55" s="0" t="n">
        <f aca="false">IF($F55=0,0,INDEX(Aux_HH!$E$4:$E$18,MATCH($B55&amp;"|"&amp;$E55,Aux_HH!$A$4:$A$18,0)))</f>
        <v>0</v>
      </c>
      <c r="I55" s="0" t="n">
        <f aca="false">IF($F55=0,0,INDEX(Aux_HH!$F$4:$F$18,MATCH($B55&amp;"|"&amp;$E55,Aux_HH!$A$4:$A$18,0)))</f>
        <v>0</v>
      </c>
      <c r="J55" s="0" t="n">
        <f aca="false">IF($F55=0,0,INDEX(Aux_HH!$G$4:$G$18,MATCH($B55&amp;"|"&amp;$E55,Aux_HH!$A$4:$A$18,0)))</f>
        <v>0</v>
      </c>
      <c r="K55" s="0" t="n">
        <f aca="false">IF($F55=0,0,INDEX(Aux_HH!$H$4:$H$18,MATCH($B55&amp;"|"&amp;$E55,Aux_HH!$A$4:$A$18,0)))</f>
        <v>0</v>
      </c>
      <c r="L55" s="0" t="n">
        <f aca="false">IF($F55=0,0,INDEX(Aux_HH!$I$4:$I$18,MATCH($B55&amp;"|"&amp;$E55,Aux_HH!$A$4:$A$18,0)))</f>
        <v>0</v>
      </c>
    </row>
    <row r="56" customFormat="false" ht="15" hidden="false" customHeight="false" outlineLevel="0" collapsed="false">
      <c r="A56" s="0" t="str">
        <f aca="false">IF(Frota!$A6="","",Frota!$A6)</f>
        <v>Colhedora CASE A8810 — 1036</v>
      </c>
      <c r="B56" s="0" t="str">
        <f aca="false">IF(Frota!$A6="","",Frota!$B6)</f>
        <v>Colhedora</v>
      </c>
      <c r="C56" s="0" t="n">
        <v>1</v>
      </c>
      <c r="D56" s="0" t="n">
        <f aca="false">INDEX(Semanas!$E$3:$E$54,1)</f>
        <v>4</v>
      </c>
      <c r="E56" s="0" t="str">
        <f aca="false">IF(Frota!$A6="","",Cronograma!B6)</f>
        <v>A</v>
      </c>
      <c r="F56" s="0" t="n">
        <f aca="false">IF(OR($E56="",$E56=0),0,1)</f>
        <v>1</v>
      </c>
      <c r="G56" s="0" t="n">
        <f aca="false">IF($F56=0,0,INDEX(Aux_HH!$D$4:$D$18,MATCH($B56&amp;"|"&amp;$E56,Aux_HH!$A$4:$A$18,0)))</f>
        <v>10.25</v>
      </c>
      <c r="H56" s="0" t="n">
        <f aca="false">IF($F56=0,0,INDEX(Aux_HH!$E$4:$E$18,MATCH($B56&amp;"|"&amp;$E56,Aux_HH!$A$4:$A$18,0)))</f>
        <v>0</v>
      </c>
      <c r="I56" s="0" t="n">
        <f aca="false">IF($F56=0,0,INDEX(Aux_HH!$F$4:$F$18,MATCH($B56&amp;"|"&amp;$E56,Aux_HH!$A$4:$A$18,0)))</f>
        <v>3</v>
      </c>
      <c r="J56" s="0" t="n">
        <f aca="false">IF($F56=0,0,INDEX(Aux_HH!$G$4:$G$18,MATCH($B56&amp;"|"&amp;$E56,Aux_HH!$A$4:$A$18,0)))</f>
        <v>1.75</v>
      </c>
      <c r="K56" s="0" t="n">
        <f aca="false">IF($F56=0,0,INDEX(Aux_HH!$H$4:$H$18,MATCH($B56&amp;"|"&amp;$E56,Aux_HH!$A$4:$A$18,0)))</f>
        <v>0</v>
      </c>
      <c r="L56" s="0" t="n">
        <f aca="false">IF($F56=0,0,INDEX(Aux_HH!$I$4:$I$18,MATCH($B56&amp;"|"&amp;$E56,Aux_HH!$A$4:$A$18,0)))</f>
        <v>0</v>
      </c>
    </row>
    <row r="57" customFormat="false" ht="15" hidden="false" customHeight="false" outlineLevel="0" collapsed="false">
      <c r="A57" s="0" t="str">
        <f aca="false">IF(Frota!$A6="","",Frota!$A6)</f>
        <v>Colhedora CASE A8810 — 1036</v>
      </c>
      <c r="B57" s="0" t="str">
        <f aca="false">IF(Frota!$A6="","",Frota!$B6)</f>
        <v>Colhedora</v>
      </c>
      <c r="C57" s="0" t="n">
        <v>2</v>
      </c>
      <c r="D57" s="0" t="n">
        <f aca="false">INDEX(Semanas!$E$3:$E$54,2)</f>
        <v>4</v>
      </c>
      <c r="E57" s="0" t="str">
        <f aca="false">IF(Frota!$A6="","",Cronograma!C6)</f>
        <v/>
      </c>
      <c r="F57" s="0" t="n">
        <f aca="false">IF(OR($E57="",$E57=0),0,1)</f>
        <v>0</v>
      </c>
      <c r="G57" s="0" t="n">
        <f aca="false">IF($F57=0,0,INDEX(Aux_HH!$D$4:$D$18,MATCH($B57&amp;"|"&amp;$E57,Aux_HH!$A$4:$A$18,0)))</f>
        <v>0</v>
      </c>
      <c r="H57" s="0" t="n">
        <f aca="false">IF($F57=0,0,INDEX(Aux_HH!$E$4:$E$18,MATCH($B57&amp;"|"&amp;$E57,Aux_HH!$A$4:$A$18,0)))</f>
        <v>0</v>
      </c>
      <c r="I57" s="0" t="n">
        <f aca="false">IF($F57=0,0,INDEX(Aux_HH!$F$4:$F$18,MATCH($B57&amp;"|"&amp;$E57,Aux_HH!$A$4:$A$18,0)))</f>
        <v>0</v>
      </c>
      <c r="J57" s="0" t="n">
        <f aca="false">IF($F57=0,0,INDEX(Aux_HH!$G$4:$G$18,MATCH($B57&amp;"|"&amp;$E57,Aux_HH!$A$4:$A$18,0)))</f>
        <v>0</v>
      </c>
      <c r="K57" s="0" t="n">
        <f aca="false">IF($F57=0,0,INDEX(Aux_HH!$H$4:$H$18,MATCH($B57&amp;"|"&amp;$E57,Aux_HH!$A$4:$A$18,0)))</f>
        <v>0</v>
      </c>
      <c r="L57" s="0" t="n">
        <f aca="false">IF($F57=0,0,INDEX(Aux_HH!$I$4:$I$18,MATCH($B57&amp;"|"&amp;$E57,Aux_HH!$A$4:$A$18,0)))</f>
        <v>0</v>
      </c>
    </row>
    <row r="58" customFormat="false" ht="15" hidden="false" customHeight="false" outlineLevel="0" collapsed="false">
      <c r="A58" s="0" t="str">
        <f aca="false">IF(Frota!$A6="","",Frota!$A6)</f>
        <v>Colhedora CASE A8810 — 1036</v>
      </c>
      <c r="B58" s="0" t="str">
        <f aca="false">IF(Frota!$A6="","",Frota!$B6)</f>
        <v>Colhedora</v>
      </c>
      <c r="C58" s="0" t="n">
        <v>3</v>
      </c>
      <c r="D58" s="0" t="n">
        <f aca="false">INDEX(Semanas!$E$3:$E$54,3)</f>
        <v>4</v>
      </c>
      <c r="E58" s="0" t="str">
        <f aca="false">IF(Frota!$A6="","",Cronograma!D6)</f>
        <v/>
      </c>
      <c r="F58" s="0" t="n">
        <f aca="false">IF(OR($E58="",$E58=0),0,1)</f>
        <v>0</v>
      </c>
      <c r="G58" s="0" t="n">
        <f aca="false">IF($F58=0,0,INDEX(Aux_HH!$D$4:$D$18,MATCH($B58&amp;"|"&amp;$E58,Aux_HH!$A$4:$A$18,0)))</f>
        <v>0</v>
      </c>
      <c r="H58" s="0" t="n">
        <f aca="false">IF($F58=0,0,INDEX(Aux_HH!$E$4:$E$18,MATCH($B58&amp;"|"&amp;$E58,Aux_HH!$A$4:$A$18,0)))</f>
        <v>0</v>
      </c>
      <c r="I58" s="0" t="n">
        <f aca="false">IF($F58=0,0,INDEX(Aux_HH!$F$4:$F$18,MATCH($B58&amp;"|"&amp;$E58,Aux_HH!$A$4:$A$18,0)))</f>
        <v>0</v>
      </c>
      <c r="J58" s="0" t="n">
        <f aca="false">IF($F58=0,0,INDEX(Aux_HH!$G$4:$G$18,MATCH($B58&amp;"|"&amp;$E58,Aux_HH!$A$4:$A$18,0)))</f>
        <v>0</v>
      </c>
      <c r="K58" s="0" t="n">
        <f aca="false">IF($F58=0,0,INDEX(Aux_HH!$H$4:$H$18,MATCH($B58&amp;"|"&amp;$E58,Aux_HH!$A$4:$A$18,0)))</f>
        <v>0</v>
      </c>
      <c r="L58" s="0" t="n">
        <f aca="false">IF($F58=0,0,INDEX(Aux_HH!$I$4:$I$18,MATCH($B58&amp;"|"&amp;$E58,Aux_HH!$A$4:$A$18,0)))</f>
        <v>0</v>
      </c>
    </row>
    <row r="59" customFormat="false" ht="15" hidden="false" customHeight="false" outlineLevel="0" collapsed="false">
      <c r="A59" s="0" t="str">
        <f aca="false">IF(Frota!$A6="","",Frota!$A6)</f>
        <v>Colhedora CASE A8810 — 1036</v>
      </c>
      <c r="B59" s="0" t="str">
        <f aca="false">IF(Frota!$A6="","",Frota!$B6)</f>
        <v>Colhedora</v>
      </c>
      <c r="C59" s="0" t="n">
        <v>4</v>
      </c>
      <c r="D59" s="0" t="n">
        <f aca="false">INDEX(Semanas!$E$3:$E$54,4)</f>
        <v>4</v>
      </c>
      <c r="E59" s="0" t="str">
        <f aca="false">IF(Frota!$A6="","",Cronograma!E6)</f>
        <v/>
      </c>
      <c r="F59" s="0" t="n">
        <f aca="false">IF(OR($E59="",$E59=0),0,1)</f>
        <v>0</v>
      </c>
      <c r="G59" s="0" t="n">
        <f aca="false">IF($F59=0,0,INDEX(Aux_HH!$D$4:$D$18,MATCH($B59&amp;"|"&amp;$E59,Aux_HH!$A$4:$A$18,0)))</f>
        <v>0</v>
      </c>
      <c r="H59" s="0" t="n">
        <f aca="false">IF($F59=0,0,INDEX(Aux_HH!$E$4:$E$18,MATCH($B59&amp;"|"&amp;$E59,Aux_HH!$A$4:$A$18,0)))</f>
        <v>0</v>
      </c>
      <c r="I59" s="0" t="n">
        <f aca="false">IF($F59=0,0,INDEX(Aux_HH!$F$4:$F$18,MATCH($B59&amp;"|"&amp;$E59,Aux_HH!$A$4:$A$18,0)))</f>
        <v>0</v>
      </c>
      <c r="J59" s="0" t="n">
        <f aca="false">IF($F59=0,0,INDEX(Aux_HH!$G$4:$G$18,MATCH($B59&amp;"|"&amp;$E59,Aux_HH!$A$4:$A$18,0)))</f>
        <v>0</v>
      </c>
      <c r="K59" s="0" t="n">
        <f aca="false">IF($F59=0,0,INDEX(Aux_HH!$H$4:$H$18,MATCH($B59&amp;"|"&amp;$E59,Aux_HH!$A$4:$A$18,0)))</f>
        <v>0</v>
      </c>
      <c r="L59" s="0" t="n">
        <f aca="false">IF($F59=0,0,INDEX(Aux_HH!$I$4:$I$18,MATCH($B59&amp;"|"&amp;$E59,Aux_HH!$A$4:$A$18,0)))</f>
        <v>0</v>
      </c>
    </row>
    <row r="60" customFormat="false" ht="15" hidden="false" customHeight="false" outlineLevel="0" collapsed="false">
      <c r="A60" s="0" t="str">
        <f aca="false">IF(Frota!$A6="","",Frota!$A6)</f>
        <v>Colhedora CASE A8810 — 1036</v>
      </c>
      <c r="B60" s="0" t="str">
        <f aca="false">IF(Frota!$A6="","",Frota!$B6)</f>
        <v>Colhedora</v>
      </c>
      <c r="C60" s="0" t="n">
        <v>5</v>
      </c>
      <c r="D60" s="0" t="n">
        <f aca="false">INDEX(Semanas!$E$3:$E$54,5)</f>
        <v>4</v>
      </c>
      <c r="E60" s="0" t="str">
        <f aca="false">IF(Frota!$A6="","",Cronograma!F6)</f>
        <v/>
      </c>
      <c r="F60" s="0" t="n">
        <f aca="false">IF(OR($E60="",$E60=0),0,1)</f>
        <v>0</v>
      </c>
      <c r="G60" s="0" t="n">
        <f aca="false">IF($F60=0,0,INDEX(Aux_HH!$D$4:$D$18,MATCH($B60&amp;"|"&amp;$E60,Aux_HH!$A$4:$A$18,0)))</f>
        <v>0</v>
      </c>
      <c r="H60" s="0" t="n">
        <f aca="false">IF($F60=0,0,INDEX(Aux_HH!$E$4:$E$18,MATCH($B60&amp;"|"&amp;$E60,Aux_HH!$A$4:$A$18,0)))</f>
        <v>0</v>
      </c>
      <c r="I60" s="0" t="n">
        <f aca="false">IF($F60=0,0,INDEX(Aux_HH!$F$4:$F$18,MATCH($B60&amp;"|"&amp;$E60,Aux_HH!$A$4:$A$18,0)))</f>
        <v>0</v>
      </c>
      <c r="J60" s="0" t="n">
        <f aca="false">IF($F60=0,0,INDEX(Aux_HH!$G$4:$G$18,MATCH($B60&amp;"|"&amp;$E60,Aux_HH!$A$4:$A$18,0)))</f>
        <v>0</v>
      </c>
      <c r="K60" s="0" t="n">
        <f aca="false">IF($F60=0,0,INDEX(Aux_HH!$H$4:$H$18,MATCH($B60&amp;"|"&amp;$E60,Aux_HH!$A$4:$A$18,0)))</f>
        <v>0</v>
      </c>
      <c r="L60" s="0" t="n">
        <f aca="false">IF($F60=0,0,INDEX(Aux_HH!$I$4:$I$18,MATCH($B60&amp;"|"&amp;$E60,Aux_HH!$A$4:$A$18,0)))</f>
        <v>0</v>
      </c>
    </row>
    <row r="61" customFormat="false" ht="15" hidden="false" customHeight="false" outlineLevel="0" collapsed="false">
      <c r="A61" s="0" t="str">
        <f aca="false">IF(Frota!$A6="","",Frota!$A6)</f>
        <v>Colhedora CASE A8810 — 1036</v>
      </c>
      <c r="B61" s="0" t="str">
        <f aca="false">IF(Frota!$A6="","",Frota!$B6)</f>
        <v>Colhedora</v>
      </c>
      <c r="C61" s="0" t="n">
        <v>6</v>
      </c>
      <c r="D61" s="0" t="n">
        <f aca="false">INDEX(Semanas!$E$3:$E$54,6)</f>
        <v>5</v>
      </c>
      <c r="E61" s="0" t="str">
        <f aca="false">IF(Frota!$A6="","",Cronograma!G6)</f>
        <v>S</v>
      </c>
      <c r="F61" s="0" t="n">
        <f aca="false">IF(OR($E61="",$E61=0),0,1)</f>
        <v>1</v>
      </c>
      <c r="G61" s="0" t="n">
        <f aca="false">IF($F61=0,0,INDEX(Aux_HH!$D$4:$D$18,MATCH($B61&amp;"|"&amp;$E61,Aux_HH!$A$4:$A$18,0)))</f>
        <v>3.75</v>
      </c>
      <c r="H61" s="0" t="n">
        <f aca="false">IF($F61=0,0,INDEX(Aux_HH!$E$4:$E$18,MATCH($B61&amp;"|"&amp;$E61,Aux_HH!$A$4:$A$18,0)))</f>
        <v>0</v>
      </c>
      <c r="I61" s="0" t="n">
        <f aca="false">IF($F61=0,0,INDEX(Aux_HH!$F$4:$F$18,MATCH($B61&amp;"|"&amp;$E61,Aux_HH!$A$4:$A$18,0)))</f>
        <v>1</v>
      </c>
      <c r="J61" s="0" t="n">
        <f aca="false">IF($F61=0,0,INDEX(Aux_HH!$G$4:$G$18,MATCH($B61&amp;"|"&amp;$E61,Aux_HH!$A$4:$A$18,0)))</f>
        <v>0.75</v>
      </c>
      <c r="K61" s="0" t="n">
        <f aca="false">IF($F61=0,0,INDEX(Aux_HH!$H$4:$H$18,MATCH($B61&amp;"|"&amp;$E61,Aux_HH!$A$4:$A$18,0)))</f>
        <v>0</v>
      </c>
      <c r="L61" s="0" t="n">
        <f aca="false">IF($F61=0,0,INDEX(Aux_HH!$I$4:$I$18,MATCH($B61&amp;"|"&amp;$E61,Aux_HH!$A$4:$A$18,0)))</f>
        <v>0</v>
      </c>
    </row>
    <row r="62" customFormat="false" ht="15" hidden="false" customHeight="false" outlineLevel="0" collapsed="false">
      <c r="A62" s="0" t="str">
        <f aca="false">IF(Frota!$A6="","",Frota!$A6)</f>
        <v>Colhedora CASE A8810 — 1036</v>
      </c>
      <c r="B62" s="0" t="str">
        <f aca="false">IF(Frota!$A6="","",Frota!$B6)</f>
        <v>Colhedora</v>
      </c>
      <c r="C62" s="0" t="n">
        <v>7</v>
      </c>
      <c r="D62" s="0" t="n">
        <f aca="false">INDEX(Semanas!$E$3:$E$54,7)</f>
        <v>5</v>
      </c>
      <c r="E62" s="0" t="str">
        <f aca="false">IF(Frota!$A6="","",Cronograma!H6)</f>
        <v/>
      </c>
      <c r="F62" s="0" t="n">
        <f aca="false">IF(OR($E62="",$E62=0),0,1)</f>
        <v>0</v>
      </c>
      <c r="G62" s="0" t="n">
        <f aca="false">IF($F62=0,0,INDEX(Aux_HH!$D$4:$D$18,MATCH($B62&amp;"|"&amp;$E62,Aux_HH!$A$4:$A$18,0)))</f>
        <v>0</v>
      </c>
      <c r="H62" s="0" t="n">
        <f aca="false">IF($F62=0,0,INDEX(Aux_HH!$E$4:$E$18,MATCH($B62&amp;"|"&amp;$E62,Aux_HH!$A$4:$A$18,0)))</f>
        <v>0</v>
      </c>
      <c r="I62" s="0" t="n">
        <f aca="false">IF($F62=0,0,INDEX(Aux_HH!$F$4:$F$18,MATCH($B62&amp;"|"&amp;$E62,Aux_HH!$A$4:$A$18,0)))</f>
        <v>0</v>
      </c>
      <c r="J62" s="0" t="n">
        <f aca="false">IF($F62=0,0,INDEX(Aux_HH!$G$4:$G$18,MATCH($B62&amp;"|"&amp;$E62,Aux_HH!$A$4:$A$18,0)))</f>
        <v>0</v>
      </c>
      <c r="K62" s="0" t="n">
        <f aca="false">IF($F62=0,0,INDEX(Aux_HH!$H$4:$H$18,MATCH($B62&amp;"|"&amp;$E62,Aux_HH!$A$4:$A$18,0)))</f>
        <v>0</v>
      </c>
      <c r="L62" s="0" t="n">
        <f aca="false">IF($F62=0,0,INDEX(Aux_HH!$I$4:$I$18,MATCH($B62&amp;"|"&amp;$E62,Aux_HH!$A$4:$A$18,0)))</f>
        <v>0</v>
      </c>
    </row>
    <row r="63" customFormat="false" ht="15" hidden="false" customHeight="false" outlineLevel="0" collapsed="false">
      <c r="A63" s="0" t="str">
        <f aca="false">IF(Frota!$A6="","",Frota!$A6)</f>
        <v>Colhedora CASE A8810 — 1036</v>
      </c>
      <c r="B63" s="0" t="str">
        <f aca="false">IF(Frota!$A6="","",Frota!$B6)</f>
        <v>Colhedora</v>
      </c>
      <c r="C63" s="0" t="n">
        <v>8</v>
      </c>
      <c r="D63" s="0" t="n">
        <f aca="false">INDEX(Semanas!$E$3:$E$54,8)</f>
        <v>5</v>
      </c>
      <c r="E63" s="0" t="str">
        <f aca="false">IF(Frota!$A6="","",Cronograma!I6)</f>
        <v/>
      </c>
      <c r="F63" s="0" t="n">
        <f aca="false">IF(OR($E63="",$E63=0),0,1)</f>
        <v>0</v>
      </c>
      <c r="G63" s="0" t="n">
        <f aca="false">IF($F63=0,0,INDEX(Aux_HH!$D$4:$D$18,MATCH($B63&amp;"|"&amp;$E63,Aux_HH!$A$4:$A$18,0)))</f>
        <v>0</v>
      </c>
      <c r="H63" s="0" t="n">
        <f aca="false">IF($F63=0,0,INDEX(Aux_HH!$E$4:$E$18,MATCH($B63&amp;"|"&amp;$E63,Aux_HH!$A$4:$A$18,0)))</f>
        <v>0</v>
      </c>
      <c r="I63" s="0" t="n">
        <f aca="false">IF($F63=0,0,INDEX(Aux_HH!$F$4:$F$18,MATCH($B63&amp;"|"&amp;$E63,Aux_HH!$A$4:$A$18,0)))</f>
        <v>0</v>
      </c>
      <c r="J63" s="0" t="n">
        <f aca="false">IF($F63=0,0,INDEX(Aux_HH!$G$4:$G$18,MATCH($B63&amp;"|"&amp;$E63,Aux_HH!$A$4:$A$18,0)))</f>
        <v>0</v>
      </c>
      <c r="K63" s="0" t="n">
        <f aca="false">IF($F63=0,0,INDEX(Aux_HH!$H$4:$H$18,MATCH($B63&amp;"|"&amp;$E63,Aux_HH!$A$4:$A$18,0)))</f>
        <v>0</v>
      </c>
      <c r="L63" s="0" t="n">
        <f aca="false">IF($F63=0,0,INDEX(Aux_HH!$I$4:$I$18,MATCH($B63&amp;"|"&amp;$E63,Aux_HH!$A$4:$A$18,0)))</f>
        <v>0</v>
      </c>
    </row>
    <row r="64" customFormat="false" ht="15" hidden="false" customHeight="false" outlineLevel="0" collapsed="false">
      <c r="A64" s="0" t="str">
        <f aca="false">IF(Frota!$A6="","",Frota!$A6)</f>
        <v>Colhedora CASE A8810 — 1036</v>
      </c>
      <c r="B64" s="0" t="str">
        <f aca="false">IF(Frota!$A6="","",Frota!$B6)</f>
        <v>Colhedora</v>
      </c>
      <c r="C64" s="0" t="n">
        <v>9</v>
      </c>
      <c r="D64" s="0" t="n">
        <f aca="false">INDEX(Semanas!$E$3:$E$54,9)</f>
        <v>5</v>
      </c>
      <c r="E64" s="0" t="str">
        <f aca="false">IF(Frota!$A6="","",Cronograma!J6)</f>
        <v/>
      </c>
      <c r="F64" s="0" t="n">
        <f aca="false">IF(OR($E64="",$E64=0),0,1)</f>
        <v>0</v>
      </c>
      <c r="G64" s="0" t="n">
        <f aca="false">IF($F64=0,0,INDEX(Aux_HH!$D$4:$D$18,MATCH($B64&amp;"|"&amp;$E64,Aux_HH!$A$4:$A$18,0)))</f>
        <v>0</v>
      </c>
      <c r="H64" s="0" t="n">
        <f aca="false">IF($F64=0,0,INDEX(Aux_HH!$E$4:$E$18,MATCH($B64&amp;"|"&amp;$E64,Aux_HH!$A$4:$A$18,0)))</f>
        <v>0</v>
      </c>
      <c r="I64" s="0" t="n">
        <f aca="false">IF($F64=0,0,INDEX(Aux_HH!$F$4:$F$18,MATCH($B64&amp;"|"&amp;$E64,Aux_HH!$A$4:$A$18,0)))</f>
        <v>0</v>
      </c>
      <c r="J64" s="0" t="n">
        <f aca="false">IF($F64=0,0,INDEX(Aux_HH!$G$4:$G$18,MATCH($B64&amp;"|"&amp;$E64,Aux_HH!$A$4:$A$18,0)))</f>
        <v>0</v>
      </c>
      <c r="K64" s="0" t="n">
        <f aca="false">IF($F64=0,0,INDEX(Aux_HH!$H$4:$H$18,MATCH($B64&amp;"|"&amp;$E64,Aux_HH!$A$4:$A$18,0)))</f>
        <v>0</v>
      </c>
      <c r="L64" s="0" t="n">
        <f aca="false">IF($F64=0,0,INDEX(Aux_HH!$I$4:$I$18,MATCH($B64&amp;"|"&amp;$E64,Aux_HH!$A$4:$A$18,0)))</f>
        <v>0</v>
      </c>
    </row>
    <row r="65" customFormat="false" ht="15" hidden="false" customHeight="false" outlineLevel="0" collapsed="false">
      <c r="A65" s="0" t="str">
        <f aca="false">IF(Frota!$A6="","",Frota!$A6)</f>
        <v>Colhedora CASE A8810 — 1036</v>
      </c>
      <c r="B65" s="0" t="str">
        <f aca="false">IF(Frota!$A6="","",Frota!$B6)</f>
        <v>Colhedora</v>
      </c>
      <c r="C65" s="0" t="n">
        <v>10</v>
      </c>
      <c r="D65" s="0" t="n">
        <f aca="false">INDEX(Semanas!$E$3:$E$54,10)</f>
        <v>6</v>
      </c>
      <c r="E65" s="0" t="str">
        <f aca="false">IF(Frota!$A6="","",Cronograma!K6)</f>
        <v/>
      </c>
      <c r="F65" s="0" t="n">
        <f aca="false">IF(OR($E65="",$E65=0),0,1)</f>
        <v>0</v>
      </c>
      <c r="G65" s="0" t="n">
        <f aca="false">IF($F65=0,0,INDEX(Aux_HH!$D$4:$D$18,MATCH($B65&amp;"|"&amp;$E65,Aux_HH!$A$4:$A$18,0)))</f>
        <v>0</v>
      </c>
      <c r="H65" s="0" t="n">
        <f aca="false">IF($F65=0,0,INDEX(Aux_HH!$E$4:$E$18,MATCH($B65&amp;"|"&amp;$E65,Aux_HH!$A$4:$A$18,0)))</f>
        <v>0</v>
      </c>
      <c r="I65" s="0" t="n">
        <f aca="false">IF($F65=0,0,INDEX(Aux_HH!$F$4:$F$18,MATCH($B65&amp;"|"&amp;$E65,Aux_HH!$A$4:$A$18,0)))</f>
        <v>0</v>
      </c>
      <c r="J65" s="0" t="n">
        <f aca="false">IF($F65=0,0,INDEX(Aux_HH!$G$4:$G$18,MATCH($B65&amp;"|"&amp;$E65,Aux_HH!$A$4:$A$18,0)))</f>
        <v>0</v>
      </c>
      <c r="K65" s="0" t="n">
        <f aca="false">IF($F65=0,0,INDEX(Aux_HH!$H$4:$H$18,MATCH($B65&amp;"|"&amp;$E65,Aux_HH!$A$4:$A$18,0)))</f>
        <v>0</v>
      </c>
      <c r="L65" s="0" t="n">
        <f aca="false">IF($F65=0,0,INDEX(Aux_HH!$I$4:$I$18,MATCH($B65&amp;"|"&amp;$E65,Aux_HH!$A$4:$A$18,0)))</f>
        <v>0</v>
      </c>
    </row>
    <row r="66" customFormat="false" ht="15" hidden="false" customHeight="false" outlineLevel="0" collapsed="false">
      <c r="A66" s="0" t="str">
        <f aca="false">IF(Frota!$A6="","",Frota!$A6)</f>
        <v>Colhedora CASE A8810 — 1036</v>
      </c>
      <c r="B66" s="0" t="str">
        <f aca="false">IF(Frota!$A6="","",Frota!$B6)</f>
        <v>Colhedora</v>
      </c>
      <c r="C66" s="0" t="n">
        <v>11</v>
      </c>
      <c r="D66" s="0" t="n">
        <f aca="false">INDEX(Semanas!$E$3:$E$54,11)</f>
        <v>6</v>
      </c>
      <c r="E66" s="0" t="str">
        <f aca="false">IF(Frota!$A6="","",Cronograma!L6)</f>
        <v/>
      </c>
      <c r="F66" s="0" t="n">
        <f aca="false">IF(OR($E66="",$E66=0),0,1)</f>
        <v>0</v>
      </c>
      <c r="G66" s="0" t="n">
        <f aca="false">IF($F66=0,0,INDEX(Aux_HH!$D$4:$D$18,MATCH($B66&amp;"|"&amp;$E66,Aux_HH!$A$4:$A$18,0)))</f>
        <v>0</v>
      </c>
      <c r="H66" s="0" t="n">
        <f aca="false">IF($F66=0,0,INDEX(Aux_HH!$E$4:$E$18,MATCH($B66&amp;"|"&amp;$E66,Aux_HH!$A$4:$A$18,0)))</f>
        <v>0</v>
      </c>
      <c r="I66" s="0" t="n">
        <f aca="false">IF($F66=0,0,INDEX(Aux_HH!$F$4:$F$18,MATCH($B66&amp;"|"&amp;$E66,Aux_HH!$A$4:$A$18,0)))</f>
        <v>0</v>
      </c>
      <c r="J66" s="0" t="n">
        <f aca="false">IF($F66=0,0,INDEX(Aux_HH!$G$4:$G$18,MATCH($B66&amp;"|"&amp;$E66,Aux_HH!$A$4:$A$18,0)))</f>
        <v>0</v>
      </c>
      <c r="K66" s="0" t="n">
        <f aca="false">IF($F66=0,0,INDEX(Aux_HH!$H$4:$H$18,MATCH($B66&amp;"|"&amp;$E66,Aux_HH!$A$4:$A$18,0)))</f>
        <v>0</v>
      </c>
      <c r="L66" s="0" t="n">
        <f aca="false">IF($F66=0,0,INDEX(Aux_HH!$I$4:$I$18,MATCH($B66&amp;"|"&amp;$E66,Aux_HH!$A$4:$A$18,0)))</f>
        <v>0</v>
      </c>
    </row>
    <row r="67" customFormat="false" ht="15" hidden="false" customHeight="false" outlineLevel="0" collapsed="false">
      <c r="A67" s="0" t="str">
        <f aca="false">IF(Frota!$A6="","",Frota!$A6)</f>
        <v>Colhedora CASE A8810 — 1036</v>
      </c>
      <c r="B67" s="0" t="str">
        <f aca="false">IF(Frota!$A6="","",Frota!$B6)</f>
        <v>Colhedora</v>
      </c>
      <c r="C67" s="0" t="n">
        <v>12</v>
      </c>
      <c r="D67" s="0" t="n">
        <f aca="false">INDEX(Semanas!$E$3:$E$54,12)</f>
        <v>6</v>
      </c>
      <c r="E67" s="0" t="str">
        <f aca="false">IF(Frota!$A6="","",Cronograma!M6)</f>
        <v>B</v>
      </c>
      <c r="F67" s="0" t="n">
        <f aca="false">IF(OR($E67="",$E67=0),0,1)</f>
        <v>1</v>
      </c>
      <c r="G67" s="0" t="n">
        <f aca="false">IF($F67=0,0,INDEX(Aux_HH!$D$4:$D$18,MATCH($B67&amp;"|"&amp;$E67,Aux_HH!$A$4:$A$18,0)))</f>
        <v>10.25</v>
      </c>
      <c r="H67" s="0" t="n">
        <f aca="false">IF($F67=0,0,INDEX(Aux_HH!$E$4:$E$18,MATCH($B67&amp;"|"&amp;$E67,Aux_HH!$A$4:$A$18,0)))</f>
        <v>0</v>
      </c>
      <c r="I67" s="0" t="n">
        <f aca="false">IF($F67=0,0,INDEX(Aux_HH!$F$4:$F$18,MATCH($B67&amp;"|"&amp;$E67,Aux_HH!$A$4:$A$18,0)))</f>
        <v>3</v>
      </c>
      <c r="J67" s="0" t="n">
        <f aca="false">IF($F67=0,0,INDEX(Aux_HH!$G$4:$G$18,MATCH($B67&amp;"|"&amp;$E67,Aux_HH!$A$4:$A$18,0)))</f>
        <v>1.75</v>
      </c>
      <c r="K67" s="0" t="n">
        <f aca="false">IF($F67=0,0,INDEX(Aux_HH!$H$4:$H$18,MATCH($B67&amp;"|"&amp;$E67,Aux_HH!$A$4:$A$18,0)))</f>
        <v>0</v>
      </c>
      <c r="L67" s="0" t="n">
        <f aca="false">IF($F67=0,0,INDEX(Aux_HH!$I$4:$I$18,MATCH($B67&amp;"|"&amp;$E67,Aux_HH!$A$4:$A$18,0)))</f>
        <v>0</v>
      </c>
    </row>
    <row r="68" customFormat="false" ht="15" hidden="false" customHeight="false" outlineLevel="0" collapsed="false">
      <c r="A68" s="0" t="str">
        <f aca="false">IF(Frota!$A6="","",Frota!$A6)</f>
        <v>Colhedora CASE A8810 — 1036</v>
      </c>
      <c r="B68" s="0" t="str">
        <f aca="false">IF(Frota!$A6="","",Frota!$B6)</f>
        <v>Colhedora</v>
      </c>
      <c r="C68" s="0" t="n">
        <v>13</v>
      </c>
      <c r="D68" s="0" t="n">
        <f aca="false">INDEX(Semanas!$E$3:$E$54,13)</f>
        <v>6</v>
      </c>
      <c r="E68" s="0" t="str">
        <f aca="false">IF(Frota!$A6="","",Cronograma!N6)</f>
        <v/>
      </c>
      <c r="F68" s="0" t="n">
        <f aca="false">IF(OR($E68="",$E68=0),0,1)</f>
        <v>0</v>
      </c>
      <c r="G68" s="0" t="n">
        <f aca="false">IF($F68=0,0,INDEX(Aux_HH!$D$4:$D$18,MATCH($B68&amp;"|"&amp;$E68,Aux_HH!$A$4:$A$18,0)))</f>
        <v>0</v>
      </c>
      <c r="H68" s="0" t="n">
        <f aca="false">IF($F68=0,0,INDEX(Aux_HH!$E$4:$E$18,MATCH($B68&amp;"|"&amp;$E68,Aux_HH!$A$4:$A$18,0)))</f>
        <v>0</v>
      </c>
      <c r="I68" s="0" t="n">
        <f aca="false">IF($F68=0,0,INDEX(Aux_HH!$F$4:$F$18,MATCH($B68&amp;"|"&amp;$E68,Aux_HH!$A$4:$A$18,0)))</f>
        <v>0</v>
      </c>
      <c r="J68" s="0" t="n">
        <f aca="false">IF($F68=0,0,INDEX(Aux_HH!$G$4:$G$18,MATCH($B68&amp;"|"&amp;$E68,Aux_HH!$A$4:$A$18,0)))</f>
        <v>0</v>
      </c>
      <c r="K68" s="0" t="n">
        <f aca="false">IF($F68=0,0,INDEX(Aux_HH!$H$4:$H$18,MATCH($B68&amp;"|"&amp;$E68,Aux_HH!$A$4:$A$18,0)))</f>
        <v>0</v>
      </c>
      <c r="L68" s="0" t="n">
        <f aca="false">IF($F68=0,0,INDEX(Aux_HH!$I$4:$I$18,MATCH($B68&amp;"|"&amp;$E68,Aux_HH!$A$4:$A$18,0)))</f>
        <v>0</v>
      </c>
    </row>
    <row r="69" customFormat="false" ht="15" hidden="false" customHeight="false" outlineLevel="0" collapsed="false">
      <c r="A69" s="0" t="str">
        <f aca="false">IF(Frota!$A6="","",Frota!$A6)</f>
        <v>Colhedora CASE A8810 — 1036</v>
      </c>
      <c r="B69" s="0" t="str">
        <f aca="false">IF(Frota!$A6="","",Frota!$B6)</f>
        <v>Colhedora</v>
      </c>
      <c r="C69" s="0" t="n">
        <v>14</v>
      </c>
      <c r="D69" s="0" t="n">
        <f aca="false">INDEX(Semanas!$E$3:$E$54,14)</f>
        <v>7</v>
      </c>
      <c r="E69" s="0" t="str">
        <f aca="false">IF(Frota!$A6="","",Cronograma!O6)</f>
        <v/>
      </c>
      <c r="F69" s="0" t="n">
        <f aca="false">IF(OR($E69="",$E69=0),0,1)</f>
        <v>0</v>
      </c>
      <c r="G69" s="0" t="n">
        <f aca="false">IF($F69=0,0,INDEX(Aux_HH!$D$4:$D$18,MATCH($B69&amp;"|"&amp;$E69,Aux_HH!$A$4:$A$18,0)))</f>
        <v>0</v>
      </c>
      <c r="H69" s="0" t="n">
        <f aca="false">IF($F69=0,0,INDEX(Aux_HH!$E$4:$E$18,MATCH($B69&amp;"|"&amp;$E69,Aux_HH!$A$4:$A$18,0)))</f>
        <v>0</v>
      </c>
      <c r="I69" s="0" t="n">
        <f aca="false">IF($F69=0,0,INDEX(Aux_HH!$F$4:$F$18,MATCH($B69&amp;"|"&amp;$E69,Aux_HH!$A$4:$A$18,0)))</f>
        <v>0</v>
      </c>
      <c r="J69" s="0" t="n">
        <f aca="false">IF($F69=0,0,INDEX(Aux_HH!$G$4:$G$18,MATCH($B69&amp;"|"&amp;$E69,Aux_HH!$A$4:$A$18,0)))</f>
        <v>0</v>
      </c>
      <c r="K69" s="0" t="n">
        <f aca="false">IF($F69=0,0,INDEX(Aux_HH!$H$4:$H$18,MATCH($B69&amp;"|"&amp;$E69,Aux_HH!$A$4:$A$18,0)))</f>
        <v>0</v>
      </c>
      <c r="L69" s="0" t="n">
        <f aca="false">IF($F69=0,0,INDEX(Aux_HH!$I$4:$I$18,MATCH($B69&amp;"|"&amp;$E69,Aux_HH!$A$4:$A$18,0)))</f>
        <v>0</v>
      </c>
    </row>
    <row r="70" customFormat="false" ht="15" hidden="false" customHeight="false" outlineLevel="0" collapsed="false">
      <c r="A70" s="0" t="str">
        <f aca="false">IF(Frota!$A6="","",Frota!$A6)</f>
        <v>Colhedora CASE A8810 — 1036</v>
      </c>
      <c r="B70" s="0" t="str">
        <f aca="false">IF(Frota!$A6="","",Frota!$B6)</f>
        <v>Colhedora</v>
      </c>
      <c r="C70" s="0" t="n">
        <v>15</v>
      </c>
      <c r="D70" s="0" t="n">
        <f aca="false">INDEX(Semanas!$E$3:$E$54,15)</f>
        <v>7</v>
      </c>
      <c r="E70" s="0" t="str">
        <f aca="false">IF(Frota!$A6="","",Cronograma!P6)</f>
        <v/>
      </c>
      <c r="F70" s="0" t="n">
        <f aca="false">IF(OR($E70="",$E70=0),0,1)</f>
        <v>0</v>
      </c>
      <c r="G70" s="0" t="n">
        <f aca="false">IF($F70=0,0,INDEX(Aux_HH!$D$4:$D$18,MATCH($B70&amp;"|"&amp;$E70,Aux_HH!$A$4:$A$18,0)))</f>
        <v>0</v>
      </c>
      <c r="H70" s="0" t="n">
        <f aca="false">IF($F70=0,0,INDEX(Aux_HH!$E$4:$E$18,MATCH($B70&amp;"|"&amp;$E70,Aux_HH!$A$4:$A$18,0)))</f>
        <v>0</v>
      </c>
      <c r="I70" s="0" t="n">
        <f aca="false">IF($F70=0,0,INDEX(Aux_HH!$F$4:$F$18,MATCH($B70&amp;"|"&amp;$E70,Aux_HH!$A$4:$A$18,0)))</f>
        <v>0</v>
      </c>
      <c r="J70" s="0" t="n">
        <f aca="false">IF($F70=0,0,INDEX(Aux_HH!$G$4:$G$18,MATCH($B70&amp;"|"&amp;$E70,Aux_HH!$A$4:$A$18,0)))</f>
        <v>0</v>
      </c>
      <c r="K70" s="0" t="n">
        <f aca="false">IF($F70=0,0,INDEX(Aux_HH!$H$4:$H$18,MATCH($B70&amp;"|"&amp;$E70,Aux_HH!$A$4:$A$18,0)))</f>
        <v>0</v>
      </c>
      <c r="L70" s="0" t="n">
        <f aca="false">IF($F70=0,0,INDEX(Aux_HH!$I$4:$I$18,MATCH($B70&amp;"|"&amp;$E70,Aux_HH!$A$4:$A$18,0)))</f>
        <v>0</v>
      </c>
    </row>
    <row r="71" customFormat="false" ht="15" hidden="false" customHeight="false" outlineLevel="0" collapsed="false">
      <c r="A71" s="0" t="str">
        <f aca="false">IF(Frota!$A6="","",Frota!$A6)</f>
        <v>Colhedora CASE A8810 — 1036</v>
      </c>
      <c r="B71" s="0" t="str">
        <f aca="false">IF(Frota!$A6="","",Frota!$B6)</f>
        <v>Colhedora</v>
      </c>
      <c r="C71" s="0" t="n">
        <v>16</v>
      </c>
      <c r="D71" s="0" t="n">
        <f aca="false">INDEX(Semanas!$E$3:$E$54,16)</f>
        <v>7</v>
      </c>
      <c r="E71" s="0" t="str">
        <f aca="false">IF(Frota!$A6="","",Cronograma!Q6)</f>
        <v/>
      </c>
      <c r="F71" s="0" t="n">
        <f aca="false">IF(OR($E71="",$E71=0),0,1)</f>
        <v>0</v>
      </c>
      <c r="G71" s="0" t="n">
        <f aca="false">IF($F71=0,0,INDEX(Aux_HH!$D$4:$D$18,MATCH($B71&amp;"|"&amp;$E71,Aux_HH!$A$4:$A$18,0)))</f>
        <v>0</v>
      </c>
      <c r="H71" s="0" t="n">
        <f aca="false">IF($F71=0,0,INDEX(Aux_HH!$E$4:$E$18,MATCH($B71&amp;"|"&amp;$E71,Aux_HH!$A$4:$A$18,0)))</f>
        <v>0</v>
      </c>
      <c r="I71" s="0" t="n">
        <f aca="false">IF($F71=0,0,INDEX(Aux_HH!$F$4:$F$18,MATCH($B71&amp;"|"&amp;$E71,Aux_HH!$A$4:$A$18,0)))</f>
        <v>0</v>
      </c>
      <c r="J71" s="0" t="n">
        <f aca="false">IF($F71=0,0,INDEX(Aux_HH!$G$4:$G$18,MATCH($B71&amp;"|"&amp;$E71,Aux_HH!$A$4:$A$18,0)))</f>
        <v>0</v>
      </c>
      <c r="K71" s="0" t="n">
        <f aca="false">IF($F71=0,0,INDEX(Aux_HH!$H$4:$H$18,MATCH($B71&amp;"|"&amp;$E71,Aux_HH!$A$4:$A$18,0)))</f>
        <v>0</v>
      </c>
      <c r="L71" s="0" t="n">
        <f aca="false">IF($F71=0,0,INDEX(Aux_HH!$I$4:$I$18,MATCH($B71&amp;"|"&amp;$E71,Aux_HH!$A$4:$A$18,0)))</f>
        <v>0</v>
      </c>
    </row>
    <row r="72" customFormat="false" ht="15" hidden="false" customHeight="false" outlineLevel="0" collapsed="false">
      <c r="A72" s="0" t="str">
        <f aca="false">IF(Frota!$A6="","",Frota!$A6)</f>
        <v>Colhedora CASE A8810 — 1036</v>
      </c>
      <c r="B72" s="0" t="str">
        <f aca="false">IF(Frota!$A6="","",Frota!$B6)</f>
        <v>Colhedora</v>
      </c>
      <c r="C72" s="0" t="n">
        <v>17</v>
      </c>
      <c r="D72" s="0" t="n">
        <f aca="false">INDEX(Semanas!$E$3:$E$54,17)</f>
        <v>7</v>
      </c>
      <c r="E72" s="0" t="str">
        <f aca="false">IF(Frota!$A6="","",Cronograma!R6)</f>
        <v/>
      </c>
      <c r="F72" s="0" t="n">
        <f aca="false">IF(OR($E72="",$E72=0),0,1)</f>
        <v>0</v>
      </c>
      <c r="G72" s="0" t="n">
        <f aca="false">IF($F72=0,0,INDEX(Aux_HH!$D$4:$D$18,MATCH($B72&amp;"|"&amp;$E72,Aux_HH!$A$4:$A$18,0)))</f>
        <v>0</v>
      </c>
      <c r="H72" s="0" t="n">
        <f aca="false">IF($F72=0,0,INDEX(Aux_HH!$E$4:$E$18,MATCH($B72&amp;"|"&amp;$E72,Aux_HH!$A$4:$A$18,0)))</f>
        <v>0</v>
      </c>
      <c r="I72" s="0" t="n">
        <f aca="false">IF($F72=0,0,INDEX(Aux_HH!$F$4:$F$18,MATCH($B72&amp;"|"&amp;$E72,Aux_HH!$A$4:$A$18,0)))</f>
        <v>0</v>
      </c>
      <c r="J72" s="0" t="n">
        <f aca="false">IF($F72=0,0,INDEX(Aux_HH!$G$4:$G$18,MATCH($B72&amp;"|"&amp;$E72,Aux_HH!$A$4:$A$18,0)))</f>
        <v>0</v>
      </c>
      <c r="K72" s="0" t="n">
        <f aca="false">IF($F72=0,0,INDEX(Aux_HH!$H$4:$H$18,MATCH($B72&amp;"|"&amp;$E72,Aux_HH!$A$4:$A$18,0)))</f>
        <v>0</v>
      </c>
      <c r="L72" s="0" t="n">
        <f aca="false">IF($F72=0,0,INDEX(Aux_HH!$I$4:$I$18,MATCH($B72&amp;"|"&amp;$E72,Aux_HH!$A$4:$A$18,0)))</f>
        <v>0</v>
      </c>
    </row>
    <row r="73" customFormat="false" ht="15" hidden="false" customHeight="false" outlineLevel="0" collapsed="false">
      <c r="A73" s="0" t="str">
        <f aca="false">IF(Frota!$A6="","",Frota!$A6)</f>
        <v>Colhedora CASE A8810 — 1036</v>
      </c>
      <c r="B73" s="0" t="str">
        <f aca="false">IF(Frota!$A6="","",Frota!$B6)</f>
        <v>Colhedora</v>
      </c>
      <c r="C73" s="0" t="n">
        <v>18</v>
      </c>
      <c r="D73" s="0" t="n">
        <f aca="false">INDEX(Semanas!$E$3:$E$54,18)</f>
        <v>7</v>
      </c>
      <c r="E73" s="0" t="str">
        <f aca="false">IF(Frota!$A6="","",Cronograma!S6)</f>
        <v>S</v>
      </c>
      <c r="F73" s="0" t="n">
        <f aca="false">IF(OR($E73="",$E73=0),0,1)</f>
        <v>1</v>
      </c>
      <c r="G73" s="0" t="n">
        <f aca="false">IF($F73=0,0,INDEX(Aux_HH!$D$4:$D$18,MATCH($B73&amp;"|"&amp;$E73,Aux_HH!$A$4:$A$18,0)))</f>
        <v>3.75</v>
      </c>
      <c r="H73" s="0" t="n">
        <f aca="false">IF($F73=0,0,INDEX(Aux_HH!$E$4:$E$18,MATCH($B73&amp;"|"&amp;$E73,Aux_HH!$A$4:$A$18,0)))</f>
        <v>0</v>
      </c>
      <c r="I73" s="0" t="n">
        <f aca="false">IF($F73=0,0,INDEX(Aux_HH!$F$4:$F$18,MATCH($B73&amp;"|"&amp;$E73,Aux_HH!$A$4:$A$18,0)))</f>
        <v>1</v>
      </c>
      <c r="J73" s="0" t="n">
        <f aca="false">IF($F73=0,0,INDEX(Aux_HH!$G$4:$G$18,MATCH($B73&amp;"|"&amp;$E73,Aux_HH!$A$4:$A$18,0)))</f>
        <v>0.75</v>
      </c>
      <c r="K73" s="0" t="n">
        <f aca="false">IF($F73=0,0,INDEX(Aux_HH!$H$4:$H$18,MATCH($B73&amp;"|"&amp;$E73,Aux_HH!$A$4:$A$18,0)))</f>
        <v>0</v>
      </c>
      <c r="L73" s="0" t="n">
        <f aca="false">IF($F73=0,0,INDEX(Aux_HH!$I$4:$I$18,MATCH($B73&amp;"|"&amp;$E73,Aux_HH!$A$4:$A$18,0)))</f>
        <v>0</v>
      </c>
    </row>
    <row r="74" customFormat="false" ht="15" hidden="false" customHeight="false" outlineLevel="0" collapsed="false">
      <c r="A74" s="0" t="str">
        <f aca="false">IF(Frota!$A6="","",Frota!$A6)</f>
        <v>Colhedora CASE A8810 — 1036</v>
      </c>
      <c r="B74" s="0" t="str">
        <f aca="false">IF(Frota!$A6="","",Frota!$B6)</f>
        <v>Colhedora</v>
      </c>
      <c r="C74" s="0" t="n">
        <v>19</v>
      </c>
      <c r="D74" s="0" t="n">
        <f aca="false">INDEX(Semanas!$E$3:$E$54,19)</f>
        <v>8</v>
      </c>
      <c r="E74" s="0" t="str">
        <f aca="false">IF(Frota!$A6="","",Cronograma!T6)</f>
        <v/>
      </c>
      <c r="F74" s="0" t="n">
        <f aca="false">IF(OR($E74="",$E74=0),0,1)</f>
        <v>0</v>
      </c>
      <c r="G74" s="0" t="n">
        <f aca="false">IF($F74=0,0,INDEX(Aux_HH!$D$4:$D$18,MATCH($B74&amp;"|"&amp;$E74,Aux_HH!$A$4:$A$18,0)))</f>
        <v>0</v>
      </c>
      <c r="H74" s="0" t="n">
        <f aca="false">IF($F74=0,0,INDEX(Aux_HH!$E$4:$E$18,MATCH($B74&amp;"|"&amp;$E74,Aux_HH!$A$4:$A$18,0)))</f>
        <v>0</v>
      </c>
      <c r="I74" s="0" t="n">
        <f aca="false">IF($F74=0,0,INDEX(Aux_HH!$F$4:$F$18,MATCH($B74&amp;"|"&amp;$E74,Aux_HH!$A$4:$A$18,0)))</f>
        <v>0</v>
      </c>
      <c r="J74" s="0" t="n">
        <f aca="false">IF($F74=0,0,INDEX(Aux_HH!$G$4:$G$18,MATCH($B74&amp;"|"&amp;$E74,Aux_HH!$A$4:$A$18,0)))</f>
        <v>0</v>
      </c>
      <c r="K74" s="0" t="n">
        <f aca="false">IF($F74=0,0,INDEX(Aux_HH!$H$4:$H$18,MATCH($B74&amp;"|"&amp;$E74,Aux_HH!$A$4:$A$18,0)))</f>
        <v>0</v>
      </c>
      <c r="L74" s="0" t="n">
        <f aca="false">IF($F74=0,0,INDEX(Aux_HH!$I$4:$I$18,MATCH($B74&amp;"|"&amp;$E74,Aux_HH!$A$4:$A$18,0)))</f>
        <v>0</v>
      </c>
    </row>
    <row r="75" customFormat="false" ht="15" hidden="false" customHeight="false" outlineLevel="0" collapsed="false">
      <c r="A75" s="0" t="str">
        <f aca="false">IF(Frota!$A6="","",Frota!$A6)</f>
        <v>Colhedora CASE A8810 — 1036</v>
      </c>
      <c r="B75" s="0" t="str">
        <f aca="false">IF(Frota!$A6="","",Frota!$B6)</f>
        <v>Colhedora</v>
      </c>
      <c r="C75" s="0" t="n">
        <v>20</v>
      </c>
      <c r="D75" s="0" t="n">
        <f aca="false">INDEX(Semanas!$E$3:$E$54,20)</f>
        <v>8</v>
      </c>
      <c r="E75" s="0" t="str">
        <f aca="false">IF(Frota!$A6="","",Cronograma!U6)</f>
        <v/>
      </c>
      <c r="F75" s="0" t="n">
        <f aca="false">IF(OR($E75="",$E75=0),0,1)</f>
        <v>0</v>
      </c>
      <c r="G75" s="0" t="n">
        <f aca="false">IF($F75=0,0,INDEX(Aux_HH!$D$4:$D$18,MATCH($B75&amp;"|"&amp;$E75,Aux_HH!$A$4:$A$18,0)))</f>
        <v>0</v>
      </c>
      <c r="H75" s="0" t="n">
        <f aca="false">IF($F75=0,0,INDEX(Aux_HH!$E$4:$E$18,MATCH($B75&amp;"|"&amp;$E75,Aux_HH!$A$4:$A$18,0)))</f>
        <v>0</v>
      </c>
      <c r="I75" s="0" t="n">
        <f aca="false">IF($F75=0,0,INDEX(Aux_HH!$F$4:$F$18,MATCH($B75&amp;"|"&amp;$E75,Aux_HH!$A$4:$A$18,0)))</f>
        <v>0</v>
      </c>
      <c r="J75" s="0" t="n">
        <f aca="false">IF($F75=0,0,INDEX(Aux_HH!$G$4:$G$18,MATCH($B75&amp;"|"&amp;$E75,Aux_HH!$A$4:$A$18,0)))</f>
        <v>0</v>
      </c>
      <c r="K75" s="0" t="n">
        <f aca="false">IF($F75=0,0,INDEX(Aux_HH!$H$4:$H$18,MATCH($B75&amp;"|"&amp;$E75,Aux_HH!$A$4:$A$18,0)))</f>
        <v>0</v>
      </c>
      <c r="L75" s="0" t="n">
        <f aca="false">IF($F75=0,0,INDEX(Aux_HH!$I$4:$I$18,MATCH($B75&amp;"|"&amp;$E75,Aux_HH!$A$4:$A$18,0)))</f>
        <v>0</v>
      </c>
    </row>
    <row r="76" customFormat="false" ht="15" hidden="false" customHeight="false" outlineLevel="0" collapsed="false">
      <c r="A76" s="0" t="str">
        <f aca="false">IF(Frota!$A6="","",Frota!$A6)</f>
        <v>Colhedora CASE A8810 — 1036</v>
      </c>
      <c r="B76" s="0" t="str">
        <f aca="false">IF(Frota!$A6="","",Frota!$B6)</f>
        <v>Colhedora</v>
      </c>
      <c r="C76" s="0" t="n">
        <v>21</v>
      </c>
      <c r="D76" s="0" t="n">
        <f aca="false">INDEX(Semanas!$E$3:$E$54,21)</f>
        <v>8</v>
      </c>
      <c r="E76" s="0" t="str">
        <f aca="false">IF(Frota!$A6="","",Cronograma!V6)</f>
        <v/>
      </c>
      <c r="F76" s="0" t="n">
        <f aca="false">IF(OR($E76="",$E76=0),0,1)</f>
        <v>0</v>
      </c>
      <c r="G76" s="0" t="n">
        <f aca="false">IF($F76=0,0,INDEX(Aux_HH!$D$4:$D$18,MATCH($B76&amp;"|"&amp;$E76,Aux_HH!$A$4:$A$18,0)))</f>
        <v>0</v>
      </c>
      <c r="H76" s="0" t="n">
        <f aca="false">IF($F76=0,0,INDEX(Aux_HH!$E$4:$E$18,MATCH($B76&amp;"|"&amp;$E76,Aux_HH!$A$4:$A$18,0)))</f>
        <v>0</v>
      </c>
      <c r="I76" s="0" t="n">
        <f aca="false">IF($F76=0,0,INDEX(Aux_HH!$F$4:$F$18,MATCH($B76&amp;"|"&amp;$E76,Aux_HH!$A$4:$A$18,0)))</f>
        <v>0</v>
      </c>
      <c r="J76" s="0" t="n">
        <f aca="false">IF($F76=0,0,INDEX(Aux_HH!$G$4:$G$18,MATCH($B76&amp;"|"&amp;$E76,Aux_HH!$A$4:$A$18,0)))</f>
        <v>0</v>
      </c>
      <c r="K76" s="0" t="n">
        <f aca="false">IF($F76=0,0,INDEX(Aux_HH!$H$4:$H$18,MATCH($B76&amp;"|"&amp;$E76,Aux_HH!$A$4:$A$18,0)))</f>
        <v>0</v>
      </c>
      <c r="L76" s="0" t="n">
        <f aca="false">IF($F76=0,0,INDEX(Aux_HH!$I$4:$I$18,MATCH($B76&amp;"|"&amp;$E76,Aux_HH!$A$4:$A$18,0)))</f>
        <v>0</v>
      </c>
    </row>
    <row r="77" customFormat="false" ht="15" hidden="false" customHeight="false" outlineLevel="0" collapsed="false">
      <c r="A77" s="0" t="str">
        <f aca="false">IF(Frota!$A6="","",Frota!$A6)</f>
        <v>Colhedora CASE A8810 — 1036</v>
      </c>
      <c r="B77" s="0" t="str">
        <f aca="false">IF(Frota!$A6="","",Frota!$B6)</f>
        <v>Colhedora</v>
      </c>
      <c r="C77" s="0" t="n">
        <v>22</v>
      </c>
      <c r="D77" s="0" t="n">
        <f aca="false">INDEX(Semanas!$E$3:$E$54,22)</f>
        <v>8</v>
      </c>
      <c r="E77" s="0" t="str">
        <f aca="false">IF(Frota!$A6="","",Cronograma!W6)</f>
        <v/>
      </c>
      <c r="F77" s="0" t="n">
        <f aca="false">IF(OR($E77="",$E77=0),0,1)</f>
        <v>0</v>
      </c>
      <c r="G77" s="0" t="n">
        <f aca="false">IF($F77=0,0,INDEX(Aux_HH!$D$4:$D$18,MATCH($B77&amp;"|"&amp;$E77,Aux_HH!$A$4:$A$18,0)))</f>
        <v>0</v>
      </c>
      <c r="H77" s="0" t="n">
        <f aca="false">IF($F77=0,0,INDEX(Aux_HH!$E$4:$E$18,MATCH($B77&amp;"|"&amp;$E77,Aux_HH!$A$4:$A$18,0)))</f>
        <v>0</v>
      </c>
      <c r="I77" s="0" t="n">
        <f aca="false">IF($F77=0,0,INDEX(Aux_HH!$F$4:$F$18,MATCH($B77&amp;"|"&amp;$E77,Aux_HH!$A$4:$A$18,0)))</f>
        <v>0</v>
      </c>
      <c r="J77" s="0" t="n">
        <f aca="false">IF($F77=0,0,INDEX(Aux_HH!$G$4:$G$18,MATCH($B77&amp;"|"&amp;$E77,Aux_HH!$A$4:$A$18,0)))</f>
        <v>0</v>
      </c>
      <c r="K77" s="0" t="n">
        <f aca="false">IF($F77=0,0,INDEX(Aux_HH!$H$4:$H$18,MATCH($B77&amp;"|"&amp;$E77,Aux_HH!$A$4:$A$18,0)))</f>
        <v>0</v>
      </c>
      <c r="L77" s="0" t="n">
        <f aca="false">IF($F77=0,0,INDEX(Aux_HH!$I$4:$I$18,MATCH($B77&amp;"|"&amp;$E77,Aux_HH!$A$4:$A$18,0)))</f>
        <v>0</v>
      </c>
    </row>
    <row r="78" customFormat="false" ht="15" hidden="false" customHeight="false" outlineLevel="0" collapsed="false">
      <c r="A78" s="0" t="str">
        <f aca="false">IF(Frota!$A6="","",Frota!$A6)</f>
        <v>Colhedora CASE A8810 — 1036</v>
      </c>
      <c r="B78" s="0" t="str">
        <f aca="false">IF(Frota!$A6="","",Frota!$B6)</f>
        <v>Colhedora</v>
      </c>
      <c r="C78" s="0" t="n">
        <v>23</v>
      </c>
      <c r="D78" s="0" t="n">
        <f aca="false">INDEX(Semanas!$E$3:$E$54,23)</f>
        <v>9</v>
      </c>
      <c r="E78" s="0" t="str">
        <f aca="false">IF(Frota!$A6="","",Cronograma!X6)</f>
        <v>A</v>
      </c>
      <c r="F78" s="0" t="n">
        <f aca="false">IF(OR($E78="",$E78=0),0,1)</f>
        <v>1</v>
      </c>
      <c r="G78" s="0" t="n">
        <f aca="false">IF($F78=0,0,INDEX(Aux_HH!$D$4:$D$18,MATCH($B78&amp;"|"&amp;$E78,Aux_HH!$A$4:$A$18,0)))</f>
        <v>10.25</v>
      </c>
      <c r="H78" s="0" t="n">
        <f aca="false">IF($F78=0,0,INDEX(Aux_HH!$E$4:$E$18,MATCH($B78&amp;"|"&amp;$E78,Aux_HH!$A$4:$A$18,0)))</f>
        <v>0</v>
      </c>
      <c r="I78" s="0" t="n">
        <f aca="false">IF($F78=0,0,INDEX(Aux_HH!$F$4:$F$18,MATCH($B78&amp;"|"&amp;$E78,Aux_HH!$A$4:$A$18,0)))</f>
        <v>3</v>
      </c>
      <c r="J78" s="0" t="n">
        <f aca="false">IF($F78=0,0,INDEX(Aux_HH!$G$4:$G$18,MATCH($B78&amp;"|"&amp;$E78,Aux_HH!$A$4:$A$18,0)))</f>
        <v>1.75</v>
      </c>
      <c r="K78" s="0" t="n">
        <f aca="false">IF($F78=0,0,INDEX(Aux_HH!$H$4:$H$18,MATCH($B78&amp;"|"&amp;$E78,Aux_HH!$A$4:$A$18,0)))</f>
        <v>0</v>
      </c>
      <c r="L78" s="0" t="n">
        <f aca="false">IF($F78=0,0,INDEX(Aux_HH!$I$4:$I$18,MATCH($B78&amp;"|"&amp;$E78,Aux_HH!$A$4:$A$18,0)))</f>
        <v>0</v>
      </c>
    </row>
    <row r="79" customFormat="false" ht="15" hidden="false" customHeight="false" outlineLevel="0" collapsed="false">
      <c r="A79" s="0" t="str">
        <f aca="false">IF(Frota!$A6="","",Frota!$A6)</f>
        <v>Colhedora CASE A8810 — 1036</v>
      </c>
      <c r="B79" s="0" t="str">
        <f aca="false">IF(Frota!$A6="","",Frota!$B6)</f>
        <v>Colhedora</v>
      </c>
      <c r="C79" s="0" t="n">
        <v>24</v>
      </c>
      <c r="D79" s="0" t="n">
        <f aca="false">INDEX(Semanas!$E$3:$E$54,24)</f>
        <v>9</v>
      </c>
      <c r="E79" s="0" t="str">
        <f aca="false">IF(Frota!$A6="","",Cronograma!Y6)</f>
        <v/>
      </c>
      <c r="F79" s="0" t="n">
        <f aca="false">IF(OR($E79="",$E79=0),0,1)</f>
        <v>0</v>
      </c>
      <c r="G79" s="0" t="n">
        <f aca="false">IF($F79=0,0,INDEX(Aux_HH!$D$4:$D$18,MATCH($B79&amp;"|"&amp;$E79,Aux_HH!$A$4:$A$18,0)))</f>
        <v>0</v>
      </c>
      <c r="H79" s="0" t="n">
        <f aca="false">IF($F79=0,0,INDEX(Aux_HH!$E$4:$E$18,MATCH($B79&amp;"|"&amp;$E79,Aux_HH!$A$4:$A$18,0)))</f>
        <v>0</v>
      </c>
      <c r="I79" s="0" t="n">
        <f aca="false">IF($F79=0,0,INDEX(Aux_HH!$F$4:$F$18,MATCH($B79&amp;"|"&amp;$E79,Aux_HH!$A$4:$A$18,0)))</f>
        <v>0</v>
      </c>
      <c r="J79" s="0" t="n">
        <f aca="false">IF($F79=0,0,INDEX(Aux_HH!$G$4:$G$18,MATCH($B79&amp;"|"&amp;$E79,Aux_HH!$A$4:$A$18,0)))</f>
        <v>0</v>
      </c>
      <c r="K79" s="0" t="n">
        <f aca="false">IF($F79=0,0,INDEX(Aux_HH!$H$4:$H$18,MATCH($B79&amp;"|"&amp;$E79,Aux_HH!$A$4:$A$18,0)))</f>
        <v>0</v>
      </c>
      <c r="L79" s="0" t="n">
        <f aca="false">IF($F79=0,0,INDEX(Aux_HH!$I$4:$I$18,MATCH($B79&amp;"|"&amp;$E79,Aux_HH!$A$4:$A$18,0)))</f>
        <v>0</v>
      </c>
    </row>
    <row r="80" customFormat="false" ht="15" hidden="false" customHeight="false" outlineLevel="0" collapsed="false">
      <c r="A80" s="0" t="str">
        <f aca="false">IF(Frota!$A6="","",Frota!$A6)</f>
        <v>Colhedora CASE A8810 — 1036</v>
      </c>
      <c r="B80" s="0" t="str">
        <f aca="false">IF(Frota!$A6="","",Frota!$B6)</f>
        <v>Colhedora</v>
      </c>
      <c r="C80" s="0" t="n">
        <v>25</v>
      </c>
      <c r="D80" s="0" t="n">
        <f aca="false">INDEX(Semanas!$E$3:$E$54,25)</f>
        <v>9</v>
      </c>
      <c r="E80" s="0" t="str">
        <f aca="false">IF(Frota!$A6="","",Cronograma!Z6)</f>
        <v/>
      </c>
      <c r="F80" s="0" t="n">
        <f aca="false">IF(OR($E80="",$E80=0),0,1)</f>
        <v>0</v>
      </c>
      <c r="G80" s="0" t="n">
        <f aca="false">IF($F80=0,0,INDEX(Aux_HH!$D$4:$D$18,MATCH($B80&amp;"|"&amp;$E80,Aux_HH!$A$4:$A$18,0)))</f>
        <v>0</v>
      </c>
      <c r="H80" s="0" t="n">
        <f aca="false">IF($F80=0,0,INDEX(Aux_HH!$E$4:$E$18,MATCH($B80&amp;"|"&amp;$E80,Aux_HH!$A$4:$A$18,0)))</f>
        <v>0</v>
      </c>
      <c r="I80" s="0" t="n">
        <f aca="false">IF($F80=0,0,INDEX(Aux_HH!$F$4:$F$18,MATCH($B80&amp;"|"&amp;$E80,Aux_HH!$A$4:$A$18,0)))</f>
        <v>0</v>
      </c>
      <c r="J80" s="0" t="n">
        <f aca="false">IF($F80=0,0,INDEX(Aux_HH!$G$4:$G$18,MATCH($B80&amp;"|"&amp;$E80,Aux_HH!$A$4:$A$18,0)))</f>
        <v>0</v>
      </c>
      <c r="K80" s="0" t="n">
        <f aca="false">IF($F80=0,0,INDEX(Aux_HH!$H$4:$H$18,MATCH($B80&amp;"|"&amp;$E80,Aux_HH!$A$4:$A$18,0)))</f>
        <v>0</v>
      </c>
      <c r="L80" s="0" t="n">
        <f aca="false">IF($F80=0,0,INDEX(Aux_HH!$I$4:$I$18,MATCH($B80&amp;"|"&amp;$E80,Aux_HH!$A$4:$A$18,0)))</f>
        <v>0</v>
      </c>
    </row>
    <row r="81" customFormat="false" ht="15" hidden="false" customHeight="false" outlineLevel="0" collapsed="false">
      <c r="A81" s="0" t="str">
        <f aca="false">IF(Frota!$A6="","",Frota!$A6)</f>
        <v>Colhedora CASE A8810 — 1036</v>
      </c>
      <c r="B81" s="0" t="str">
        <f aca="false">IF(Frota!$A6="","",Frota!$B6)</f>
        <v>Colhedora</v>
      </c>
      <c r="C81" s="0" t="n">
        <v>26</v>
      </c>
      <c r="D81" s="0" t="n">
        <f aca="false">INDEX(Semanas!$E$3:$E$54,26)</f>
        <v>9</v>
      </c>
      <c r="E81" s="0" t="str">
        <f aca="false">IF(Frota!$A6="","",Cronograma!AA6)</f>
        <v/>
      </c>
      <c r="F81" s="0" t="n">
        <f aca="false">IF(OR($E81="",$E81=0),0,1)</f>
        <v>0</v>
      </c>
      <c r="G81" s="0" t="n">
        <f aca="false">IF($F81=0,0,INDEX(Aux_HH!$D$4:$D$18,MATCH($B81&amp;"|"&amp;$E81,Aux_HH!$A$4:$A$18,0)))</f>
        <v>0</v>
      </c>
      <c r="H81" s="0" t="n">
        <f aca="false">IF($F81=0,0,INDEX(Aux_HH!$E$4:$E$18,MATCH($B81&amp;"|"&amp;$E81,Aux_HH!$A$4:$A$18,0)))</f>
        <v>0</v>
      </c>
      <c r="I81" s="0" t="n">
        <f aca="false">IF($F81=0,0,INDEX(Aux_HH!$F$4:$F$18,MATCH($B81&amp;"|"&amp;$E81,Aux_HH!$A$4:$A$18,0)))</f>
        <v>0</v>
      </c>
      <c r="J81" s="0" t="n">
        <f aca="false">IF($F81=0,0,INDEX(Aux_HH!$G$4:$G$18,MATCH($B81&amp;"|"&amp;$E81,Aux_HH!$A$4:$A$18,0)))</f>
        <v>0</v>
      </c>
      <c r="K81" s="0" t="n">
        <f aca="false">IF($F81=0,0,INDEX(Aux_HH!$H$4:$H$18,MATCH($B81&amp;"|"&amp;$E81,Aux_HH!$A$4:$A$18,0)))</f>
        <v>0</v>
      </c>
      <c r="L81" s="0" t="n">
        <f aca="false">IF($F81=0,0,INDEX(Aux_HH!$I$4:$I$18,MATCH($B81&amp;"|"&amp;$E81,Aux_HH!$A$4:$A$18,0)))</f>
        <v>0</v>
      </c>
    </row>
    <row r="82" customFormat="false" ht="15" hidden="false" customHeight="false" outlineLevel="0" collapsed="false">
      <c r="A82" s="0" t="str">
        <f aca="false">IF(Frota!$A6="","",Frota!$A6)</f>
        <v>Colhedora CASE A8810 — 1036</v>
      </c>
      <c r="B82" s="0" t="str">
        <f aca="false">IF(Frota!$A6="","",Frota!$B6)</f>
        <v>Colhedora</v>
      </c>
      <c r="C82" s="0" t="n">
        <v>27</v>
      </c>
      <c r="D82" s="0" t="n">
        <f aca="false">INDEX(Semanas!$E$3:$E$54,27)</f>
        <v>9</v>
      </c>
      <c r="E82" s="0" t="str">
        <f aca="false">IF(Frota!$A6="","",Cronograma!AB6)</f>
        <v/>
      </c>
      <c r="F82" s="0" t="n">
        <f aca="false">IF(OR($E82="",$E82=0),0,1)</f>
        <v>0</v>
      </c>
      <c r="G82" s="0" t="n">
        <f aca="false">IF($F82=0,0,INDEX(Aux_HH!$D$4:$D$18,MATCH($B82&amp;"|"&amp;$E82,Aux_HH!$A$4:$A$18,0)))</f>
        <v>0</v>
      </c>
      <c r="H82" s="0" t="n">
        <f aca="false">IF($F82=0,0,INDEX(Aux_HH!$E$4:$E$18,MATCH($B82&amp;"|"&amp;$E82,Aux_HH!$A$4:$A$18,0)))</f>
        <v>0</v>
      </c>
      <c r="I82" s="0" t="n">
        <f aca="false">IF($F82=0,0,INDEX(Aux_HH!$F$4:$F$18,MATCH($B82&amp;"|"&amp;$E82,Aux_HH!$A$4:$A$18,0)))</f>
        <v>0</v>
      </c>
      <c r="J82" s="0" t="n">
        <f aca="false">IF($F82=0,0,INDEX(Aux_HH!$G$4:$G$18,MATCH($B82&amp;"|"&amp;$E82,Aux_HH!$A$4:$A$18,0)))</f>
        <v>0</v>
      </c>
      <c r="K82" s="0" t="n">
        <f aca="false">IF($F82=0,0,INDEX(Aux_HH!$H$4:$H$18,MATCH($B82&amp;"|"&amp;$E82,Aux_HH!$A$4:$A$18,0)))</f>
        <v>0</v>
      </c>
      <c r="L82" s="0" t="n">
        <f aca="false">IF($F82=0,0,INDEX(Aux_HH!$I$4:$I$18,MATCH($B82&amp;"|"&amp;$E82,Aux_HH!$A$4:$A$18,0)))</f>
        <v>0</v>
      </c>
    </row>
    <row r="83" customFormat="false" ht="15" hidden="false" customHeight="false" outlineLevel="0" collapsed="false">
      <c r="A83" s="0" t="str">
        <f aca="false">IF(Frota!$A6="","",Frota!$A6)</f>
        <v>Colhedora CASE A8810 — 1036</v>
      </c>
      <c r="B83" s="0" t="str">
        <f aca="false">IF(Frota!$A6="","",Frota!$B6)</f>
        <v>Colhedora</v>
      </c>
      <c r="C83" s="0" t="n">
        <v>28</v>
      </c>
      <c r="D83" s="0" t="n">
        <f aca="false">INDEX(Semanas!$E$3:$E$54,28)</f>
        <v>10</v>
      </c>
      <c r="E83" s="0" t="str">
        <f aca="false">IF(Frota!$A6="","",Cronograma!AC6)</f>
        <v/>
      </c>
      <c r="F83" s="0" t="n">
        <f aca="false">IF(OR($E83="",$E83=0),0,1)</f>
        <v>0</v>
      </c>
      <c r="G83" s="0" t="n">
        <f aca="false">IF($F83=0,0,INDEX(Aux_HH!$D$4:$D$18,MATCH($B83&amp;"|"&amp;$E83,Aux_HH!$A$4:$A$18,0)))</f>
        <v>0</v>
      </c>
      <c r="H83" s="0" t="n">
        <f aca="false">IF($F83=0,0,INDEX(Aux_HH!$E$4:$E$18,MATCH($B83&amp;"|"&amp;$E83,Aux_HH!$A$4:$A$18,0)))</f>
        <v>0</v>
      </c>
      <c r="I83" s="0" t="n">
        <f aca="false">IF($F83=0,0,INDEX(Aux_HH!$F$4:$F$18,MATCH($B83&amp;"|"&amp;$E83,Aux_HH!$A$4:$A$18,0)))</f>
        <v>0</v>
      </c>
      <c r="J83" s="0" t="n">
        <f aca="false">IF($F83=0,0,INDEX(Aux_HH!$G$4:$G$18,MATCH($B83&amp;"|"&amp;$E83,Aux_HH!$A$4:$A$18,0)))</f>
        <v>0</v>
      </c>
      <c r="K83" s="0" t="n">
        <f aca="false">IF($F83=0,0,INDEX(Aux_HH!$H$4:$H$18,MATCH($B83&amp;"|"&amp;$E83,Aux_HH!$A$4:$A$18,0)))</f>
        <v>0</v>
      </c>
      <c r="L83" s="0" t="n">
        <f aca="false">IF($F83=0,0,INDEX(Aux_HH!$I$4:$I$18,MATCH($B83&amp;"|"&amp;$E83,Aux_HH!$A$4:$A$18,0)))</f>
        <v>0</v>
      </c>
    </row>
    <row r="84" customFormat="false" ht="15" hidden="false" customHeight="false" outlineLevel="0" collapsed="false">
      <c r="A84" s="0" t="str">
        <f aca="false">IF(Frota!$A6="","",Frota!$A6)</f>
        <v>Colhedora CASE A8810 — 1036</v>
      </c>
      <c r="B84" s="0" t="str">
        <f aca="false">IF(Frota!$A6="","",Frota!$B6)</f>
        <v>Colhedora</v>
      </c>
      <c r="C84" s="0" t="n">
        <v>29</v>
      </c>
      <c r="D84" s="0" t="n">
        <f aca="false">INDEX(Semanas!$E$3:$E$54,29)</f>
        <v>10</v>
      </c>
      <c r="E84" s="0" t="str">
        <f aca="false">IF(Frota!$A6="","",Cronograma!AD6)</f>
        <v>S</v>
      </c>
      <c r="F84" s="0" t="n">
        <f aca="false">IF(OR($E84="",$E84=0),0,1)</f>
        <v>1</v>
      </c>
      <c r="G84" s="0" t="n">
        <f aca="false">IF($F84=0,0,INDEX(Aux_HH!$D$4:$D$18,MATCH($B84&amp;"|"&amp;$E84,Aux_HH!$A$4:$A$18,0)))</f>
        <v>3.75</v>
      </c>
      <c r="H84" s="0" t="n">
        <f aca="false">IF($F84=0,0,INDEX(Aux_HH!$E$4:$E$18,MATCH($B84&amp;"|"&amp;$E84,Aux_HH!$A$4:$A$18,0)))</f>
        <v>0</v>
      </c>
      <c r="I84" s="0" t="n">
        <f aca="false">IF($F84=0,0,INDEX(Aux_HH!$F$4:$F$18,MATCH($B84&amp;"|"&amp;$E84,Aux_HH!$A$4:$A$18,0)))</f>
        <v>1</v>
      </c>
      <c r="J84" s="0" t="n">
        <f aca="false">IF($F84=0,0,INDEX(Aux_HH!$G$4:$G$18,MATCH($B84&amp;"|"&amp;$E84,Aux_HH!$A$4:$A$18,0)))</f>
        <v>0.75</v>
      </c>
      <c r="K84" s="0" t="n">
        <f aca="false">IF($F84=0,0,INDEX(Aux_HH!$H$4:$H$18,MATCH($B84&amp;"|"&amp;$E84,Aux_HH!$A$4:$A$18,0)))</f>
        <v>0</v>
      </c>
      <c r="L84" s="0" t="n">
        <f aca="false">IF($F84=0,0,INDEX(Aux_HH!$I$4:$I$18,MATCH($B84&amp;"|"&amp;$E84,Aux_HH!$A$4:$A$18,0)))</f>
        <v>0</v>
      </c>
    </row>
    <row r="85" customFormat="false" ht="15" hidden="false" customHeight="false" outlineLevel="0" collapsed="false">
      <c r="A85" s="0" t="str">
        <f aca="false">IF(Frota!$A6="","",Frota!$A6)</f>
        <v>Colhedora CASE A8810 — 1036</v>
      </c>
      <c r="B85" s="0" t="str">
        <f aca="false">IF(Frota!$A6="","",Frota!$B6)</f>
        <v>Colhedora</v>
      </c>
      <c r="C85" s="0" t="n">
        <v>30</v>
      </c>
      <c r="D85" s="0" t="n">
        <f aca="false">INDEX(Semanas!$E$3:$E$54,30)</f>
        <v>10</v>
      </c>
      <c r="E85" s="0" t="str">
        <f aca="false">IF(Frota!$A6="","",Cronograma!AE6)</f>
        <v/>
      </c>
      <c r="F85" s="0" t="n">
        <f aca="false">IF(OR($E85="",$E85=0),0,1)</f>
        <v>0</v>
      </c>
      <c r="G85" s="0" t="n">
        <f aca="false">IF($F85=0,0,INDEX(Aux_HH!$D$4:$D$18,MATCH($B85&amp;"|"&amp;$E85,Aux_HH!$A$4:$A$18,0)))</f>
        <v>0</v>
      </c>
      <c r="H85" s="0" t="n">
        <f aca="false">IF($F85=0,0,INDEX(Aux_HH!$E$4:$E$18,MATCH($B85&amp;"|"&amp;$E85,Aux_HH!$A$4:$A$18,0)))</f>
        <v>0</v>
      </c>
      <c r="I85" s="0" t="n">
        <f aca="false">IF($F85=0,0,INDEX(Aux_HH!$F$4:$F$18,MATCH($B85&amp;"|"&amp;$E85,Aux_HH!$A$4:$A$18,0)))</f>
        <v>0</v>
      </c>
      <c r="J85" s="0" t="n">
        <f aca="false">IF($F85=0,0,INDEX(Aux_HH!$G$4:$G$18,MATCH($B85&amp;"|"&amp;$E85,Aux_HH!$A$4:$A$18,0)))</f>
        <v>0</v>
      </c>
      <c r="K85" s="0" t="n">
        <f aca="false">IF($F85=0,0,INDEX(Aux_HH!$H$4:$H$18,MATCH($B85&amp;"|"&amp;$E85,Aux_HH!$A$4:$A$18,0)))</f>
        <v>0</v>
      </c>
      <c r="L85" s="0" t="n">
        <f aca="false">IF($F85=0,0,INDEX(Aux_HH!$I$4:$I$18,MATCH($B85&amp;"|"&amp;$E85,Aux_HH!$A$4:$A$18,0)))</f>
        <v>0</v>
      </c>
    </row>
    <row r="86" customFormat="false" ht="15" hidden="false" customHeight="false" outlineLevel="0" collapsed="false">
      <c r="A86" s="0" t="str">
        <f aca="false">IF(Frota!$A6="","",Frota!$A6)</f>
        <v>Colhedora CASE A8810 — 1036</v>
      </c>
      <c r="B86" s="0" t="str">
        <f aca="false">IF(Frota!$A6="","",Frota!$B6)</f>
        <v>Colhedora</v>
      </c>
      <c r="C86" s="0" t="n">
        <v>31</v>
      </c>
      <c r="D86" s="0" t="n">
        <f aca="false">INDEX(Semanas!$E$3:$E$54,31)</f>
        <v>10</v>
      </c>
      <c r="E86" s="0" t="str">
        <f aca="false">IF(Frota!$A6="","",Cronograma!AF6)</f>
        <v/>
      </c>
      <c r="F86" s="0" t="n">
        <f aca="false">IF(OR($E86="",$E86=0),0,1)</f>
        <v>0</v>
      </c>
      <c r="G86" s="0" t="n">
        <f aca="false">IF($F86=0,0,INDEX(Aux_HH!$D$4:$D$18,MATCH($B86&amp;"|"&amp;$E86,Aux_HH!$A$4:$A$18,0)))</f>
        <v>0</v>
      </c>
      <c r="H86" s="0" t="n">
        <f aca="false">IF($F86=0,0,INDEX(Aux_HH!$E$4:$E$18,MATCH($B86&amp;"|"&amp;$E86,Aux_HH!$A$4:$A$18,0)))</f>
        <v>0</v>
      </c>
      <c r="I86" s="0" t="n">
        <f aca="false">IF($F86=0,0,INDEX(Aux_HH!$F$4:$F$18,MATCH($B86&amp;"|"&amp;$E86,Aux_HH!$A$4:$A$18,0)))</f>
        <v>0</v>
      </c>
      <c r="J86" s="0" t="n">
        <f aca="false">IF($F86=0,0,INDEX(Aux_HH!$G$4:$G$18,MATCH($B86&amp;"|"&amp;$E86,Aux_HH!$A$4:$A$18,0)))</f>
        <v>0</v>
      </c>
      <c r="K86" s="0" t="n">
        <f aca="false">IF($F86=0,0,INDEX(Aux_HH!$H$4:$H$18,MATCH($B86&amp;"|"&amp;$E86,Aux_HH!$A$4:$A$18,0)))</f>
        <v>0</v>
      </c>
      <c r="L86" s="0" t="n">
        <f aca="false">IF($F86=0,0,INDEX(Aux_HH!$I$4:$I$18,MATCH($B86&amp;"|"&amp;$E86,Aux_HH!$A$4:$A$18,0)))</f>
        <v>0</v>
      </c>
    </row>
    <row r="87" customFormat="false" ht="15" hidden="false" customHeight="false" outlineLevel="0" collapsed="false">
      <c r="A87" s="0" t="str">
        <f aca="false">IF(Frota!$A6="","",Frota!$A6)</f>
        <v>Colhedora CASE A8810 — 1036</v>
      </c>
      <c r="B87" s="0" t="str">
        <f aca="false">IF(Frota!$A6="","",Frota!$B6)</f>
        <v>Colhedora</v>
      </c>
      <c r="C87" s="0" t="n">
        <v>32</v>
      </c>
      <c r="D87" s="0" t="n">
        <f aca="false">INDEX(Semanas!$E$3:$E$54,32)</f>
        <v>11</v>
      </c>
      <c r="E87" s="0" t="str">
        <f aca="false">IF(Frota!$A6="","",Cronograma!AG6)</f>
        <v/>
      </c>
      <c r="F87" s="0" t="n">
        <f aca="false">IF(OR($E87="",$E87=0),0,1)</f>
        <v>0</v>
      </c>
      <c r="G87" s="0" t="n">
        <f aca="false">IF($F87=0,0,INDEX(Aux_HH!$D$4:$D$18,MATCH($B87&amp;"|"&amp;$E87,Aux_HH!$A$4:$A$18,0)))</f>
        <v>0</v>
      </c>
      <c r="H87" s="0" t="n">
        <f aca="false">IF($F87=0,0,INDEX(Aux_HH!$E$4:$E$18,MATCH($B87&amp;"|"&amp;$E87,Aux_HH!$A$4:$A$18,0)))</f>
        <v>0</v>
      </c>
      <c r="I87" s="0" t="n">
        <f aca="false">IF($F87=0,0,INDEX(Aux_HH!$F$4:$F$18,MATCH($B87&amp;"|"&amp;$E87,Aux_HH!$A$4:$A$18,0)))</f>
        <v>0</v>
      </c>
      <c r="J87" s="0" t="n">
        <f aca="false">IF($F87=0,0,INDEX(Aux_HH!$G$4:$G$18,MATCH($B87&amp;"|"&amp;$E87,Aux_HH!$A$4:$A$18,0)))</f>
        <v>0</v>
      </c>
      <c r="K87" s="0" t="n">
        <f aca="false">IF($F87=0,0,INDEX(Aux_HH!$H$4:$H$18,MATCH($B87&amp;"|"&amp;$E87,Aux_HH!$A$4:$A$18,0)))</f>
        <v>0</v>
      </c>
      <c r="L87" s="0" t="n">
        <f aca="false">IF($F87=0,0,INDEX(Aux_HH!$I$4:$I$18,MATCH($B87&amp;"|"&amp;$E87,Aux_HH!$A$4:$A$18,0)))</f>
        <v>0</v>
      </c>
    </row>
    <row r="88" customFormat="false" ht="15" hidden="false" customHeight="false" outlineLevel="0" collapsed="false">
      <c r="A88" s="0" t="str">
        <f aca="false">IF(Frota!$A6="","",Frota!$A6)</f>
        <v>Colhedora CASE A8810 — 1036</v>
      </c>
      <c r="B88" s="0" t="str">
        <f aca="false">IF(Frota!$A6="","",Frota!$B6)</f>
        <v>Colhedora</v>
      </c>
      <c r="C88" s="0" t="n">
        <v>33</v>
      </c>
      <c r="D88" s="0" t="n">
        <f aca="false">INDEX(Semanas!$E$3:$E$54,33)</f>
        <v>11</v>
      </c>
      <c r="E88" s="0" t="str">
        <f aca="false">IF(Frota!$A6="","",Cronograma!AH6)</f>
        <v/>
      </c>
      <c r="F88" s="0" t="n">
        <f aca="false">IF(OR($E88="",$E88=0),0,1)</f>
        <v>0</v>
      </c>
      <c r="G88" s="0" t="n">
        <f aca="false">IF($F88=0,0,INDEX(Aux_HH!$D$4:$D$18,MATCH($B88&amp;"|"&amp;$E88,Aux_HH!$A$4:$A$18,0)))</f>
        <v>0</v>
      </c>
      <c r="H88" s="0" t="n">
        <f aca="false">IF($F88=0,0,INDEX(Aux_HH!$E$4:$E$18,MATCH($B88&amp;"|"&amp;$E88,Aux_HH!$A$4:$A$18,0)))</f>
        <v>0</v>
      </c>
      <c r="I88" s="0" t="n">
        <f aca="false">IF($F88=0,0,INDEX(Aux_HH!$F$4:$F$18,MATCH($B88&amp;"|"&amp;$E88,Aux_HH!$A$4:$A$18,0)))</f>
        <v>0</v>
      </c>
      <c r="J88" s="0" t="n">
        <f aca="false">IF($F88=0,0,INDEX(Aux_HH!$G$4:$G$18,MATCH($B88&amp;"|"&amp;$E88,Aux_HH!$A$4:$A$18,0)))</f>
        <v>0</v>
      </c>
      <c r="K88" s="0" t="n">
        <f aca="false">IF($F88=0,0,INDEX(Aux_HH!$H$4:$H$18,MATCH($B88&amp;"|"&amp;$E88,Aux_HH!$A$4:$A$18,0)))</f>
        <v>0</v>
      </c>
      <c r="L88" s="0" t="n">
        <f aca="false">IF($F88=0,0,INDEX(Aux_HH!$I$4:$I$18,MATCH($B88&amp;"|"&amp;$E88,Aux_HH!$A$4:$A$18,0)))</f>
        <v>0</v>
      </c>
    </row>
    <row r="89" customFormat="false" ht="15" hidden="false" customHeight="false" outlineLevel="0" collapsed="false">
      <c r="A89" s="0" t="str">
        <f aca="false">IF(Frota!$A6="","",Frota!$A6)</f>
        <v>Colhedora CASE A8810 — 1036</v>
      </c>
      <c r="B89" s="0" t="str">
        <f aca="false">IF(Frota!$A6="","",Frota!$B6)</f>
        <v>Colhedora</v>
      </c>
      <c r="C89" s="0" t="n">
        <v>34</v>
      </c>
      <c r="D89" s="0" t="n">
        <f aca="false">INDEX(Semanas!$E$3:$E$54,34)</f>
        <v>11</v>
      </c>
      <c r="E89" s="0" t="str">
        <f aca="false">IF(Frota!$A6="","",Cronograma!AI6)</f>
        <v/>
      </c>
      <c r="F89" s="0" t="n">
        <f aca="false">IF(OR($E89="",$E89=0),0,1)</f>
        <v>0</v>
      </c>
      <c r="G89" s="0" t="n">
        <f aca="false">IF($F89=0,0,INDEX(Aux_HH!$D$4:$D$18,MATCH($B89&amp;"|"&amp;$E89,Aux_HH!$A$4:$A$18,0)))</f>
        <v>0</v>
      </c>
      <c r="H89" s="0" t="n">
        <f aca="false">IF($F89=0,0,INDEX(Aux_HH!$E$4:$E$18,MATCH($B89&amp;"|"&amp;$E89,Aux_HH!$A$4:$A$18,0)))</f>
        <v>0</v>
      </c>
      <c r="I89" s="0" t="n">
        <f aca="false">IF($F89=0,0,INDEX(Aux_HH!$F$4:$F$18,MATCH($B89&amp;"|"&amp;$E89,Aux_HH!$A$4:$A$18,0)))</f>
        <v>0</v>
      </c>
      <c r="J89" s="0" t="n">
        <f aca="false">IF($F89=0,0,INDEX(Aux_HH!$G$4:$G$18,MATCH($B89&amp;"|"&amp;$E89,Aux_HH!$A$4:$A$18,0)))</f>
        <v>0</v>
      </c>
      <c r="K89" s="0" t="n">
        <f aca="false">IF($F89=0,0,INDEX(Aux_HH!$H$4:$H$18,MATCH($B89&amp;"|"&amp;$E89,Aux_HH!$A$4:$A$18,0)))</f>
        <v>0</v>
      </c>
      <c r="L89" s="0" t="n">
        <f aca="false">IF($F89=0,0,INDEX(Aux_HH!$I$4:$I$18,MATCH($B89&amp;"|"&amp;$E89,Aux_HH!$A$4:$A$18,0)))</f>
        <v>0</v>
      </c>
    </row>
    <row r="90" customFormat="false" ht="15" hidden="false" customHeight="false" outlineLevel="0" collapsed="false">
      <c r="A90" s="0" t="str">
        <f aca="false">IF(Frota!$A6="","",Frota!$A6)</f>
        <v>Colhedora CASE A8810 — 1036</v>
      </c>
      <c r="B90" s="0" t="str">
        <f aca="false">IF(Frota!$A6="","",Frota!$B6)</f>
        <v>Colhedora</v>
      </c>
      <c r="C90" s="0" t="n">
        <v>35</v>
      </c>
      <c r="D90" s="0" t="n">
        <f aca="false">INDEX(Semanas!$E$3:$E$54,35)</f>
        <v>11</v>
      </c>
      <c r="E90" s="0" t="str">
        <f aca="false">IF(Frota!$A6="","",Cronograma!AJ6)</f>
        <v>B</v>
      </c>
      <c r="F90" s="0" t="n">
        <f aca="false">IF(OR($E90="",$E90=0),0,1)</f>
        <v>1</v>
      </c>
      <c r="G90" s="0" t="n">
        <f aca="false">IF($F90=0,0,INDEX(Aux_HH!$D$4:$D$18,MATCH($B90&amp;"|"&amp;$E90,Aux_HH!$A$4:$A$18,0)))</f>
        <v>10.25</v>
      </c>
      <c r="H90" s="0" t="n">
        <f aca="false">IF($F90=0,0,INDEX(Aux_HH!$E$4:$E$18,MATCH($B90&amp;"|"&amp;$E90,Aux_HH!$A$4:$A$18,0)))</f>
        <v>0</v>
      </c>
      <c r="I90" s="0" t="n">
        <f aca="false">IF($F90=0,0,INDEX(Aux_HH!$F$4:$F$18,MATCH($B90&amp;"|"&amp;$E90,Aux_HH!$A$4:$A$18,0)))</f>
        <v>3</v>
      </c>
      <c r="J90" s="0" t="n">
        <f aca="false">IF($F90=0,0,INDEX(Aux_HH!$G$4:$G$18,MATCH($B90&amp;"|"&amp;$E90,Aux_HH!$A$4:$A$18,0)))</f>
        <v>1.75</v>
      </c>
      <c r="K90" s="0" t="n">
        <f aca="false">IF($F90=0,0,INDEX(Aux_HH!$H$4:$H$18,MATCH($B90&amp;"|"&amp;$E90,Aux_HH!$A$4:$A$18,0)))</f>
        <v>0</v>
      </c>
      <c r="L90" s="0" t="n">
        <f aca="false">IF($F90=0,0,INDEX(Aux_HH!$I$4:$I$18,MATCH($B90&amp;"|"&amp;$E90,Aux_HH!$A$4:$A$18,0)))</f>
        <v>0</v>
      </c>
    </row>
    <row r="91" customFormat="false" ht="15" hidden="false" customHeight="false" outlineLevel="0" collapsed="false">
      <c r="A91" s="0" t="str">
        <f aca="false">IF(Frota!$A6="","",Frota!$A6)</f>
        <v>Colhedora CASE A8810 — 1036</v>
      </c>
      <c r="B91" s="0" t="str">
        <f aca="false">IF(Frota!$A6="","",Frota!$B6)</f>
        <v>Colhedora</v>
      </c>
      <c r="C91" s="0" t="n">
        <v>36</v>
      </c>
      <c r="D91" s="0" t="n">
        <f aca="false">INDEX(Semanas!$E$3:$E$54,36)</f>
        <v>12</v>
      </c>
      <c r="E91" s="0" t="str">
        <f aca="false">IF(Frota!$A6="","",Cronograma!AK6)</f>
        <v/>
      </c>
      <c r="F91" s="0" t="n">
        <f aca="false">IF(OR($E91="",$E91=0),0,1)</f>
        <v>0</v>
      </c>
      <c r="G91" s="0" t="n">
        <f aca="false">IF($F91=0,0,INDEX(Aux_HH!$D$4:$D$18,MATCH($B91&amp;"|"&amp;$E91,Aux_HH!$A$4:$A$18,0)))</f>
        <v>0</v>
      </c>
      <c r="H91" s="0" t="n">
        <f aca="false">IF($F91=0,0,INDEX(Aux_HH!$E$4:$E$18,MATCH($B91&amp;"|"&amp;$E91,Aux_HH!$A$4:$A$18,0)))</f>
        <v>0</v>
      </c>
      <c r="I91" s="0" t="n">
        <f aca="false">IF($F91=0,0,INDEX(Aux_HH!$F$4:$F$18,MATCH($B91&amp;"|"&amp;$E91,Aux_HH!$A$4:$A$18,0)))</f>
        <v>0</v>
      </c>
      <c r="J91" s="0" t="n">
        <f aca="false">IF($F91=0,0,INDEX(Aux_HH!$G$4:$G$18,MATCH($B91&amp;"|"&amp;$E91,Aux_HH!$A$4:$A$18,0)))</f>
        <v>0</v>
      </c>
      <c r="K91" s="0" t="n">
        <f aca="false">IF($F91=0,0,INDEX(Aux_HH!$H$4:$H$18,MATCH($B91&amp;"|"&amp;$E91,Aux_HH!$A$4:$A$18,0)))</f>
        <v>0</v>
      </c>
      <c r="L91" s="0" t="n">
        <f aca="false">IF($F91=0,0,INDEX(Aux_HH!$I$4:$I$18,MATCH($B91&amp;"|"&amp;$E91,Aux_HH!$A$4:$A$18,0)))</f>
        <v>0</v>
      </c>
    </row>
    <row r="92" customFormat="false" ht="15" hidden="false" customHeight="false" outlineLevel="0" collapsed="false">
      <c r="A92" s="0" t="str">
        <f aca="false">IF(Frota!$A6="","",Frota!$A6)</f>
        <v>Colhedora CASE A8810 — 1036</v>
      </c>
      <c r="B92" s="0" t="str">
        <f aca="false">IF(Frota!$A6="","",Frota!$B6)</f>
        <v>Colhedora</v>
      </c>
      <c r="C92" s="0" t="n">
        <v>37</v>
      </c>
      <c r="D92" s="0" t="n">
        <f aca="false">INDEX(Semanas!$E$3:$E$54,37)</f>
        <v>12</v>
      </c>
      <c r="E92" s="0" t="str">
        <f aca="false">IF(Frota!$A6="","",Cronograma!AL6)</f>
        <v/>
      </c>
      <c r="F92" s="0" t="n">
        <f aca="false">IF(OR($E92="",$E92=0),0,1)</f>
        <v>0</v>
      </c>
      <c r="G92" s="0" t="n">
        <f aca="false">IF($F92=0,0,INDEX(Aux_HH!$D$4:$D$18,MATCH($B92&amp;"|"&amp;$E92,Aux_HH!$A$4:$A$18,0)))</f>
        <v>0</v>
      </c>
      <c r="H92" s="0" t="n">
        <f aca="false">IF($F92=0,0,INDEX(Aux_HH!$E$4:$E$18,MATCH($B92&amp;"|"&amp;$E92,Aux_HH!$A$4:$A$18,0)))</f>
        <v>0</v>
      </c>
      <c r="I92" s="0" t="n">
        <f aca="false">IF($F92=0,0,INDEX(Aux_HH!$F$4:$F$18,MATCH($B92&amp;"|"&amp;$E92,Aux_HH!$A$4:$A$18,0)))</f>
        <v>0</v>
      </c>
      <c r="J92" s="0" t="n">
        <f aca="false">IF($F92=0,0,INDEX(Aux_HH!$G$4:$G$18,MATCH($B92&amp;"|"&amp;$E92,Aux_HH!$A$4:$A$18,0)))</f>
        <v>0</v>
      </c>
      <c r="K92" s="0" t="n">
        <f aca="false">IF($F92=0,0,INDEX(Aux_HH!$H$4:$H$18,MATCH($B92&amp;"|"&amp;$E92,Aux_HH!$A$4:$A$18,0)))</f>
        <v>0</v>
      </c>
      <c r="L92" s="0" t="n">
        <f aca="false">IF($F92=0,0,INDEX(Aux_HH!$I$4:$I$18,MATCH($B92&amp;"|"&amp;$E92,Aux_HH!$A$4:$A$18,0)))</f>
        <v>0</v>
      </c>
    </row>
    <row r="93" customFormat="false" ht="15" hidden="false" customHeight="false" outlineLevel="0" collapsed="false">
      <c r="A93" s="0" t="str">
        <f aca="false">IF(Frota!$A6="","",Frota!$A6)</f>
        <v>Colhedora CASE A8810 — 1036</v>
      </c>
      <c r="B93" s="0" t="str">
        <f aca="false">IF(Frota!$A6="","",Frota!$B6)</f>
        <v>Colhedora</v>
      </c>
      <c r="C93" s="0" t="n">
        <v>38</v>
      </c>
      <c r="D93" s="0" t="n">
        <f aca="false">INDEX(Semanas!$E$3:$E$54,38)</f>
        <v>12</v>
      </c>
      <c r="E93" s="0" t="str">
        <f aca="false">IF(Frota!$A6="","",Cronograma!AM6)</f>
        <v/>
      </c>
      <c r="F93" s="0" t="n">
        <f aca="false">IF(OR($E93="",$E93=0),0,1)</f>
        <v>0</v>
      </c>
      <c r="G93" s="0" t="n">
        <f aca="false">IF($F93=0,0,INDEX(Aux_HH!$D$4:$D$18,MATCH($B93&amp;"|"&amp;$E93,Aux_HH!$A$4:$A$18,0)))</f>
        <v>0</v>
      </c>
      <c r="H93" s="0" t="n">
        <f aca="false">IF($F93=0,0,INDEX(Aux_HH!$E$4:$E$18,MATCH($B93&amp;"|"&amp;$E93,Aux_HH!$A$4:$A$18,0)))</f>
        <v>0</v>
      </c>
      <c r="I93" s="0" t="n">
        <f aca="false">IF($F93=0,0,INDEX(Aux_HH!$F$4:$F$18,MATCH($B93&amp;"|"&amp;$E93,Aux_HH!$A$4:$A$18,0)))</f>
        <v>0</v>
      </c>
      <c r="J93" s="0" t="n">
        <f aca="false">IF($F93=0,0,INDEX(Aux_HH!$G$4:$G$18,MATCH($B93&amp;"|"&amp;$E93,Aux_HH!$A$4:$A$18,0)))</f>
        <v>0</v>
      </c>
      <c r="K93" s="0" t="n">
        <f aca="false">IF($F93=0,0,INDEX(Aux_HH!$H$4:$H$18,MATCH($B93&amp;"|"&amp;$E93,Aux_HH!$A$4:$A$18,0)))</f>
        <v>0</v>
      </c>
      <c r="L93" s="0" t="n">
        <f aca="false">IF($F93=0,0,INDEX(Aux_HH!$I$4:$I$18,MATCH($B93&amp;"|"&amp;$E93,Aux_HH!$A$4:$A$18,0)))</f>
        <v>0</v>
      </c>
    </row>
    <row r="94" customFormat="false" ht="15" hidden="false" customHeight="false" outlineLevel="0" collapsed="false">
      <c r="A94" s="0" t="str">
        <f aca="false">IF(Frota!$A6="","",Frota!$A6)</f>
        <v>Colhedora CASE A8810 — 1036</v>
      </c>
      <c r="B94" s="0" t="str">
        <f aca="false">IF(Frota!$A6="","",Frota!$B6)</f>
        <v>Colhedora</v>
      </c>
      <c r="C94" s="0" t="n">
        <v>39</v>
      </c>
      <c r="D94" s="0" t="n">
        <f aca="false">INDEX(Semanas!$E$3:$E$54,39)</f>
        <v>12</v>
      </c>
      <c r="E94" s="0" t="str">
        <f aca="false">IF(Frota!$A6="","",Cronograma!AN6)</f>
        <v/>
      </c>
      <c r="F94" s="0" t="n">
        <f aca="false">IF(OR($E94="",$E94=0),0,1)</f>
        <v>0</v>
      </c>
      <c r="G94" s="0" t="n">
        <f aca="false">IF($F94=0,0,INDEX(Aux_HH!$D$4:$D$18,MATCH($B94&amp;"|"&amp;$E94,Aux_HH!$A$4:$A$18,0)))</f>
        <v>0</v>
      </c>
      <c r="H94" s="0" t="n">
        <f aca="false">IF($F94=0,0,INDEX(Aux_HH!$E$4:$E$18,MATCH($B94&amp;"|"&amp;$E94,Aux_HH!$A$4:$A$18,0)))</f>
        <v>0</v>
      </c>
      <c r="I94" s="0" t="n">
        <f aca="false">IF($F94=0,0,INDEX(Aux_HH!$F$4:$F$18,MATCH($B94&amp;"|"&amp;$E94,Aux_HH!$A$4:$A$18,0)))</f>
        <v>0</v>
      </c>
      <c r="J94" s="0" t="n">
        <f aca="false">IF($F94=0,0,INDEX(Aux_HH!$G$4:$G$18,MATCH($B94&amp;"|"&amp;$E94,Aux_HH!$A$4:$A$18,0)))</f>
        <v>0</v>
      </c>
      <c r="K94" s="0" t="n">
        <f aca="false">IF($F94=0,0,INDEX(Aux_HH!$H$4:$H$18,MATCH($B94&amp;"|"&amp;$E94,Aux_HH!$A$4:$A$18,0)))</f>
        <v>0</v>
      </c>
      <c r="L94" s="0" t="n">
        <f aca="false">IF($F94=0,0,INDEX(Aux_HH!$I$4:$I$18,MATCH($B94&amp;"|"&amp;$E94,Aux_HH!$A$4:$A$18,0)))</f>
        <v>0</v>
      </c>
    </row>
    <row r="95" customFormat="false" ht="15" hidden="false" customHeight="false" outlineLevel="0" collapsed="false">
      <c r="A95" s="0" t="str">
        <f aca="false">IF(Frota!$A6="","",Frota!$A6)</f>
        <v>Colhedora CASE A8810 — 1036</v>
      </c>
      <c r="B95" s="0" t="str">
        <f aca="false">IF(Frota!$A6="","",Frota!$B6)</f>
        <v>Colhedora</v>
      </c>
      <c r="C95" s="0" t="n">
        <v>40</v>
      </c>
      <c r="D95" s="0" t="n">
        <f aca="false">INDEX(Semanas!$E$3:$E$54,40)</f>
        <v>12</v>
      </c>
      <c r="E95" s="0" t="str">
        <f aca="false">IF(Frota!$A6="","",Cronograma!AO6)</f>
        <v/>
      </c>
      <c r="F95" s="0" t="n">
        <f aca="false">IF(OR($E95="",$E95=0),0,1)</f>
        <v>0</v>
      </c>
      <c r="G95" s="0" t="n">
        <f aca="false">IF($F95=0,0,INDEX(Aux_HH!$D$4:$D$18,MATCH($B95&amp;"|"&amp;$E95,Aux_HH!$A$4:$A$18,0)))</f>
        <v>0</v>
      </c>
      <c r="H95" s="0" t="n">
        <f aca="false">IF($F95=0,0,INDEX(Aux_HH!$E$4:$E$18,MATCH($B95&amp;"|"&amp;$E95,Aux_HH!$A$4:$A$18,0)))</f>
        <v>0</v>
      </c>
      <c r="I95" s="0" t="n">
        <f aca="false">IF($F95=0,0,INDEX(Aux_HH!$F$4:$F$18,MATCH($B95&amp;"|"&amp;$E95,Aux_HH!$A$4:$A$18,0)))</f>
        <v>0</v>
      </c>
      <c r="J95" s="0" t="n">
        <f aca="false">IF($F95=0,0,INDEX(Aux_HH!$G$4:$G$18,MATCH($B95&amp;"|"&amp;$E95,Aux_HH!$A$4:$A$18,0)))</f>
        <v>0</v>
      </c>
      <c r="K95" s="0" t="n">
        <f aca="false">IF($F95=0,0,INDEX(Aux_HH!$H$4:$H$18,MATCH($B95&amp;"|"&amp;$E95,Aux_HH!$A$4:$A$18,0)))</f>
        <v>0</v>
      </c>
      <c r="L95" s="0" t="n">
        <f aca="false">IF($F95=0,0,INDEX(Aux_HH!$I$4:$I$18,MATCH($B95&amp;"|"&amp;$E95,Aux_HH!$A$4:$A$18,0)))</f>
        <v>0</v>
      </c>
    </row>
    <row r="96" customFormat="false" ht="15" hidden="false" customHeight="false" outlineLevel="0" collapsed="false">
      <c r="A96" s="0" t="str">
        <f aca="false">IF(Frota!$A6="","",Frota!$A6)</f>
        <v>Colhedora CASE A8810 — 1036</v>
      </c>
      <c r="B96" s="0" t="str">
        <f aca="false">IF(Frota!$A6="","",Frota!$B6)</f>
        <v>Colhedora</v>
      </c>
      <c r="C96" s="0" t="n">
        <v>41</v>
      </c>
      <c r="D96" s="0" t="n">
        <f aca="false">INDEX(Semanas!$E$3:$E$54,41)</f>
        <v>1</v>
      </c>
      <c r="E96" s="0" t="str">
        <f aca="false">IF(Frota!$A6="","",Cronograma!AP6)</f>
        <v/>
      </c>
      <c r="F96" s="0" t="n">
        <f aca="false">IF(OR($E96="",$E96=0),0,1)</f>
        <v>0</v>
      </c>
      <c r="G96" s="0" t="n">
        <f aca="false">IF($F96=0,0,INDEX(Aux_HH!$D$4:$D$18,MATCH($B96&amp;"|"&amp;$E96,Aux_HH!$A$4:$A$18,0)))</f>
        <v>0</v>
      </c>
      <c r="H96" s="0" t="n">
        <f aca="false">IF($F96=0,0,INDEX(Aux_HH!$E$4:$E$18,MATCH($B96&amp;"|"&amp;$E96,Aux_HH!$A$4:$A$18,0)))</f>
        <v>0</v>
      </c>
      <c r="I96" s="0" t="n">
        <f aca="false">IF($F96=0,0,INDEX(Aux_HH!$F$4:$F$18,MATCH($B96&amp;"|"&amp;$E96,Aux_HH!$A$4:$A$18,0)))</f>
        <v>0</v>
      </c>
      <c r="J96" s="0" t="n">
        <f aca="false">IF($F96=0,0,INDEX(Aux_HH!$G$4:$G$18,MATCH($B96&amp;"|"&amp;$E96,Aux_HH!$A$4:$A$18,0)))</f>
        <v>0</v>
      </c>
      <c r="K96" s="0" t="n">
        <f aca="false">IF($F96=0,0,INDEX(Aux_HH!$H$4:$H$18,MATCH($B96&amp;"|"&amp;$E96,Aux_HH!$A$4:$A$18,0)))</f>
        <v>0</v>
      </c>
      <c r="L96" s="0" t="n">
        <f aca="false">IF($F96=0,0,INDEX(Aux_HH!$I$4:$I$18,MATCH($B96&amp;"|"&amp;$E96,Aux_HH!$A$4:$A$18,0)))</f>
        <v>0</v>
      </c>
    </row>
    <row r="97" customFormat="false" ht="15" hidden="false" customHeight="false" outlineLevel="0" collapsed="false">
      <c r="A97" s="0" t="str">
        <f aca="false">IF(Frota!$A6="","",Frota!$A6)</f>
        <v>Colhedora CASE A8810 — 1036</v>
      </c>
      <c r="B97" s="0" t="str">
        <f aca="false">IF(Frota!$A6="","",Frota!$B6)</f>
        <v>Colhedora</v>
      </c>
      <c r="C97" s="0" t="n">
        <v>42</v>
      </c>
      <c r="D97" s="0" t="n">
        <f aca="false">INDEX(Semanas!$E$3:$E$54,42)</f>
        <v>1</v>
      </c>
      <c r="E97" s="0" t="str">
        <f aca="false">IF(Frota!$A6="","",Cronograma!AQ6)</f>
        <v/>
      </c>
      <c r="F97" s="0" t="n">
        <f aca="false">IF(OR($E97="",$E97=0),0,1)</f>
        <v>0</v>
      </c>
      <c r="G97" s="0" t="n">
        <f aca="false">IF($F97=0,0,INDEX(Aux_HH!$D$4:$D$18,MATCH($B97&amp;"|"&amp;$E97,Aux_HH!$A$4:$A$18,0)))</f>
        <v>0</v>
      </c>
      <c r="H97" s="0" t="n">
        <f aca="false">IF($F97=0,0,INDEX(Aux_HH!$E$4:$E$18,MATCH($B97&amp;"|"&amp;$E97,Aux_HH!$A$4:$A$18,0)))</f>
        <v>0</v>
      </c>
      <c r="I97" s="0" t="n">
        <f aca="false">IF($F97=0,0,INDEX(Aux_HH!$F$4:$F$18,MATCH($B97&amp;"|"&amp;$E97,Aux_HH!$A$4:$A$18,0)))</f>
        <v>0</v>
      </c>
      <c r="J97" s="0" t="n">
        <f aca="false">IF($F97=0,0,INDEX(Aux_HH!$G$4:$G$18,MATCH($B97&amp;"|"&amp;$E97,Aux_HH!$A$4:$A$18,0)))</f>
        <v>0</v>
      </c>
      <c r="K97" s="0" t="n">
        <f aca="false">IF($F97=0,0,INDEX(Aux_HH!$H$4:$H$18,MATCH($B97&amp;"|"&amp;$E97,Aux_HH!$A$4:$A$18,0)))</f>
        <v>0</v>
      </c>
      <c r="L97" s="0" t="n">
        <f aca="false">IF($F97=0,0,INDEX(Aux_HH!$I$4:$I$18,MATCH($B97&amp;"|"&amp;$E97,Aux_HH!$A$4:$A$18,0)))</f>
        <v>0</v>
      </c>
    </row>
    <row r="98" customFormat="false" ht="15" hidden="false" customHeight="false" outlineLevel="0" collapsed="false">
      <c r="A98" s="0" t="str">
        <f aca="false">IF(Frota!$A6="","",Frota!$A6)</f>
        <v>Colhedora CASE A8810 — 1036</v>
      </c>
      <c r="B98" s="0" t="str">
        <f aca="false">IF(Frota!$A6="","",Frota!$B6)</f>
        <v>Colhedora</v>
      </c>
      <c r="C98" s="0" t="n">
        <v>43</v>
      </c>
      <c r="D98" s="0" t="n">
        <f aca="false">INDEX(Semanas!$E$3:$E$54,43)</f>
        <v>1</v>
      </c>
      <c r="E98" s="0" t="str">
        <f aca="false">IF(Frota!$A6="","",Cronograma!AR6)</f>
        <v/>
      </c>
      <c r="F98" s="0" t="n">
        <f aca="false">IF(OR($E98="",$E98=0),0,1)</f>
        <v>0</v>
      </c>
      <c r="G98" s="0" t="n">
        <f aca="false">IF($F98=0,0,INDEX(Aux_HH!$D$4:$D$18,MATCH($B98&amp;"|"&amp;$E98,Aux_HH!$A$4:$A$18,0)))</f>
        <v>0</v>
      </c>
      <c r="H98" s="0" t="n">
        <f aca="false">IF($F98=0,0,INDEX(Aux_HH!$E$4:$E$18,MATCH($B98&amp;"|"&amp;$E98,Aux_HH!$A$4:$A$18,0)))</f>
        <v>0</v>
      </c>
      <c r="I98" s="0" t="n">
        <f aca="false">IF($F98=0,0,INDEX(Aux_HH!$F$4:$F$18,MATCH($B98&amp;"|"&amp;$E98,Aux_HH!$A$4:$A$18,0)))</f>
        <v>0</v>
      </c>
      <c r="J98" s="0" t="n">
        <f aca="false">IF($F98=0,0,INDEX(Aux_HH!$G$4:$G$18,MATCH($B98&amp;"|"&amp;$E98,Aux_HH!$A$4:$A$18,0)))</f>
        <v>0</v>
      </c>
      <c r="K98" s="0" t="n">
        <f aca="false">IF($F98=0,0,INDEX(Aux_HH!$H$4:$H$18,MATCH($B98&amp;"|"&amp;$E98,Aux_HH!$A$4:$A$18,0)))</f>
        <v>0</v>
      </c>
      <c r="L98" s="0" t="n">
        <f aca="false">IF($F98=0,0,INDEX(Aux_HH!$I$4:$I$18,MATCH($B98&amp;"|"&amp;$E98,Aux_HH!$A$4:$A$18,0)))</f>
        <v>0</v>
      </c>
    </row>
    <row r="99" customFormat="false" ht="15" hidden="false" customHeight="false" outlineLevel="0" collapsed="false">
      <c r="A99" s="0" t="str">
        <f aca="false">IF(Frota!$A6="","",Frota!$A6)</f>
        <v>Colhedora CASE A8810 — 1036</v>
      </c>
      <c r="B99" s="0" t="str">
        <f aca="false">IF(Frota!$A6="","",Frota!$B6)</f>
        <v>Colhedora</v>
      </c>
      <c r="C99" s="0" t="n">
        <v>44</v>
      </c>
      <c r="D99" s="0" t="n">
        <f aca="false">INDEX(Semanas!$E$3:$E$54,44)</f>
        <v>1</v>
      </c>
      <c r="E99" s="0" t="str">
        <f aca="false">IF(Frota!$A6="","",Cronograma!AS6)</f>
        <v/>
      </c>
      <c r="F99" s="0" t="n">
        <f aca="false">IF(OR($E99="",$E99=0),0,1)</f>
        <v>0</v>
      </c>
      <c r="G99" s="0" t="n">
        <f aca="false">IF($F99=0,0,INDEX(Aux_HH!$D$4:$D$18,MATCH($B99&amp;"|"&amp;$E99,Aux_HH!$A$4:$A$18,0)))</f>
        <v>0</v>
      </c>
      <c r="H99" s="0" t="n">
        <f aca="false">IF($F99=0,0,INDEX(Aux_HH!$E$4:$E$18,MATCH($B99&amp;"|"&amp;$E99,Aux_HH!$A$4:$A$18,0)))</f>
        <v>0</v>
      </c>
      <c r="I99" s="0" t="n">
        <f aca="false">IF($F99=0,0,INDEX(Aux_HH!$F$4:$F$18,MATCH($B99&amp;"|"&amp;$E99,Aux_HH!$A$4:$A$18,0)))</f>
        <v>0</v>
      </c>
      <c r="J99" s="0" t="n">
        <f aca="false">IF($F99=0,0,INDEX(Aux_HH!$G$4:$G$18,MATCH($B99&amp;"|"&amp;$E99,Aux_HH!$A$4:$A$18,0)))</f>
        <v>0</v>
      </c>
      <c r="K99" s="0" t="n">
        <f aca="false">IF($F99=0,0,INDEX(Aux_HH!$H$4:$H$18,MATCH($B99&amp;"|"&amp;$E99,Aux_HH!$A$4:$A$18,0)))</f>
        <v>0</v>
      </c>
      <c r="L99" s="0" t="n">
        <f aca="false">IF($F99=0,0,INDEX(Aux_HH!$I$4:$I$18,MATCH($B99&amp;"|"&amp;$E99,Aux_HH!$A$4:$A$18,0)))</f>
        <v>0</v>
      </c>
    </row>
    <row r="100" customFormat="false" ht="15" hidden="false" customHeight="false" outlineLevel="0" collapsed="false">
      <c r="A100" s="0" t="str">
        <f aca="false">IF(Frota!$A6="","",Frota!$A6)</f>
        <v>Colhedora CASE A8810 — 1036</v>
      </c>
      <c r="B100" s="0" t="str">
        <f aca="false">IF(Frota!$A6="","",Frota!$B6)</f>
        <v>Colhedora</v>
      </c>
      <c r="C100" s="0" t="n">
        <v>45</v>
      </c>
      <c r="D100" s="0" t="n">
        <f aca="false">INDEX(Semanas!$E$3:$E$54,45)</f>
        <v>2</v>
      </c>
      <c r="E100" s="0" t="str">
        <f aca="false">IF(Frota!$A6="","",Cronograma!AT6)</f>
        <v/>
      </c>
      <c r="F100" s="0" t="n">
        <f aca="false">IF(OR($E100="",$E100=0),0,1)</f>
        <v>0</v>
      </c>
      <c r="G100" s="0" t="n">
        <f aca="false">IF($F100=0,0,INDEX(Aux_HH!$D$4:$D$18,MATCH($B100&amp;"|"&amp;$E100,Aux_HH!$A$4:$A$18,0)))</f>
        <v>0</v>
      </c>
      <c r="H100" s="0" t="n">
        <f aca="false">IF($F100=0,0,INDEX(Aux_HH!$E$4:$E$18,MATCH($B100&amp;"|"&amp;$E100,Aux_HH!$A$4:$A$18,0)))</f>
        <v>0</v>
      </c>
      <c r="I100" s="0" t="n">
        <f aca="false">IF($F100=0,0,INDEX(Aux_HH!$F$4:$F$18,MATCH($B100&amp;"|"&amp;$E100,Aux_HH!$A$4:$A$18,0)))</f>
        <v>0</v>
      </c>
      <c r="J100" s="0" t="n">
        <f aca="false">IF($F100=0,0,INDEX(Aux_HH!$G$4:$G$18,MATCH($B100&amp;"|"&amp;$E100,Aux_HH!$A$4:$A$18,0)))</f>
        <v>0</v>
      </c>
      <c r="K100" s="0" t="n">
        <f aca="false">IF($F100=0,0,INDEX(Aux_HH!$H$4:$H$18,MATCH($B100&amp;"|"&amp;$E100,Aux_HH!$A$4:$A$18,0)))</f>
        <v>0</v>
      </c>
      <c r="L100" s="0" t="n">
        <f aca="false">IF($F100=0,0,INDEX(Aux_HH!$I$4:$I$18,MATCH($B100&amp;"|"&amp;$E100,Aux_HH!$A$4:$A$18,0)))</f>
        <v>0</v>
      </c>
    </row>
    <row r="101" customFormat="false" ht="15" hidden="false" customHeight="false" outlineLevel="0" collapsed="false">
      <c r="A101" s="0" t="str">
        <f aca="false">IF(Frota!$A6="","",Frota!$A6)</f>
        <v>Colhedora CASE A8810 — 1036</v>
      </c>
      <c r="B101" s="0" t="str">
        <f aca="false">IF(Frota!$A6="","",Frota!$B6)</f>
        <v>Colhedora</v>
      </c>
      <c r="C101" s="0" t="n">
        <v>46</v>
      </c>
      <c r="D101" s="0" t="n">
        <f aca="false">INDEX(Semanas!$E$3:$E$54,46)</f>
        <v>2</v>
      </c>
      <c r="E101" s="0" t="str">
        <f aca="false">IF(Frota!$A6="","",Cronograma!AU6)</f>
        <v/>
      </c>
      <c r="F101" s="0" t="n">
        <f aca="false">IF(OR($E101="",$E101=0),0,1)</f>
        <v>0</v>
      </c>
      <c r="G101" s="0" t="n">
        <f aca="false">IF($F101=0,0,INDEX(Aux_HH!$D$4:$D$18,MATCH($B101&amp;"|"&amp;$E101,Aux_HH!$A$4:$A$18,0)))</f>
        <v>0</v>
      </c>
      <c r="H101" s="0" t="n">
        <f aca="false">IF($F101=0,0,INDEX(Aux_HH!$E$4:$E$18,MATCH($B101&amp;"|"&amp;$E101,Aux_HH!$A$4:$A$18,0)))</f>
        <v>0</v>
      </c>
      <c r="I101" s="0" t="n">
        <f aca="false">IF($F101=0,0,INDEX(Aux_HH!$F$4:$F$18,MATCH($B101&amp;"|"&amp;$E101,Aux_HH!$A$4:$A$18,0)))</f>
        <v>0</v>
      </c>
      <c r="J101" s="0" t="n">
        <f aca="false">IF($F101=0,0,INDEX(Aux_HH!$G$4:$G$18,MATCH($B101&amp;"|"&amp;$E101,Aux_HH!$A$4:$A$18,0)))</f>
        <v>0</v>
      </c>
      <c r="K101" s="0" t="n">
        <f aca="false">IF($F101=0,0,INDEX(Aux_HH!$H$4:$H$18,MATCH($B101&amp;"|"&amp;$E101,Aux_HH!$A$4:$A$18,0)))</f>
        <v>0</v>
      </c>
      <c r="L101" s="0" t="n">
        <f aca="false">IF($F101=0,0,INDEX(Aux_HH!$I$4:$I$18,MATCH($B101&amp;"|"&amp;$E101,Aux_HH!$A$4:$A$18,0)))</f>
        <v>0</v>
      </c>
    </row>
    <row r="102" customFormat="false" ht="15" hidden="false" customHeight="false" outlineLevel="0" collapsed="false">
      <c r="A102" s="0" t="str">
        <f aca="false">IF(Frota!$A6="","",Frota!$A6)</f>
        <v>Colhedora CASE A8810 — 1036</v>
      </c>
      <c r="B102" s="0" t="str">
        <f aca="false">IF(Frota!$A6="","",Frota!$B6)</f>
        <v>Colhedora</v>
      </c>
      <c r="C102" s="0" t="n">
        <v>47</v>
      </c>
      <c r="D102" s="0" t="n">
        <f aca="false">INDEX(Semanas!$E$3:$E$54,47)</f>
        <v>2</v>
      </c>
      <c r="E102" s="0" t="str">
        <f aca="false">IF(Frota!$A6="","",Cronograma!AV6)</f>
        <v/>
      </c>
      <c r="F102" s="0" t="n">
        <f aca="false">IF(OR($E102="",$E102=0),0,1)</f>
        <v>0</v>
      </c>
      <c r="G102" s="0" t="n">
        <f aca="false">IF($F102=0,0,INDEX(Aux_HH!$D$4:$D$18,MATCH($B102&amp;"|"&amp;$E102,Aux_HH!$A$4:$A$18,0)))</f>
        <v>0</v>
      </c>
      <c r="H102" s="0" t="n">
        <f aca="false">IF($F102=0,0,INDEX(Aux_HH!$E$4:$E$18,MATCH($B102&amp;"|"&amp;$E102,Aux_HH!$A$4:$A$18,0)))</f>
        <v>0</v>
      </c>
      <c r="I102" s="0" t="n">
        <f aca="false">IF($F102=0,0,INDEX(Aux_HH!$F$4:$F$18,MATCH($B102&amp;"|"&amp;$E102,Aux_HH!$A$4:$A$18,0)))</f>
        <v>0</v>
      </c>
      <c r="J102" s="0" t="n">
        <f aca="false">IF($F102=0,0,INDEX(Aux_HH!$G$4:$G$18,MATCH($B102&amp;"|"&amp;$E102,Aux_HH!$A$4:$A$18,0)))</f>
        <v>0</v>
      </c>
      <c r="K102" s="0" t="n">
        <f aca="false">IF($F102=0,0,INDEX(Aux_HH!$H$4:$H$18,MATCH($B102&amp;"|"&amp;$E102,Aux_HH!$A$4:$A$18,0)))</f>
        <v>0</v>
      </c>
      <c r="L102" s="0" t="n">
        <f aca="false">IF($F102=0,0,INDEX(Aux_HH!$I$4:$I$18,MATCH($B102&amp;"|"&amp;$E102,Aux_HH!$A$4:$A$18,0)))</f>
        <v>0</v>
      </c>
    </row>
    <row r="103" customFormat="false" ht="15" hidden="false" customHeight="false" outlineLevel="0" collapsed="false">
      <c r="A103" s="0" t="str">
        <f aca="false">IF(Frota!$A6="","",Frota!$A6)</f>
        <v>Colhedora CASE A8810 — 1036</v>
      </c>
      <c r="B103" s="0" t="str">
        <f aca="false">IF(Frota!$A6="","",Frota!$B6)</f>
        <v>Colhedora</v>
      </c>
      <c r="C103" s="0" t="n">
        <v>48</v>
      </c>
      <c r="D103" s="0" t="n">
        <f aca="false">INDEX(Semanas!$E$3:$E$54,48)</f>
        <v>2</v>
      </c>
      <c r="E103" s="0" t="str">
        <f aca="false">IF(Frota!$A6="","",Cronograma!AW6)</f>
        <v/>
      </c>
      <c r="F103" s="0" t="n">
        <f aca="false">IF(OR($E103="",$E103=0),0,1)</f>
        <v>0</v>
      </c>
      <c r="G103" s="0" t="n">
        <f aca="false">IF($F103=0,0,INDEX(Aux_HH!$D$4:$D$18,MATCH($B103&amp;"|"&amp;$E103,Aux_HH!$A$4:$A$18,0)))</f>
        <v>0</v>
      </c>
      <c r="H103" s="0" t="n">
        <f aca="false">IF($F103=0,0,INDEX(Aux_HH!$E$4:$E$18,MATCH($B103&amp;"|"&amp;$E103,Aux_HH!$A$4:$A$18,0)))</f>
        <v>0</v>
      </c>
      <c r="I103" s="0" t="n">
        <f aca="false">IF($F103=0,0,INDEX(Aux_HH!$F$4:$F$18,MATCH($B103&amp;"|"&amp;$E103,Aux_HH!$A$4:$A$18,0)))</f>
        <v>0</v>
      </c>
      <c r="J103" s="0" t="n">
        <f aca="false">IF($F103=0,0,INDEX(Aux_HH!$G$4:$G$18,MATCH($B103&amp;"|"&amp;$E103,Aux_HH!$A$4:$A$18,0)))</f>
        <v>0</v>
      </c>
      <c r="K103" s="0" t="n">
        <f aca="false">IF($F103=0,0,INDEX(Aux_HH!$H$4:$H$18,MATCH($B103&amp;"|"&amp;$E103,Aux_HH!$A$4:$A$18,0)))</f>
        <v>0</v>
      </c>
      <c r="L103" s="0" t="n">
        <f aca="false">IF($F103=0,0,INDEX(Aux_HH!$I$4:$I$18,MATCH($B103&amp;"|"&amp;$E103,Aux_HH!$A$4:$A$18,0)))</f>
        <v>0</v>
      </c>
    </row>
    <row r="104" customFormat="false" ht="15" hidden="false" customHeight="false" outlineLevel="0" collapsed="false">
      <c r="A104" s="0" t="str">
        <f aca="false">IF(Frota!$A6="","",Frota!$A6)</f>
        <v>Colhedora CASE A8810 — 1036</v>
      </c>
      <c r="B104" s="0" t="str">
        <f aca="false">IF(Frota!$A6="","",Frota!$B6)</f>
        <v>Colhedora</v>
      </c>
      <c r="C104" s="0" t="n">
        <v>49</v>
      </c>
      <c r="D104" s="0" t="n">
        <f aca="false">INDEX(Semanas!$E$3:$E$54,49)</f>
        <v>3</v>
      </c>
      <c r="E104" s="0" t="str">
        <f aca="false">IF(Frota!$A6="","",Cronograma!AX6)</f>
        <v/>
      </c>
      <c r="F104" s="0" t="n">
        <f aca="false">IF(OR($E104="",$E104=0),0,1)</f>
        <v>0</v>
      </c>
      <c r="G104" s="0" t="n">
        <f aca="false">IF($F104=0,0,INDEX(Aux_HH!$D$4:$D$18,MATCH($B104&amp;"|"&amp;$E104,Aux_HH!$A$4:$A$18,0)))</f>
        <v>0</v>
      </c>
      <c r="H104" s="0" t="n">
        <f aca="false">IF($F104=0,0,INDEX(Aux_HH!$E$4:$E$18,MATCH($B104&amp;"|"&amp;$E104,Aux_HH!$A$4:$A$18,0)))</f>
        <v>0</v>
      </c>
      <c r="I104" s="0" t="n">
        <f aca="false">IF($F104=0,0,INDEX(Aux_HH!$F$4:$F$18,MATCH($B104&amp;"|"&amp;$E104,Aux_HH!$A$4:$A$18,0)))</f>
        <v>0</v>
      </c>
      <c r="J104" s="0" t="n">
        <f aca="false">IF($F104=0,0,INDEX(Aux_HH!$G$4:$G$18,MATCH($B104&amp;"|"&amp;$E104,Aux_HH!$A$4:$A$18,0)))</f>
        <v>0</v>
      </c>
      <c r="K104" s="0" t="n">
        <f aca="false">IF($F104=0,0,INDEX(Aux_HH!$H$4:$H$18,MATCH($B104&amp;"|"&amp;$E104,Aux_HH!$A$4:$A$18,0)))</f>
        <v>0</v>
      </c>
      <c r="L104" s="0" t="n">
        <f aca="false">IF($F104=0,0,INDEX(Aux_HH!$I$4:$I$18,MATCH($B104&amp;"|"&amp;$E104,Aux_HH!$A$4:$A$18,0)))</f>
        <v>0</v>
      </c>
    </row>
    <row r="105" customFormat="false" ht="15" hidden="false" customHeight="false" outlineLevel="0" collapsed="false">
      <c r="A105" s="0" t="str">
        <f aca="false">IF(Frota!$A6="","",Frota!$A6)</f>
        <v>Colhedora CASE A8810 — 1036</v>
      </c>
      <c r="B105" s="0" t="str">
        <f aca="false">IF(Frota!$A6="","",Frota!$B6)</f>
        <v>Colhedora</v>
      </c>
      <c r="C105" s="0" t="n">
        <v>50</v>
      </c>
      <c r="D105" s="0" t="n">
        <f aca="false">INDEX(Semanas!$E$3:$E$54,50)</f>
        <v>3</v>
      </c>
      <c r="E105" s="0" t="str">
        <f aca="false">IF(Frota!$A6="","",Cronograma!AY6)</f>
        <v/>
      </c>
      <c r="F105" s="0" t="n">
        <f aca="false">IF(OR($E105="",$E105=0),0,1)</f>
        <v>0</v>
      </c>
      <c r="G105" s="0" t="n">
        <f aca="false">IF($F105=0,0,INDEX(Aux_HH!$D$4:$D$18,MATCH($B105&amp;"|"&amp;$E105,Aux_HH!$A$4:$A$18,0)))</f>
        <v>0</v>
      </c>
      <c r="H105" s="0" t="n">
        <f aca="false">IF($F105=0,0,INDEX(Aux_HH!$E$4:$E$18,MATCH($B105&amp;"|"&amp;$E105,Aux_HH!$A$4:$A$18,0)))</f>
        <v>0</v>
      </c>
      <c r="I105" s="0" t="n">
        <f aca="false">IF($F105=0,0,INDEX(Aux_HH!$F$4:$F$18,MATCH($B105&amp;"|"&amp;$E105,Aux_HH!$A$4:$A$18,0)))</f>
        <v>0</v>
      </c>
      <c r="J105" s="0" t="n">
        <f aca="false">IF($F105=0,0,INDEX(Aux_HH!$G$4:$G$18,MATCH($B105&amp;"|"&amp;$E105,Aux_HH!$A$4:$A$18,0)))</f>
        <v>0</v>
      </c>
      <c r="K105" s="0" t="n">
        <f aca="false">IF($F105=0,0,INDEX(Aux_HH!$H$4:$H$18,MATCH($B105&amp;"|"&amp;$E105,Aux_HH!$A$4:$A$18,0)))</f>
        <v>0</v>
      </c>
      <c r="L105" s="0" t="n">
        <f aca="false">IF($F105=0,0,INDEX(Aux_HH!$I$4:$I$18,MATCH($B105&amp;"|"&amp;$E105,Aux_HH!$A$4:$A$18,0)))</f>
        <v>0</v>
      </c>
    </row>
    <row r="106" customFormat="false" ht="15" hidden="false" customHeight="false" outlineLevel="0" collapsed="false">
      <c r="A106" s="0" t="str">
        <f aca="false">IF(Frota!$A6="","",Frota!$A6)</f>
        <v>Colhedora CASE A8810 — 1036</v>
      </c>
      <c r="B106" s="0" t="str">
        <f aca="false">IF(Frota!$A6="","",Frota!$B6)</f>
        <v>Colhedora</v>
      </c>
      <c r="C106" s="0" t="n">
        <v>51</v>
      </c>
      <c r="D106" s="0" t="n">
        <f aca="false">INDEX(Semanas!$E$3:$E$54,51)</f>
        <v>3</v>
      </c>
      <c r="E106" s="0" t="str">
        <f aca="false">IF(Frota!$A6="","",Cronograma!AZ6)</f>
        <v/>
      </c>
      <c r="F106" s="0" t="n">
        <f aca="false">IF(OR($E106="",$E106=0),0,1)</f>
        <v>0</v>
      </c>
      <c r="G106" s="0" t="n">
        <f aca="false">IF($F106=0,0,INDEX(Aux_HH!$D$4:$D$18,MATCH($B106&amp;"|"&amp;$E106,Aux_HH!$A$4:$A$18,0)))</f>
        <v>0</v>
      </c>
      <c r="H106" s="0" t="n">
        <f aca="false">IF($F106=0,0,INDEX(Aux_HH!$E$4:$E$18,MATCH($B106&amp;"|"&amp;$E106,Aux_HH!$A$4:$A$18,0)))</f>
        <v>0</v>
      </c>
      <c r="I106" s="0" t="n">
        <f aca="false">IF($F106=0,0,INDEX(Aux_HH!$F$4:$F$18,MATCH($B106&amp;"|"&amp;$E106,Aux_HH!$A$4:$A$18,0)))</f>
        <v>0</v>
      </c>
      <c r="J106" s="0" t="n">
        <f aca="false">IF($F106=0,0,INDEX(Aux_HH!$G$4:$G$18,MATCH($B106&amp;"|"&amp;$E106,Aux_HH!$A$4:$A$18,0)))</f>
        <v>0</v>
      </c>
      <c r="K106" s="0" t="n">
        <f aca="false">IF($F106=0,0,INDEX(Aux_HH!$H$4:$H$18,MATCH($B106&amp;"|"&amp;$E106,Aux_HH!$A$4:$A$18,0)))</f>
        <v>0</v>
      </c>
      <c r="L106" s="0" t="n">
        <f aca="false">IF($F106=0,0,INDEX(Aux_HH!$I$4:$I$18,MATCH($B106&amp;"|"&amp;$E106,Aux_HH!$A$4:$A$18,0)))</f>
        <v>0</v>
      </c>
    </row>
    <row r="107" customFormat="false" ht="15" hidden="false" customHeight="false" outlineLevel="0" collapsed="false">
      <c r="A107" s="0" t="str">
        <f aca="false">IF(Frota!$A6="","",Frota!$A6)</f>
        <v>Colhedora CASE A8810 — 1036</v>
      </c>
      <c r="B107" s="0" t="str">
        <f aca="false">IF(Frota!$A6="","",Frota!$B6)</f>
        <v>Colhedora</v>
      </c>
      <c r="C107" s="0" t="n">
        <v>52</v>
      </c>
      <c r="D107" s="0" t="n">
        <f aca="false">INDEX(Semanas!$E$3:$E$54,52)</f>
        <v>3</v>
      </c>
      <c r="E107" s="0" t="str">
        <f aca="false">IF(Frota!$A6="","",Cronograma!BA6)</f>
        <v/>
      </c>
      <c r="F107" s="0" t="n">
        <f aca="false">IF(OR($E107="",$E107=0),0,1)</f>
        <v>0</v>
      </c>
      <c r="G107" s="0" t="n">
        <f aca="false">IF($F107=0,0,INDEX(Aux_HH!$D$4:$D$18,MATCH($B107&amp;"|"&amp;$E107,Aux_HH!$A$4:$A$18,0)))</f>
        <v>0</v>
      </c>
      <c r="H107" s="0" t="n">
        <f aca="false">IF($F107=0,0,INDEX(Aux_HH!$E$4:$E$18,MATCH($B107&amp;"|"&amp;$E107,Aux_HH!$A$4:$A$18,0)))</f>
        <v>0</v>
      </c>
      <c r="I107" s="0" t="n">
        <f aca="false">IF($F107=0,0,INDEX(Aux_HH!$F$4:$F$18,MATCH($B107&amp;"|"&amp;$E107,Aux_HH!$A$4:$A$18,0)))</f>
        <v>0</v>
      </c>
      <c r="J107" s="0" t="n">
        <f aca="false">IF($F107=0,0,INDEX(Aux_HH!$G$4:$G$18,MATCH($B107&amp;"|"&amp;$E107,Aux_HH!$A$4:$A$18,0)))</f>
        <v>0</v>
      </c>
      <c r="K107" s="0" t="n">
        <f aca="false">IF($F107=0,0,INDEX(Aux_HH!$H$4:$H$18,MATCH($B107&amp;"|"&amp;$E107,Aux_HH!$A$4:$A$18,0)))</f>
        <v>0</v>
      </c>
      <c r="L107" s="0" t="n">
        <f aca="false">IF($F107=0,0,INDEX(Aux_HH!$I$4:$I$18,MATCH($B107&amp;"|"&amp;$E107,Aux_HH!$A$4:$A$18,0)))</f>
        <v>0</v>
      </c>
    </row>
    <row r="108" customFormat="false" ht="15" hidden="false" customHeight="false" outlineLevel="0" collapsed="false">
      <c r="A108" s="0" t="str">
        <f aca="false">IF(Frota!$A7="","",Frota!$A7)</f>
        <v>Colhedora JD CH570 — 1027</v>
      </c>
      <c r="B108" s="0" t="str">
        <f aca="false">IF(Frota!$A7="","",Frota!$B7)</f>
        <v>Colhedora</v>
      </c>
      <c r="C108" s="0" t="n">
        <v>1</v>
      </c>
      <c r="D108" s="0" t="n">
        <f aca="false">INDEX(Semanas!$E$3:$E$54,1)</f>
        <v>4</v>
      </c>
      <c r="E108" s="0" t="str">
        <f aca="false">IF(Frota!$A7="","",Cronograma!B7)</f>
        <v/>
      </c>
      <c r="F108" s="0" t="n">
        <f aca="false">IF(OR($E108="",$E108=0),0,1)</f>
        <v>0</v>
      </c>
      <c r="G108" s="0" t="n">
        <f aca="false">IF($F108=0,0,INDEX(Aux_HH!$D$4:$D$18,MATCH($B108&amp;"|"&amp;$E108,Aux_HH!$A$4:$A$18,0)))</f>
        <v>0</v>
      </c>
      <c r="H108" s="0" t="n">
        <f aca="false">IF($F108=0,0,INDEX(Aux_HH!$E$4:$E$18,MATCH($B108&amp;"|"&amp;$E108,Aux_HH!$A$4:$A$18,0)))</f>
        <v>0</v>
      </c>
      <c r="I108" s="0" t="n">
        <f aca="false">IF($F108=0,0,INDEX(Aux_HH!$F$4:$F$18,MATCH($B108&amp;"|"&amp;$E108,Aux_HH!$A$4:$A$18,0)))</f>
        <v>0</v>
      </c>
      <c r="J108" s="0" t="n">
        <f aca="false">IF($F108=0,0,INDEX(Aux_HH!$G$4:$G$18,MATCH($B108&amp;"|"&amp;$E108,Aux_HH!$A$4:$A$18,0)))</f>
        <v>0</v>
      </c>
      <c r="K108" s="0" t="n">
        <f aca="false">IF($F108=0,0,INDEX(Aux_HH!$H$4:$H$18,MATCH($B108&amp;"|"&amp;$E108,Aux_HH!$A$4:$A$18,0)))</f>
        <v>0</v>
      </c>
      <c r="L108" s="0" t="n">
        <f aca="false">IF($F108=0,0,INDEX(Aux_HH!$I$4:$I$18,MATCH($B108&amp;"|"&amp;$E108,Aux_HH!$A$4:$A$18,0)))</f>
        <v>0</v>
      </c>
    </row>
    <row r="109" customFormat="false" ht="15" hidden="false" customHeight="false" outlineLevel="0" collapsed="false">
      <c r="A109" s="0" t="str">
        <f aca="false">IF(Frota!$A7="","",Frota!$A7)</f>
        <v>Colhedora JD CH570 — 1027</v>
      </c>
      <c r="B109" s="0" t="str">
        <f aca="false">IF(Frota!$A7="","",Frota!$B7)</f>
        <v>Colhedora</v>
      </c>
      <c r="C109" s="0" t="n">
        <v>2</v>
      </c>
      <c r="D109" s="0" t="n">
        <f aca="false">INDEX(Semanas!$E$3:$E$54,2)</f>
        <v>4</v>
      </c>
      <c r="E109" s="0" t="str">
        <f aca="false">IF(Frota!$A7="","",Cronograma!C7)</f>
        <v/>
      </c>
      <c r="F109" s="0" t="n">
        <f aca="false">IF(OR($E109="",$E109=0),0,1)</f>
        <v>0</v>
      </c>
      <c r="G109" s="0" t="n">
        <f aca="false">IF($F109=0,0,INDEX(Aux_HH!$D$4:$D$18,MATCH($B109&amp;"|"&amp;$E109,Aux_HH!$A$4:$A$18,0)))</f>
        <v>0</v>
      </c>
      <c r="H109" s="0" t="n">
        <f aca="false">IF($F109=0,0,INDEX(Aux_HH!$E$4:$E$18,MATCH($B109&amp;"|"&amp;$E109,Aux_HH!$A$4:$A$18,0)))</f>
        <v>0</v>
      </c>
      <c r="I109" s="0" t="n">
        <f aca="false">IF($F109=0,0,INDEX(Aux_HH!$F$4:$F$18,MATCH($B109&amp;"|"&amp;$E109,Aux_HH!$A$4:$A$18,0)))</f>
        <v>0</v>
      </c>
      <c r="J109" s="0" t="n">
        <f aca="false">IF($F109=0,0,INDEX(Aux_HH!$G$4:$G$18,MATCH($B109&amp;"|"&amp;$E109,Aux_HH!$A$4:$A$18,0)))</f>
        <v>0</v>
      </c>
      <c r="K109" s="0" t="n">
        <f aca="false">IF($F109=0,0,INDEX(Aux_HH!$H$4:$H$18,MATCH($B109&amp;"|"&amp;$E109,Aux_HH!$A$4:$A$18,0)))</f>
        <v>0</v>
      </c>
      <c r="L109" s="0" t="n">
        <f aca="false">IF($F109=0,0,INDEX(Aux_HH!$I$4:$I$18,MATCH($B109&amp;"|"&amp;$E109,Aux_HH!$A$4:$A$18,0)))</f>
        <v>0</v>
      </c>
    </row>
    <row r="110" customFormat="false" ht="15" hidden="false" customHeight="false" outlineLevel="0" collapsed="false">
      <c r="A110" s="0" t="str">
        <f aca="false">IF(Frota!$A7="","",Frota!$A7)</f>
        <v>Colhedora JD CH570 — 1027</v>
      </c>
      <c r="B110" s="0" t="str">
        <f aca="false">IF(Frota!$A7="","",Frota!$B7)</f>
        <v>Colhedora</v>
      </c>
      <c r="C110" s="0" t="n">
        <v>3</v>
      </c>
      <c r="D110" s="0" t="n">
        <f aca="false">INDEX(Semanas!$E$3:$E$54,3)</f>
        <v>4</v>
      </c>
      <c r="E110" s="0" t="str">
        <f aca="false">IF(Frota!$A7="","",Cronograma!D7)</f>
        <v/>
      </c>
      <c r="F110" s="0" t="n">
        <f aca="false">IF(OR($E110="",$E110=0),0,1)</f>
        <v>0</v>
      </c>
      <c r="G110" s="0" t="n">
        <f aca="false">IF($F110=0,0,INDEX(Aux_HH!$D$4:$D$18,MATCH($B110&amp;"|"&amp;$E110,Aux_HH!$A$4:$A$18,0)))</f>
        <v>0</v>
      </c>
      <c r="H110" s="0" t="n">
        <f aca="false">IF($F110=0,0,INDEX(Aux_HH!$E$4:$E$18,MATCH($B110&amp;"|"&amp;$E110,Aux_HH!$A$4:$A$18,0)))</f>
        <v>0</v>
      </c>
      <c r="I110" s="0" t="n">
        <f aca="false">IF($F110=0,0,INDEX(Aux_HH!$F$4:$F$18,MATCH($B110&amp;"|"&amp;$E110,Aux_HH!$A$4:$A$18,0)))</f>
        <v>0</v>
      </c>
      <c r="J110" s="0" t="n">
        <f aca="false">IF($F110=0,0,INDEX(Aux_HH!$G$4:$G$18,MATCH($B110&amp;"|"&amp;$E110,Aux_HH!$A$4:$A$18,0)))</f>
        <v>0</v>
      </c>
      <c r="K110" s="0" t="n">
        <f aca="false">IF($F110=0,0,INDEX(Aux_HH!$H$4:$H$18,MATCH($B110&amp;"|"&amp;$E110,Aux_HH!$A$4:$A$18,0)))</f>
        <v>0</v>
      </c>
      <c r="L110" s="0" t="n">
        <f aca="false">IF($F110=0,0,INDEX(Aux_HH!$I$4:$I$18,MATCH($B110&amp;"|"&amp;$E110,Aux_HH!$A$4:$A$18,0)))</f>
        <v>0</v>
      </c>
    </row>
    <row r="111" customFormat="false" ht="15" hidden="false" customHeight="false" outlineLevel="0" collapsed="false">
      <c r="A111" s="0" t="str">
        <f aca="false">IF(Frota!$A7="","",Frota!$A7)</f>
        <v>Colhedora JD CH570 — 1027</v>
      </c>
      <c r="B111" s="0" t="str">
        <f aca="false">IF(Frota!$A7="","",Frota!$B7)</f>
        <v>Colhedora</v>
      </c>
      <c r="C111" s="0" t="n">
        <v>4</v>
      </c>
      <c r="D111" s="0" t="n">
        <f aca="false">INDEX(Semanas!$E$3:$E$54,4)</f>
        <v>4</v>
      </c>
      <c r="E111" s="0" t="str">
        <f aca="false">IF(Frota!$A7="","",Cronograma!E7)</f>
        <v>B</v>
      </c>
      <c r="F111" s="0" t="n">
        <f aca="false">IF(OR($E111="",$E111=0),0,1)</f>
        <v>1</v>
      </c>
      <c r="G111" s="0" t="n">
        <f aca="false">IF($F111=0,0,INDEX(Aux_HH!$D$4:$D$18,MATCH($B111&amp;"|"&amp;$E111,Aux_HH!$A$4:$A$18,0)))</f>
        <v>10.25</v>
      </c>
      <c r="H111" s="0" t="n">
        <f aca="false">IF($F111=0,0,INDEX(Aux_HH!$E$4:$E$18,MATCH($B111&amp;"|"&amp;$E111,Aux_HH!$A$4:$A$18,0)))</f>
        <v>0</v>
      </c>
      <c r="I111" s="0" t="n">
        <f aca="false">IF($F111=0,0,INDEX(Aux_HH!$F$4:$F$18,MATCH($B111&amp;"|"&amp;$E111,Aux_HH!$A$4:$A$18,0)))</f>
        <v>3</v>
      </c>
      <c r="J111" s="0" t="n">
        <f aca="false">IF($F111=0,0,INDEX(Aux_HH!$G$4:$G$18,MATCH($B111&amp;"|"&amp;$E111,Aux_HH!$A$4:$A$18,0)))</f>
        <v>1.75</v>
      </c>
      <c r="K111" s="0" t="n">
        <f aca="false">IF($F111=0,0,INDEX(Aux_HH!$H$4:$H$18,MATCH($B111&amp;"|"&amp;$E111,Aux_HH!$A$4:$A$18,0)))</f>
        <v>0</v>
      </c>
      <c r="L111" s="0" t="n">
        <f aca="false">IF($F111=0,0,INDEX(Aux_HH!$I$4:$I$18,MATCH($B111&amp;"|"&amp;$E111,Aux_HH!$A$4:$A$18,0)))</f>
        <v>0</v>
      </c>
    </row>
    <row r="112" customFormat="false" ht="15" hidden="false" customHeight="false" outlineLevel="0" collapsed="false">
      <c r="A112" s="0" t="str">
        <f aca="false">IF(Frota!$A7="","",Frota!$A7)</f>
        <v>Colhedora JD CH570 — 1027</v>
      </c>
      <c r="B112" s="0" t="str">
        <f aca="false">IF(Frota!$A7="","",Frota!$B7)</f>
        <v>Colhedora</v>
      </c>
      <c r="C112" s="0" t="n">
        <v>5</v>
      </c>
      <c r="D112" s="0" t="n">
        <f aca="false">INDEX(Semanas!$E$3:$E$54,5)</f>
        <v>4</v>
      </c>
      <c r="E112" s="0" t="str">
        <f aca="false">IF(Frota!$A7="","",Cronograma!F7)</f>
        <v/>
      </c>
      <c r="F112" s="0" t="n">
        <f aca="false">IF(OR($E112="",$E112=0),0,1)</f>
        <v>0</v>
      </c>
      <c r="G112" s="0" t="n">
        <f aca="false">IF($F112=0,0,INDEX(Aux_HH!$D$4:$D$18,MATCH($B112&amp;"|"&amp;$E112,Aux_HH!$A$4:$A$18,0)))</f>
        <v>0</v>
      </c>
      <c r="H112" s="0" t="n">
        <f aca="false">IF($F112=0,0,INDEX(Aux_HH!$E$4:$E$18,MATCH($B112&amp;"|"&amp;$E112,Aux_HH!$A$4:$A$18,0)))</f>
        <v>0</v>
      </c>
      <c r="I112" s="0" t="n">
        <f aca="false">IF($F112=0,0,INDEX(Aux_HH!$F$4:$F$18,MATCH($B112&amp;"|"&amp;$E112,Aux_HH!$A$4:$A$18,0)))</f>
        <v>0</v>
      </c>
      <c r="J112" s="0" t="n">
        <f aca="false">IF($F112=0,0,INDEX(Aux_HH!$G$4:$G$18,MATCH($B112&amp;"|"&amp;$E112,Aux_HH!$A$4:$A$18,0)))</f>
        <v>0</v>
      </c>
      <c r="K112" s="0" t="n">
        <f aca="false">IF($F112=0,0,INDEX(Aux_HH!$H$4:$H$18,MATCH($B112&amp;"|"&amp;$E112,Aux_HH!$A$4:$A$18,0)))</f>
        <v>0</v>
      </c>
      <c r="L112" s="0" t="n">
        <f aca="false">IF($F112=0,0,INDEX(Aux_HH!$I$4:$I$18,MATCH($B112&amp;"|"&amp;$E112,Aux_HH!$A$4:$A$18,0)))</f>
        <v>0</v>
      </c>
    </row>
    <row r="113" customFormat="false" ht="15" hidden="false" customHeight="false" outlineLevel="0" collapsed="false">
      <c r="A113" s="0" t="str">
        <f aca="false">IF(Frota!$A7="","",Frota!$A7)</f>
        <v>Colhedora JD CH570 — 1027</v>
      </c>
      <c r="B113" s="0" t="str">
        <f aca="false">IF(Frota!$A7="","",Frota!$B7)</f>
        <v>Colhedora</v>
      </c>
      <c r="C113" s="0" t="n">
        <v>6</v>
      </c>
      <c r="D113" s="0" t="n">
        <f aca="false">INDEX(Semanas!$E$3:$E$54,6)</f>
        <v>5</v>
      </c>
      <c r="E113" s="0" t="str">
        <f aca="false">IF(Frota!$A7="","",Cronograma!G7)</f>
        <v/>
      </c>
      <c r="F113" s="0" t="n">
        <f aca="false">IF(OR($E113="",$E113=0),0,1)</f>
        <v>0</v>
      </c>
      <c r="G113" s="0" t="n">
        <f aca="false">IF($F113=0,0,INDEX(Aux_HH!$D$4:$D$18,MATCH($B113&amp;"|"&amp;$E113,Aux_HH!$A$4:$A$18,0)))</f>
        <v>0</v>
      </c>
      <c r="H113" s="0" t="n">
        <f aca="false">IF($F113=0,0,INDEX(Aux_HH!$E$4:$E$18,MATCH($B113&amp;"|"&amp;$E113,Aux_HH!$A$4:$A$18,0)))</f>
        <v>0</v>
      </c>
      <c r="I113" s="0" t="n">
        <f aca="false">IF($F113=0,0,INDEX(Aux_HH!$F$4:$F$18,MATCH($B113&amp;"|"&amp;$E113,Aux_HH!$A$4:$A$18,0)))</f>
        <v>0</v>
      </c>
      <c r="J113" s="0" t="n">
        <f aca="false">IF($F113=0,0,INDEX(Aux_HH!$G$4:$G$18,MATCH($B113&amp;"|"&amp;$E113,Aux_HH!$A$4:$A$18,0)))</f>
        <v>0</v>
      </c>
      <c r="K113" s="0" t="n">
        <f aca="false">IF($F113=0,0,INDEX(Aux_HH!$H$4:$H$18,MATCH($B113&amp;"|"&amp;$E113,Aux_HH!$A$4:$A$18,0)))</f>
        <v>0</v>
      </c>
      <c r="L113" s="0" t="n">
        <f aca="false">IF($F113=0,0,INDEX(Aux_HH!$I$4:$I$18,MATCH($B113&amp;"|"&amp;$E113,Aux_HH!$A$4:$A$18,0)))</f>
        <v>0</v>
      </c>
    </row>
    <row r="114" customFormat="false" ht="15" hidden="false" customHeight="false" outlineLevel="0" collapsed="false">
      <c r="A114" s="0" t="str">
        <f aca="false">IF(Frota!$A7="","",Frota!$A7)</f>
        <v>Colhedora JD CH570 — 1027</v>
      </c>
      <c r="B114" s="0" t="str">
        <f aca="false">IF(Frota!$A7="","",Frota!$B7)</f>
        <v>Colhedora</v>
      </c>
      <c r="C114" s="0" t="n">
        <v>7</v>
      </c>
      <c r="D114" s="0" t="n">
        <f aca="false">INDEX(Semanas!$E$3:$E$54,7)</f>
        <v>5</v>
      </c>
      <c r="E114" s="0" t="str">
        <f aca="false">IF(Frota!$A7="","",Cronograma!H7)</f>
        <v/>
      </c>
      <c r="F114" s="0" t="n">
        <f aca="false">IF(OR($E114="",$E114=0),0,1)</f>
        <v>0</v>
      </c>
      <c r="G114" s="0" t="n">
        <f aca="false">IF($F114=0,0,INDEX(Aux_HH!$D$4:$D$18,MATCH($B114&amp;"|"&amp;$E114,Aux_HH!$A$4:$A$18,0)))</f>
        <v>0</v>
      </c>
      <c r="H114" s="0" t="n">
        <f aca="false">IF($F114=0,0,INDEX(Aux_HH!$E$4:$E$18,MATCH($B114&amp;"|"&amp;$E114,Aux_HH!$A$4:$A$18,0)))</f>
        <v>0</v>
      </c>
      <c r="I114" s="0" t="n">
        <f aca="false">IF($F114=0,0,INDEX(Aux_HH!$F$4:$F$18,MATCH($B114&amp;"|"&amp;$E114,Aux_HH!$A$4:$A$18,0)))</f>
        <v>0</v>
      </c>
      <c r="J114" s="0" t="n">
        <f aca="false">IF($F114=0,0,INDEX(Aux_HH!$G$4:$G$18,MATCH($B114&amp;"|"&amp;$E114,Aux_HH!$A$4:$A$18,0)))</f>
        <v>0</v>
      </c>
      <c r="K114" s="0" t="n">
        <f aca="false">IF($F114=0,0,INDEX(Aux_HH!$H$4:$H$18,MATCH($B114&amp;"|"&amp;$E114,Aux_HH!$A$4:$A$18,0)))</f>
        <v>0</v>
      </c>
      <c r="L114" s="0" t="n">
        <f aca="false">IF($F114=0,0,INDEX(Aux_HH!$I$4:$I$18,MATCH($B114&amp;"|"&amp;$E114,Aux_HH!$A$4:$A$18,0)))</f>
        <v>0</v>
      </c>
    </row>
    <row r="115" customFormat="false" ht="15" hidden="false" customHeight="false" outlineLevel="0" collapsed="false">
      <c r="A115" s="0" t="str">
        <f aca="false">IF(Frota!$A7="","",Frota!$A7)</f>
        <v>Colhedora JD CH570 — 1027</v>
      </c>
      <c r="B115" s="0" t="str">
        <f aca="false">IF(Frota!$A7="","",Frota!$B7)</f>
        <v>Colhedora</v>
      </c>
      <c r="C115" s="0" t="n">
        <v>8</v>
      </c>
      <c r="D115" s="0" t="n">
        <f aca="false">INDEX(Semanas!$E$3:$E$54,8)</f>
        <v>5</v>
      </c>
      <c r="E115" s="0" t="str">
        <f aca="false">IF(Frota!$A7="","",Cronograma!I7)</f>
        <v/>
      </c>
      <c r="F115" s="0" t="n">
        <f aca="false">IF(OR($E115="",$E115=0),0,1)</f>
        <v>0</v>
      </c>
      <c r="G115" s="0" t="n">
        <f aca="false">IF($F115=0,0,INDEX(Aux_HH!$D$4:$D$18,MATCH($B115&amp;"|"&amp;$E115,Aux_HH!$A$4:$A$18,0)))</f>
        <v>0</v>
      </c>
      <c r="H115" s="0" t="n">
        <f aca="false">IF($F115=0,0,INDEX(Aux_HH!$E$4:$E$18,MATCH($B115&amp;"|"&amp;$E115,Aux_HH!$A$4:$A$18,0)))</f>
        <v>0</v>
      </c>
      <c r="I115" s="0" t="n">
        <f aca="false">IF($F115=0,0,INDEX(Aux_HH!$F$4:$F$18,MATCH($B115&amp;"|"&amp;$E115,Aux_HH!$A$4:$A$18,0)))</f>
        <v>0</v>
      </c>
      <c r="J115" s="0" t="n">
        <f aca="false">IF($F115=0,0,INDEX(Aux_HH!$G$4:$G$18,MATCH($B115&amp;"|"&amp;$E115,Aux_HH!$A$4:$A$18,0)))</f>
        <v>0</v>
      </c>
      <c r="K115" s="0" t="n">
        <f aca="false">IF($F115=0,0,INDEX(Aux_HH!$H$4:$H$18,MATCH($B115&amp;"|"&amp;$E115,Aux_HH!$A$4:$A$18,0)))</f>
        <v>0</v>
      </c>
      <c r="L115" s="0" t="n">
        <f aca="false">IF($F115=0,0,INDEX(Aux_HH!$I$4:$I$18,MATCH($B115&amp;"|"&amp;$E115,Aux_HH!$A$4:$A$18,0)))</f>
        <v>0</v>
      </c>
    </row>
    <row r="116" customFormat="false" ht="15" hidden="false" customHeight="false" outlineLevel="0" collapsed="false">
      <c r="A116" s="0" t="str">
        <f aca="false">IF(Frota!$A7="","",Frota!$A7)</f>
        <v>Colhedora JD CH570 — 1027</v>
      </c>
      <c r="B116" s="0" t="str">
        <f aca="false">IF(Frota!$A7="","",Frota!$B7)</f>
        <v>Colhedora</v>
      </c>
      <c r="C116" s="0" t="n">
        <v>9</v>
      </c>
      <c r="D116" s="0" t="n">
        <f aca="false">INDEX(Semanas!$E$3:$E$54,9)</f>
        <v>5</v>
      </c>
      <c r="E116" s="0" t="str">
        <f aca="false">IF(Frota!$A7="","",Cronograma!J7)</f>
        <v/>
      </c>
      <c r="F116" s="0" t="n">
        <f aca="false">IF(OR($E116="",$E116=0),0,1)</f>
        <v>0</v>
      </c>
      <c r="G116" s="0" t="n">
        <f aca="false">IF($F116=0,0,INDEX(Aux_HH!$D$4:$D$18,MATCH($B116&amp;"|"&amp;$E116,Aux_HH!$A$4:$A$18,0)))</f>
        <v>0</v>
      </c>
      <c r="H116" s="0" t="n">
        <f aca="false">IF($F116=0,0,INDEX(Aux_HH!$E$4:$E$18,MATCH($B116&amp;"|"&amp;$E116,Aux_HH!$A$4:$A$18,0)))</f>
        <v>0</v>
      </c>
      <c r="I116" s="0" t="n">
        <f aca="false">IF($F116=0,0,INDEX(Aux_HH!$F$4:$F$18,MATCH($B116&amp;"|"&amp;$E116,Aux_HH!$A$4:$A$18,0)))</f>
        <v>0</v>
      </c>
      <c r="J116" s="0" t="n">
        <f aca="false">IF($F116=0,0,INDEX(Aux_HH!$G$4:$G$18,MATCH($B116&amp;"|"&amp;$E116,Aux_HH!$A$4:$A$18,0)))</f>
        <v>0</v>
      </c>
      <c r="K116" s="0" t="n">
        <f aca="false">IF($F116=0,0,INDEX(Aux_HH!$H$4:$H$18,MATCH($B116&amp;"|"&amp;$E116,Aux_HH!$A$4:$A$18,0)))</f>
        <v>0</v>
      </c>
      <c r="L116" s="0" t="n">
        <f aca="false">IF($F116=0,0,INDEX(Aux_HH!$I$4:$I$18,MATCH($B116&amp;"|"&amp;$E116,Aux_HH!$A$4:$A$18,0)))</f>
        <v>0</v>
      </c>
    </row>
    <row r="117" customFormat="false" ht="15" hidden="false" customHeight="false" outlineLevel="0" collapsed="false">
      <c r="A117" s="0" t="str">
        <f aca="false">IF(Frota!$A7="","",Frota!$A7)</f>
        <v>Colhedora JD CH570 — 1027</v>
      </c>
      <c r="B117" s="0" t="str">
        <f aca="false">IF(Frota!$A7="","",Frota!$B7)</f>
        <v>Colhedora</v>
      </c>
      <c r="C117" s="0" t="n">
        <v>10</v>
      </c>
      <c r="D117" s="0" t="n">
        <f aca="false">INDEX(Semanas!$E$3:$E$54,10)</f>
        <v>6</v>
      </c>
      <c r="E117" s="0" t="str">
        <f aca="false">IF(Frota!$A7="","",Cronograma!K7)</f>
        <v>S</v>
      </c>
      <c r="F117" s="0" t="n">
        <f aca="false">IF(OR($E117="",$E117=0),0,1)</f>
        <v>1</v>
      </c>
      <c r="G117" s="0" t="n">
        <f aca="false">IF($F117=0,0,INDEX(Aux_HH!$D$4:$D$18,MATCH($B117&amp;"|"&amp;$E117,Aux_HH!$A$4:$A$18,0)))</f>
        <v>3.75</v>
      </c>
      <c r="H117" s="0" t="n">
        <f aca="false">IF($F117=0,0,INDEX(Aux_HH!$E$4:$E$18,MATCH($B117&amp;"|"&amp;$E117,Aux_HH!$A$4:$A$18,0)))</f>
        <v>0</v>
      </c>
      <c r="I117" s="0" t="n">
        <f aca="false">IF($F117=0,0,INDEX(Aux_HH!$F$4:$F$18,MATCH($B117&amp;"|"&amp;$E117,Aux_HH!$A$4:$A$18,0)))</f>
        <v>1</v>
      </c>
      <c r="J117" s="0" t="n">
        <f aca="false">IF($F117=0,0,INDEX(Aux_HH!$G$4:$G$18,MATCH($B117&amp;"|"&amp;$E117,Aux_HH!$A$4:$A$18,0)))</f>
        <v>0.75</v>
      </c>
      <c r="K117" s="0" t="n">
        <f aca="false">IF($F117=0,0,INDEX(Aux_HH!$H$4:$H$18,MATCH($B117&amp;"|"&amp;$E117,Aux_HH!$A$4:$A$18,0)))</f>
        <v>0</v>
      </c>
      <c r="L117" s="0" t="n">
        <f aca="false">IF($F117=0,0,INDEX(Aux_HH!$I$4:$I$18,MATCH($B117&amp;"|"&amp;$E117,Aux_HH!$A$4:$A$18,0)))</f>
        <v>0</v>
      </c>
    </row>
    <row r="118" customFormat="false" ht="15" hidden="false" customHeight="false" outlineLevel="0" collapsed="false">
      <c r="A118" s="0" t="str">
        <f aca="false">IF(Frota!$A7="","",Frota!$A7)</f>
        <v>Colhedora JD CH570 — 1027</v>
      </c>
      <c r="B118" s="0" t="str">
        <f aca="false">IF(Frota!$A7="","",Frota!$B7)</f>
        <v>Colhedora</v>
      </c>
      <c r="C118" s="0" t="n">
        <v>11</v>
      </c>
      <c r="D118" s="0" t="n">
        <f aca="false">INDEX(Semanas!$E$3:$E$54,11)</f>
        <v>6</v>
      </c>
      <c r="E118" s="0" t="str">
        <f aca="false">IF(Frota!$A7="","",Cronograma!L7)</f>
        <v/>
      </c>
      <c r="F118" s="0" t="n">
        <f aca="false">IF(OR($E118="",$E118=0),0,1)</f>
        <v>0</v>
      </c>
      <c r="G118" s="0" t="n">
        <f aca="false">IF($F118=0,0,INDEX(Aux_HH!$D$4:$D$18,MATCH($B118&amp;"|"&amp;$E118,Aux_HH!$A$4:$A$18,0)))</f>
        <v>0</v>
      </c>
      <c r="H118" s="0" t="n">
        <f aca="false">IF($F118=0,0,INDEX(Aux_HH!$E$4:$E$18,MATCH($B118&amp;"|"&amp;$E118,Aux_HH!$A$4:$A$18,0)))</f>
        <v>0</v>
      </c>
      <c r="I118" s="0" t="n">
        <f aca="false">IF($F118=0,0,INDEX(Aux_HH!$F$4:$F$18,MATCH($B118&amp;"|"&amp;$E118,Aux_HH!$A$4:$A$18,0)))</f>
        <v>0</v>
      </c>
      <c r="J118" s="0" t="n">
        <f aca="false">IF($F118=0,0,INDEX(Aux_HH!$G$4:$G$18,MATCH($B118&amp;"|"&amp;$E118,Aux_HH!$A$4:$A$18,0)))</f>
        <v>0</v>
      </c>
      <c r="K118" s="0" t="n">
        <f aca="false">IF($F118=0,0,INDEX(Aux_HH!$H$4:$H$18,MATCH($B118&amp;"|"&amp;$E118,Aux_HH!$A$4:$A$18,0)))</f>
        <v>0</v>
      </c>
      <c r="L118" s="0" t="n">
        <f aca="false">IF($F118=0,0,INDEX(Aux_HH!$I$4:$I$18,MATCH($B118&amp;"|"&amp;$E118,Aux_HH!$A$4:$A$18,0)))</f>
        <v>0</v>
      </c>
    </row>
    <row r="119" customFormat="false" ht="15" hidden="false" customHeight="false" outlineLevel="0" collapsed="false">
      <c r="A119" s="0" t="str">
        <f aca="false">IF(Frota!$A7="","",Frota!$A7)</f>
        <v>Colhedora JD CH570 — 1027</v>
      </c>
      <c r="B119" s="0" t="str">
        <f aca="false">IF(Frota!$A7="","",Frota!$B7)</f>
        <v>Colhedora</v>
      </c>
      <c r="C119" s="0" t="n">
        <v>12</v>
      </c>
      <c r="D119" s="0" t="n">
        <f aca="false">INDEX(Semanas!$E$3:$E$54,12)</f>
        <v>6</v>
      </c>
      <c r="E119" s="0" t="str">
        <f aca="false">IF(Frota!$A7="","",Cronograma!M7)</f>
        <v/>
      </c>
      <c r="F119" s="0" t="n">
        <f aca="false">IF(OR($E119="",$E119=0),0,1)</f>
        <v>0</v>
      </c>
      <c r="G119" s="0" t="n">
        <f aca="false">IF($F119=0,0,INDEX(Aux_HH!$D$4:$D$18,MATCH($B119&amp;"|"&amp;$E119,Aux_HH!$A$4:$A$18,0)))</f>
        <v>0</v>
      </c>
      <c r="H119" s="0" t="n">
        <f aca="false">IF($F119=0,0,INDEX(Aux_HH!$E$4:$E$18,MATCH($B119&amp;"|"&amp;$E119,Aux_HH!$A$4:$A$18,0)))</f>
        <v>0</v>
      </c>
      <c r="I119" s="0" t="n">
        <f aca="false">IF($F119=0,0,INDEX(Aux_HH!$F$4:$F$18,MATCH($B119&amp;"|"&amp;$E119,Aux_HH!$A$4:$A$18,0)))</f>
        <v>0</v>
      </c>
      <c r="J119" s="0" t="n">
        <f aca="false">IF($F119=0,0,INDEX(Aux_HH!$G$4:$G$18,MATCH($B119&amp;"|"&amp;$E119,Aux_HH!$A$4:$A$18,0)))</f>
        <v>0</v>
      </c>
      <c r="K119" s="0" t="n">
        <f aca="false">IF($F119=0,0,INDEX(Aux_HH!$H$4:$H$18,MATCH($B119&amp;"|"&amp;$E119,Aux_HH!$A$4:$A$18,0)))</f>
        <v>0</v>
      </c>
      <c r="L119" s="0" t="n">
        <f aca="false">IF($F119=0,0,INDEX(Aux_HH!$I$4:$I$18,MATCH($B119&amp;"|"&amp;$E119,Aux_HH!$A$4:$A$18,0)))</f>
        <v>0</v>
      </c>
    </row>
    <row r="120" customFormat="false" ht="15" hidden="false" customHeight="false" outlineLevel="0" collapsed="false">
      <c r="A120" s="0" t="str">
        <f aca="false">IF(Frota!$A7="","",Frota!$A7)</f>
        <v>Colhedora JD CH570 — 1027</v>
      </c>
      <c r="B120" s="0" t="str">
        <f aca="false">IF(Frota!$A7="","",Frota!$B7)</f>
        <v>Colhedora</v>
      </c>
      <c r="C120" s="0" t="n">
        <v>13</v>
      </c>
      <c r="D120" s="0" t="n">
        <f aca="false">INDEX(Semanas!$E$3:$E$54,13)</f>
        <v>6</v>
      </c>
      <c r="E120" s="0" t="str">
        <f aca="false">IF(Frota!$A7="","",Cronograma!N7)</f>
        <v/>
      </c>
      <c r="F120" s="0" t="n">
        <f aca="false">IF(OR($E120="",$E120=0),0,1)</f>
        <v>0</v>
      </c>
      <c r="G120" s="0" t="n">
        <f aca="false">IF($F120=0,0,INDEX(Aux_HH!$D$4:$D$18,MATCH($B120&amp;"|"&amp;$E120,Aux_HH!$A$4:$A$18,0)))</f>
        <v>0</v>
      </c>
      <c r="H120" s="0" t="n">
        <f aca="false">IF($F120=0,0,INDEX(Aux_HH!$E$4:$E$18,MATCH($B120&amp;"|"&amp;$E120,Aux_HH!$A$4:$A$18,0)))</f>
        <v>0</v>
      </c>
      <c r="I120" s="0" t="n">
        <f aca="false">IF($F120=0,0,INDEX(Aux_HH!$F$4:$F$18,MATCH($B120&amp;"|"&amp;$E120,Aux_HH!$A$4:$A$18,0)))</f>
        <v>0</v>
      </c>
      <c r="J120" s="0" t="n">
        <f aca="false">IF($F120=0,0,INDEX(Aux_HH!$G$4:$G$18,MATCH($B120&amp;"|"&amp;$E120,Aux_HH!$A$4:$A$18,0)))</f>
        <v>0</v>
      </c>
      <c r="K120" s="0" t="n">
        <f aca="false">IF($F120=0,0,INDEX(Aux_HH!$H$4:$H$18,MATCH($B120&amp;"|"&amp;$E120,Aux_HH!$A$4:$A$18,0)))</f>
        <v>0</v>
      </c>
      <c r="L120" s="0" t="n">
        <f aca="false">IF($F120=0,0,INDEX(Aux_HH!$I$4:$I$18,MATCH($B120&amp;"|"&amp;$E120,Aux_HH!$A$4:$A$18,0)))</f>
        <v>0</v>
      </c>
    </row>
    <row r="121" customFormat="false" ht="15" hidden="false" customHeight="false" outlineLevel="0" collapsed="false">
      <c r="A121" s="0" t="str">
        <f aca="false">IF(Frota!$A7="","",Frota!$A7)</f>
        <v>Colhedora JD CH570 — 1027</v>
      </c>
      <c r="B121" s="0" t="str">
        <f aca="false">IF(Frota!$A7="","",Frota!$B7)</f>
        <v>Colhedora</v>
      </c>
      <c r="C121" s="0" t="n">
        <v>14</v>
      </c>
      <c r="D121" s="0" t="n">
        <f aca="false">INDEX(Semanas!$E$3:$E$54,14)</f>
        <v>7</v>
      </c>
      <c r="E121" s="0" t="str">
        <f aca="false">IF(Frota!$A7="","",Cronograma!O7)</f>
        <v/>
      </c>
      <c r="F121" s="0" t="n">
        <f aca="false">IF(OR($E121="",$E121=0),0,1)</f>
        <v>0</v>
      </c>
      <c r="G121" s="0" t="n">
        <f aca="false">IF($F121=0,0,INDEX(Aux_HH!$D$4:$D$18,MATCH($B121&amp;"|"&amp;$E121,Aux_HH!$A$4:$A$18,0)))</f>
        <v>0</v>
      </c>
      <c r="H121" s="0" t="n">
        <f aca="false">IF($F121=0,0,INDEX(Aux_HH!$E$4:$E$18,MATCH($B121&amp;"|"&amp;$E121,Aux_HH!$A$4:$A$18,0)))</f>
        <v>0</v>
      </c>
      <c r="I121" s="0" t="n">
        <f aca="false">IF($F121=0,0,INDEX(Aux_HH!$F$4:$F$18,MATCH($B121&amp;"|"&amp;$E121,Aux_HH!$A$4:$A$18,0)))</f>
        <v>0</v>
      </c>
      <c r="J121" s="0" t="n">
        <f aca="false">IF($F121=0,0,INDEX(Aux_HH!$G$4:$G$18,MATCH($B121&amp;"|"&amp;$E121,Aux_HH!$A$4:$A$18,0)))</f>
        <v>0</v>
      </c>
      <c r="K121" s="0" t="n">
        <f aca="false">IF($F121=0,0,INDEX(Aux_HH!$H$4:$H$18,MATCH($B121&amp;"|"&amp;$E121,Aux_HH!$A$4:$A$18,0)))</f>
        <v>0</v>
      </c>
      <c r="L121" s="0" t="n">
        <f aca="false">IF($F121=0,0,INDEX(Aux_HH!$I$4:$I$18,MATCH($B121&amp;"|"&amp;$E121,Aux_HH!$A$4:$A$18,0)))</f>
        <v>0</v>
      </c>
    </row>
    <row r="122" customFormat="false" ht="15" hidden="false" customHeight="false" outlineLevel="0" collapsed="false">
      <c r="A122" s="0" t="str">
        <f aca="false">IF(Frota!$A7="","",Frota!$A7)</f>
        <v>Colhedora JD CH570 — 1027</v>
      </c>
      <c r="B122" s="0" t="str">
        <f aca="false">IF(Frota!$A7="","",Frota!$B7)</f>
        <v>Colhedora</v>
      </c>
      <c r="C122" s="0" t="n">
        <v>15</v>
      </c>
      <c r="D122" s="0" t="n">
        <f aca="false">INDEX(Semanas!$E$3:$E$54,15)</f>
        <v>7</v>
      </c>
      <c r="E122" s="0" t="str">
        <f aca="false">IF(Frota!$A7="","",Cronograma!P7)</f>
        <v/>
      </c>
      <c r="F122" s="0" t="n">
        <f aca="false">IF(OR($E122="",$E122=0),0,1)</f>
        <v>0</v>
      </c>
      <c r="G122" s="0" t="n">
        <f aca="false">IF($F122=0,0,INDEX(Aux_HH!$D$4:$D$18,MATCH($B122&amp;"|"&amp;$E122,Aux_HH!$A$4:$A$18,0)))</f>
        <v>0</v>
      </c>
      <c r="H122" s="0" t="n">
        <f aca="false">IF($F122=0,0,INDEX(Aux_HH!$E$4:$E$18,MATCH($B122&amp;"|"&amp;$E122,Aux_HH!$A$4:$A$18,0)))</f>
        <v>0</v>
      </c>
      <c r="I122" s="0" t="n">
        <f aca="false">IF($F122=0,0,INDEX(Aux_HH!$F$4:$F$18,MATCH($B122&amp;"|"&amp;$E122,Aux_HH!$A$4:$A$18,0)))</f>
        <v>0</v>
      </c>
      <c r="J122" s="0" t="n">
        <f aca="false">IF($F122=0,0,INDEX(Aux_HH!$G$4:$G$18,MATCH($B122&amp;"|"&amp;$E122,Aux_HH!$A$4:$A$18,0)))</f>
        <v>0</v>
      </c>
      <c r="K122" s="0" t="n">
        <f aca="false">IF($F122=0,0,INDEX(Aux_HH!$H$4:$H$18,MATCH($B122&amp;"|"&amp;$E122,Aux_HH!$A$4:$A$18,0)))</f>
        <v>0</v>
      </c>
      <c r="L122" s="0" t="n">
        <f aca="false">IF($F122=0,0,INDEX(Aux_HH!$I$4:$I$18,MATCH($B122&amp;"|"&amp;$E122,Aux_HH!$A$4:$A$18,0)))</f>
        <v>0</v>
      </c>
    </row>
    <row r="123" customFormat="false" ht="15" hidden="false" customHeight="false" outlineLevel="0" collapsed="false">
      <c r="A123" s="0" t="str">
        <f aca="false">IF(Frota!$A7="","",Frota!$A7)</f>
        <v>Colhedora JD CH570 — 1027</v>
      </c>
      <c r="B123" s="0" t="str">
        <f aca="false">IF(Frota!$A7="","",Frota!$B7)</f>
        <v>Colhedora</v>
      </c>
      <c r="C123" s="0" t="n">
        <v>16</v>
      </c>
      <c r="D123" s="0" t="n">
        <f aca="false">INDEX(Semanas!$E$3:$E$54,16)</f>
        <v>7</v>
      </c>
      <c r="E123" s="0" t="str">
        <f aca="false">IF(Frota!$A7="","",Cronograma!Q7)</f>
        <v>A</v>
      </c>
      <c r="F123" s="0" t="n">
        <f aca="false">IF(OR($E123="",$E123=0),0,1)</f>
        <v>1</v>
      </c>
      <c r="G123" s="0" t="n">
        <f aca="false">IF($F123=0,0,INDEX(Aux_HH!$D$4:$D$18,MATCH($B123&amp;"|"&amp;$E123,Aux_HH!$A$4:$A$18,0)))</f>
        <v>10.25</v>
      </c>
      <c r="H123" s="0" t="n">
        <f aca="false">IF($F123=0,0,INDEX(Aux_HH!$E$4:$E$18,MATCH($B123&amp;"|"&amp;$E123,Aux_HH!$A$4:$A$18,0)))</f>
        <v>0</v>
      </c>
      <c r="I123" s="0" t="n">
        <f aca="false">IF($F123=0,0,INDEX(Aux_HH!$F$4:$F$18,MATCH($B123&amp;"|"&amp;$E123,Aux_HH!$A$4:$A$18,0)))</f>
        <v>3</v>
      </c>
      <c r="J123" s="0" t="n">
        <f aca="false">IF($F123=0,0,INDEX(Aux_HH!$G$4:$G$18,MATCH($B123&amp;"|"&amp;$E123,Aux_HH!$A$4:$A$18,0)))</f>
        <v>1.75</v>
      </c>
      <c r="K123" s="0" t="n">
        <f aca="false">IF($F123=0,0,INDEX(Aux_HH!$H$4:$H$18,MATCH($B123&amp;"|"&amp;$E123,Aux_HH!$A$4:$A$18,0)))</f>
        <v>0</v>
      </c>
      <c r="L123" s="0" t="n">
        <f aca="false">IF($F123=0,0,INDEX(Aux_HH!$I$4:$I$18,MATCH($B123&amp;"|"&amp;$E123,Aux_HH!$A$4:$A$18,0)))</f>
        <v>0</v>
      </c>
    </row>
    <row r="124" customFormat="false" ht="15" hidden="false" customHeight="false" outlineLevel="0" collapsed="false">
      <c r="A124" s="0" t="str">
        <f aca="false">IF(Frota!$A7="","",Frota!$A7)</f>
        <v>Colhedora JD CH570 — 1027</v>
      </c>
      <c r="B124" s="0" t="str">
        <f aca="false">IF(Frota!$A7="","",Frota!$B7)</f>
        <v>Colhedora</v>
      </c>
      <c r="C124" s="0" t="n">
        <v>17</v>
      </c>
      <c r="D124" s="0" t="n">
        <f aca="false">INDEX(Semanas!$E$3:$E$54,17)</f>
        <v>7</v>
      </c>
      <c r="E124" s="0" t="str">
        <f aca="false">IF(Frota!$A7="","",Cronograma!R7)</f>
        <v/>
      </c>
      <c r="F124" s="0" t="n">
        <f aca="false">IF(OR($E124="",$E124=0),0,1)</f>
        <v>0</v>
      </c>
      <c r="G124" s="0" t="n">
        <f aca="false">IF($F124=0,0,INDEX(Aux_HH!$D$4:$D$18,MATCH($B124&amp;"|"&amp;$E124,Aux_HH!$A$4:$A$18,0)))</f>
        <v>0</v>
      </c>
      <c r="H124" s="0" t="n">
        <f aca="false">IF($F124=0,0,INDEX(Aux_HH!$E$4:$E$18,MATCH($B124&amp;"|"&amp;$E124,Aux_HH!$A$4:$A$18,0)))</f>
        <v>0</v>
      </c>
      <c r="I124" s="0" t="n">
        <f aca="false">IF($F124=0,0,INDEX(Aux_HH!$F$4:$F$18,MATCH($B124&amp;"|"&amp;$E124,Aux_HH!$A$4:$A$18,0)))</f>
        <v>0</v>
      </c>
      <c r="J124" s="0" t="n">
        <f aca="false">IF($F124=0,0,INDEX(Aux_HH!$G$4:$G$18,MATCH($B124&amp;"|"&amp;$E124,Aux_HH!$A$4:$A$18,0)))</f>
        <v>0</v>
      </c>
      <c r="K124" s="0" t="n">
        <f aca="false">IF($F124=0,0,INDEX(Aux_HH!$H$4:$H$18,MATCH($B124&amp;"|"&amp;$E124,Aux_HH!$A$4:$A$18,0)))</f>
        <v>0</v>
      </c>
      <c r="L124" s="0" t="n">
        <f aca="false">IF($F124=0,0,INDEX(Aux_HH!$I$4:$I$18,MATCH($B124&amp;"|"&amp;$E124,Aux_HH!$A$4:$A$18,0)))</f>
        <v>0</v>
      </c>
    </row>
    <row r="125" customFormat="false" ht="15" hidden="false" customHeight="false" outlineLevel="0" collapsed="false">
      <c r="A125" s="0" t="str">
        <f aca="false">IF(Frota!$A7="","",Frota!$A7)</f>
        <v>Colhedora JD CH570 — 1027</v>
      </c>
      <c r="B125" s="0" t="str">
        <f aca="false">IF(Frota!$A7="","",Frota!$B7)</f>
        <v>Colhedora</v>
      </c>
      <c r="C125" s="0" t="n">
        <v>18</v>
      </c>
      <c r="D125" s="0" t="n">
        <f aca="false">INDEX(Semanas!$E$3:$E$54,18)</f>
        <v>7</v>
      </c>
      <c r="E125" s="0" t="str">
        <f aca="false">IF(Frota!$A7="","",Cronograma!S7)</f>
        <v/>
      </c>
      <c r="F125" s="0" t="n">
        <f aca="false">IF(OR($E125="",$E125=0),0,1)</f>
        <v>0</v>
      </c>
      <c r="G125" s="0" t="n">
        <f aca="false">IF($F125=0,0,INDEX(Aux_HH!$D$4:$D$18,MATCH($B125&amp;"|"&amp;$E125,Aux_HH!$A$4:$A$18,0)))</f>
        <v>0</v>
      </c>
      <c r="H125" s="0" t="n">
        <f aca="false">IF($F125=0,0,INDEX(Aux_HH!$E$4:$E$18,MATCH($B125&amp;"|"&amp;$E125,Aux_HH!$A$4:$A$18,0)))</f>
        <v>0</v>
      </c>
      <c r="I125" s="0" t="n">
        <f aca="false">IF($F125=0,0,INDEX(Aux_HH!$F$4:$F$18,MATCH($B125&amp;"|"&amp;$E125,Aux_HH!$A$4:$A$18,0)))</f>
        <v>0</v>
      </c>
      <c r="J125" s="0" t="n">
        <f aca="false">IF($F125=0,0,INDEX(Aux_HH!$G$4:$G$18,MATCH($B125&amp;"|"&amp;$E125,Aux_HH!$A$4:$A$18,0)))</f>
        <v>0</v>
      </c>
      <c r="K125" s="0" t="n">
        <f aca="false">IF($F125=0,0,INDEX(Aux_HH!$H$4:$H$18,MATCH($B125&amp;"|"&amp;$E125,Aux_HH!$A$4:$A$18,0)))</f>
        <v>0</v>
      </c>
      <c r="L125" s="0" t="n">
        <f aca="false">IF($F125=0,0,INDEX(Aux_HH!$I$4:$I$18,MATCH($B125&amp;"|"&amp;$E125,Aux_HH!$A$4:$A$18,0)))</f>
        <v>0</v>
      </c>
    </row>
    <row r="126" customFormat="false" ht="15" hidden="false" customHeight="false" outlineLevel="0" collapsed="false">
      <c r="A126" s="0" t="str">
        <f aca="false">IF(Frota!$A7="","",Frota!$A7)</f>
        <v>Colhedora JD CH570 — 1027</v>
      </c>
      <c r="B126" s="0" t="str">
        <f aca="false">IF(Frota!$A7="","",Frota!$B7)</f>
        <v>Colhedora</v>
      </c>
      <c r="C126" s="0" t="n">
        <v>19</v>
      </c>
      <c r="D126" s="0" t="n">
        <f aca="false">INDEX(Semanas!$E$3:$E$54,19)</f>
        <v>8</v>
      </c>
      <c r="E126" s="0" t="str">
        <f aca="false">IF(Frota!$A7="","",Cronograma!T7)</f>
        <v/>
      </c>
      <c r="F126" s="0" t="n">
        <f aca="false">IF(OR($E126="",$E126=0),0,1)</f>
        <v>0</v>
      </c>
      <c r="G126" s="0" t="n">
        <f aca="false">IF($F126=0,0,INDEX(Aux_HH!$D$4:$D$18,MATCH($B126&amp;"|"&amp;$E126,Aux_HH!$A$4:$A$18,0)))</f>
        <v>0</v>
      </c>
      <c r="H126" s="0" t="n">
        <f aca="false">IF($F126=0,0,INDEX(Aux_HH!$E$4:$E$18,MATCH($B126&amp;"|"&amp;$E126,Aux_HH!$A$4:$A$18,0)))</f>
        <v>0</v>
      </c>
      <c r="I126" s="0" t="n">
        <f aca="false">IF($F126=0,0,INDEX(Aux_HH!$F$4:$F$18,MATCH($B126&amp;"|"&amp;$E126,Aux_HH!$A$4:$A$18,0)))</f>
        <v>0</v>
      </c>
      <c r="J126" s="0" t="n">
        <f aca="false">IF($F126=0,0,INDEX(Aux_HH!$G$4:$G$18,MATCH($B126&amp;"|"&amp;$E126,Aux_HH!$A$4:$A$18,0)))</f>
        <v>0</v>
      </c>
      <c r="K126" s="0" t="n">
        <f aca="false">IF($F126=0,0,INDEX(Aux_HH!$H$4:$H$18,MATCH($B126&amp;"|"&amp;$E126,Aux_HH!$A$4:$A$18,0)))</f>
        <v>0</v>
      </c>
      <c r="L126" s="0" t="n">
        <f aca="false">IF($F126=0,0,INDEX(Aux_HH!$I$4:$I$18,MATCH($B126&amp;"|"&amp;$E126,Aux_HH!$A$4:$A$18,0)))</f>
        <v>0</v>
      </c>
    </row>
    <row r="127" customFormat="false" ht="15" hidden="false" customHeight="false" outlineLevel="0" collapsed="false">
      <c r="A127" s="0" t="str">
        <f aca="false">IF(Frota!$A7="","",Frota!$A7)</f>
        <v>Colhedora JD CH570 — 1027</v>
      </c>
      <c r="B127" s="0" t="str">
        <f aca="false">IF(Frota!$A7="","",Frota!$B7)</f>
        <v>Colhedora</v>
      </c>
      <c r="C127" s="0" t="n">
        <v>20</v>
      </c>
      <c r="D127" s="0" t="n">
        <f aca="false">INDEX(Semanas!$E$3:$E$54,20)</f>
        <v>8</v>
      </c>
      <c r="E127" s="0" t="str">
        <f aca="false">IF(Frota!$A7="","",Cronograma!U7)</f>
        <v/>
      </c>
      <c r="F127" s="0" t="n">
        <f aca="false">IF(OR($E127="",$E127=0),0,1)</f>
        <v>0</v>
      </c>
      <c r="G127" s="0" t="n">
        <f aca="false">IF($F127=0,0,INDEX(Aux_HH!$D$4:$D$18,MATCH($B127&amp;"|"&amp;$E127,Aux_HH!$A$4:$A$18,0)))</f>
        <v>0</v>
      </c>
      <c r="H127" s="0" t="n">
        <f aca="false">IF($F127=0,0,INDEX(Aux_HH!$E$4:$E$18,MATCH($B127&amp;"|"&amp;$E127,Aux_HH!$A$4:$A$18,0)))</f>
        <v>0</v>
      </c>
      <c r="I127" s="0" t="n">
        <f aca="false">IF($F127=0,0,INDEX(Aux_HH!$F$4:$F$18,MATCH($B127&amp;"|"&amp;$E127,Aux_HH!$A$4:$A$18,0)))</f>
        <v>0</v>
      </c>
      <c r="J127" s="0" t="n">
        <f aca="false">IF($F127=0,0,INDEX(Aux_HH!$G$4:$G$18,MATCH($B127&amp;"|"&amp;$E127,Aux_HH!$A$4:$A$18,0)))</f>
        <v>0</v>
      </c>
      <c r="K127" s="0" t="n">
        <f aca="false">IF($F127=0,0,INDEX(Aux_HH!$H$4:$H$18,MATCH($B127&amp;"|"&amp;$E127,Aux_HH!$A$4:$A$18,0)))</f>
        <v>0</v>
      </c>
      <c r="L127" s="0" t="n">
        <f aca="false">IF($F127=0,0,INDEX(Aux_HH!$I$4:$I$18,MATCH($B127&amp;"|"&amp;$E127,Aux_HH!$A$4:$A$18,0)))</f>
        <v>0</v>
      </c>
    </row>
    <row r="128" customFormat="false" ht="15" hidden="false" customHeight="false" outlineLevel="0" collapsed="false">
      <c r="A128" s="0" t="str">
        <f aca="false">IF(Frota!$A7="","",Frota!$A7)</f>
        <v>Colhedora JD CH570 — 1027</v>
      </c>
      <c r="B128" s="0" t="str">
        <f aca="false">IF(Frota!$A7="","",Frota!$B7)</f>
        <v>Colhedora</v>
      </c>
      <c r="C128" s="0" t="n">
        <v>21</v>
      </c>
      <c r="D128" s="0" t="n">
        <f aca="false">INDEX(Semanas!$E$3:$E$54,21)</f>
        <v>8</v>
      </c>
      <c r="E128" s="0" t="str">
        <f aca="false">IF(Frota!$A7="","",Cronograma!V7)</f>
        <v/>
      </c>
      <c r="F128" s="0" t="n">
        <f aca="false">IF(OR($E128="",$E128=0),0,1)</f>
        <v>0</v>
      </c>
      <c r="G128" s="0" t="n">
        <f aca="false">IF($F128=0,0,INDEX(Aux_HH!$D$4:$D$18,MATCH($B128&amp;"|"&amp;$E128,Aux_HH!$A$4:$A$18,0)))</f>
        <v>0</v>
      </c>
      <c r="H128" s="0" t="n">
        <f aca="false">IF($F128=0,0,INDEX(Aux_HH!$E$4:$E$18,MATCH($B128&amp;"|"&amp;$E128,Aux_HH!$A$4:$A$18,0)))</f>
        <v>0</v>
      </c>
      <c r="I128" s="0" t="n">
        <f aca="false">IF($F128=0,0,INDEX(Aux_HH!$F$4:$F$18,MATCH($B128&amp;"|"&amp;$E128,Aux_HH!$A$4:$A$18,0)))</f>
        <v>0</v>
      </c>
      <c r="J128" s="0" t="n">
        <f aca="false">IF($F128=0,0,INDEX(Aux_HH!$G$4:$G$18,MATCH($B128&amp;"|"&amp;$E128,Aux_HH!$A$4:$A$18,0)))</f>
        <v>0</v>
      </c>
      <c r="K128" s="0" t="n">
        <f aca="false">IF($F128=0,0,INDEX(Aux_HH!$H$4:$H$18,MATCH($B128&amp;"|"&amp;$E128,Aux_HH!$A$4:$A$18,0)))</f>
        <v>0</v>
      </c>
      <c r="L128" s="0" t="n">
        <f aca="false">IF($F128=0,0,INDEX(Aux_HH!$I$4:$I$18,MATCH($B128&amp;"|"&amp;$E128,Aux_HH!$A$4:$A$18,0)))</f>
        <v>0</v>
      </c>
    </row>
    <row r="129" customFormat="false" ht="15" hidden="false" customHeight="false" outlineLevel="0" collapsed="false">
      <c r="A129" s="0" t="str">
        <f aca="false">IF(Frota!$A7="","",Frota!$A7)</f>
        <v>Colhedora JD CH570 — 1027</v>
      </c>
      <c r="B129" s="0" t="str">
        <f aca="false">IF(Frota!$A7="","",Frota!$B7)</f>
        <v>Colhedora</v>
      </c>
      <c r="C129" s="0" t="n">
        <v>22</v>
      </c>
      <c r="D129" s="0" t="n">
        <f aca="false">INDEX(Semanas!$E$3:$E$54,22)</f>
        <v>8</v>
      </c>
      <c r="E129" s="0" t="str">
        <f aca="false">IF(Frota!$A7="","",Cronograma!W7)</f>
        <v>S</v>
      </c>
      <c r="F129" s="0" t="n">
        <f aca="false">IF(OR($E129="",$E129=0),0,1)</f>
        <v>1</v>
      </c>
      <c r="G129" s="0" t="n">
        <f aca="false">IF($F129=0,0,INDEX(Aux_HH!$D$4:$D$18,MATCH($B129&amp;"|"&amp;$E129,Aux_HH!$A$4:$A$18,0)))</f>
        <v>3.75</v>
      </c>
      <c r="H129" s="0" t="n">
        <f aca="false">IF($F129=0,0,INDEX(Aux_HH!$E$4:$E$18,MATCH($B129&amp;"|"&amp;$E129,Aux_HH!$A$4:$A$18,0)))</f>
        <v>0</v>
      </c>
      <c r="I129" s="0" t="n">
        <f aca="false">IF($F129=0,0,INDEX(Aux_HH!$F$4:$F$18,MATCH($B129&amp;"|"&amp;$E129,Aux_HH!$A$4:$A$18,0)))</f>
        <v>1</v>
      </c>
      <c r="J129" s="0" t="n">
        <f aca="false">IF($F129=0,0,INDEX(Aux_HH!$G$4:$G$18,MATCH($B129&amp;"|"&amp;$E129,Aux_HH!$A$4:$A$18,0)))</f>
        <v>0.75</v>
      </c>
      <c r="K129" s="0" t="n">
        <f aca="false">IF($F129=0,0,INDEX(Aux_HH!$H$4:$H$18,MATCH($B129&amp;"|"&amp;$E129,Aux_HH!$A$4:$A$18,0)))</f>
        <v>0</v>
      </c>
      <c r="L129" s="0" t="n">
        <f aca="false">IF($F129=0,0,INDEX(Aux_HH!$I$4:$I$18,MATCH($B129&amp;"|"&amp;$E129,Aux_HH!$A$4:$A$18,0)))</f>
        <v>0</v>
      </c>
    </row>
    <row r="130" customFormat="false" ht="15" hidden="false" customHeight="false" outlineLevel="0" collapsed="false">
      <c r="A130" s="0" t="str">
        <f aca="false">IF(Frota!$A7="","",Frota!$A7)</f>
        <v>Colhedora JD CH570 — 1027</v>
      </c>
      <c r="B130" s="0" t="str">
        <f aca="false">IF(Frota!$A7="","",Frota!$B7)</f>
        <v>Colhedora</v>
      </c>
      <c r="C130" s="0" t="n">
        <v>23</v>
      </c>
      <c r="D130" s="0" t="n">
        <f aca="false">INDEX(Semanas!$E$3:$E$54,23)</f>
        <v>9</v>
      </c>
      <c r="E130" s="0" t="str">
        <f aca="false">IF(Frota!$A7="","",Cronograma!X7)</f>
        <v/>
      </c>
      <c r="F130" s="0" t="n">
        <f aca="false">IF(OR($E130="",$E130=0),0,1)</f>
        <v>0</v>
      </c>
      <c r="G130" s="0" t="n">
        <f aca="false">IF($F130=0,0,INDEX(Aux_HH!$D$4:$D$18,MATCH($B130&amp;"|"&amp;$E130,Aux_HH!$A$4:$A$18,0)))</f>
        <v>0</v>
      </c>
      <c r="H130" s="0" t="n">
        <f aca="false">IF($F130=0,0,INDEX(Aux_HH!$E$4:$E$18,MATCH($B130&amp;"|"&amp;$E130,Aux_HH!$A$4:$A$18,0)))</f>
        <v>0</v>
      </c>
      <c r="I130" s="0" t="n">
        <f aca="false">IF($F130=0,0,INDEX(Aux_HH!$F$4:$F$18,MATCH($B130&amp;"|"&amp;$E130,Aux_HH!$A$4:$A$18,0)))</f>
        <v>0</v>
      </c>
      <c r="J130" s="0" t="n">
        <f aca="false">IF($F130=0,0,INDEX(Aux_HH!$G$4:$G$18,MATCH($B130&amp;"|"&amp;$E130,Aux_HH!$A$4:$A$18,0)))</f>
        <v>0</v>
      </c>
      <c r="K130" s="0" t="n">
        <f aca="false">IF($F130=0,0,INDEX(Aux_HH!$H$4:$H$18,MATCH($B130&amp;"|"&amp;$E130,Aux_HH!$A$4:$A$18,0)))</f>
        <v>0</v>
      </c>
      <c r="L130" s="0" t="n">
        <f aca="false">IF($F130=0,0,INDEX(Aux_HH!$I$4:$I$18,MATCH($B130&amp;"|"&amp;$E130,Aux_HH!$A$4:$A$18,0)))</f>
        <v>0</v>
      </c>
    </row>
    <row r="131" customFormat="false" ht="15" hidden="false" customHeight="false" outlineLevel="0" collapsed="false">
      <c r="A131" s="0" t="str">
        <f aca="false">IF(Frota!$A7="","",Frota!$A7)</f>
        <v>Colhedora JD CH570 — 1027</v>
      </c>
      <c r="B131" s="0" t="str">
        <f aca="false">IF(Frota!$A7="","",Frota!$B7)</f>
        <v>Colhedora</v>
      </c>
      <c r="C131" s="0" t="n">
        <v>24</v>
      </c>
      <c r="D131" s="0" t="n">
        <f aca="false">INDEX(Semanas!$E$3:$E$54,24)</f>
        <v>9</v>
      </c>
      <c r="E131" s="0" t="str">
        <f aca="false">IF(Frota!$A7="","",Cronograma!Y7)</f>
        <v/>
      </c>
      <c r="F131" s="0" t="n">
        <f aca="false">IF(OR($E131="",$E131=0),0,1)</f>
        <v>0</v>
      </c>
      <c r="G131" s="0" t="n">
        <f aca="false">IF($F131=0,0,INDEX(Aux_HH!$D$4:$D$18,MATCH($B131&amp;"|"&amp;$E131,Aux_HH!$A$4:$A$18,0)))</f>
        <v>0</v>
      </c>
      <c r="H131" s="0" t="n">
        <f aca="false">IF($F131=0,0,INDEX(Aux_HH!$E$4:$E$18,MATCH($B131&amp;"|"&amp;$E131,Aux_HH!$A$4:$A$18,0)))</f>
        <v>0</v>
      </c>
      <c r="I131" s="0" t="n">
        <f aca="false">IF($F131=0,0,INDEX(Aux_HH!$F$4:$F$18,MATCH($B131&amp;"|"&amp;$E131,Aux_HH!$A$4:$A$18,0)))</f>
        <v>0</v>
      </c>
      <c r="J131" s="0" t="n">
        <f aca="false">IF($F131=0,0,INDEX(Aux_HH!$G$4:$G$18,MATCH($B131&amp;"|"&amp;$E131,Aux_HH!$A$4:$A$18,0)))</f>
        <v>0</v>
      </c>
      <c r="K131" s="0" t="n">
        <f aca="false">IF($F131=0,0,INDEX(Aux_HH!$H$4:$H$18,MATCH($B131&amp;"|"&amp;$E131,Aux_HH!$A$4:$A$18,0)))</f>
        <v>0</v>
      </c>
      <c r="L131" s="0" t="n">
        <f aca="false">IF($F131=0,0,INDEX(Aux_HH!$I$4:$I$18,MATCH($B131&amp;"|"&amp;$E131,Aux_HH!$A$4:$A$18,0)))</f>
        <v>0</v>
      </c>
    </row>
    <row r="132" customFormat="false" ht="15" hidden="false" customHeight="false" outlineLevel="0" collapsed="false">
      <c r="A132" s="0" t="str">
        <f aca="false">IF(Frota!$A7="","",Frota!$A7)</f>
        <v>Colhedora JD CH570 — 1027</v>
      </c>
      <c r="B132" s="0" t="str">
        <f aca="false">IF(Frota!$A7="","",Frota!$B7)</f>
        <v>Colhedora</v>
      </c>
      <c r="C132" s="0" t="n">
        <v>25</v>
      </c>
      <c r="D132" s="0" t="n">
        <f aca="false">INDEX(Semanas!$E$3:$E$54,25)</f>
        <v>9</v>
      </c>
      <c r="E132" s="0" t="str">
        <f aca="false">IF(Frota!$A7="","",Cronograma!Z7)</f>
        <v/>
      </c>
      <c r="F132" s="0" t="n">
        <f aca="false">IF(OR($E132="",$E132=0),0,1)</f>
        <v>0</v>
      </c>
      <c r="G132" s="0" t="n">
        <f aca="false">IF($F132=0,0,INDEX(Aux_HH!$D$4:$D$18,MATCH($B132&amp;"|"&amp;$E132,Aux_HH!$A$4:$A$18,0)))</f>
        <v>0</v>
      </c>
      <c r="H132" s="0" t="n">
        <f aca="false">IF($F132=0,0,INDEX(Aux_HH!$E$4:$E$18,MATCH($B132&amp;"|"&amp;$E132,Aux_HH!$A$4:$A$18,0)))</f>
        <v>0</v>
      </c>
      <c r="I132" s="0" t="n">
        <f aca="false">IF($F132=0,0,INDEX(Aux_HH!$F$4:$F$18,MATCH($B132&amp;"|"&amp;$E132,Aux_HH!$A$4:$A$18,0)))</f>
        <v>0</v>
      </c>
      <c r="J132" s="0" t="n">
        <f aca="false">IF($F132=0,0,INDEX(Aux_HH!$G$4:$G$18,MATCH($B132&amp;"|"&amp;$E132,Aux_HH!$A$4:$A$18,0)))</f>
        <v>0</v>
      </c>
      <c r="K132" s="0" t="n">
        <f aca="false">IF($F132=0,0,INDEX(Aux_HH!$H$4:$H$18,MATCH($B132&amp;"|"&amp;$E132,Aux_HH!$A$4:$A$18,0)))</f>
        <v>0</v>
      </c>
      <c r="L132" s="0" t="n">
        <f aca="false">IF($F132=0,0,INDEX(Aux_HH!$I$4:$I$18,MATCH($B132&amp;"|"&amp;$E132,Aux_HH!$A$4:$A$18,0)))</f>
        <v>0</v>
      </c>
    </row>
    <row r="133" customFormat="false" ht="15" hidden="false" customHeight="false" outlineLevel="0" collapsed="false">
      <c r="A133" s="0" t="str">
        <f aca="false">IF(Frota!$A7="","",Frota!$A7)</f>
        <v>Colhedora JD CH570 — 1027</v>
      </c>
      <c r="B133" s="0" t="str">
        <f aca="false">IF(Frota!$A7="","",Frota!$B7)</f>
        <v>Colhedora</v>
      </c>
      <c r="C133" s="0" t="n">
        <v>26</v>
      </c>
      <c r="D133" s="0" t="n">
        <f aca="false">INDEX(Semanas!$E$3:$E$54,26)</f>
        <v>9</v>
      </c>
      <c r="E133" s="0" t="str">
        <f aca="false">IF(Frota!$A7="","",Cronograma!AA7)</f>
        <v/>
      </c>
      <c r="F133" s="0" t="n">
        <f aca="false">IF(OR($E133="",$E133=0),0,1)</f>
        <v>0</v>
      </c>
      <c r="G133" s="0" t="n">
        <f aca="false">IF($F133=0,0,INDEX(Aux_HH!$D$4:$D$18,MATCH($B133&amp;"|"&amp;$E133,Aux_HH!$A$4:$A$18,0)))</f>
        <v>0</v>
      </c>
      <c r="H133" s="0" t="n">
        <f aca="false">IF($F133=0,0,INDEX(Aux_HH!$E$4:$E$18,MATCH($B133&amp;"|"&amp;$E133,Aux_HH!$A$4:$A$18,0)))</f>
        <v>0</v>
      </c>
      <c r="I133" s="0" t="n">
        <f aca="false">IF($F133=0,0,INDEX(Aux_HH!$F$4:$F$18,MATCH($B133&amp;"|"&amp;$E133,Aux_HH!$A$4:$A$18,0)))</f>
        <v>0</v>
      </c>
      <c r="J133" s="0" t="n">
        <f aca="false">IF($F133=0,0,INDEX(Aux_HH!$G$4:$G$18,MATCH($B133&amp;"|"&amp;$E133,Aux_HH!$A$4:$A$18,0)))</f>
        <v>0</v>
      </c>
      <c r="K133" s="0" t="n">
        <f aca="false">IF($F133=0,0,INDEX(Aux_HH!$H$4:$H$18,MATCH($B133&amp;"|"&amp;$E133,Aux_HH!$A$4:$A$18,0)))</f>
        <v>0</v>
      </c>
      <c r="L133" s="0" t="n">
        <f aca="false">IF($F133=0,0,INDEX(Aux_HH!$I$4:$I$18,MATCH($B133&amp;"|"&amp;$E133,Aux_HH!$A$4:$A$18,0)))</f>
        <v>0</v>
      </c>
    </row>
    <row r="134" customFormat="false" ht="15" hidden="false" customHeight="false" outlineLevel="0" collapsed="false">
      <c r="A134" s="0" t="str">
        <f aca="false">IF(Frota!$A7="","",Frota!$A7)</f>
        <v>Colhedora JD CH570 — 1027</v>
      </c>
      <c r="B134" s="0" t="str">
        <f aca="false">IF(Frota!$A7="","",Frota!$B7)</f>
        <v>Colhedora</v>
      </c>
      <c r="C134" s="0" t="n">
        <v>27</v>
      </c>
      <c r="D134" s="0" t="n">
        <f aca="false">INDEX(Semanas!$E$3:$E$54,27)</f>
        <v>9</v>
      </c>
      <c r="E134" s="0" t="str">
        <f aca="false">IF(Frota!$A7="","",Cronograma!AB7)</f>
        <v/>
      </c>
      <c r="F134" s="0" t="n">
        <f aca="false">IF(OR($E134="",$E134=0),0,1)</f>
        <v>0</v>
      </c>
      <c r="G134" s="0" t="n">
        <f aca="false">IF($F134=0,0,INDEX(Aux_HH!$D$4:$D$18,MATCH($B134&amp;"|"&amp;$E134,Aux_HH!$A$4:$A$18,0)))</f>
        <v>0</v>
      </c>
      <c r="H134" s="0" t="n">
        <f aca="false">IF($F134=0,0,INDEX(Aux_HH!$E$4:$E$18,MATCH($B134&amp;"|"&amp;$E134,Aux_HH!$A$4:$A$18,0)))</f>
        <v>0</v>
      </c>
      <c r="I134" s="0" t="n">
        <f aca="false">IF($F134=0,0,INDEX(Aux_HH!$F$4:$F$18,MATCH($B134&amp;"|"&amp;$E134,Aux_HH!$A$4:$A$18,0)))</f>
        <v>0</v>
      </c>
      <c r="J134" s="0" t="n">
        <f aca="false">IF($F134=0,0,INDEX(Aux_HH!$G$4:$G$18,MATCH($B134&amp;"|"&amp;$E134,Aux_HH!$A$4:$A$18,0)))</f>
        <v>0</v>
      </c>
      <c r="K134" s="0" t="n">
        <f aca="false">IF($F134=0,0,INDEX(Aux_HH!$H$4:$H$18,MATCH($B134&amp;"|"&amp;$E134,Aux_HH!$A$4:$A$18,0)))</f>
        <v>0</v>
      </c>
      <c r="L134" s="0" t="n">
        <f aca="false">IF($F134=0,0,INDEX(Aux_HH!$I$4:$I$18,MATCH($B134&amp;"|"&amp;$E134,Aux_HH!$A$4:$A$18,0)))</f>
        <v>0</v>
      </c>
    </row>
    <row r="135" customFormat="false" ht="15" hidden="false" customHeight="false" outlineLevel="0" collapsed="false">
      <c r="A135" s="0" t="str">
        <f aca="false">IF(Frota!$A7="","",Frota!$A7)</f>
        <v>Colhedora JD CH570 — 1027</v>
      </c>
      <c r="B135" s="0" t="str">
        <f aca="false">IF(Frota!$A7="","",Frota!$B7)</f>
        <v>Colhedora</v>
      </c>
      <c r="C135" s="0" t="n">
        <v>28</v>
      </c>
      <c r="D135" s="0" t="n">
        <f aca="false">INDEX(Semanas!$E$3:$E$54,28)</f>
        <v>10</v>
      </c>
      <c r="E135" s="0" t="str">
        <f aca="false">IF(Frota!$A7="","",Cronograma!AC7)</f>
        <v>B</v>
      </c>
      <c r="F135" s="0" t="n">
        <f aca="false">IF(OR($E135="",$E135=0),0,1)</f>
        <v>1</v>
      </c>
      <c r="G135" s="0" t="n">
        <f aca="false">IF($F135=0,0,INDEX(Aux_HH!$D$4:$D$18,MATCH($B135&amp;"|"&amp;$E135,Aux_HH!$A$4:$A$18,0)))</f>
        <v>10.25</v>
      </c>
      <c r="H135" s="0" t="n">
        <f aca="false">IF($F135=0,0,INDEX(Aux_HH!$E$4:$E$18,MATCH($B135&amp;"|"&amp;$E135,Aux_HH!$A$4:$A$18,0)))</f>
        <v>0</v>
      </c>
      <c r="I135" s="0" t="n">
        <f aca="false">IF($F135=0,0,INDEX(Aux_HH!$F$4:$F$18,MATCH($B135&amp;"|"&amp;$E135,Aux_HH!$A$4:$A$18,0)))</f>
        <v>3</v>
      </c>
      <c r="J135" s="0" t="n">
        <f aca="false">IF($F135=0,0,INDEX(Aux_HH!$G$4:$G$18,MATCH($B135&amp;"|"&amp;$E135,Aux_HH!$A$4:$A$18,0)))</f>
        <v>1.75</v>
      </c>
      <c r="K135" s="0" t="n">
        <f aca="false">IF($F135=0,0,INDEX(Aux_HH!$H$4:$H$18,MATCH($B135&amp;"|"&amp;$E135,Aux_HH!$A$4:$A$18,0)))</f>
        <v>0</v>
      </c>
      <c r="L135" s="0" t="n">
        <f aca="false">IF($F135=0,0,INDEX(Aux_HH!$I$4:$I$18,MATCH($B135&amp;"|"&amp;$E135,Aux_HH!$A$4:$A$18,0)))</f>
        <v>0</v>
      </c>
    </row>
    <row r="136" customFormat="false" ht="15" hidden="false" customHeight="false" outlineLevel="0" collapsed="false">
      <c r="A136" s="0" t="str">
        <f aca="false">IF(Frota!$A7="","",Frota!$A7)</f>
        <v>Colhedora JD CH570 — 1027</v>
      </c>
      <c r="B136" s="0" t="str">
        <f aca="false">IF(Frota!$A7="","",Frota!$B7)</f>
        <v>Colhedora</v>
      </c>
      <c r="C136" s="0" t="n">
        <v>29</v>
      </c>
      <c r="D136" s="0" t="n">
        <f aca="false">INDEX(Semanas!$E$3:$E$54,29)</f>
        <v>10</v>
      </c>
      <c r="E136" s="0" t="str">
        <f aca="false">IF(Frota!$A7="","",Cronograma!AD7)</f>
        <v/>
      </c>
      <c r="F136" s="0" t="n">
        <f aca="false">IF(OR($E136="",$E136=0),0,1)</f>
        <v>0</v>
      </c>
      <c r="G136" s="0" t="n">
        <f aca="false">IF($F136=0,0,INDEX(Aux_HH!$D$4:$D$18,MATCH($B136&amp;"|"&amp;$E136,Aux_HH!$A$4:$A$18,0)))</f>
        <v>0</v>
      </c>
      <c r="H136" s="0" t="n">
        <f aca="false">IF($F136=0,0,INDEX(Aux_HH!$E$4:$E$18,MATCH($B136&amp;"|"&amp;$E136,Aux_HH!$A$4:$A$18,0)))</f>
        <v>0</v>
      </c>
      <c r="I136" s="0" t="n">
        <f aca="false">IF($F136=0,0,INDEX(Aux_HH!$F$4:$F$18,MATCH($B136&amp;"|"&amp;$E136,Aux_HH!$A$4:$A$18,0)))</f>
        <v>0</v>
      </c>
      <c r="J136" s="0" t="n">
        <f aca="false">IF($F136=0,0,INDEX(Aux_HH!$G$4:$G$18,MATCH($B136&amp;"|"&amp;$E136,Aux_HH!$A$4:$A$18,0)))</f>
        <v>0</v>
      </c>
      <c r="K136" s="0" t="n">
        <f aca="false">IF($F136=0,0,INDEX(Aux_HH!$H$4:$H$18,MATCH($B136&amp;"|"&amp;$E136,Aux_HH!$A$4:$A$18,0)))</f>
        <v>0</v>
      </c>
      <c r="L136" s="0" t="n">
        <f aca="false">IF($F136=0,0,INDEX(Aux_HH!$I$4:$I$18,MATCH($B136&amp;"|"&amp;$E136,Aux_HH!$A$4:$A$18,0)))</f>
        <v>0</v>
      </c>
    </row>
    <row r="137" customFormat="false" ht="15" hidden="false" customHeight="false" outlineLevel="0" collapsed="false">
      <c r="A137" s="0" t="str">
        <f aca="false">IF(Frota!$A7="","",Frota!$A7)</f>
        <v>Colhedora JD CH570 — 1027</v>
      </c>
      <c r="B137" s="0" t="str">
        <f aca="false">IF(Frota!$A7="","",Frota!$B7)</f>
        <v>Colhedora</v>
      </c>
      <c r="C137" s="0" t="n">
        <v>30</v>
      </c>
      <c r="D137" s="0" t="n">
        <f aca="false">INDEX(Semanas!$E$3:$E$54,30)</f>
        <v>10</v>
      </c>
      <c r="E137" s="0" t="str">
        <f aca="false">IF(Frota!$A7="","",Cronograma!AE7)</f>
        <v/>
      </c>
      <c r="F137" s="0" t="n">
        <f aca="false">IF(OR($E137="",$E137=0),0,1)</f>
        <v>0</v>
      </c>
      <c r="G137" s="0" t="n">
        <f aca="false">IF($F137=0,0,INDEX(Aux_HH!$D$4:$D$18,MATCH($B137&amp;"|"&amp;$E137,Aux_HH!$A$4:$A$18,0)))</f>
        <v>0</v>
      </c>
      <c r="H137" s="0" t="n">
        <f aca="false">IF($F137=0,0,INDEX(Aux_HH!$E$4:$E$18,MATCH($B137&amp;"|"&amp;$E137,Aux_HH!$A$4:$A$18,0)))</f>
        <v>0</v>
      </c>
      <c r="I137" s="0" t="n">
        <f aca="false">IF($F137=0,0,INDEX(Aux_HH!$F$4:$F$18,MATCH($B137&amp;"|"&amp;$E137,Aux_HH!$A$4:$A$18,0)))</f>
        <v>0</v>
      </c>
      <c r="J137" s="0" t="n">
        <f aca="false">IF($F137=0,0,INDEX(Aux_HH!$G$4:$G$18,MATCH($B137&amp;"|"&amp;$E137,Aux_HH!$A$4:$A$18,0)))</f>
        <v>0</v>
      </c>
      <c r="K137" s="0" t="n">
        <f aca="false">IF($F137=0,0,INDEX(Aux_HH!$H$4:$H$18,MATCH($B137&amp;"|"&amp;$E137,Aux_HH!$A$4:$A$18,0)))</f>
        <v>0</v>
      </c>
      <c r="L137" s="0" t="n">
        <f aca="false">IF($F137=0,0,INDEX(Aux_HH!$I$4:$I$18,MATCH($B137&amp;"|"&amp;$E137,Aux_HH!$A$4:$A$18,0)))</f>
        <v>0</v>
      </c>
    </row>
    <row r="138" customFormat="false" ht="15" hidden="false" customHeight="false" outlineLevel="0" collapsed="false">
      <c r="A138" s="0" t="str">
        <f aca="false">IF(Frota!$A7="","",Frota!$A7)</f>
        <v>Colhedora JD CH570 — 1027</v>
      </c>
      <c r="B138" s="0" t="str">
        <f aca="false">IF(Frota!$A7="","",Frota!$B7)</f>
        <v>Colhedora</v>
      </c>
      <c r="C138" s="0" t="n">
        <v>31</v>
      </c>
      <c r="D138" s="0" t="n">
        <f aca="false">INDEX(Semanas!$E$3:$E$54,31)</f>
        <v>10</v>
      </c>
      <c r="E138" s="0" t="str">
        <f aca="false">IF(Frota!$A7="","",Cronograma!AF7)</f>
        <v/>
      </c>
      <c r="F138" s="0" t="n">
        <f aca="false">IF(OR($E138="",$E138=0),0,1)</f>
        <v>0</v>
      </c>
      <c r="G138" s="0" t="n">
        <f aca="false">IF($F138=0,0,INDEX(Aux_HH!$D$4:$D$18,MATCH($B138&amp;"|"&amp;$E138,Aux_HH!$A$4:$A$18,0)))</f>
        <v>0</v>
      </c>
      <c r="H138" s="0" t="n">
        <f aca="false">IF($F138=0,0,INDEX(Aux_HH!$E$4:$E$18,MATCH($B138&amp;"|"&amp;$E138,Aux_HH!$A$4:$A$18,0)))</f>
        <v>0</v>
      </c>
      <c r="I138" s="0" t="n">
        <f aca="false">IF($F138=0,0,INDEX(Aux_HH!$F$4:$F$18,MATCH($B138&amp;"|"&amp;$E138,Aux_HH!$A$4:$A$18,0)))</f>
        <v>0</v>
      </c>
      <c r="J138" s="0" t="n">
        <f aca="false">IF($F138=0,0,INDEX(Aux_HH!$G$4:$G$18,MATCH($B138&amp;"|"&amp;$E138,Aux_HH!$A$4:$A$18,0)))</f>
        <v>0</v>
      </c>
      <c r="K138" s="0" t="n">
        <f aca="false">IF($F138=0,0,INDEX(Aux_HH!$H$4:$H$18,MATCH($B138&amp;"|"&amp;$E138,Aux_HH!$A$4:$A$18,0)))</f>
        <v>0</v>
      </c>
      <c r="L138" s="0" t="n">
        <f aca="false">IF($F138=0,0,INDEX(Aux_HH!$I$4:$I$18,MATCH($B138&amp;"|"&amp;$E138,Aux_HH!$A$4:$A$18,0)))</f>
        <v>0</v>
      </c>
    </row>
    <row r="139" customFormat="false" ht="15" hidden="false" customHeight="false" outlineLevel="0" collapsed="false">
      <c r="A139" s="0" t="str">
        <f aca="false">IF(Frota!$A7="","",Frota!$A7)</f>
        <v>Colhedora JD CH570 — 1027</v>
      </c>
      <c r="B139" s="0" t="str">
        <f aca="false">IF(Frota!$A7="","",Frota!$B7)</f>
        <v>Colhedora</v>
      </c>
      <c r="C139" s="0" t="n">
        <v>32</v>
      </c>
      <c r="D139" s="0" t="n">
        <f aca="false">INDEX(Semanas!$E$3:$E$54,32)</f>
        <v>11</v>
      </c>
      <c r="E139" s="0" t="str">
        <f aca="false">IF(Frota!$A7="","",Cronograma!AG7)</f>
        <v/>
      </c>
      <c r="F139" s="0" t="n">
        <f aca="false">IF(OR($E139="",$E139=0),0,1)</f>
        <v>0</v>
      </c>
      <c r="G139" s="0" t="n">
        <f aca="false">IF($F139=0,0,INDEX(Aux_HH!$D$4:$D$18,MATCH($B139&amp;"|"&amp;$E139,Aux_HH!$A$4:$A$18,0)))</f>
        <v>0</v>
      </c>
      <c r="H139" s="0" t="n">
        <f aca="false">IF($F139=0,0,INDEX(Aux_HH!$E$4:$E$18,MATCH($B139&amp;"|"&amp;$E139,Aux_HH!$A$4:$A$18,0)))</f>
        <v>0</v>
      </c>
      <c r="I139" s="0" t="n">
        <f aca="false">IF($F139=0,0,INDEX(Aux_HH!$F$4:$F$18,MATCH($B139&amp;"|"&amp;$E139,Aux_HH!$A$4:$A$18,0)))</f>
        <v>0</v>
      </c>
      <c r="J139" s="0" t="n">
        <f aca="false">IF($F139=0,0,INDEX(Aux_HH!$G$4:$G$18,MATCH($B139&amp;"|"&amp;$E139,Aux_HH!$A$4:$A$18,0)))</f>
        <v>0</v>
      </c>
      <c r="K139" s="0" t="n">
        <f aca="false">IF($F139=0,0,INDEX(Aux_HH!$H$4:$H$18,MATCH($B139&amp;"|"&amp;$E139,Aux_HH!$A$4:$A$18,0)))</f>
        <v>0</v>
      </c>
      <c r="L139" s="0" t="n">
        <f aca="false">IF($F139=0,0,INDEX(Aux_HH!$I$4:$I$18,MATCH($B139&amp;"|"&amp;$E139,Aux_HH!$A$4:$A$18,0)))</f>
        <v>0</v>
      </c>
    </row>
    <row r="140" customFormat="false" ht="15" hidden="false" customHeight="false" outlineLevel="0" collapsed="false">
      <c r="A140" s="0" t="str">
        <f aca="false">IF(Frota!$A7="","",Frota!$A7)</f>
        <v>Colhedora JD CH570 — 1027</v>
      </c>
      <c r="B140" s="0" t="str">
        <f aca="false">IF(Frota!$A7="","",Frota!$B7)</f>
        <v>Colhedora</v>
      </c>
      <c r="C140" s="0" t="n">
        <v>33</v>
      </c>
      <c r="D140" s="0" t="n">
        <f aca="false">INDEX(Semanas!$E$3:$E$54,33)</f>
        <v>11</v>
      </c>
      <c r="E140" s="0" t="str">
        <f aca="false">IF(Frota!$A7="","",Cronograma!AH7)</f>
        <v/>
      </c>
      <c r="F140" s="0" t="n">
        <f aca="false">IF(OR($E140="",$E140=0),0,1)</f>
        <v>0</v>
      </c>
      <c r="G140" s="0" t="n">
        <f aca="false">IF($F140=0,0,INDEX(Aux_HH!$D$4:$D$18,MATCH($B140&amp;"|"&amp;$E140,Aux_HH!$A$4:$A$18,0)))</f>
        <v>0</v>
      </c>
      <c r="H140" s="0" t="n">
        <f aca="false">IF($F140=0,0,INDEX(Aux_HH!$E$4:$E$18,MATCH($B140&amp;"|"&amp;$E140,Aux_HH!$A$4:$A$18,0)))</f>
        <v>0</v>
      </c>
      <c r="I140" s="0" t="n">
        <f aca="false">IF($F140=0,0,INDEX(Aux_HH!$F$4:$F$18,MATCH($B140&amp;"|"&amp;$E140,Aux_HH!$A$4:$A$18,0)))</f>
        <v>0</v>
      </c>
      <c r="J140" s="0" t="n">
        <f aca="false">IF($F140=0,0,INDEX(Aux_HH!$G$4:$G$18,MATCH($B140&amp;"|"&amp;$E140,Aux_HH!$A$4:$A$18,0)))</f>
        <v>0</v>
      </c>
      <c r="K140" s="0" t="n">
        <f aca="false">IF($F140=0,0,INDEX(Aux_HH!$H$4:$H$18,MATCH($B140&amp;"|"&amp;$E140,Aux_HH!$A$4:$A$18,0)))</f>
        <v>0</v>
      </c>
      <c r="L140" s="0" t="n">
        <f aca="false">IF($F140=0,0,INDEX(Aux_HH!$I$4:$I$18,MATCH($B140&amp;"|"&amp;$E140,Aux_HH!$A$4:$A$18,0)))</f>
        <v>0</v>
      </c>
    </row>
    <row r="141" customFormat="false" ht="15" hidden="false" customHeight="false" outlineLevel="0" collapsed="false">
      <c r="A141" s="0" t="str">
        <f aca="false">IF(Frota!$A7="","",Frota!$A7)</f>
        <v>Colhedora JD CH570 — 1027</v>
      </c>
      <c r="B141" s="0" t="str">
        <f aca="false">IF(Frota!$A7="","",Frota!$B7)</f>
        <v>Colhedora</v>
      </c>
      <c r="C141" s="0" t="n">
        <v>34</v>
      </c>
      <c r="D141" s="0" t="n">
        <f aca="false">INDEX(Semanas!$E$3:$E$54,34)</f>
        <v>11</v>
      </c>
      <c r="E141" s="0" t="str">
        <f aca="false">IF(Frota!$A7="","",Cronograma!AI7)</f>
        <v>S</v>
      </c>
      <c r="F141" s="0" t="n">
        <f aca="false">IF(OR($E141="",$E141=0),0,1)</f>
        <v>1</v>
      </c>
      <c r="G141" s="0" t="n">
        <f aca="false">IF($F141=0,0,INDEX(Aux_HH!$D$4:$D$18,MATCH($B141&amp;"|"&amp;$E141,Aux_HH!$A$4:$A$18,0)))</f>
        <v>3.75</v>
      </c>
      <c r="H141" s="0" t="n">
        <f aca="false">IF($F141=0,0,INDEX(Aux_HH!$E$4:$E$18,MATCH($B141&amp;"|"&amp;$E141,Aux_HH!$A$4:$A$18,0)))</f>
        <v>0</v>
      </c>
      <c r="I141" s="0" t="n">
        <f aca="false">IF($F141=0,0,INDEX(Aux_HH!$F$4:$F$18,MATCH($B141&amp;"|"&amp;$E141,Aux_HH!$A$4:$A$18,0)))</f>
        <v>1</v>
      </c>
      <c r="J141" s="0" t="n">
        <f aca="false">IF($F141=0,0,INDEX(Aux_HH!$G$4:$G$18,MATCH($B141&amp;"|"&amp;$E141,Aux_HH!$A$4:$A$18,0)))</f>
        <v>0.75</v>
      </c>
      <c r="K141" s="0" t="n">
        <f aca="false">IF($F141=0,0,INDEX(Aux_HH!$H$4:$H$18,MATCH($B141&amp;"|"&amp;$E141,Aux_HH!$A$4:$A$18,0)))</f>
        <v>0</v>
      </c>
      <c r="L141" s="0" t="n">
        <f aca="false">IF($F141=0,0,INDEX(Aux_HH!$I$4:$I$18,MATCH($B141&amp;"|"&amp;$E141,Aux_HH!$A$4:$A$18,0)))</f>
        <v>0</v>
      </c>
    </row>
    <row r="142" customFormat="false" ht="15" hidden="false" customHeight="false" outlineLevel="0" collapsed="false">
      <c r="A142" s="0" t="str">
        <f aca="false">IF(Frota!$A7="","",Frota!$A7)</f>
        <v>Colhedora JD CH570 — 1027</v>
      </c>
      <c r="B142" s="0" t="str">
        <f aca="false">IF(Frota!$A7="","",Frota!$B7)</f>
        <v>Colhedora</v>
      </c>
      <c r="C142" s="0" t="n">
        <v>35</v>
      </c>
      <c r="D142" s="0" t="n">
        <f aca="false">INDEX(Semanas!$E$3:$E$54,35)</f>
        <v>11</v>
      </c>
      <c r="E142" s="0" t="str">
        <f aca="false">IF(Frota!$A7="","",Cronograma!AJ7)</f>
        <v/>
      </c>
      <c r="F142" s="0" t="n">
        <f aca="false">IF(OR($E142="",$E142=0),0,1)</f>
        <v>0</v>
      </c>
      <c r="G142" s="0" t="n">
        <f aca="false">IF($F142=0,0,INDEX(Aux_HH!$D$4:$D$18,MATCH($B142&amp;"|"&amp;$E142,Aux_HH!$A$4:$A$18,0)))</f>
        <v>0</v>
      </c>
      <c r="H142" s="0" t="n">
        <f aca="false">IF($F142=0,0,INDEX(Aux_HH!$E$4:$E$18,MATCH($B142&amp;"|"&amp;$E142,Aux_HH!$A$4:$A$18,0)))</f>
        <v>0</v>
      </c>
      <c r="I142" s="0" t="n">
        <f aca="false">IF($F142=0,0,INDEX(Aux_HH!$F$4:$F$18,MATCH($B142&amp;"|"&amp;$E142,Aux_HH!$A$4:$A$18,0)))</f>
        <v>0</v>
      </c>
      <c r="J142" s="0" t="n">
        <f aca="false">IF($F142=0,0,INDEX(Aux_HH!$G$4:$G$18,MATCH($B142&amp;"|"&amp;$E142,Aux_HH!$A$4:$A$18,0)))</f>
        <v>0</v>
      </c>
      <c r="K142" s="0" t="n">
        <f aca="false">IF($F142=0,0,INDEX(Aux_HH!$H$4:$H$18,MATCH($B142&amp;"|"&amp;$E142,Aux_HH!$A$4:$A$18,0)))</f>
        <v>0</v>
      </c>
      <c r="L142" s="0" t="n">
        <f aca="false">IF($F142=0,0,INDEX(Aux_HH!$I$4:$I$18,MATCH($B142&amp;"|"&amp;$E142,Aux_HH!$A$4:$A$18,0)))</f>
        <v>0</v>
      </c>
    </row>
    <row r="143" customFormat="false" ht="15" hidden="false" customHeight="false" outlineLevel="0" collapsed="false">
      <c r="A143" s="0" t="str">
        <f aca="false">IF(Frota!$A7="","",Frota!$A7)</f>
        <v>Colhedora JD CH570 — 1027</v>
      </c>
      <c r="B143" s="0" t="str">
        <f aca="false">IF(Frota!$A7="","",Frota!$B7)</f>
        <v>Colhedora</v>
      </c>
      <c r="C143" s="0" t="n">
        <v>36</v>
      </c>
      <c r="D143" s="0" t="n">
        <f aca="false">INDEX(Semanas!$E$3:$E$54,36)</f>
        <v>12</v>
      </c>
      <c r="E143" s="0" t="str">
        <f aca="false">IF(Frota!$A7="","",Cronograma!AK7)</f>
        <v/>
      </c>
      <c r="F143" s="0" t="n">
        <f aca="false">IF(OR($E143="",$E143=0),0,1)</f>
        <v>0</v>
      </c>
      <c r="G143" s="0" t="n">
        <f aca="false">IF($F143=0,0,INDEX(Aux_HH!$D$4:$D$18,MATCH($B143&amp;"|"&amp;$E143,Aux_HH!$A$4:$A$18,0)))</f>
        <v>0</v>
      </c>
      <c r="H143" s="0" t="n">
        <f aca="false">IF($F143=0,0,INDEX(Aux_HH!$E$4:$E$18,MATCH($B143&amp;"|"&amp;$E143,Aux_HH!$A$4:$A$18,0)))</f>
        <v>0</v>
      </c>
      <c r="I143" s="0" t="n">
        <f aca="false">IF($F143=0,0,INDEX(Aux_HH!$F$4:$F$18,MATCH($B143&amp;"|"&amp;$E143,Aux_HH!$A$4:$A$18,0)))</f>
        <v>0</v>
      </c>
      <c r="J143" s="0" t="n">
        <f aca="false">IF($F143=0,0,INDEX(Aux_HH!$G$4:$G$18,MATCH($B143&amp;"|"&amp;$E143,Aux_HH!$A$4:$A$18,0)))</f>
        <v>0</v>
      </c>
      <c r="K143" s="0" t="n">
        <f aca="false">IF($F143=0,0,INDEX(Aux_HH!$H$4:$H$18,MATCH($B143&amp;"|"&amp;$E143,Aux_HH!$A$4:$A$18,0)))</f>
        <v>0</v>
      </c>
      <c r="L143" s="0" t="n">
        <f aca="false">IF($F143=0,0,INDEX(Aux_HH!$I$4:$I$18,MATCH($B143&amp;"|"&amp;$E143,Aux_HH!$A$4:$A$18,0)))</f>
        <v>0</v>
      </c>
    </row>
    <row r="144" customFormat="false" ht="15" hidden="false" customHeight="false" outlineLevel="0" collapsed="false">
      <c r="A144" s="0" t="str">
        <f aca="false">IF(Frota!$A7="","",Frota!$A7)</f>
        <v>Colhedora JD CH570 — 1027</v>
      </c>
      <c r="B144" s="0" t="str">
        <f aca="false">IF(Frota!$A7="","",Frota!$B7)</f>
        <v>Colhedora</v>
      </c>
      <c r="C144" s="0" t="n">
        <v>37</v>
      </c>
      <c r="D144" s="0" t="n">
        <f aca="false">INDEX(Semanas!$E$3:$E$54,37)</f>
        <v>12</v>
      </c>
      <c r="E144" s="0" t="str">
        <f aca="false">IF(Frota!$A7="","",Cronograma!AL7)</f>
        <v/>
      </c>
      <c r="F144" s="0" t="n">
        <f aca="false">IF(OR($E144="",$E144=0),0,1)</f>
        <v>0</v>
      </c>
      <c r="G144" s="0" t="n">
        <f aca="false">IF($F144=0,0,INDEX(Aux_HH!$D$4:$D$18,MATCH($B144&amp;"|"&amp;$E144,Aux_HH!$A$4:$A$18,0)))</f>
        <v>0</v>
      </c>
      <c r="H144" s="0" t="n">
        <f aca="false">IF($F144=0,0,INDEX(Aux_HH!$E$4:$E$18,MATCH($B144&amp;"|"&amp;$E144,Aux_HH!$A$4:$A$18,0)))</f>
        <v>0</v>
      </c>
      <c r="I144" s="0" t="n">
        <f aca="false">IF($F144=0,0,INDEX(Aux_HH!$F$4:$F$18,MATCH($B144&amp;"|"&amp;$E144,Aux_HH!$A$4:$A$18,0)))</f>
        <v>0</v>
      </c>
      <c r="J144" s="0" t="n">
        <f aca="false">IF($F144=0,0,INDEX(Aux_HH!$G$4:$G$18,MATCH($B144&amp;"|"&amp;$E144,Aux_HH!$A$4:$A$18,0)))</f>
        <v>0</v>
      </c>
      <c r="K144" s="0" t="n">
        <f aca="false">IF($F144=0,0,INDEX(Aux_HH!$H$4:$H$18,MATCH($B144&amp;"|"&amp;$E144,Aux_HH!$A$4:$A$18,0)))</f>
        <v>0</v>
      </c>
      <c r="L144" s="0" t="n">
        <f aca="false">IF($F144=0,0,INDEX(Aux_HH!$I$4:$I$18,MATCH($B144&amp;"|"&amp;$E144,Aux_HH!$A$4:$A$18,0)))</f>
        <v>0</v>
      </c>
    </row>
    <row r="145" customFormat="false" ht="15" hidden="false" customHeight="false" outlineLevel="0" collapsed="false">
      <c r="A145" s="0" t="str">
        <f aca="false">IF(Frota!$A7="","",Frota!$A7)</f>
        <v>Colhedora JD CH570 — 1027</v>
      </c>
      <c r="B145" s="0" t="str">
        <f aca="false">IF(Frota!$A7="","",Frota!$B7)</f>
        <v>Colhedora</v>
      </c>
      <c r="C145" s="0" t="n">
        <v>38</v>
      </c>
      <c r="D145" s="0" t="n">
        <f aca="false">INDEX(Semanas!$E$3:$E$54,38)</f>
        <v>12</v>
      </c>
      <c r="E145" s="0" t="str">
        <f aca="false">IF(Frota!$A7="","",Cronograma!AM7)</f>
        <v/>
      </c>
      <c r="F145" s="0" t="n">
        <f aca="false">IF(OR($E145="",$E145=0),0,1)</f>
        <v>0</v>
      </c>
      <c r="G145" s="0" t="n">
        <f aca="false">IF($F145=0,0,INDEX(Aux_HH!$D$4:$D$18,MATCH($B145&amp;"|"&amp;$E145,Aux_HH!$A$4:$A$18,0)))</f>
        <v>0</v>
      </c>
      <c r="H145" s="0" t="n">
        <f aca="false">IF($F145=0,0,INDEX(Aux_HH!$E$4:$E$18,MATCH($B145&amp;"|"&amp;$E145,Aux_HH!$A$4:$A$18,0)))</f>
        <v>0</v>
      </c>
      <c r="I145" s="0" t="n">
        <f aca="false">IF($F145=0,0,INDEX(Aux_HH!$F$4:$F$18,MATCH($B145&amp;"|"&amp;$E145,Aux_HH!$A$4:$A$18,0)))</f>
        <v>0</v>
      </c>
      <c r="J145" s="0" t="n">
        <f aca="false">IF($F145=0,0,INDEX(Aux_HH!$G$4:$G$18,MATCH($B145&amp;"|"&amp;$E145,Aux_HH!$A$4:$A$18,0)))</f>
        <v>0</v>
      </c>
      <c r="K145" s="0" t="n">
        <f aca="false">IF($F145=0,0,INDEX(Aux_HH!$H$4:$H$18,MATCH($B145&amp;"|"&amp;$E145,Aux_HH!$A$4:$A$18,0)))</f>
        <v>0</v>
      </c>
      <c r="L145" s="0" t="n">
        <f aca="false">IF($F145=0,0,INDEX(Aux_HH!$I$4:$I$18,MATCH($B145&amp;"|"&amp;$E145,Aux_HH!$A$4:$A$18,0)))</f>
        <v>0</v>
      </c>
    </row>
    <row r="146" customFormat="false" ht="15" hidden="false" customHeight="false" outlineLevel="0" collapsed="false">
      <c r="A146" s="0" t="str">
        <f aca="false">IF(Frota!$A7="","",Frota!$A7)</f>
        <v>Colhedora JD CH570 — 1027</v>
      </c>
      <c r="B146" s="0" t="str">
        <f aca="false">IF(Frota!$A7="","",Frota!$B7)</f>
        <v>Colhedora</v>
      </c>
      <c r="C146" s="0" t="n">
        <v>39</v>
      </c>
      <c r="D146" s="0" t="n">
        <f aca="false">INDEX(Semanas!$E$3:$E$54,39)</f>
        <v>12</v>
      </c>
      <c r="E146" s="0" t="str">
        <f aca="false">IF(Frota!$A7="","",Cronograma!AN7)</f>
        <v/>
      </c>
      <c r="F146" s="0" t="n">
        <f aca="false">IF(OR($E146="",$E146=0),0,1)</f>
        <v>0</v>
      </c>
      <c r="G146" s="0" t="n">
        <f aca="false">IF($F146=0,0,INDEX(Aux_HH!$D$4:$D$18,MATCH($B146&amp;"|"&amp;$E146,Aux_HH!$A$4:$A$18,0)))</f>
        <v>0</v>
      </c>
      <c r="H146" s="0" t="n">
        <f aca="false">IF($F146=0,0,INDEX(Aux_HH!$E$4:$E$18,MATCH($B146&amp;"|"&amp;$E146,Aux_HH!$A$4:$A$18,0)))</f>
        <v>0</v>
      </c>
      <c r="I146" s="0" t="n">
        <f aca="false">IF($F146=0,0,INDEX(Aux_HH!$F$4:$F$18,MATCH($B146&amp;"|"&amp;$E146,Aux_HH!$A$4:$A$18,0)))</f>
        <v>0</v>
      </c>
      <c r="J146" s="0" t="n">
        <f aca="false">IF($F146=0,0,INDEX(Aux_HH!$G$4:$G$18,MATCH($B146&amp;"|"&amp;$E146,Aux_HH!$A$4:$A$18,0)))</f>
        <v>0</v>
      </c>
      <c r="K146" s="0" t="n">
        <f aca="false">IF($F146=0,0,INDEX(Aux_HH!$H$4:$H$18,MATCH($B146&amp;"|"&amp;$E146,Aux_HH!$A$4:$A$18,0)))</f>
        <v>0</v>
      </c>
      <c r="L146" s="0" t="n">
        <f aca="false">IF($F146=0,0,INDEX(Aux_HH!$I$4:$I$18,MATCH($B146&amp;"|"&amp;$E146,Aux_HH!$A$4:$A$18,0)))</f>
        <v>0</v>
      </c>
    </row>
    <row r="147" customFormat="false" ht="15" hidden="false" customHeight="false" outlineLevel="0" collapsed="false">
      <c r="A147" s="0" t="str">
        <f aca="false">IF(Frota!$A7="","",Frota!$A7)</f>
        <v>Colhedora JD CH570 — 1027</v>
      </c>
      <c r="B147" s="0" t="str">
        <f aca="false">IF(Frota!$A7="","",Frota!$B7)</f>
        <v>Colhedora</v>
      </c>
      <c r="C147" s="0" t="n">
        <v>40</v>
      </c>
      <c r="D147" s="0" t="n">
        <f aca="false">INDEX(Semanas!$E$3:$E$54,40)</f>
        <v>12</v>
      </c>
      <c r="E147" s="0" t="str">
        <f aca="false">IF(Frota!$A7="","",Cronograma!AO7)</f>
        <v/>
      </c>
      <c r="F147" s="0" t="n">
        <f aca="false">IF(OR($E147="",$E147=0),0,1)</f>
        <v>0</v>
      </c>
      <c r="G147" s="0" t="n">
        <f aca="false">IF($F147=0,0,INDEX(Aux_HH!$D$4:$D$18,MATCH($B147&amp;"|"&amp;$E147,Aux_HH!$A$4:$A$18,0)))</f>
        <v>0</v>
      </c>
      <c r="H147" s="0" t="n">
        <f aca="false">IF($F147=0,0,INDEX(Aux_HH!$E$4:$E$18,MATCH($B147&amp;"|"&amp;$E147,Aux_HH!$A$4:$A$18,0)))</f>
        <v>0</v>
      </c>
      <c r="I147" s="0" t="n">
        <f aca="false">IF($F147=0,0,INDEX(Aux_HH!$F$4:$F$18,MATCH($B147&amp;"|"&amp;$E147,Aux_HH!$A$4:$A$18,0)))</f>
        <v>0</v>
      </c>
      <c r="J147" s="0" t="n">
        <f aca="false">IF($F147=0,0,INDEX(Aux_HH!$G$4:$G$18,MATCH($B147&amp;"|"&amp;$E147,Aux_HH!$A$4:$A$18,0)))</f>
        <v>0</v>
      </c>
      <c r="K147" s="0" t="n">
        <f aca="false">IF($F147=0,0,INDEX(Aux_HH!$H$4:$H$18,MATCH($B147&amp;"|"&amp;$E147,Aux_HH!$A$4:$A$18,0)))</f>
        <v>0</v>
      </c>
      <c r="L147" s="0" t="n">
        <f aca="false">IF($F147=0,0,INDEX(Aux_HH!$I$4:$I$18,MATCH($B147&amp;"|"&amp;$E147,Aux_HH!$A$4:$A$18,0)))</f>
        <v>0</v>
      </c>
    </row>
    <row r="148" customFormat="false" ht="15" hidden="false" customHeight="false" outlineLevel="0" collapsed="false">
      <c r="A148" s="0" t="str">
        <f aca="false">IF(Frota!$A7="","",Frota!$A7)</f>
        <v>Colhedora JD CH570 — 1027</v>
      </c>
      <c r="B148" s="0" t="str">
        <f aca="false">IF(Frota!$A7="","",Frota!$B7)</f>
        <v>Colhedora</v>
      </c>
      <c r="C148" s="0" t="n">
        <v>41</v>
      </c>
      <c r="D148" s="0" t="n">
        <f aca="false">INDEX(Semanas!$E$3:$E$54,41)</f>
        <v>1</v>
      </c>
      <c r="E148" s="0" t="str">
        <f aca="false">IF(Frota!$A7="","",Cronograma!AP7)</f>
        <v/>
      </c>
      <c r="F148" s="0" t="n">
        <f aca="false">IF(OR($E148="",$E148=0),0,1)</f>
        <v>0</v>
      </c>
      <c r="G148" s="0" t="n">
        <f aca="false">IF($F148=0,0,INDEX(Aux_HH!$D$4:$D$18,MATCH($B148&amp;"|"&amp;$E148,Aux_HH!$A$4:$A$18,0)))</f>
        <v>0</v>
      </c>
      <c r="H148" s="0" t="n">
        <f aca="false">IF($F148=0,0,INDEX(Aux_HH!$E$4:$E$18,MATCH($B148&amp;"|"&amp;$E148,Aux_HH!$A$4:$A$18,0)))</f>
        <v>0</v>
      </c>
      <c r="I148" s="0" t="n">
        <f aca="false">IF($F148=0,0,INDEX(Aux_HH!$F$4:$F$18,MATCH($B148&amp;"|"&amp;$E148,Aux_HH!$A$4:$A$18,0)))</f>
        <v>0</v>
      </c>
      <c r="J148" s="0" t="n">
        <f aca="false">IF($F148=0,0,INDEX(Aux_HH!$G$4:$G$18,MATCH($B148&amp;"|"&amp;$E148,Aux_HH!$A$4:$A$18,0)))</f>
        <v>0</v>
      </c>
      <c r="K148" s="0" t="n">
        <f aca="false">IF($F148=0,0,INDEX(Aux_HH!$H$4:$H$18,MATCH($B148&amp;"|"&amp;$E148,Aux_HH!$A$4:$A$18,0)))</f>
        <v>0</v>
      </c>
      <c r="L148" s="0" t="n">
        <f aca="false">IF($F148=0,0,INDEX(Aux_HH!$I$4:$I$18,MATCH($B148&amp;"|"&amp;$E148,Aux_HH!$A$4:$A$18,0)))</f>
        <v>0</v>
      </c>
    </row>
    <row r="149" customFormat="false" ht="15" hidden="false" customHeight="false" outlineLevel="0" collapsed="false">
      <c r="A149" s="0" t="str">
        <f aca="false">IF(Frota!$A7="","",Frota!$A7)</f>
        <v>Colhedora JD CH570 — 1027</v>
      </c>
      <c r="B149" s="0" t="str">
        <f aca="false">IF(Frota!$A7="","",Frota!$B7)</f>
        <v>Colhedora</v>
      </c>
      <c r="C149" s="0" t="n">
        <v>42</v>
      </c>
      <c r="D149" s="0" t="n">
        <f aca="false">INDEX(Semanas!$E$3:$E$54,42)</f>
        <v>1</v>
      </c>
      <c r="E149" s="0" t="str">
        <f aca="false">IF(Frota!$A7="","",Cronograma!AQ7)</f>
        <v/>
      </c>
      <c r="F149" s="0" t="n">
        <f aca="false">IF(OR($E149="",$E149=0),0,1)</f>
        <v>0</v>
      </c>
      <c r="G149" s="0" t="n">
        <f aca="false">IF($F149=0,0,INDEX(Aux_HH!$D$4:$D$18,MATCH($B149&amp;"|"&amp;$E149,Aux_HH!$A$4:$A$18,0)))</f>
        <v>0</v>
      </c>
      <c r="H149" s="0" t="n">
        <f aca="false">IF($F149=0,0,INDEX(Aux_HH!$E$4:$E$18,MATCH($B149&amp;"|"&amp;$E149,Aux_HH!$A$4:$A$18,0)))</f>
        <v>0</v>
      </c>
      <c r="I149" s="0" t="n">
        <f aca="false">IF($F149=0,0,INDEX(Aux_HH!$F$4:$F$18,MATCH($B149&amp;"|"&amp;$E149,Aux_HH!$A$4:$A$18,0)))</f>
        <v>0</v>
      </c>
      <c r="J149" s="0" t="n">
        <f aca="false">IF($F149=0,0,INDEX(Aux_HH!$G$4:$G$18,MATCH($B149&amp;"|"&amp;$E149,Aux_HH!$A$4:$A$18,0)))</f>
        <v>0</v>
      </c>
      <c r="K149" s="0" t="n">
        <f aca="false">IF($F149=0,0,INDEX(Aux_HH!$H$4:$H$18,MATCH($B149&amp;"|"&amp;$E149,Aux_HH!$A$4:$A$18,0)))</f>
        <v>0</v>
      </c>
      <c r="L149" s="0" t="n">
        <f aca="false">IF($F149=0,0,INDEX(Aux_HH!$I$4:$I$18,MATCH($B149&amp;"|"&amp;$E149,Aux_HH!$A$4:$A$18,0)))</f>
        <v>0</v>
      </c>
    </row>
    <row r="150" customFormat="false" ht="15" hidden="false" customHeight="false" outlineLevel="0" collapsed="false">
      <c r="A150" s="0" t="str">
        <f aca="false">IF(Frota!$A7="","",Frota!$A7)</f>
        <v>Colhedora JD CH570 — 1027</v>
      </c>
      <c r="B150" s="0" t="str">
        <f aca="false">IF(Frota!$A7="","",Frota!$B7)</f>
        <v>Colhedora</v>
      </c>
      <c r="C150" s="0" t="n">
        <v>43</v>
      </c>
      <c r="D150" s="0" t="n">
        <f aca="false">INDEX(Semanas!$E$3:$E$54,43)</f>
        <v>1</v>
      </c>
      <c r="E150" s="0" t="str">
        <f aca="false">IF(Frota!$A7="","",Cronograma!AR7)</f>
        <v/>
      </c>
      <c r="F150" s="0" t="n">
        <f aca="false">IF(OR($E150="",$E150=0),0,1)</f>
        <v>0</v>
      </c>
      <c r="G150" s="0" t="n">
        <f aca="false">IF($F150=0,0,INDEX(Aux_HH!$D$4:$D$18,MATCH($B150&amp;"|"&amp;$E150,Aux_HH!$A$4:$A$18,0)))</f>
        <v>0</v>
      </c>
      <c r="H150" s="0" t="n">
        <f aca="false">IF($F150=0,0,INDEX(Aux_HH!$E$4:$E$18,MATCH($B150&amp;"|"&amp;$E150,Aux_HH!$A$4:$A$18,0)))</f>
        <v>0</v>
      </c>
      <c r="I150" s="0" t="n">
        <f aca="false">IF($F150=0,0,INDEX(Aux_HH!$F$4:$F$18,MATCH($B150&amp;"|"&amp;$E150,Aux_HH!$A$4:$A$18,0)))</f>
        <v>0</v>
      </c>
      <c r="J150" s="0" t="n">
        <f aca="false">IF($F150=0,0,INDEX(Aux_HH!$G$4:$G$18,MATCH($B150&amp;"|"&amp;$E150,Aux_HH!$A$4:$A$18,0)))</f>
        <v>0</v>
      </c>
      <c r="K150" s="0" t="n">
        <f aca="false">IF($F150=0,0,INDEX(Aux_HH!$H$4:$H$18,MATCH($B150&amp;"|"&amp;$E150,Aux_HH!$A$4:$A$18,0)))</f>
        <v>0</v>
      </c>
      <c r="L150" s="0" t="n">
        <f aca="false">IF($F150=0,0,INDEX(Aux_HH!$I$4:$I$18,MATCH($B150&amp;"|"&amp;$E150,Aux_HH!$A$4:$A$18,0)))</f>
        <v>0</v>
      </c>
    </row>
    <row r="151" customFormat="false" ht="15" hidden="false" customHeight="false" outlineLevel="0" collapsed="false">
      <c r="A151" s="0" t="str">
        <f aca="false">IF(Frota!$A7="","",Frota!$A7)</f>
        <v>Colhedora JD CH570 — 1027</v>
      </c>
      <c r="B151" s="0" t="str">
        <f aca="false">IF(Frota!$A7="","",Frota!$B7)</f>
        <v>Colhedora</v>
      </c>
      <c r="C151" s="0" t="n">
        <v>44</v>
      </c>
      <c r="D151" s="0" t="n">
        <f aca="false">INDEX(Semanas!$E$3:$E$54,44)</f>
        <v>1</v>
      </c>
      <c r="E151" s="0" t="str">
        <f aca="false">IF(Frota!$A7="","",Cronograma!AS7)</f>
        <v/>
      </c>
      <c r="F151" s="0" t="n">
        <f aca="false">IF(OR($E151="",$E151=0),0,1)</f>
        <v>0</v>
      </c>
      <c r="G151" s="0" t="n">
        <f aca="false">IF($F151=0,0,INDEX(Aux_HH!$D$4:$D$18,MATCH($B151&amp;"|"&amp;$E151,Aux_HH!$A$4:$A$18,0)))</f>
        <v>0</v>
      </c>
      <c r="H151" s="0" t="n">
        <f aca="false">IF($F151=0,0,INDEX(Aux_HH!$E$4:$E$18,MATCH($B151&amp;"|"&amp;$E151,Aux_HH!$A$4:$A$18,0)))</f>
        <v>0</v>
      </c>
      <c r="I151" s="0" t="n">
        <f aca="false">IF($F151=0,0,INDEX(Aux_HH!$F$4:$F$18,MATCH($B151&amp;"|"&amp;$E151,Aux_HH!$A$4:$A$18,0)))</f>
        <v>0</v>
      </c>
      <c r="J151" s="0" t="n">
        <f aca="false">IF($F151=0,0,INDEX(Aux_HH!$G$4:$G$18,MATCH($B151&amp;"|"&amp;$E151,Aux_HH!$A$4:$A$18,0)))</f>
        <v>0</v>
      </c>
      <c r="K151" s="0" t="n">
        <f aca="false">IF($F151=0,0,INDEX(Aux_HH!$H$4:$H$18,MATCH($B151&amp;"|"&amp;$E151,Aux_HH!$A$4:$A$18,0)))</f>
        <v>0</v>
      </c>
      <c r="L151" s="0" t="n">
        <f aca="false">IF($F151=0,0,INDEX(Aux_HH!$I$4:$I$18,MATCH($B151&amp;"|"&amp;$E151,Aux_HH!$A$4:$A$18,0)))</f>
        <v>0</v>
      </c>
    </row>
    <row r="152" customFormat="false" ht="15" hidden="false" customHeight="false" outlineLevel="0" collapsed="false">
      <c r="A152" s="0" t="str">
        <f aca="false">IF(Frota!$A7="","",Frota!$A7)</f>
        <v>Colhedora JD CH570 — 1027</v>
      </c>
      <c r="B152" s="0" t="str">
        <f aca="false">IF(Frota!$A7="","",Frota!$B7)</f>
        <v>Colhedora</v>
      </c>
      <c r="C152" s="0" t="n">
        <v>45</v>
      </c>
      <c r="D152" s="0" t="n">
        <f aca="false">INDEX(Semanas!$E$3:$E$54,45)</f>
        <v>2</v>
      </c>
      <c r="E152" s="0" t="str">
        <f aca="false">IF(Frota!$A7="","",Cronograma!AT7)</f>
        <v/>
      </c>
      <c r="F152" s="0" t="n">
        <f aca="false">IF(OR($E152="",$E152=0),0,1)</f>
        <v>0</v>
      </c>
      <c r="G152" s="0" t="n">
        <f aca="false">IF($F152=0,0,INDEX(Aux_HH!$D$4:$D$18,MATCH($B152&amp;"|"&amp;$E152,Aux_HH!$A$4:$A$18,0)))</f>
        <v>0</v>
      </c>
      <c r="H152" s="0" t="n">
        <f aca="false">IF($F152=0,0,INDEX(Aux_HH!$E$4:$E$18,MATCH($B152&amp;"|"&amp;$E152,Aux_HH!$A$4:$A$18,0)))</f>
        <v>0</v>
      </c>
      <c r="I152" s="0" t="n">
        <f aca="false">IF($F152=0,0,INDEX(Aux_HH!$F$4:$F$18,MATCH($B152&amp;"|"&amp;$E152,Aux_HH!$A$4:$A$18,0)))</f>
        <v>0</v>
      </c>
      <c r="J152" s="0" t="n">
        <f aca="false">IF($F152=0,0,INDEX(Aux_HH!$G$4:$G$18,MATCH($B152&amp;"|"&amp;$E152,Aux_HH!$A$4:$A$18,0)))</f>
        <v>0</v>
      </c>
      <c r="K152" s="0" t="n">
        <f aca="false">IF($F152=0,0,INDEX(Aux_HH!$H$4:$H$18,MATCH($B152&amp;"|"&amp;$E152,Aux_HH!$A$4:$A$18,0)))</f>
        <v>0</v>
      </c>
      <c r="L152" s="0" t="n">
        <f aca="false">IF($F152=0,0,INDEX(Aux_HH!$I$4:$I$18,MATCH($B152&amp;"|"&amp;$E152,Aux_HH!$A$4:$A$18,0)))</f>
        <v>0</v>
      </c>
    </row>
    <row r="153" customFormat="false" ht="15" hidden="false" customHeight="false" outlineLevel="0" collapsed="false">
      <c r="A153" s="0" t="str">
        <f aca="false">IF(Frota!$A7="","",Frota!$A7)</f>
        <v>Colhedora JD CH570 — 1027</v>
      </c>
      <c r="B153" s="0" t="str">
        <f aca="false">IF(Frota!$A7="","",Frota!$B7)</f>
        <v>Colhedora</v>
      </c>
      <c r="C153" s="0" t="n">
        <v>46</v>
      </c>
      <c r="D153" s="0" t="n">
        <f aca="false">INDEX(Semanas!$E$3:$E$54,46)</f>
        <v>2</v>
      </c>
      <c r="E153" s="0" t="str">
        <f aca="false">IF(Frota!$A7="","",Cronograma!AU7)</f>
        <v/>
      </c>
      <c r="F153" s="0" t="n">
        <f aca="false">IF(OR($E153="",$E153=0),0,1)</f>
        <v>0</v>
      </c>
      <c r="G153" s="0" t="n">
        <f aca="false">IF($F153=0,0,INDEX(Aux_HH!$D$4:$D$18,MATCH($B153&amp;"|"&amp;$E153,Aux_HH!$A$4:$A$18,0)))</f>
        <v>0</v>
      </c>
      <c r="H153" s="0" t="n">
        <f aca="false">IF($F153=0,0,INDEX(Aux_HH!$E$4:$E$18,MATCH($B153&amp;"|"&amp;$E153,Aux_HH!$A$4:$A$18,0)))</f>
        <v>0</v>
      </c>
      <c r="I153" s="0" t="n">
        <f aca="false">IF($F153=0,0,INDEX(Aux_HH!$F$4:$F$18,MATCH($B153&amp;"|"&amp;$E153,Aux_HH!$A$4:$A$18,0)))</f>
        <v>0</v>
      </c>
      <c r="J153" s="0" t="n">
        <f aca="false">IF($F153=0,0,INDEX(Aux_HH!$G$4:$G$18,MATCH($B153&amp;"|"&amp;$E153,Aux_HH!$A$4:$A$18,0)))</f>
        <v>0</v>
      </c>
      <c r="K153" s="0" t="n">
        <f aca="false">IF($F153=0,0,INDEX(Aux_HH!$H$4:$H$18,MATCH($B153&amp;"|"&amp;$E153,Aux_HH!$A$4:$A$18,0)))</f>
        <v>0</v>
      </c>
      <c r="L153" s="0" t="n">
        <f aca="false">IF($F153=0,0,INDEX(Aux_HH!$I$4:$I$18,MATCH($B153&amp;"|"&amp;$E153,Aux_HH!$A$4:$A$18,0)))</f>
        <v>0</v>
      </c>
    </row>
    <row r="154" customFormat="false" ht="15" hidden="false" customHeight="false" outlineLevel="0" collapsed="false">
      <c r="A154" s="0" t="str">
        <f aca="false">IF(Frota!$A7="","",Frota!$A7)</f>
        <v>Colhedora JD CH570 — 1027</v>
      </c>
      <c r="B154" s="0" t="str">
        <f aca="false">IF(Frota!$A7="","",Frota!$B7)</f>
        <v>Colhedora</v>
      </c>
      <c r="C154" s="0" t="n">
        <v>47</v>
      </c>
      <c r="D154" s="0" t="n">
        <f aca="false">INDEX(Semanas!$E$3:$E$54,47)</f>
        <v>2</v>
      </c>
      <c r="E154" s="0" t="str">
        <f aca="false">IF(Frota!$A7="","",Cronograma!AV7)</f>
        <v/>
      </c>
      <c r="F154" s="0" t="n">
        <f aca="false">IF(OR($E154="",$E154=0),0,1)</f>
        <v>0</v>
      </c>
      <c r="G154" s="0" t="n">
        <f aca="false">IF($F154=0,0,INDEX(Aux_HH!$D$4:$D$18,MATCH($B154&amp;"|"&amp;$E154,Aux_HH!$A$4:$A$18,0)))</f>
        <v>0</v>
      </c>
      <c r="H154" s="0" t="n">
        <f aca="false">IF($F154=0,0,INDEX(Aux_HH!$E$4:$E$18,MATCH($B154&amp;"|"&amp;$E154,Aux_HH!$A$4:$A$18,0)))</f>
        <v>0</v>
      </c>
      <c r="I154" s="0" t="n">
        <f aca="false">IF($F154=0,0,INDEX(Aux_HH!$F$4:$F$18,MATCH($B154&amp;"|"&amp;$E154,Aux_HH!$A$4:$A$18,0)))</f>
        <v>0</v>
      </c>
      <c r="J154" s="0" t="n">
        <f aca="false">IF($F154=0,0,INDEX(Aux_HH!$G$4:$G$18,MATCH($B154&amp;"|"&amp;$E154,Aux_HH!$A$4:$A$18,0)))</f>
        <v>0</v>
      </c>
      <c r="K154" s="0" t="n">
        <f aca="false">IF($F154=0,0,INDEX(Aux_HH!$H$4:$H$18,MATCH($B154&amp;"|"&amp;$E154,Aux_HH!$A$4:$A$18,0)))</f>
        <v>0</v>
      </c>
      <c r="L154" s="0" t="n">
        <f aca="false">IF($F154=0,0,INDEX(Aux_HH!$I$4:$I$18,MATCH($B154&amp;"|"&amp;$E154,Aux_HH!$A$4:$A$18,0)))</f>
        <v>0</v>
      </c>
    </row>
    <row r="155" customFormat="false" ht="15" hidden="false" customHeight="false" outlineLevel="0" collapsed="false">
      <c r="A155" s="0" t="str">
        <f aca="false">IF(Frota!$A7="","",Frota!$A7)</f>
        <v>Colhedora JD CH570 — 1027</v>
      </c>
      <c r="B155" s="0" t="str">
        <f aca="false">IF(Frota!$A7="","",Frota!$B7)</f>
        <v>Colhedora</v>
      </c>
      <c r="C155" s="0" t="n">
        <v>48</v>
      </c>
      <c r="D155" s="0" t="n">
        <f aca="false">INDEX(Semanas!$E$3:$E$54,48)</f>
        <v>2</v>
      </c>
      <c r="E155" s="0" t="str">
        <f aca="false">IF(Frota!$A7="","",Cronograma!AW7)</f>
        <v/>
      </c>
      <c r="F155" s="0" t="n">
        <f aca="false">IF(OR($E155="",$E155=0),0,1)</f>
        <v>0</v>
      </c>
      <c r="G155" s="0" t="n">
        <f aca="false">IF($F155=0,0,INDEX(Aux_HH!$D$4:$D$18,MATCH($B155&amp;"|"&amp;$E155,Aux_HH!$A$4:$A$18,0)))</f>
        <v>0</v>
      </c>
      <c r="H155" s="0" t="n">
        <f aca="false">IF($F155=0,0,INDEX(Aux_HH!$E$4:$E$18,MATCH($B155&amp;"|"&amp;$E155,Aux_HH!$A$4:$A$18,0)))</f>
        <v>0</v>
      </c>
      <c r="I155" s="0" t="n">
        <f aca="false">IF($F155=0,0,INDEX(Aux_HH!$F$4:$F$18,MATCH($B155&amp;"|"&amp;$E155,Aux_HH!$A$4:$A$18,0)))</f>
        <v>0</v>
      </c>
      <c r="J155" s="0" t="n">
        <f aca="false">IF($F155=0,0,INDEX(Aux_HH!$G$4:$G$18,MATCH($B155&amp;"|"&amp;$E155,Aux_HH!$A$4:$A$18,0)))</f>
        <v>0</v>
      </c>
      <c r="K155" s="0" t="n">
        <f aca="false">IF($F155=0,0,INDEX(Aux_HH!$H$4:$H$18,MATCH($B155&amp;"|"&amp;$E155,Aux_HH!$A$4:$A$18,0)))</f>
        <v>0</v>
      </c>
      <c r="L155" s="0" t="n">
        <f aca="false">IF($F155=0,0,INDEX(Aux_HH!$I$4:$I$18,MATCH($B155&amp;"|"&amp;$E155,Aux_HH!$A$4:$A$18,0)))</f>
        <v>0</v>
      </c>
    </row>
    <row r="156" customFormat="false" ht="15" hidden="false" customHeight="false" outlineLevel="0" collapsed="false">
      <c r="A156" s="0" t="str">
        <f aca="false">IF(Frota!$A7="","",Frota!$A7)</f>
        <v>Colhedora JD CH570 — 1027</v>
      </c>
      <c r="B156" s="0" t="str">
        <f aca="false">IF(Frota!$A7="","",Frota!$B7)</f>
        <v>Colhedora</v>
      </c>
      <c r="C156" s="0" t="n">
        <v>49</v>
      </c>
      <c r="D156" s="0" t="n">
        <f aca="false">INDEX(Semanas!$E$3:$E$54,49)</f>
        <v>3</v>
      </c>
      <c r="E156" s="0" t="str">
        <f aca="false">IF(Frota!$A7="","",Cronograma!AX7)</f>
        <v/>
      </c>
      <c r="F156" s="0" t="n">
        <f aca="false">IF(OR($E156="",$E156=0),0,1)</f>
        <v>0</v>
      </c>
      <c r="G156" s="0" t="n">
        <f aca="false">IF($F156=0,0,INDEX(Aux_HH!$D$4:$D$18,MATCH($B156&amp;"|"&amp;$E156,Aux_HH!$A$4:$A$18,0)))</f>
        <v>0</v>
      </c>
      <c r="H156" s="0" t="n">
        <f aca="false">IF($F156=0,0,INDEX(Aux_HH!$E$4:$E$18,MATCH($B156&amp;"|"&amp;$E156,Aux_HH!$A$4:$A$18,0)))</f>
        <v>0</v>
      </c>
      <c r="I156" s="0" t="n">
        <f aca="false">IF($F156=0,0,INDEX(Aux_HH!$F$4:$F$18,MATCH($B156&amp;"|"&amp;$E156,Aux_HH!$A$4:$A$18,0)))</f>
        <v>0</v>
      </c>
      <c r="J156" s="0" t="n">
        <f aca="false">IF($F156=0,0,INDEX(Aux_HH!$G$4:$G$18,MATCH($B156&amp;"|"&amp;$E156,Aux_HH!$A$4:$A$18,0)))</f>
        <v>0</v>
      </c>
      <c r="K156" s="0" t="n">
        <f aca="false">IF($F156=0,0,INDEX(Aux_HH!$H$4:$H$18,MATCH($B156&amp;"|"&amp;$E156,Aux_HH!$A$4:$A$18,0)))</f>
        <v>0</v>
      </c>
      <c r="L156" s="0" t="n">
        <f aca="false">IF($F156=0,0,INDEX(Aux_HH!$I$4:$I$18,MATCH($B156&amp;"|"&amp;$E156,Aux_HH!$A$4:$A$18,0)))</f>
        <v>0</v>
      </c>
    </row>
    <row r="157" customFormat="false" ht="15" hidden="false" customHeight="false" outlineLevel="0" collapsed="false">
      <c r="A157" s="0" t="str">
        <f aca="false">IF(Frota!$A7="","",Frota!$A7)</f>
        <v>Colhedora JD CH570 — 1027</v>
      </c>
      <c r="B157" s="0" t="str">
        <f aca="false">IF(Frota!$A7="","",Frota!$B7)</f>
        <v>Colhedora</v>
      </c>
      <c r="C157" s="0" t="n">
        <v>50</v>
      </c>
      <c r="D157" s="0" t="n">
        <f aca="false">INDEX(Semanas!$E$3:$E$54,50)</f>
        <v>3</v>
      </c>
      <c r="E157" s="0" t="str">
        <f aca="false">IF(Frota!$A7="","",Cronograma!AY7)</f>
        <v/>
      </c>
      <c r="F157" s="0" t="n">
        <f aca="false">IF(OR($E157="",$E157=0),0,1)</f>
        <v>0</v>
      </c>
      <c r="G157" s="0" t="n">
        <f aca="false">IF($F157=0,0,INDEX(Aux_HH!$D$4:$D$18,MATCH($B157&amp;"|"&amp;$E157,Aux_HH!$A$4:$A$18,0)))</f>
        <v>0</v>
      </c>
      <c r="H157" s="0" t="n">
        <f aca="false">IF($F157=0,0,INDEX(Aux_HH!$E$4:$E$18,MATCH($B157&amp;"|"&amp;$E157,Aux_HH!$A$4:$A$18,0)))</f>
        <v>0</v>
      </c>
      <c r="I157" s="0" t="n">
        <f aca="false">IF($F157=0,0,INDEX(Aux_HH!$F$4:$F$18,MATCH($B157&amp;"|"&amp;$E157,Aux_HH!$A$4:$A$18,0)))</f>
        <v>0</v>
      </c>
      <c r="J157" s="0" t="n">
        <f aca="false">IF($F157=0,0,INDEX(Aux_HH!$G$4:$G$18,MATCH($B157&amp;"|"&amp;$E157,Aux_HH!$A$4:$A$18,0)))</f>
        <v>0</v>
      </c>
      <c r="K157" s="0" t="n">
        <f aca="false">IF($F157=0,0,INDEX(Aux_HH!$H$4:$H$18,MATCH($B157&amp;"|"&amp;$E157,Aux_HH!$A$4:$A$18,0)))</f>
        <v>0</v>
      </c>
      <c r="L157" s="0" t="n">
        <f aca="false">IF($F157=0,0,INDEX(Aux_HH!$I$4:$I$18,MATCH($B157&amp;"|"&amp;$E157,Aux_HH!$A$4:$A$18,0)))</f>
        <v>0</v>
      </c>
    </row>
    <row r="158" customFormat="false" ht="15" hidden="false" customHeight="false" outlineLevel="0" collapsed="false">
      <c r="A158" s="0" t="str">
        <f aca="false">IF(Frota!$A7="","",Frota!$A7)</f>
        <v>Colhedora JD CH570 — 1027</v>
      </c>
      <c r="B158" s="0" t="str">
        <f aca="false">IF(Frota!$A7="","",Frota!$B7)</f>
        <v>Colhedora</v>
      </c>
      <c r="C158" s="0" t="n">
        <v>51</v>
      </c>
      <c r="D158" s="0" t="n">
        <f aca="false">INDEX(Semanas!$E$3:$E$54,51)</f>
        <v>3</v>
      </c>
      <c r="E158" s="0" t="str">
        <f aca="false">IF(Frota!$A7="","",Cronograma!AZ7)</f>
        <v/>
      </c>
      <c r="F158" s="0" t="n">
        <f aca="false">IF(OR($E158="",$E158=0),0,1)</f>
        <v>0</v>
      </c>
      <c r="G158" s="0" t="n">
        <f aca="false">IF($F158=0,0,INDEX(Aux_HH!$D$4:$D$18,MATCH($B158&amp;"|"&amp;$E158,Aux_HH!$A$4:$A$18,0)))</f>
        <v>0</v>
      </c>
      <c r="H158" s="0" t="n">
        <f aca="false">IF($F158=0,0,INDEX(Aux_HH!$E$4:$E$18,MATCH($B158&amp;"|"&amp;$E158,Aux_HH!$A$4:$A$18,0)))</f>
        <v>0</v>
      </c>
      <c r="I158" s="0" t="n">
        <f aca="false">IF($F158=0,0,INDEX(Aux_HH!$F$4:$F$18,MATCH($B158&amp;"|"&amp;$E158,Aux_HH!$A$4:$A$18,0)))</f>
        <v>0</v>
      </c>
      <c r="J158" s="0" t="n">
        <f aca="false">IF($F158=0,0,INDEX(Aux_HH!$G$4:$G$18,MATCH($B158&amp;"|"&amp;$E158,Aux_HH!$A$4:$A$18,0)))</f>
        <v>0</v>
      </c>
      <c r="K158" s="0" t="n">
        <f aca="false">IF($F158=0,0,INDEX(Aux_HH!$H$4:$H$18,MATCH($B158&amp;"|"&amp;$E158,Aux_HH!$A$4:$A$18,0)))</f>
        <v>0</v>
      </c>
      <c r="L158" s="0" t="n">
        <f aca="false">IF($F158=0,0,INDEX(Aux_HH!$I$4:$I$18,MATCH($B158&amp;"|"&amp;$E158,Aux_HH!$A$4:$A$18,0)))</f>
        <v>0</v>
      </c>
    </row>
    <row r="159" customFormat="false" ht="15" hidden="false" customHeight="false" outlineLevel="0" collapsed="false">
      <c r="A159" s="0" t="str">
        <f aca="false">IF(Frota!$A7="","",Frota!$A7)</f>
        <v>Colhedora JD CH570 — 1027</v>
      </c>
      <c r="B159" s="0" t="str">
        <f aca="false">IF(Frota!$A7="","",Frota!$B7)</f>
        <v>Colhedora</v>
      </c>
      <c r="C159" s="0" t="n">
        <v>52</v>
      </c>
      <c r="D159" s="0" t="n">
        <f aca="false">INDEX(Semanas!$E$3:$E$54,52)</f>
        <v>3</v>
      </c>
      <c r="E159" s="0" t="str">
        <f aca="false">IF(Frota!$A7="","",Cronograma!BA7)</f>
        <v/>
      </c>
      <c r="F159" s="0" t="n">
        <f aca="false">IF(OR($E159="",$E159=0),0,1)</f>
        <v>0</v>
      </c>
      <c r="G159" s="0" t="n">
        <f aca="false">IF($F159=0,0,INDEX(Aux_HH!$D$4:$D$18,MATCH($B159&amp;"|"&amp;$E159,Aux_HH!$A$4:$A$18,0)))</f>
        <v>0</v>
      </c>
      <c r="H159" s="0" t="n">
        <f aca="false">IF($F159=0,0,INDEX(Aux_HH!$E$4:$E$18,MATCH($B159&amp;"|"&amp;$E159,Aux_HH!$A$4:$A$18,0)))</f>
        <v>0</v>
      </c>
      <c r="I159" s="0" t="n">
        <f aca="false">IF($F159=0,0,INDEX(Aux_HH!$F$4:$F$18,MATCH($B159&amp;"|"&amp;$E159,Aux_HH!$A$4:$A$18,0)))</f>
        <v>0</v>
      </c>
      <c r="J159" s="0" t="n">
        <f aca="false">IF($F159=0,0,INDEX(Aux_HH!$G$4:$G$18,MATCH($B159&amp;"|"&amp;$E159,Aux_HH!$A$4:$A$18,0)))</f>
        <v>0</v>
      </c>
      <c r="K159" s="0" t="n">
        <f aca="false">IF($F159=0,0,INDEX(Aux_HH!$H$4:$H$18,MATCH($B159&amp;"|"&amp;$E159,Aux_HH!$A$4:$A$18,0)))</f>
        <v>0</v>
      </c>
      <c r="L159" s="0" t="n">
        <f aca="false">IF($F159=0,0,INDEX(Aux_HH!$I$4:$I$18,MATCH($B159&amp;"|"&amp;$E159,Aux_HH!$A$4:$A$18,0)))</f>
        <v>0</v>
      </c>
    </row>
    <row r="160" customFormat="false" ht="15" hidden="false" customHeight="false" outlineLevel="0" collapsed="false">
      <c r="A160" s="0" t="str">
        <f aca="false">IF(Frota!$A8="","",Frota!$A8)</f>
        <v>Colhedora CASE A9000 — 1043</v>
      </c>
      <c r="B160" s="0" t="str">
        <f aca="false">IF(Frota!$A8="","",Frota!$B8)</f>
        <v>Colhedora</v>
      </c>
      <c r="C160" s="0" t="n">
        <v>1</v>
      </c>
      <c r="D160" s="0" t="n">
        <f aca="false">INDEX(Semanas!$E$3:$E$54,1)</f>
        <v>4</v>
      </c>
      <c r="E160" s="0" t="str">
        <f aca="false">IF(Frota!$A8="","",Cronograma!B8)</f>
        <v/>
      </c>
      <c r="F160" s="0" t="n">
        <f aca="false">IF(OR($E160="",$E160=0),0,1)</f>
        <v>0</v>
      </c>
      <c r="G160" s="0" t="n">
        <f aca="false">IF($F160=0,0,INDEX(Aux_HH!$D$4:$D$18,MATCH($B160&amp;"|"&amp;$E160,Aux_HH!$A$4:$A$18,0)))</f>
        <v>0</v>
      </c>
      <c r="H160" s="0" t="n">
        <f aca="false">IF($F160=0,0,INDEX(Aux_HH!$E$4:$E$18,MATCH($B160&amp;"|"&amp;$E160,Aux_HH!$A$4:$A$18,0)))</f>
        <v>0</v>
      </c>
      <c r="I160" s="0" t="n">
        <f aca="false">IF($F160=0,0,INDEX(Aux_HH!$F$4:$F$18,MATCH($B160&amp;"|"&amp;$E160,Aux_HH!$A$4:$A$18,0)))</f>
        <v>0</v>
      </c>
      <c r="J160" s="0" t="n">
        <f aca="false">IF($F160=0,0,INDEX(Aux_HH!$G$4:$G$18,MATCH($B160&amp;"|"&amp;$E160,Aux_HH!$A$4:$A$18,0)))</f>
        <v>0</v>
      </c>
      <c r="K160" s="0" t="n">
        <f aca="false">IF($F160=0,0,INDEX(Aux_HH!$H$4:$H$18,MATCH($B160&amp;"|"&amp;$E160,Aux_HH!$A$4:$A$18,0)))</f>
        <v>0</v>
      </c>
      <c r="L160" s="0" t="n">
        <f aca="false">IF($F160=0,0,INDEX(Aux_HH!$I$4:$I$18,MATCH($B160&amp;"|"&amp;$E160,Aux_HH!$A$4:$A$18,0)))</f>
        <v>0</v>
      </c>
    </row>
    <row r="161" customFormat="false" ht="15" hidden="false" customHeight="false" outlineLevel="0" collapsed="false">
      <c r="A161" s="0" t="str">
        <f aca="false">IF(Frota!$A8="","",Frota!$A8)</f>
        <v>Colhedora CASE A9000 — 1043</v>
      </c>
      <c r="B161" s="0" t="str">
        <f aca="false">IF(Frota!$A8="","",Frota!$B8)</f>
        <v>Colhedora</v>
      </c>
      <c r="C161" s="0" t="n">
        <v>2</v>
      </c>
      <c r="D161" s="0" t="n">
        <f aca="false">INDEX(Semanas!$E$3:$E$54,2)</f>
        <v>4</v>
      </c>
      <c r="E161" s="0" t="str">
        <f aca="false">IF(Frota!$A8="","",Cronograma!C8)</f>
        <v>S</v>
      </c>
      <c r="F161" s="0" t="n">
        <f aca="false">IF(OR($E161="",$E161=0),0,1)</f>
        <v>1</v>
      </c>
      <c r="G161" s="0" t="n">
        <f aca="false">IF($F161=0,0,INDEX(Aux_HH!$D$4:$D$18,MATCH($B161&amp;"|"&amp;$E161,Aux_HH!$A$4:$A$18,0)))</f>
        <v>3.75</v>
      </c>
      <c r="H161" s="0" t="n">
        <f aca="false">IF($F161=0,0,INDEX(Aux_HH!$E$4:$E$18,MATCH($B161&amp;"|"&amp;$E161,Aux_HH!$A$4:$A$18,0)))</f>
        <v>0</v>
      </c>
      <c r="I161" s="0" t="n">
        <f aca="false">IF($F161=0,0,INDEX(Aux_HH!$F$4:$F$18,MATCH($B161&amp;"|"&amp;$E161,Aux_HH!$A$4:$A$18,0)))</f>
        <v>1</v>
      </c>
      <c r="J161" s="0" t="n">
        <f aca="false">IF($F161=0,0,INDEX(Aux_HH!$G$4:$G$18,MATCH($B161&amp;"|"&amp;$E161,Aux_HH!$A$4:$A$18,0)))</f>
        <v>0.75</v>
      </c>
      <c r="K161" s="0" t="n">
        <f aca="false">IF($F161=0,0,INDEX(Aux_HH!$H$4:$H$18,MATCH($B161&amp;"|"&amp;$E161,Aux_HH!$A$4:$A$18,0)))</f>
        <v>0</v>
      </c>
      <c r="L161" s="0" t="n">
        <f aca="false">IF($F161=0,0,INDEX(Aux_HH!$I$4:$I$18,MATCH($B161&amp;"|"&amp;$E161,Aux_HH!$A$4:$A$18,0)))</f>
        <v>0</v>
      </c>
    </row>
    <row r="162" customFormat="false" ht="15" hidden="false" customHeight="false" outlineLevel="0" collapsed="false">
      <c r="A162" s="0" t="str">
        <f aca="false">IF(Frota!$A8="","",Frota!$A8)</f>
        <v>Colhedora CASE A9000 — 1043</v>
      </c>
      <c r="B162" s="0" t="str">
        <f aca="false">IF(Frota!$A8="","",Frota!$B8)</f>
        <v>Colhedora</v>
      </c>
      <c r="C162" s="0" t="n">
        <v>3</v>
      </c>
      <c r="D162" s="0" t="n">
        <f aca="false">INDEX(Semanas!$E$3:$E$54,3)</f>
        <v>4</v>
      </c>
      <c r="E162" s="0" t="str">
        <f aca="false">IF(Frota!$A8="","",Cronograma!D8)</f>
        <v/>
      </c>
      <c r="F162" s="0" t="n">
        <f aca="false">IF(OR($E162="",$E162=0),0,1)</f>
        <v>0</v>
      </c>
      <c r="G162" s="0" t="n">
        <f aca="false">IF($F162=0,0,INDEX(Aux_HH!$D$4:$D$18,MATCH($B162&amp;"|"&amp;$E162,Aux_HH!$A$4:$A$18,0)))</f>
        <v>0</v>
      </c>
      <c r="H162" s="0" t="n">
        <f aca="false">IF($F162=0,0,INDEX(Aux_HH!$E$4:$E$18,MATCH($B162&amp;"|"&amp;$E162,Aux_HH!$A$4:$A$18,0)))</f>
        <v>0</v>
      </c>
      <c r="I162" s="0" t="n">
        <f aca="false">IF($F162=0,0,INDEX(Aux_HH!$F$4:$F$18,MATCH($B162&amp;"|"&amp;$E162,Aux_HH!$A$4:$A$18,0)))</f>
        <v>0</v>
      </c>
      <c r="J162" s="0" t="n">
        <f aca="false">IF($F162=0,0,INDEX(Aux_HH!$G$4:$G$18,MATCH($B162&amp;"|"&amp;$E162,Aux_HH!$A$4:$A$18,0)))</f>
        <v>0</v>
      </c>
      <c r="K162" s="0" t="n">
        <f aca="false">IF($F162=0,0,INDEX(Aux_HH!$H$4:$H$18,MATCH($B162&amp;"|"&amp;$E162,Aux_HH!$A$4:$A$18,0)))</f>
        <v>0</v>
      </c>
      <c r="L162" s="0" t="n">
        <f aca="false">IF($F162=0,0,INDEX(Aux_HH!$I$4:$I$18,MATCH($B162&amp;"|"&amp;$E162,Aux_HH!$A$4:$A$18,0)))</f>
        <v>0</v>
      </c>
    </row>
    <row r="163" customFormat="false" ht="15" hidden="false" customHeight="false" outlineLevel="0" collapsed="false">
      <c r="A163" s="0" t="str">
        <f aca="false">IF(Frota!$A8="","",Frota!$A8)</f>
        <v>Colhedora CASE A9000 — 1043</v>
      </c>
      <c r="B163" s="0" t="str">
        <f aca="false">IF(Frota!$A8="","",Frota!$B8)</f>
        <v>Colhedora</v>
      </c>
      <c r="C163" s="0" t="n">
        <v>4</v>
      </c>
      <c r="D163" s="0" t="n">
        <f aca="false">INDEX(Semanas!$E$3:$E$54,4)</f>
        <v>4</v>
      </c>
      <c r="E163" s="0" t="str">
        <f aca="false">IF(Frota!$A8="","",Cronograma!E8)</f>
        <v/>
      </c>
      <c r="F163" s="0" t="n">
        <f aca="false">IF(OR($E163="",$E163=0),0,1)</f>
        <v>0</v>
      </c>
      <c r="G163" s="0" t="n">
        <f aca="false">IF($F163=0,0,INDEX(Aux_HH!$D$4:$D$18,MATCH($B163&amp;"|"&amp;$E163,Aux_HH!$A$4:$A$18,0)))</f>
        <v>0</v>
      </c>
      <c r="H163" s="0" t="n">
        <f aca="false">IF($F163=0,0,INDEX(Aux_HH!$E$4:$E$18,MATCH($B163&amp;"|"&amp;$E163,Aux_HH!$A$4:$A$18,0)))</f>
        <v>0</v>
      </c>
      <c r="I163" s="0" t="n">
        <f aca="false">IF($F163=0,0,INDEX(Aux_HH!$F$4:$F$18,MATCH($B163&amp;"|"&amp;$E163,Aux_HH!$A$4:$A$18,0)))</f>
        <v>0</v>
      </c>
      <c r="J163" s="0" t="n">
        <f aca="false">IF($F163=0,0,INDEX(Aux_HH!$G$4:$G$18,MATCH($B163&amp;"|"&amp;$E163,Aux_HH!$A$4:$A$18,0)))</f>
        <v>0</v>
      </c>
      <c r="K163" s="0" t="n">
        <f aca="false">IF($F163=0,0,INDEX(Aux_HH!$H$4:$H$18,MATCH($B163&amp;"|"&amp;$E163,Aux_HH!$A$4:$A$18,0)))</f>
        <v>0</v>
      </c>
      <c r="L163" s="0" t="n">
        <f aca="false">IF($F163=0,0,INDEX(Aux_HH!$I$4:$I$18,MATCH($B163&amp;"|"&amp;$E163,Aux_HH!$A$4:$A$18,0)))</f>
        <v>0</v>
      </c>
    </row>
    <row r="164" customFormat="false" ht="15" hidden="false" customHeight="false" outlineLevel="0" collapsed="false">
      <c r="A164" s="0" t="str">
        <f aca="false">IF(Frota!$A8="","",Frota!$A8)</f>
        <v>Colhedora CASE A9000 — 1043</v>
      </c>
      <c r="B164" s="0" t="str">
        <f aca="false">IF(Frota!$A8="","",Frota!$B8)</f>
        <v>Colhedora</v>
      </c>
      <c r="C164" s="0" t="n">
        <v>5</v>
      </c>
      <c r="D164" s="0" t="n">
        <f aca="false">INDEX(Semanas!$E$3:$E$54,5)</f>
        <v>4</v>
      </c>
      <c r="E164" s="0" t="str">
        <f aca="false">IF(Frota!$A8="","",Cronograma!F8)</f>
        <v/>
      </c>
      <c r="F164" s="0" t="n">
        <f aca="false">IF(OR($E164="",$E164=0),0,1)</f>
        <v>0</v>
      </c>
      <c r="G164" s="0" t="n">
        <f aca="false">IF($F164=0,0,INDEX(Aux_HH!$D$4:$D$18,MATCH($B164&amp;"|"&amp;$E164,Aux_HH!$A$4:$A$18,0)))</f>
        <v>0</v>
      </c>
      <c r="H164" s="0" t="n">
        <f aca="false">IF($F164=0,0,INDEX(Aux_HH!$E$4:$E$18,MATCH($B164&amp;"|"&amp;$E164,Aux_HH!$A$4:$A$18,0)))</f>
        <v>0</v>
      </c>
      <c r="I164" s="0" t="n">
        <f aca="false">IF($F164=0,0,INDEX(Aux_HH!$F$4:$F$18,MATCH($B164&amp;"|"&amp;$E164,Aux_HH!$A$4:$A$18,0)))</f>
        <v>0</v>
      </c>
      <c r="J164" s="0" t="n">
        <f aca="false">IF($F164=0,0,INDEX(Aux_HH!$G$4:$G$18,MATCH($B164&amp;"|"&amp;$E164,Aux_HH!$A$4:$A$18,0)))</f>
        <v>0</v>
      </c>
      <c r="K164" s="0" t="n">
        <f aca="false">IF($F164=0,0,INDEX(Aux_HH!$H$4:$H$18,MATCH($B164&amp;"|"&amp;$E164,Aux_HH!$A$4:$A$18,0)))</f>
        <v>0</v>
      </c>
      <c r="L164" s="0" t="n">
        <f aca="false">IF($F164=0,0,INDEX(Aux_HH!$I$4:$I$18,MATCH($B164&amp;"|"&amp;$E164,Aux_HH!$A$4:$A$18,0)))</f>
        <v>0</v>
      </c>
    </row>
    <row r="165" customFormat="false" ht="15" hidden="false" customHeight="false" outlineLevel="0" collapsed="false">
      <c r="A165" s="0" t="str">
        <f aca="false">IF(Frota!$A8="","",Frota!$A8)</f>
        <v>Colhedora CASE A9000 — 1043</v>
      </c>
      <c r="B165" s="0" t="str">
        <f aca="false">IF(Frota!$A8="","",Frota!$B8)</f>
        <v>Colhedora</v>
      </c>
      <c r="C165" s="0" t="n">
        <v>6</v>
      </c>
      <c r="D165" s="0" t="n">
        <f aca="false">INDEX(Semanas!$E$3:$E$54,6)</f>
        <v>5</v>
      </c>
      <c r="E165" s="0" t="str">
        <f aca="false">IF(Frota!$A8="","",Cronograma!G8)</f>
        <v/>
      </c>
      <c r="F165" s="0" t="n">
        <f aca="false">IF(OR($E165="",$E165=0),0,1)</f>
        <v>0</v>
      </c>
      <c r="G165" s="0" t="n">
        <f aca="false">IF($F165=0,0,INDEX(Aux_HH!$D$4:$D$18,MATCH($B165&amp;"|"&amp;$E165,Aux_HH!$A$4:$A$18,0)))</f>
        <v>0</v>
      </c>
      <c r="H165" s="0" t="n">
        <f aca="false">IF($F165=0,0,INDEX(Aux_HH!$E$4:$E$18,MATCH($B165&amp;"|"&amp;$E165,Aux_HH!$A$4:$A$18,0)))</f>
        <v>0</v>
      </c>
      <c r="I165" s="0" t="n">
        <f aca="false">IF($F165=0,0,INDEX(Aux_HH!$F$4:$F$18,MATCH($B165&amp;"|"&amp;$E165,Aux_HH!$A$4:$A$18,0)))</f>
        <v>0</v>
      </c>
      <c r="J165" s="0" t="n">
        <f aca="false">IF($F165=0,0,INDEX(Aux_HH!$G$4:$G$18,MATCH($B165&amp;"|"&amp;$E165,Aux_HH!$A$4:$A$18,0)))</f>
        <v>0</v>
      </c>
      <c r="K165" s="0" t="n">
        <f aca="false">IF($F165=0,0,INDEX(Aux_HH!$H$4:$H$18,MATCH($B165&amp;"|"&amp;$E165,Aux_HH!$A$4:$A$18,0)))</f>
        <v>0</v>
      </c>
      <c r="L165" s="0" t="n">
        <f aca="false">IF($F165=0,0,INDEX(Aux_HH!$I$4:$I$18,MATCH($B165&amp;"|"&amp;$E165,Aux_HH!$A$4:$A$18,0)))</f>
        <v>0</v>
      </c>
    </row>
    <row r="166" customFormat="false" ht="15" hidden="false" customHeight="false" outlineLevel="0" collapsed="false">
      <c r="A166" s="0" t="str">
        <f aca="false">IF(Frota!$A8="","",Frota!$A8)</f>
        <v>Colhedora CASE A9000 — 1043</v>
      </c>
      <c r="B166" s="0" t="str">
        <f aca="false">IF(Frota!$A8="","",Frota!$B8)</f>
        <v>Colhedora</v>
      </c>
      <c r="C166" s="0" t="n">
        <v>7</v>
      </c>
      <c r="D166" s="0" t="n">
        <f aca="false">INDEX(Semanas!$E$3:$E$54,7)</f>
        <v>5</v>
      </c>
      <c r="E166" s="0" t="str">
        <f aca="false">IF(Frota!$A8="","",Cronograma!H8)</f>
        <v>A</v>
      </c>
      <c r="F166" s="0" t="n">
        <f aca="false">IF(OR($E166="",$E166=0),0,1)</f>
        <v>1</v>
      </c>
      <c r="G166" s="0" t="n">
        <f aca="false">IF($F166=0,0,INDEX(Aux_HH!$D$4:$D$18,MATCH($B166&amp;"|"&amp;$E166,Aux_HH!$A$4:$A$18,0)))</f>
        <v>10.25</v>
      </c>
      <c r="H166" s="0" t="n">
        <f aca="false">IF($F166=0,0,INDEX(Aux_HH!$E$4:$E$18,MATCH($B166&amp;"|"&amp;$E166,Aux_HH!$A$4:$A$18,0)))</f>
        <v>0</v>
      </c>
      <c r="I166" s="0" t="n">
        <f aca="false">IF($F166=0,0,INDEX(Aux_HH!$F$4:$F$18,MATCH($B166&amp;"|"&amp;$E166,Aux_HH!$A$4:$A$18,0)))</f>
        <v>3</v>
      </c>
      <c r="J166" s="0" t="n">
        <f aca="false">IF($F166=0,0,INDEX(Aux_HH!$G$4:$G$18,MATCH($B166&amp;"|"&amp;$E166,Aux_HH!$A$4:$A$18,0)))</f>
        <v>1.75</v>
      </c>
      <c r="K166" s="0" t="n">
        <f aca="false">IF($F166=0,0,INDEX(Aux_HH!$H$4:$H$18,MATCH($B166&amp;"|"&amp;$E166,Aux_HH!$A$4:$A$18,0)))</f>
        <v>0</v>
      </c>
      <c r="L166" s="0" t="n">
        <f aca="false">IF($F166=0,0,INDEX(Aux_HH!$I$4:$I$18,MATCH($B166&amp;"|"&amp;$E166,Aux_HH!$A$4:$A$18,0)))</f>
        <v>0</v>
      </c>
    </row>
    <row r="167" customFormat="false" ht="15" hidden="false" customHeight="false" outlineLevel="0" collapsed="false">
      <c r="A167" s="0" t="str">
        <f aca="false">IF(Frota!$A8="","",Frota!$A8)</f>
        <v>Colhedora CASE A9000 — 1043</v>
      </c>
      <c r="B167" s="0" t="str">
        <f aca="false">IF(Frota!$A8="","",Frota!$B8)</f>
        <v>Colhedora</v>
      </c>
      <c r="C167" s="0" t="n">
        <v>8</v>
      </c>
      <c r="D167" s="0" t="n">
        <f aca="false">INDEX(Semanas!$E$3:$E$54,8)</f>
        <v>5</v>
      </c>
      <c r="E167" s="0" t="str">
        <f aca="false">IF(Frota!$A8="","",Cronograma!I8)</f>
        <v/>
      </c>
      <c r="F167" s="0" t="n">
        <f aca="false">IF(OR($E167="",$E167=0),0,1)</f>
        <v>0</v>
      </c>
      <c r="G167" s="0" t="n">
        <f aca="false">IF($F167=0,0,INDEX(Aux_HH!$D$4:$D$18,MATCH($B167&amp;"|"&amp;$E167,Aux_HH!$A$4:$A$18,0)))</f>
        <v>0</v>
      </c>
      <c r="H167" s="0" t="n">
        <f aca="false">IF($F167=0,0,INDEX(Aux_HH!$E$4:$E$18,MATCH($B167&amp;"|"&amp;$E167,Aux_HH!$A$4:$A$18,0)))</f>
        <v>0</v>
      </c>
      <c r="I167" s="0" t="n">
        <f aca="false">IF($F167=0,0,INDEX(Aux_HH!$F$4:$F$18,MATCH($B167&amp;"|"&amp;$E167,Aux_HH!$A$4:$A$18,0)))</f>
        <v>0</v>
      </c>
      <c r="J167" s="0" t="n">
        <f aca="false">IF($F167=0,0,INDEX(Aux_HH!$G$4:$G$18,MATCH($B167&amp;"|"&amp;$E167,Aux_HH!$A$4:$A$18,0)))</f>
        <v>0</v>
      </c>
      <c r="K167" s="0" t="n">
        <f aca="false">IF($F167=0,0,INDEX(Aux_HH!$H$4:$H$18,MATCH($B167&amp;"|"&amp;$E167,Aux_HH!$A$4:$A$18,0)))</f>
        <v>0</v>
      </c>
      <c r="L167" s="0" t="n">
        <f aca="false">IF($F167=0,0,INDEX(Aux_HH!$I$4:$I$18,MATCH($B167&amp;"|"&amp;$E167,Aux_HH!$A$4:$A$18,0)))</f>
        <v>0</v>
      </c>
    </row>
    <row r="168" customFormat="false" ht="15" hidden="false" customHeight="false" outlineLevel="0" collapsed="false">
      <c r="A168" s="0" t="str">
        <f aca="false">IF(Frota!$A8="","",Frota!$A8)</f>
        <v>Colhedora CASE A9000 — 1043</v>
      </c>
      <c r="B168" s="0" t="str">
        <f aca="false">IF(Frota!$A8="","",Frota!$B8)</f>
        <v>Colhedora</v>
      </c>
      <c r="C168" s="0" t="n">
        <v>9</v>
      </c>
      <c r="D168" s="0" t="n">
        <f aca="false">INDEX(Semanas!$E$3:$E$54,9)</f>
        <v>5</v>
      </c>
      <c r="E168" s="0" t="str">
        <f aca="false">IF(Frota!$A8="","",Cronograma!J8)</f>
        <v/>
      </c>
      <c r="F168" s="0" t="n">
        <f aca="false">IF(OR($E168="",$E168=0),0,1)</f>
        <v>0</v>
      </c>
      <c r="G168" s="0" t="n">
        <f aca="false">IF($F168=0,0,INDEX(Aux_HH!$D$4:$D$18,MATCH($B168&amp;"|"&amp;$E168,Aux_HH!$A$4:$A$18,0)))</f>
        <v>0</v>
      </c>
      <c r="H168" s="0" t="n">
        <f aca="false">IF($F168=0,0,INDEX(Aux_HH!$E$4:$E$18,MATCH($B168&amp;"|"&amp;$E168,Aux_HH!$A$4:$A$18,0)))</f>
        <v>0</v>
      </c>
      <c r="I168" s="0" t="n">
        <f aca="false">IF($F168=0,0,INDEX(Aux_HH!$F$4:$F$18,MATCH($B168&amp;"|"&amp;$E168,Aux_HH!$A$4:$A$18,0)))</f>
        <v>0</v>
      </c>
      <c r="J168" s="0" t="n">
        <f aca="false">IF($F168=0,0,INDEX(Aux_HH!$G$4:$G$18,MATCH($B168&amp;"|"&amp;$E168,Aux_HH!$A$4:$A$18,0)))</f>
        <v>0</v>
      </c>
      <c r="K168" s="0" t="n">
        <f aca="false">IF($F168=0,0,INDEX(Aux_HH!$H$4:$H$18,MATCH($B168&amp;"|"&amp;$E168,Aux_HH!$A$4:$A$18,0)))</f>
        <v>0</v>
      </c>
      <c r="L168" s="0" t="n">
        <f aca="false">IF($F168=0,0,INDEX(Aux_HH!$I$4:$I$18,MATCH($B168&amp;"|"&amp;$E168,Aux_HH!$A$4:$A$18,0)))</f>
        <v>0</v>
      </c>
    </row>
    <row r="169" customFormat="false" ht="15" hidden="false" customHeight="false" outlineLevel="0" collapsed="false">
      <c r="A169" s="0" t="str">
        <f aca="false">IF(Frota!$A8="","",Frota!$A8)</f>
        <v>Colhedora CASE A9000 — 1043</v>
      </c>
      <c r="B169" s="0" t="str">
        <f aca="false">IF(Frota!$A8="","",Frota!$B8)</f>
        <v>Colhedora</v>
      </c>
      <c r="C169" s="0" t="n">
        <v>10</v>
      </c>
      <c r="D169" s="0" t="n">
        <f aca="false">INDEX(Semanas!$E$3:$E$54,10)</f>
        <v>6</v>
      </c>
      <c r="E169" s="0" t="str">
        <f aca="false">IF(Frota!$A8="","",Cronograma!K8)</f>
        <v/>
      </c>
      <c r="F169" s="0" t="n">
        <f aca="false">IF(OR($E169="",$E169=0),0,1)</f>
        <v>0</v>
      </c>
      <c r="G169" s="0" t="n">
        <f aca="false">IF($F169=0,0,INDEX(Aux_HH!$D$4:$D$18,MATCH($B169&amp;"|"&amp;$E169,Aux_HH!$A$4:$A$18,0)))</f>
        <v>0</v>
      </c>
      <c r="H169" s="0" t="n">
        <f aca="false">IF($F169=0,0,INDEX(Aux_HH!$E$4:$E$18,MATCH($B169&amp;"|"&amp;$E169,Aux_HH!$A$4:$A$18,0)))</f>
        <v>0</v>
      </c>
      <c r="I169" s="0" t="n">
        <f aca="false">IF($F169=0,0,INDEX(Aux_HH!$F$4:$F$18,MATCH($B169&amp;"|"&amp;$E169,Aux_HH!$A$4:$A$18,0)))</f>
        <v>0</v>
      </c>
      <c r="J169" s="0" t="n">
        <f aca="false">IF($F169=0,0,INDEX(Aux_HH!$G$4:$G$18,MATCH($B169&amp;"|"&amp;$E169,Aux_HH!$A$4:$A$18,0)))</f>
        <v>0</v>
      </c>
      <c r="K169" s="0" t="n">
        <f aca="false">IF($F169=0,0,INDEX(Aux_HH!$H$4:$H$18,MATCH($B169&amp;"|"&amp;$E169,Aux_HH!$A$4:$A$18,0)))</f>
        <v>0</v>
      </c>
      <c r="L169" s="0" t="n">
        <f aca="false">IF($F169=0,0,INDEX(Aux_HH!$I$4:$I$18,MATCH($B169&amp;"|"&amp;$E169,Aux_HH!$A$4:$A$18,0)))</f>
        <v>0</v>
      </c>
    </row>
    <row r="170" customFormat="false" ht="15" hidden="false" customHeight="false" outlineLevel="0" collapsed="false">
      <c r="A170" s="0" t="str">
        <f aca="false">IF(Frota!$A8="","",Frota!$A8)</f>
        <v>Colhedora CASE A9000 — 1043</v>
      </c>
      <c r="B170" s="0" t="str">
        <f aca="false">IF(Frota!$A8="","",Frota!$B8)</f>
        <v>Colhedora</v>
      </c>
      <c r="C170" s="0" t="n">
        <v>11</v>
      </c>
      <c r="D170" s="0" t="n">
        <f aca="false">INDEX(Semanas!$E$3:$E$54,11)</f>
        <v>6</v>
      </c>
      <c r="E170" s="0" t="str">
        <f aca="false">IF(Frota!$A8="","",Cronograma!L8)</f>
        <v/>
      </c>
      <c r="F170" s="0" t="n">
        <f aca="false">IF(OR($E170="",$E170=0),0,1)</f>
        <v>0</v>
      </c>
      <c r="G170" s="0" t="n">
        <f aca="false">IF($F170=0,0,INDEX(Aux_HH!$D$4:$D$18,MATCH($B170&amp;"|"&amp;$E170,Aux_HH!$A$4:$A$18,0)))</f>
        <v>0</v>
      </c>
      <c r="H170" s="0" t="n">
        <f aca="false">IF($F170=0,0,INDEX(Aux_HH!$E$4:$E$18,MATCH($B170&amp;"|"&amp;$E170,Aux_HH!$A$4:$A$18,0)))</f>
        <v>0</v>
      </c>
      <c r="I170" s="0" t="n">
        <f aca="false">IF($F170=0,0,INDEX(Aux_HH!$F$4:$F$18,MATCH($B170&amp;"|"&amp;$E170,Aux_HH!$A$4:$A$18,0)))</f>
        <v>0</v>
      </c>
      <c r="J170" s="0" t="n">
        <f aca="false">IF($F170=0,0,INDEX(Aux_HH!$G$4:$G$18,MATCH($B170&amp;"|"&amp;$E170,Aux_HH!$A$4:$A$18,0)))</f>
        <v>0</v>
      </c>
      <c r="K170" s="0" t="n">
        <f aca="false">IF($F170=0,0,INDEX(Aux_HH!$H$4:$H$18,MATCH($B170&amp;"|"&amp;$E170,Aux_HH!$A$4:$A$18,0)))</f>
        <v>0</v>
      </c>
      <c r="L170" s="0" t="n">
        <f aca="false">IF($F170=0,0,INDEX(Aux_HH!$I$4:$I$18,MATCH($B170&amp;"|"&amp;$E170,Aux_HH!$A$4:$A$18,0)))</f>
        <v>0</v>
      </c>
    </row>
    <row r="171" customFormat="false" ht="15" hidden="false" customHeight="false" outlineLevel="0" collapsed="false">
      <c r="A171" s="0" t="str">
        <f aca="false">IF(Frota!$A8="","",Frota!$A8)</f>
        <v>Colhedora CASE A9000 — 1043</v>
      </c>
      <c r="B171" s="0" t="str">
        <f aca="false">IF(Frota!$A8="","",Frota!$B8)</f>
        <v>Colhedora</v>
      </c>
      <c r="C171" s="0" t="n">
        <v>12</v>
      </c>
      <c r="D171" s="0" t="n">
        <f aca="false">INDEX(Semanas!$E$3:$E$54,12)</f>
        <v>6</v>
      </c>
      <c r="E171" s="0" t="str">
        <f aca="false">IF(Frota!$A8="","",Cronograma!M8)</f>
        <v>S</v>
      </c>
      <c r="F171" s="0" t="n">
        <f aca="false">IF(OR($E171="",$E171=0),0,1)</f>
        <v>1</v>
      </c>
      <c r="G171" s="0" t="n">
        <f aca="false">IF($F171=0,0,INDEX(Aux_HH!$D$4:$D$18,MATCH($B171&amp;"|"&amp;$E171,Aux_HH!$A$4:$A$18,0)))</f>
        <v>3.75</v>
      </c>
      <c r="H171" s="0" t="n">
        <f aca="false">IF($F171=0,0,INDEX(Aux_HH!$E$4:$E$18,MATCH($B171&amp;"|"&amp;$E171,Aux_HH!$A$4:$A$18,0)))</f>
        <v>0</v>
      </c>
      <c r="I171" s="0" t="n">
        <f aca="false">IF($F171=0,0,INDEX(Aux_HH!$F$4:$F$18,MATCH($B171&amp;"|"&amp;$E171,Aux_HH!$A$4:$A$18,0)))</f>
        <v>1</v>
      </c>
      <c r="J171" s="0" t="n">
        <f aca="false">IF($F171=0,0,INDEX(Aux_HH!$G$4:$G$18,MATCH($B171&amp;"|"&amp;$E171,Aux_HH!$A$4:$A$18,0)))</f>
        <v>0.75</v>
      </c>
      <c r="K171" s="0" t="n">
        <f aca="false">IF($F171=0,0,INDEX(Aux_HH!$H$4:$H$18,MATCH($B171&amp;"|"&amp;$E171,Aux_HH!$A$4:$A$18,0)))</f>
        <v>0</v>
      </c>
      <c r="L171" s="0" t="n">
        <f aca="false">IF($F171=0,0,INDEX(Aux_HH!$I$4:$I$18,MATCH($B171&amp;"|"&amp;$E171,Aux_HH!$A$4:$A$18,0)))</f>
        <v>0</v>
      </c>
    </row>
    <row r="172" customFormat="false" ht="15" hidden="false" customHeight="false" outlineLevel="0" collapsed="false">
      <c r="A172" s="0" t="str">
        <f aca="false">IF(Frota!$A8="","",Frota!$A8)</f>
        <v>Colhedora CASE A9000 — 1043</v>
      </c>
      <c r="B172" s="0" t="str">
        <f aca="false">IF(Frota!$A8="","",Frota!$B8)</f>
        <v>Colhedora</v>
      </c>
      <c r="C172" s="0" t="n">
        <v>13</v>
      </c>
      <c r="D172" s="0" t="n">
        <f aca="false">INDEX(Semanas!$E$3:$E$54,13)</f>
        <v>6</v>
      </c>
      <c r="E172" s="0" t="str">
        <f aca="false">IF(Frota!$A8="","",Cronograma!N8)</f>
        <v/>
      </c>
      <c r="F172" s="0" t="n">
        <f aca="false">IF(OR($E172="",$E172=0),0,1)</f>
        <v>0</v>
      </c>
      <c r="G172" s="0" t="n">
        <f aca="false">IF($F172=0,0,INDEX(Aux_HH!$D$4:$D$18,MATCH($B172&amp;"|"&amp;$E172,Aux_HH!$A$4:$A$18,0)))</f>
        <v>0</v>
      </c>
      <c r="H172" s="0" t="n">
        <f aca="false">IF($F172=0,0,INDEX(Aux_HH!$E$4:$E$18,MATCH($B172&amp;"|"&amp;$E172,Aux_HH!$A$4:$A$18,0)))</f>
        <v>0</v>
      </c>
      <c r="I172" s="0" t="n">
        <f aca="false">IF($F172=0,0,INDEX(Aux_HH!$F$4:$F$18,MATCH($B172&amp;"|"&amp;$E172,Aux_HH!$A$4:$A$18,0)))</f>
        <v>0</v>
      </c>
      <c r="J172" s="0" t="n">
        <f aca="false">IF($F172=0,0,INDEX(Aux_HH!$G$4:$G$18,MATCH($B172&amp;"|"&amp;$E172,Aux_HH!$A$4:$A$18,0)))</f>
        <v>0</v>
      </c>
      <c r="K172" s="0" t="n">
        <f aca="false">IF($F172=0,0,INDEX(Aux_HH!$H$4:$H$18,MATCH($B172&amp;"|"&amp;$E172,Aux_HH!$A$4:$A$18,0)))</f>
        <v>0</v>
      </c>
      <c r="L172" s="0" t="n">
        <f aca="false">IF($F172=0,0,INDEX(Aux_HH!$I$4:$I$18,MATCH($B172&amp;"|"&amp;$E172,Aux_HH!$A$4:$A$18,0)))</f>
        <v>0</v>
      </c>
    </row>
    <row r="173" customFormat="false" ht="15" hidden="false" customHeight="false" outlineLevel="0" collapsed="false">
      <c r="A173" s="0" t="str">
        <f aca="false">IF(Frota!$A8="","",Frota!$A8)</f>
        <v>Colhedora CASE A9000 — 1043</v>
      </c>
      <c r="B173" s="0" t="str">
        <f aca="false">IF(Frota!$A8="","",Frota!$B8)</f>
        <v>Colhedora</v>
      </c>
      <c r="C173" s="0" t="n">
        <v>14</v>
      </c>
      <c r="D173" s="0" t="n">
        <f aca="false">INDEX(Semanas!$E$3:$E$54,14)</f>
        <v>7</v>
      </c>
      <c r="E173" s="0" t="str">
        <f aca="false">IF(Frota!$A8="","",Cronograma!O8)</f>
        <v/>
      </c>
      <c r="F173" s="0" t="n">
        <f aca="false">IF(OR($E173="",$E173=0),0,1)</f>
        <v>0</v>
      </c>
      <c r="G173" s="0" t="n">
        <f aca="false">IF($F173=0,0,INDEX(Aux_HH!$D$4:$D$18,MATCH($B173&amp;"|"&amp;$E173,Aux_HH!$A$4:$A$18,0)))</f>
        <v>0</v>
      </c>
      <c r="H173" s="0" t="n">
        <f aca="false">IF($F173=0,0,INDEX(Aux_HH!$E$4:$E$18,MATCH($B173&amp;"|"&amp;$E173,Aux_HH!$A$4:$A$18,0)))</f>
        <v>0</v>
      </c>
      <c r="I173" s="0" t="n">
        <f aca="false">IF($F173=0,0,INDEX(Aux_HH!$F$4:$F$18,MATCH($B173&amp;"|"&amp;$E173,Aux_HH!$A$4:$A$18,0)))</f>
        <v>0</v>
      </c>
      <c r="J173" s="0" t="n">
        <f aca="false">IF($F173=0,0,INDEX(Aux_HH!$G$4:$G$18,MATCH($B173&amp;"|"&amp;$E173,Aux_HH!$A$4:$A$18,0)))</f>
        <v>0</v>
      </c>
      <c r="K173" s="0" t="n">
        <f aca="false">IF($F173=0,0,INDEX(Aux_HH!$H$4:$H$18,MATCH($B173&amp;"|"&amp;$E173,Aux_HH!$A$4:$A$18,0)))</f>
        <v>0</v>
      </c>
      <c r="L173" s="0" t="n">
        <f aca="false">IF($F173=0,0,INDEX(Aux_HH!$I$4:$I$18,MATCH($B173&amp;"|"&amp;$E173,Aux_HH!$A$4:$A$18,0)))</f>
        <v>0</v>
      </c>
    </row>
    <row r="174" customFormat="false" ht="15" hidden="false" customHeight="false" outlineLevel="0" collapsed="false">
      <c r="A174" s="0" t="str">
        <f aca="false">IF(Frota!$A8="","",Frota!$A8)</f>
        <v>Colhedora CASE A9000 — 1043</v>
      </c>
      <c r="B174" s="0" t="str">
        <f aca="false">IF(Frota!$A8="","",Frota!$B8)</f>
        <v>Colhedora</v>
      </c>
      <c r="C174" s="0" t="n">
        <v>15</v>
      </c>
      <c r="D174" s="0" t="n">
        <f aca="false">INDEX(Semanas!$E$3:$E$54,15)</f>
        <v>7</v>
      </c>
      <c r="E174" s="0" t="str">
        <f aca="false">IF(Frota!$A8="","",Cronograma!P8)</f>
        <v/>
      </c>
      <c r="F174" s="0" t="n">
        <f aca="false">IF(OR($E174="",$E174=0),0,1)</f>
        <v>0</v>
      </c>
      <c r="G174" s="0" t="n">
        <f aca="false">IF($F174=0,0,INDEX(Aux_HH!$D$4:$D$18,MATCH($B174&amp;"|"&amp;$E174,Aux_HH!$A$4:$A$18,0)))</f>
        <v>0</v>
      </c>
      <c r="H174" s="0" t="n">
        <f aca="false">IF($F174=0,0,INDEX(Aux_HH!$E$4:$E$18,MATCH($B174&amp;"|"&amp;$E174,Aux_HH!$A$4:$A$18,0)))</f>
        <v>0</v>
      </c>
      <c r="I174" s="0" t="n">
        <f aca="false">IF($F174=0,0,INDEX(Aux_HH!$F$4:$F$18,MATCH($B174&amp;"|"&amp;$E174,Aux_HH!$A$4:$A$18,0)))</f>
        <v>0</v>
      </c>
      <c r="J174" s="0" t="n">
        <f aca="false">IF($F174=0,0,INDEX(Aux_HH!$G$4:$G$18,MATCH($B174&amp;"|"&amp;$E174,Aux_HH!$A$4:$A$18,0)))</f>
        <v>0</v>
      </c>
      <c r="K174" s="0" t="n">
        <f aca="false">IF($F174=0,0,INDEX(Aux_HH!$H$4:$H$18,MATCH($B174&amp;"|"&amp;$E174,Aux_HH!$A$4:$A$18,0)))</f>
        <v>0</v>
      </c>
      <c r="L174" s="0" t="n">
        <f aca="false">IF($F174=0,0,INDEX(Aux_HH!$I$4:$I$18,MATCH($B174&amp;"|"&amp;$E174,Aux_HH!$A$4:$A$18,0)))</f>
        <v>0</v>
      </c>
    </row>
    <row r="175" customFormat="false" ht="15" hidden="false" customHeight="false" outlineLevel="0" collapsed="false">
      <c r="A175" s="0" t="str">
        <f aca="false">IF(Frota!$A8="","",Frota!$A8)</f>
        <v>Colhedora CASE A9000 — 1043</v>
      </c>
      <c r="B175" s="0" t="str">
        <f aca="false">IF(Frota!$A8="","",Frota!$B8)</f>
        <v>Colhedora</v>
      </c>
      <c r="C175" s="0" t="n">
        <v>16</v>
      </c>
      <c r="D175" s="0" t="n">
        <f aca="false">INDEX(Semanas!$E$3:$E$54,16)</f>
        <v>7</v>
      </c>
      <c r="E175" s="0" t="str">
        <f aca="false">IF(Frota!$A8="","",Cronograma!Q8)</f>
        <v/>
      </c>
      <c r="F175" s="0" t="n">
        <f aca="false">IF(OR($E175="",$E175=0),0,1)</f>
        <v>0</v>
      </c>
      <c r="G175" s="0" t="n">
        <f aca="false">IF($F175=0,0,INDEX(Aux_HH!$D$4:$D$18,MATCH($B175&amp;"|"&amp;$E175,Aux_HH!$A$4:$A$18,0)))</f>
        <v>0</v>
      </c>
      <c r="H175" s="0" t="n">
        <f aca="false">IF($F175=0,0,INDEX(Aux_HH!$E$4:$E$18,MATCH($B175&amp;"|"&amp;$E175,Aux_HH!$A$4:$A$18,0)))</f>
        <v>0</v>
      </c>
      <c r="I175" s="0" t="n">
        <f aca="false">IF($F175=0,0,INDEX(Aux_HH!$F$4:$F$18,MATCH($B175&amp;"|"&amp;$E175,Aux_HH!$A$4:$A$18,0)))</f>
        <v>0</v>
      </c>
      <c r="J175" s="0" t="n">
        <f aca="false">IF($F175=0,0,INDEX(Aux_HH!$G$4:$G$18,MATCH($B175&amp;"|"&amp;$E175,Aux_HH!$A$4:$A$18,0)))</f>
        <v>0</v>
      </c>
      <c r="K175" s="0" t="n">
        <f aca="false">IF($F175=0,0,INDEX(Aux_HH!$H$4:$H$18,MATCH($B175&amp;"|"&amp;$E175,Aux_HH!$A$4:$A$18,0)))</f>
        <v>0</v>
      </c>
      <c r="L175" s="0" t="n">
        <f aca="false">IF($F175=0,0,INDEX(Aux_HH!$I$4:$I$18,MATCH($B175&amp;"|"&amp;$E175,Aux_HH!$A$4:$A$18,0)))</f>
        <v>0</v>
      </c>
    </row>
    <row r="176" customFormat="false" ht="15" hidden="false" customHeight="false" outlineLevel="0" collapsed="false">
      <c r="A176" s="0" t="str">
        <f aca="false">IF(Frota!$A8="","",Frota!$A8)</f>
        <v>Colhedora CASE A9000 — 1043</v>
      </c>
      <c r="B176" s="0" t="str">
        <f aca="false">IF(Frota!$A8="","",Frota!$B8)</f>
        <v>Colhedora</v>
      </c>
      <c r="C176" s="0" t="n">
        <v>17</v>
      </c>
      <c r="D176" s="0" t="n">
        <f aca="false">INDEX(Semanas!$E$3:$E$54,17)</f>
        <v>7</v>
      </c>
      <c r="E176" s="0" t="str">
        <f aca="false">IF(Frota!$A8="","",Cronograma!R8)</f>
        <v>B</v>
      </c>
      <c r="F176" s="0" t="n">
        <f aca="false">IF(OR($E176="",$E176=0),0,1)</f>
        <v>1</v>
      </c>
      <c r="G176" s="0" t="n">
        <f aca="false">IF($F176=0,0,INDEX(Aux_HH!$D$4:$D$18,MATCH($B176&amp;"|"&amp;$E176,Aux_HH!$A$4:$A$18,0)))</f>
        <v>10.25</v>
      </c>
      <c r="H176" s="0" t="n">
        <f aca="false">IF($F176=0,0,INDEX(Aux_HH!$E$4:$E$18,MATCH($B176&amp;"|"&amp;$E176,Aux_HH!$A$4:$A$18,0)))</f>
        <v>0</v>
      </c>
      <c r="I176" s="0" t="n">
        <f aca="false">IF($F176=0,0,INDEX(Aux_HH!$F$4:$F$18,MATCH($B176&amp;"|"&amp;$E176,Aux_HH!$A$4:$A$18,0)))</f>
        <v>3</v>
      </c>
      <c r="J176" s="0" t="n">
        <f aca="false">IF($F176=0,0,INDEX(Aux_HH!$G$4:$G$18,MATCH($B176&amp;"|"&amp;$E176,Aux_HH!$A$4:$A$18,0)))</f>
        <v>1.75</v>
      </c>
      <c r="K176" s="0" t="n">
        <f aca="false">IF($F176=0,0,INDEX(Aux_HH!$H$4:$H$18,MATCH($B176&amp;"|"&amp;$E176,Aux_HH!$A$4:$A$18,0)))</f>
        <v>0</v>
      </c>
      <c r="L176" s="0" t="n">
        <f aca="false">IF($F176=0,0,INDEX(Aux_HH!$I$4:$I$18,MATCH($B176&amp;"|"&amp;$E176,Aux_HH!$A$4:$A$18,0)))</f>
        <v>0</v>
      </c>
    </row>
    <row r="177" customFormat="false" ht="15" hidden="false" customHeight="false" outlineLevel="0" collapsed="false">
      <c r="A177" s="0" t="str">
        <f aca="false">IF(Frota!$A8="","",Frota!$A8)</f>
        <v>Colhedora CASE A9000 — 1043</v>
      </c>
      <c r="B177" s="0" t="str">
        <f aca="false">IF(Frota!$A8="","",Frota!$B8)</f>
        <v>Colhedora</v>
      </c>
      <c r="C177" s="0" t="n">
        <v>18</v>
      </c>
      <c r="D177" s="0" t="n">
        <f aca="false">INDEX(Semanas!$E$3:$E$54,18)</f>
        <v>7</v>
      </c>
      <c r="E177" s="0" t="str">
        <f aca="false">IF(Frota!$A8="","",Cronograma!S8)</f>
        <v/>
      </c>
      <c r="F177" s="0" t="n">
        <f aca="false">IF(OR($E177="",$E177=0),0,1)</f>
        <v>0</v>
      </c>
      <c r="G177" s="0" t="n">
        <f aca="false">IF($F177=0,0,INDEX(Aux_HH!$D$4:$D$18,MATCH($B177&amp;"|"&amp;$E177,Aux_HH!$A$4:$A$18,0)))</f>
        <v>0</v>
      </c>
      <c r="H177" s="0" t="n">
        <f aca="false">IF($F177=0,0,INDEX(Aux_HH!$E$4:$E$18,MATCH($B177&amp;"|"&amp;$E177,Aux_HH!$A$4:$A$18,0)))</f>
        <v>0</v>
      </c>
      <c r="I177" s="0" t="n">
        <f aca="false">IF($F177=0,0,INDEX(Aux_HH!$F$4:$F$18,MATCH($B177&amp;"|"&amp;$E177,Aux_HH!$A$4:$A$18,0)))</f>
        <v>0</v>
      </c>
      <c r="J177" s="0" t="n">
        <f aca="false">IF($F177=0,0,INDEX(Aux_HH!$G$4:$G$18,MATCH($B177&amp;"|"&amp;$E177,Aux_HH!$A$4:$A$18,0)))</f>
        <v>0</v>
      </c>
      <c r="K177" s="0" t="n">
        <f aca="false">IF($F177=0,0,INDEX(Aux_HH!$H$4:$H$18,MATCH($B177&amp;"|"&amp;$E177,Aux_HH!$A$4:$A$18,0)))</f>
        <v>0</v>
      </c>
      <c r="L177" s="0" t="n">
        <f aca="false">IF($F177=0,0,INDEX(Aux_HH!$I$4:$I$18,MATCH($B177&amp;"|"&amp;$E177,Aux_HH!$A$4:$A$18,0)))</f>
        <v>0</v>
      </c>
    </row>
    <row r="178" customFormat="false" ht="15" hidden="false" customHeight="false" outlineLevel="0" collapsed="false">
      <c r="A178" s="0" t="str">
        <f aca="false">IF(Frota!$A8="","",Frota!$A8)</f>
        <v>Colhedora CASE A9000 — 1043</v>
      </c>
      <c r="B178" s="0" t="str">
        <f aca="false">IF(Frota!$A8="","",Frota!$B8)</f>
        <v>Colhedora</v>
      </c>
      <c r="C178" s="0" t="n">
        <v>19</v>
      </c>
      <c r="D178" s="0" t="n">
        <f aca="false">INDEX(Semanas!$E$3:$E$54,19)</f>
        <v>8</v>
      </c>
      <c r="E178" s="0" t="str">
        <f aca="false">IF(Frota!$A8="","",Cronograma!T8)</f>
        <v/>
      </c>
      <c r="F178" s="0" t="n">
        <f aca="false">IF(OR($E178="",$E178=0),0,1)</f>
        <v>0</v>
      </c>
      <c r="G178" s="0" t="n">
        <f aca="false">IF($F178=0,0,INDEX(Aux_HH!$D$4:$D$18,MATCH($B178&amp;"|"&amp;$E178,Aux_HH!$A$4:$A$18,0)))</f>
        <v>0</v>
      </c>
      <c r="H178" s="0" t="n">
        <f aca="false">IF($F178=0,0,INDEX(Aux_HH!$E$4:$E$18,MATCH($B178&amp;"|"&amp;$E178,Aux_HH!$A$4:$A$18,0)))</f>
        <v>0</v>
      </c>
      <c r="I178" s="0" t="n">
        <f aca="false">IF($F178=0,0,INDEX(Aux_HH!$F$4:$F$18,MATCH($B178&amp;"|"&amp;$E178,Aux_HH!$A$4:$A$18,0)))</f>
        <v>0</v>
      </c>
      <c r="J178" s="0" t="n">
        <f aca="false">IF($F178=0,0,INDEX(Aux_HH!$G$4:$G$18,MATCH($B178&amp;"|"&amp;$E178,Aux_HH!$A$4:$A$18,0)))</f>
        <v>0</v>
      </c>
      <c r="K178" s="0" t="n">
        <f aca="false">IF($F178=0,0,INDEX(Aux_HH!$H$4:$H$18,MATCH($B178&amp;"|"&amp;$E178,Aux_HH!$A$4:$A$18,0)))</f>
        <v>0</v>
      </c>
      <c r="L178" s="0" t="n">
        <f aca="false">IF($F178=0,0,INDEX(Aux_HH!$I$4:$I$18,MATCH($B178&amp;"|"&amp;$E178,Aux_HH!$A$4:$A$18,0)))</f>
        <v>0</v>
      </c>
    </row>
    <row r="179" customFormat="false" ht="15" hidden="false" customHeight="false" outlineLevel="0" collapsed="false">
      <c r="A179" s="0" t="str">
        <f aca="false">IF(Frota!$A8="","",Frota!$A8)</f>
        <v>Colhedora CASE A9000 — 1043</v>
      </c>
      <c r="B179" s="0" t="str">
        <f aca="false">IF(Frota!$A8="","",Frota!$B8)</f>
        <v>Colhedora</v>
      </c>
      <c r="C179" s="0" t="n">
        <v>20</v>
      </c>
      <c r="D179" s="0" t="n">
        <f aca="false">INDEX(Semanas!$E$3:$E$54,20)</f>
        <v>8</v>
      </c>
      <c r="E179" s="0" t="str">
        <f aca="false">IF(Frota!$A8="","",Cronograma!U8)</f>
        <v/>
      </c>
      <c r="F179" s="0" t="n">
        <f aca="false">IF(OR($E179="",$E179=0),0,1)</f>
        <v>0</v>
      </c>
      <c r="G179" s="0" t="n">
        <f aca="false">IF($F179=0,0,INDEX(Aux_HH!$D$4:$D$18,MATCH($B179&amp;"|"&amp;$E179,Aux_HH!$A$4:$A$18,0)))</f>
        <v>0</v>
      </c>
      <c r="H179" s="0" t="n">
        <f aca="false">IF($F179=0,0,INDEX(Aux_HH!$E$4:$E$18,MATCH($B179&amp;"|"&amp;$E179,Aux_HH!$A$4:$A$18,0)))</f>
        <v>0</v>
      </c>
      <c r="I179" s="0" t="n">
        <f aca="false">IF($F179=0,0,INDEX(Aux_HH!$F$4:$F$18,MATCH($B179&amp;"|"&amp;$E179,Aux_HH!$A$4:$A$18,0)))</f>
        <v>0</v>
      </c>
      <c r="J179" s="0" t="n">
        <f aca="false">IF($F179=0,0,INDEX(Aux_HH!$G$4:$G$18,MATCH($B179&amp;"|"&amp;$E179,Aux_HH!$A$4:$A$18,0)))</f>
        <v>0</v>
      </c>
      <c r="K179" s="0" t="n">
        <f aca="false">IF($F179=0,0,INDEX(Aux_HH!$H$4:$H$18,MATCH($B179&amp;"|"&amp;$E179,Aux_HH!$A$4:$A$18,0)))</f>
        <v>0</v>
      </c>
      <c r="L179" s="0" t="n">
        <f aca="false">IF($F179=0,0,INDEX(Aux_HH!$I$4:$I$18,MATCH($B179&amp;"|"&amp;$E179,Aux_HH!$A$4:$A$18,0)))</f>
        <v>0</v>
      </c>
    </row>
    <row r="180" customFormat="false" ht="15" hidden="false" customHeight="false" outlineLevel="0" collapsed="false">
      <c r="A180" s="0" t="str">
        <f aca="false">IF(Frota!$A8="","",Frota!$A8)</f>
        <v>Colhedora CASE A9000 — 1043</v>
      </c>
      <c r="B180" s="0" t="str">
        <f aca="false">IF(Frota!$A8="","",Frota!$B8)</f>
        <v>Colhedora</v>
      </c>
      <c r="C180" s="0" t="n">
        <v>21</v>
      </c>
      <c r="D180" s="0" t="n">
        <f aca="false">INDEX(Semanas!$E$3:$E$54,21)</f>
        <v>8</v>
      </c>
      <c r="E180" s="0" t="str">
        <f aca="false">IF(Frota!$A8="","",Cronograma!V8)</f>
        <v/>
      </c>
      <c r="F180" s="0" t="n">
        <f aca="false">IF(OR($E180="",$E180=0),0,1)</f>
        <v>0</v>
      </c>
      <c r="G180" s="0" t="n">
        <f aca="false">IF($F180=0,0,INDEX(Aux_HH!$D$4:$D$18,MATCH($B180&amp;"|"&amp;$E180,Aux_HH!$A$4:$A$18,0)))</f>
        <v>0</v>
      </c>
      <c r="H180" s="0" t="n">
        <f aca="false">IF($F180=0,0,INDEX(Aux_HH!$E$4:$E$18,MATCH($B180&amp;"|"&amp;$E180,Aux_HH!$A$4:$A$18,0)))</f>
        <v>0</v>
      </c>
      <c r="I180" s="0" t="n">
        <f aca="false">IF($F180=0,0,INDEX(Aux_HH!$F$4:$F$18,MATCH($B180&amp;"|"&amp;$E180,Aux_HH!$A$4:$A$18,0)))</f>
        <v>0</v>
      </c>
      <c r="J180" s="0" t="n">
        <f aca="false">IF($F180=0,0,INDEX(Aux_HH!$G$4:$G$18,MATCH($B180&amp;"|"&amp;$E180,Aux_HH!$A$4:$A$18,0)))</f>
        <v>0</v>
      </c>
      <c r="K180" s="0" t="n">
        <f aca="false">IF($F180=0,0,INDEX(Aux_HH!$H$4:$H$18,MATCH($B180&amp;"|"&amp;$E180,Aux_HH!$A$4:$A$18,0)))</f>
        <v>0</v>
      </c>
      <c r="L180" s="0" t="n">
        <f aca="false">IF($F180=0,0,INDEX(Aux_HH!$I$4:$I$18,MATCH($B180&amp;"|"&amp;$E180,Aux_HH!$A$4:$A$18,0)))</f>
        <v>0</v>
      </c>
    </row>
    <row r="181" customFormat="false" ht="15" hidden="false" customHeight="false" outlineLevel="0" collapsed="false">
      <c r="A181" s="0" t="str">
        <f aca="false">IF(Frota!$A8="","",Frota!$A8)</f>
        <v>Colhedora CASE A9000 — 1043</v>
      </c>
      <c r="B181" s="0" t="str">
        <f aca="false">IF(Frota!$A8="","",Frota!$B8)</f>
        <v>Colhedora</v>
      </c>
      <c r="C181" s="0" t="n">
        <v>22</v>
      </c>
      <c r="D181" s="0" t="n">
        <f aca="false">INDEX(Semanas!$E$3:$E$54,22)</f>
        <v>8</v>
      </c>
      <c r="E181" s="0" t="str">
        <f aca="false">IF(Frota!$A8="","",Cronograma!W8)</f>
        <v>S</v>
      </c>
      <c r="F181" s="0" t="n">
        <f aca="false">IF(OR($E181="",$E181=0),0,1)</f>
        <v>1</v>
      </c>
      <c r="G181" s="0" t="n">
        <f aca="false">IF($F181=0,0,INDEX(Aux_HH!$D$4:$D$18,MATCH($B181&amp;"|"&amp;$E181,Aux_HH!$A$4:$A$18,0)))</f>
        <v>3.75</v>
      </c>
      <c r="H181" s="0" t="n">
        <f aca="false">IF($F181=0,0,INDEX(Aux_HH!$E$4:$E$18,MATCH($B181&amp;"|"&amp;$E181,Aux_HH!$A$4:$A$18,0)))</f>
        <v>0</v>
      </c>
      <c r="I181" s="0" t="n">
        <f aca="false">IF($F181=0,0,INDEX(Aux_HH!$F$4:$F$18,MATCH($B181&amp;"|"&amp;$E181,Aux_HH!$A$4:$A$18,0)))</f>
        <v>1</v>
      </c>
      <c r="J181" s="0" t="n">
        <f aca="false">IF($F181=0,0,INDEX(Aux_HH!$G$4:$G$18,MATCH($B181&amp;"|"&amp;$E181,Aux_HH!$A$4:$A$18,0)))</f>
        <v>0.75</v>
      </c>
      <c r="K181" s="0" t="n">
        <f aca="false">IF($F181=0,0,INDEX(Aux_HH!$H$4:$H$18,MATCH($B181&amp;"|"&amp;$E181,Aux_HH!$A$4:$A$18,0)))</f>
        <v>0</v>
      </c>
      <c r="L181" s="0" t="n">
        <f aca="false">IF($F181=0,0,INDEX(Aux_HH!$I$4:$I$18,MATCH($B181&amp;"|"&amp;$E181,Aux_HH!$A$4:$A$18,0)))</f>
        <v>0</v>
      </c>
    </row>
    <row r="182" customFormat="false" ht="15" hidden="false" customHeight="false" outlineLevel="0" collapsed="false">
      <c r="A182" s="0" t="str">
        <f aca="false">IF(Frota!$A8="","",Frota!$A8)</f>
        <v>Colhedora CASE A9000 — 1043</v>
      </c>
      <c r="B182" s="0" t="str">
        <f aca="false">IF(Frota!$A8="","",Frota!$B8)</f>
        <v>Colhedora</v>
      </c>
      <c r="C182" s="0" t="n">
        <v>23</v>
      </c>
      <c r="D182" s="0" t="n">
        <f aca="false">INDEX(Semanas!$E$3:$E$54,23)</f>
        <v>9</v>
      </c>
      <c r="E182" s="0" t="str">
        <f aca="false">IF(Frota!$A8="","",Cronograma!X8)</f>
        <v/>
      </c>
      <c r="F182" s="0" t="n">
        <f aca="false">IF(OR($E182="",$E182=0),0,1)</f>
        <v>0</v>
      </c>
      <c r="G182" s="0" t="n">
        <f aca="false">IF($F182=0,0,INDEX(Aux_HH!$D$4:$D$18,MATCH($B182&amp;"|"&amp;$E182,Aux_HH!$A$4:$A$18,0)))</f>
        <v>0</v>
      </c>
      <c r="H182" s="0" t="n">
        <f aca="false">IF($F182=0,0,INDEX(Aux_HH!$E$4:$E$18,MATCH($B182&amp;"|"&amp;$E182,Aux_HH!$A$4:$A$18,0)))</f>
        <v>0</v>
      </c>
      <c r="I182" s="0" t="n">
        <f aca="false">IF($F182=0,0,INDEX(Aux_HH!$F$4:$F$18,MATCH($B182&amp;"|"&amp;$E182,Aux_HH!$A$4:$A$18,0)))</f>
        <v>0</v>
      </c>
      <c r="J182" s="0" t="n">
        <f aca="false">IF($F182=0,0,INDEX(Aux_HH!$G$4:$G$18,MATCH($B182&amp;"|"&amp;$E182,Aux_HH!$A$4:$A$18,0)))</f>
        <v>0</v>
      </c>
      <c r="K182" s="0" t="n">
        <f aca="false">IF($F182=0,0,INDEX(Aux_HH!$H$4:$H$18,MATCH($B182&amp;"|"&amp;$E182,Aux_HH!$A$4:$A$18,0)))</f>
        <v>0</v>
      </c>
      <c r="L182" s="0" t="n">
        <f aca="false">IF($F182=0,0,INDEX(Aux_HH!$I$4:$I$18,MATCH($B182&amp;"|"&amp;$E182,Aux_HH!$A$4:$A$18,0)))</f>
        <v>0</v>
      </c>
    </row>
    <row r="183" customFormat="false" ht="15" hidden="false" customHeight="false" outlineLevel="0" collapsed="false">
      <c r="A183" s="0" t="str">
        <f aca="false">IF(Frota!$A8="","",Frota!$A8)</f>
        <v>Colhedora CASE A9000 — 1043</v>
      </c>
      <c r="B183" s="0" t="str">
        <f aca="false">IF(Frota!$A8="","",Frota!$B8)</f>
        <v>Colhedora</v>
      </c>
      <c r="C183" s="0" t="n">
        <v>24</v>
      </c>
      <c r="D183" s="0" t="n">
        <f aca="false">INDEX(Semanas!$E$3:$E$54,24)</f>
        <v>9</v>
      </c>
      <c r="E183" s="0" t="str">
        <f aca="false">IF(Frota!$A8="","",Cronograma!Y8)</f>
        <v/>
      </c>
      <c r="F183" s="0" t="n">
        <f aca="false">IF(OR($E183="",$E183=0),0,1)</f>
        <v>0</v>
      </c>
      <c r="G183" s="0" t="n">
        <f aca="false">IF($F183=0,0,INDEX(Aux_HH!$D$4:$D$18,MATCH($B183&amp;"|"&amp;$E183,Aux_HH!$A$4:$A$18,0)))</f>
        <v>0</v>
      </c>
      <c r="H183" s="0" t="n">
        <f aca="false">IF($F183=0,0,INDEX(Aux_HH!$E$4:$E$18,MATCH($B183&amp;"|"&amp;$E183,Aux_HH!$A$4:$A$18,0)))</f>
        <v>0</v>
      </c>
      <c r="I183" s="0" t="n">
        <f aca="false">IF($F183=0,0,INDEX(Aux_HH!$F$4:$F$18,MATCH($B183&amp;"|"&amp;$E183,Aux_HH!$A$4:$A$18,0)))</f>
        <v>0</v>
      </c>
      <c r="J183" s="0" t="n">
        <f aca="false">IF($F183=0,0,INDEX(Aux_HH!$G$4:$G$18,MATCH($B183&amp;"|"&amp;$E183,Aux_HH!$A$4:$A$18,0)))</f>
        <v>0</v>
      </c>
      <c r="K183" s="0" t="n">
        <f aca="false">IF($F183=0,0,INDEX(Aux_HH!$H$4:$H$18,MATCH($B183&amp;"|"&amp;$E183,Aux_HH!$A$4:$A$18,0)))</f>
        <v>0</v>
      </c>
      <c r="L183" s="0" t="n">
        <f aca="false">IF($F183=0,0,INDEX(Aux_HH!$I$4:$I$18,MATCH($B183&amp;"|"&amp;$E183,Aux_HH!$A$4:$A$18,0)))</f>
        <v>0</v>
      </c>
    </row>
    <row r="184" customFormat="false" ht="15" hidden="false" customHeight="false" outlineLevel="0" collapsed="false">
      <c r="A184" s="0" t="str">
        <f aca="false">IF(Frota!$A8="","",Frota!$A8)</f>
        <v>Colhedora CASE A9000 — 1043</v>
      </c>
      <c r="B184" s="0" t="str">
        <f aca="false">IF(Frota!$A8="","",Frota!$B8)</f>
        <v>Colhedora</v>
      </c>
      <c r="C184" s="0" t="n">
        <v>25</v>
      </c>
      <c r="D184" s="0" t="n">
        <f aca="false">INDEX(Semanas!$E$3:$E$54,25)</f>
        <v>9</v>
      </c>
      <c r="E184" s="0" t="str">
        <f aca="false">IF(Frota!$A8="","",Cronograma!Z8)</f>
        <v/>
      </c>
      <c r="F184" s="0" t="n">
        <f aca="false">IF(OR($E184="",$E184=0),0,1)</f>
        <v>0</v>
      </c>
      <c r="G184" s="0" t="n">
        <f aca="false">IF($F184=0,0,INDEX(Aux_HH!$D$4:$D$18,MATCH($B184&amp;"|"&amp;$E184,Aux_HH!$A$4:$A$18,0)))</f>
        <v>0</v>
      </c>
      <c r="H184" s="0" t="n">
        <f aca="false">IF($F184=0,0,INDEX(Aux_HH!$E$4:$E$18,MATCH($B184&amp;"|"&amp;$E184,Aux_HH!$A$4:$A$18,0)))</f>
        <v>0</v>
      </c>
      <c r="I184" s="0" t="n">
        <f aca="false">IF($F184=0,0,INDEX(Aux_HH!$F$4:$F$18,MATCH($B184&amp;"|"&amp;$E184,Aux_HH!$A$4:$A$18,0)))</f>
        <v>0</v>
      </c>
      <c r="J184" s="0" t="n">
        <f aca="false">IF($F184=0,0,INDEX(Aux_HH!$G$4:$G$18,MATCH($B184&amp;"|"&amp;$E184,Aux_HH!$A$4:$A$18,0)))</f>
        <v>0</v>
      </c>
      <c r="K184" s="0" t="n">
        <f aca="false">IF($F184=0,0,INDEX(Aux_HH!$H$4:$H$18,MATCH($B184&amp;"|"&amp;$E184,Aux_HH!$A$4:$A$18,0)))</f>
        <v>0</v>
      </c>
      <c r="L184" s="0" t="n">
        <f aca="false">IF($F184=0,0,INDEX(Aux_HH!$I$4:$I$18,MATCH($B184&amp;"|"&amp;$E184,Aux_HH!$A$4:$A$18,0)))</f>
        <v>0</v>
      </c>
    </row>
    <row r="185" customFormat="false" ht="15" hidden="false" customHeight="false" outlineLevel="0" collapsed="false">
      <c r="A185" s="0" t="str">
        <f aca="false">IF(Frota!$A8="","",Frota!$A8)</f>
        <v>Colhedora CASE A9000 — 1043</v>
      </c>
      <c r="B185" s="0" t="str">
        <f aca="false">IF(Frota!$A8="","",Frota!$B8)</f>
        <v>Colhedora</v>
      </c>
      <c r="C185" s="0" t="n">
        <v>26</v>
      </c>
      <c r="D185" s="0" t="n">
        <f aca="false">INDEX(Semanas!$E$3:$E$54,26)</f>
        <v>9</v>
      </c>
      <c r="E185" s="0" t="str">
        <f aca="false">IF(Frota!$A8="","",Cronograma!AA8)</f>
        <v/>
      </c>
      <c r="F185" s="0" t="n">
        <f aca="false">IF(OR($E185="",$E185=0),0,1)</f>
        <v>0</v>
      </c>
      <c r="G185" s="0" t="n">
        <f aca="false">IF($F185=0,0,INDEX(Aux_HH!$D$4:$D$18,MATCH($B185&amp;"|"&amp;$E185,Aux_HH!$A$4:$A$18,0)))</f>
        <v>0</v>
      </c>
      <c r="H185" s="0" t="n">
        <f aca="false">IF($F185=0,0,INDEX(Aux_HH!$E$4:$E$18,MATCH($B185&amp;"|"&amp;$E185,Aux_HH!$A$4:$A$18,0)))</f>
        <v>0</v>
      </c>
      <c r="I185" s="0" t="n">
        <f aca="false">IF($F185=0,0,INDEX(Aux_HH!$F$4:$F$18,MATCH($B185&amp;"|"&amp;$E185,Aux_HH!$A$4:$A$18,0)))</f>
        <v>0</v>
      </c>
      <c r="J185" s="0" t="n">
        <f aca="false">IF($F185=0,0,INDEX(Aux_HH!$G$4:$G$18,MATCH($B185&amp;"|"&amp;$E185,Aux_HH!$A$4:$A$18,0)))</f>
        <v>0</v>
      </c>
      <c r="K185" s="0" t="n">
        <f aca="false">IF($F185=0,0,INDEX(Aux_HH!$H$4:$H$18,MATCH($B185&amp;"|"&amp;$E185,Aux_HH!$A$4:$A$18,0)))</f>
        <v>0</v>
      </c>
      <c r="L185" s="0" t="n">
        <f aca="false">IF($F185=0,0,INDEX(Aux_HH!$I$4:$I$18,MATCH($B185&amp;"|"&amp;$E185,Aux_HH!$A$4:$A$18,0)))</f>
        <v>0</v>
      </c>
    </row>
    <row r="186" customFormat="false" ht="15" hidden="false" customHeight="false" outlineLevel="0" collapsed="false">
      <c r="A186" s="0" t="str">
        <f aca="false">IF(Frota!$A8="","",Frota!$A8)</f>
        <v>Colhedora CASE A9000 — 1043</v>
      </c>
      <c r="B186" s="0" t="str">
        <f aca="false">IF(Frota!$A8="","",Frota!$B8)</f>
        <v>Colhedora</v>
      </c>
      <c r="C186" s="0" t="n">
        <v>27</v>
      </c>
      <c r="D186" s="0" t="n">
        <f aca="false">INDEX(Semanas!$E$3:$E$54,27)</f>
        <v>9</v>
      </c>
      <c r="E186" s="0" t="str">
        <f aca="false">IF(Frota!$A8="","",Cronograma!AB8)</f>
        <v/>
      </c>
      <c r="F186" s="0" t="n">
        <f aca="false">IF(OR($E186="",$E186=0),0,1)</f>
        <v>0</v>
      </c>
      <c r="G186" s="0" t="n">
        <f aca="false">IF($F186=0,0,INDEX(Aux_HH!$D$4:$D$18,MATCH($B186&amp;"|"&amp;$E186,Aux_HH!$A$4:$A$18,0)))</f>
        <v>0</v>
      </c>
      <c r="H186" s="0" t="n">
        <f aca="false">IF($F186=0,0,INDEX(Aux_HH!$E$4:$E$18,MATCH($B186&amp;"|"&amp;$E186,Aux_HH!$A$4:$A$18,0)))</f>
        <v>0</v>
      </c>
      <c r="I186" s="0" t="n">
        <f aca="false">IF($F186=0,0,INDEX(Aux_HH!$F$4:$F$18,MATCH($B186&amp;"|"&amp;$E186,Aux_HH!$A$4:$A$18,0)))</f>
        <v>0</v>
      </c>
      <c r="J186" s="0" t="n">
        <f aca="false">IF($F186=0,0,INDEX(Aux_HH!$G$4:$G$18,MATCH($B186&amp;"|"&amp;$E186,Aux_HH!$A$4:$A$18,0)))</f>
        <v>0</v>
      </c>
      <c r="K186" s="0" t="n">
        <f aca="false">IF($F186=0,0,INDEX(Aux_HH!$H$4:$H$18,MATCH($B186&amp;"|"&amp;$E186,Aux_HH!$A$4:$A$18,0)))</f>
        <v>0</v>
      </c>
      <c r="L186" s="0" t="n">
        <f aca="false">IF($F186=0,0,INDEX(Aux_HH!$I$4:$I$18,MATCH($B186&amp;"|"&amp;$E186,Aux_HH!$A$4:$A$18,0)))</f>
        <v>0</v>
      </c>
    </row>
    <row r="187" customFormat="false" ht="15" hidden="false" customHeight="false" outlineLevel="0" collapsed="false">
      <c r="A187" s="0" t="str">
        <f aca="false">IF(Frota!$A8="","",Frota!$A8)</f>
        <v>Colhedora CASE A9000 — 1043</v>
      </c>
      <c r="B187" s="0" t="str">
        <f aca="false">IF(Frota!$A8="","",Frota!$B8)</f>
        <v>Colhedora</v>
      </c>
      <c r="C187" s="0" t="n">
        <v>28</v>
      </c>
      <c r="D187" s="0" t="n">
        <f aca="false">INDEX(Semanas!$E$3:$E$54,28)</f>
        <v>10</v>
      </c>
      <c r="E187" s="0" t="str">
        <f aca="false">IF(Frota!$A8="","",Cronograma!AC8)</f>
        <v>A</v>
      </c>
      <c r="F187" s="0" t="n">
        <f aca="false">IF(OR($E187="",$E187=0),0,1)</f>
        <v>1</v>
      </c>
      <c r="G187" s="0" t="n">
        <f aca="false">IF($F187=0,0,INDEX(Aux_HH!$D$4:$D$18,MATCH($B187&amp;"|"&amp;$E187,Aux_HH!$A$4:$A$18,0)))</f>
        <v>10.25</v>
      </c>
      <c r="H187" s="0" t="n">
        <f aca="false">IF($F187=0,0,INDEX(Aux_HH!$E$4:$E$18,MATCH($B187&amp;"|"&amp;$E187,Aux_HH!$A$4:$A$18,0)))</f>
        <v>0</v>
      </c>
      <c r="I187" s="0" t="n">
        <f aca="false">IF($F187=0,0,INDEX(Aux_HH!$F$4:$F$18,MATCH($B187&amp;"|"&amp;$E187,Aux_HH!$A$4:$A$18,0)))</f>
        <v>3</v>
      </c>
      <c r="J187" s="0" t="n">
        <f aca="false">IF($F187=0,0,INDEX(Aux_HH!$G$4:$G$18,MATCH($B187&amp;"|"&amp;$E187,Aux_HH!$A$4:$A$18,0)))</f>
        <v>1.75</v>
      </c>
      <c r="K187" s="0" t="n">
        <f aca="false">IF($F187=0,0,INDEX(Aux_HH!$H$4:$H$18,MATCH($B187&amp;"|"&amp;$E187,Aux_HH!$A$4:$A$18,0)))</f>
        <v>0</v>
      </c>
      <c r="L187" s="0" t="n">
        <f aca="false">IF($F187=0,0,INDEX(Aux_HH!$I$4:$I$18,MATCH($B187&amp;"|"&amp;$E187,Aux_HH!$A$4:$A$18,0)))</f>
        <v>0</v>
      </c>
    </row>
    <row r="188" customFormat="false" ht="15" hidden="false" customHeight="false" outlineLevel="0" collapsed="false">
      <c r="A188" s="0" t="str">
        <f aca="false">IF(Frota!$A8="","",Frota!$A8)</f>
        <v>Colhedora CASE A9000 — 1043</v>
      </c>
      <c r="B188" s="0" t="str">
        <f aca="false">IF(Frota!$A8="","",Frota!$B8)</f>
        <v>Colhedora</v>
      </c>
      <c r="C188" s="0" t="n">
        <v>29</v>
      </c>
      <c r="D188" s="0" t="n">
        <f aca="false">INDEX(Semanas!$E$3:$E$54,29)</f>
        <v>10</v>
      </c>
      <c r="E188" s="0" t="str">
        <f aca="false">IF(Frota!$A8="","",Cronograma!AD8)</f>
        <v/>
      </c>
      <c r="F188" s="0" t="n">
        <f aca="false">IF(OR($E188="",$E188=0),0,1)</f>
        <v>0</v>
      </c>
      <c r="G188" s="0" t="n">
        <f aca="false">IF($F188=0,0,INDEX(Aux_HH!$D$4:$D$18,MATCH($B188&amp;"|"&amp;$E188,Aux_HH!$A$4:$A$18,0)))</f>
        <v>0</v>
      </c>
      <c r="H188" s="0" t="n">
        <f aca="false">IF($F188=0,0,INDEX(Aux_HH!$E$4:$E$18,MATCH($B188&amp;"|"&amp;$E188,Aux_HH!$A$4:$A$18,0)))</f>
        <v>0</v>
      </c>
      <c r="I188" s="0" t="n">
        <f aca="false">IF($F188=0,0,INDEX(Aux_HH!$F$4:$F$18,MATCH($B188&amp;"|"&amp;$E188,Aux_HH!$A$4:$A$18,0)))</f>
        <v>0</v>
      </c>
      <c r="J188" s="0" t="n">
        <f aca="false">IF($F188=0,0,INDEX(Aux_HH!$G$4:$G$18,MATCH($B188&amp;"|"&amp;$E188,Aux_HH!$A$4:$A$18,0)))</f>
        <v>0</v>
      </c>
      <c r="K188" s="0" t="n">
        <f aca="false">IF($F188=0,0,INDEX(Aux_HH!$H$4:$H$18,MATCH($B188&amp;"|"&amp;$E188,Aux_HH!$A$4:$A$18,0)))</f>
        <v>0</v>
      </c>
      <c r="L188" s="0" t="n">
        <f aca="false">IF($F188=0,0,INDEX(Aux_HH!$I$4:$I$18,MATCH($B188&amp;"|"&amp;$E188,Aux_HH!$A$4:$A$18,0)))</f>
        <v>0</v>
      </c>
    </row>
    <row r="189" customFormat="false" ht="15" hidden="false" customHeight="false" outlineLevel="0" collapsed="false">
      <c r="A189" s="0" t="str">
        <f aca="false">IF(Frota!$A8="","",Frota!$A8)</f>
        <v>Colhedora CASE A9000 — 1043</v>
      </c>
      <c r="B189" s="0" t="str">
        <f aca="false">IF(Frota!$A8="","",Frota!$B8)</f>
        <v>Colhedora</v>
      </c>
      <c r="C189" s="0" t="n">
        <v>30</v>
      </c>
      <c r="D189" s="0" t="n">
        <f aca="false">INDEX(Semanas!$E$3:$E$54,30)</f>
        <v>10</v>
      </c>
      <c r="E189" s="0" t="str">
        <f aca="false">IF(Frota!$A8="","",Cronograma!AE8)</f>
        <v/>
      </c>
      <c r="F189" s="0" t="n">
        <f aca="false">IF(OR($E189="",$E189=0),0,1)</f>
        <v>0</v>
      </c>
      <c r="G189" s="0" t="n">
        <f aca="false">IF($F189=0,0,INDEX(Aux_HH!$D$4:$D$18,MATCH($B189&amp;"|"&amp;$E189,Aux_HH!$A$4:$A$18,0)))</f>
        <v>0</v>
      </c>
      <c r="H189" s="0" t="n">
        <f aca="false">IF($F189=0,0,INDEX(Aux_HH!$E$4:$E$18,MATCH($B189&amp;"|"&amp;$E189,Aux_HH!$A$4:$A$18,0)))</f>
        <v>0</v>
      </c>
      <c r="I189" s="0" t="n">
        <f aca="false">IF($F189=0,0,INDEX(Aux_HH!$F$4:$F$18,MATCH($B189&amp;"|"&amp;$E189,Aux_HH!$A$4:$A$18,0)))</f>
        <v>0</v>
      </c>
      <c r="J189" s="0" t="n">
        <f aca="false">IF($F189=0,0,INDEX(Aux_HH!$G$4:$G$18,MATCH($B189&amp;"|"&amp;$E189,Aux_HH!$A$4:$A$18,0)))</f>
        <v>0</v>
      </c>
      <c r="K189" s="0" t="n">
        <f aca="false">IF($F189=0,0,INDEX(Aux_HH!$H$4:$H$18,MATCH($B189&amp;"|"&amp;$E189,Aux_HH!$A$4:$A$18,0)))</f>
        <v>0</v>
      </c>
      <c r="L189" s="0" t="n">
        <f aca="false">IF($F189=0,0,INDEX(Aux_HH!$I$4:$I$18,MATCH($B189&amp;"|"&amp;$E189,Aux_HH!$A$4:$A$18,0)))</f>
        <v>0</v>
      </c>
    </row>
    <row r="190" customFormat="false" ht="15" hidden="false" customHeight="false" outlineLevel="0" collapsed="false">
      <c r="A190" s="0" t="str">
        <f aca="false">IF(Frota!$A8="","",Frota!$A8)</f>
        <v>Colhedora CASE A9000 — 1043</v>
      </c>
      <c r="B190" s="0" t="str">
        <f aca="false">IF(Frota!$A8="","",Frota!$B8)</f>
        <v>Colhedora</v>
      </c>
      <c r="C190" s="0" t="n">
        <v>31</v>
      </c>
      <c r="D190" s="0" t="n">
        <f aca="false">INDEX(Semanas!$E$3:$E$54,31)</f>
        <v>10</v>
      </c>
      <c r="E190" s="0" t="str">
        <f aca="false">IF(Frota!$A8="","",Cronograma!AF8)</f>
        <v/>
      </c>
      <c r="F190" s="0" t="n">
        <f aca="false">IF(OR($E190="",$E190=0),0,1)</f>
        <v>0</v>
      </c>
      <c r="G190" s="0" t="n">
        <f aca="false">IF($F190=0,0,INDEX(Aux_HH!$D$4:$D$18,MATCH($B190&amp;"|"&amp;$E190,Aux_HH!$A$4:$A$18,0)))</f>
        <v>0</v>
      </c>
      <c r="H190" s="0" t="n">
        <f aca="false">IF($F190=0,0,INDEX(Aux_HH!$E$4:$E$18,MATCH($B190&amp;"|"&amp;$E190,Aux_HH!$A$4:$A$18,0)))</f>
        <v>0</v>
      </c>
      <c r="I190" s="0" t="n">
        <f aca="false">IF($F190=0,0,INDEX(Aux_HH!$F$4:$F$18,MATCH($B190&amp;"|"&amp;$E190,Aux_HH!$A$4:$A$18,0)))</f>
        <v>0</v>
      </c>
      <c r="J190" s="0" t="n">
        <f aca="false">IF($F190=0,0,INDEX(Aux_HH!$G$4:$G$18,MATCH($B190&amp;"|"&amp;$E190,Aux_HH!$A$4:$A$18,0)))</f>
        <v>0</v>
      </c>
      <c r="K190" s="0" t="n">
        <f aca="false">IF($F190=0,0,INDEX(Aux_HH!$H$4:$H$18,MATCH($B190&amp;"|"&amp;$E190,Aux_HH!$A$4:$A$18,0)))</f>
        <v>0</v>
      </c>
      <c r="L190" s="0" t="n">
        <f aca="false">IF($F190=0,0,INDEX(Aux_HH!$I$4:$I$18,MATCH($B190&amp;"|"&amp;$E190,Aux_HH!$A$4:$A$18,0)))</f>
        <v>0</v>
      </c>
    </row>
    <row r="191" customFormat="false" ht="15" hidden="false" customHeight="false" outlineLevel="0" collapsed="false">
      <c r="A191" s="0" t="str">
        <f aca="false">IF(Frota!$A8="","",Frota!$A8)</f>
        <v>Colhedora CASE A9000 — 1043</v>
      </c>
      <c r="B191" s="0" t="str">
        <f aca="false">IF(Frota!$A8="","",Frota!$B8)</f>
        <v>Colhedora</v>
      </c>
      <c r="C191" s="0" t="n">
        <v>32</v>
      </c>
      <c r="D191" s="0" t="n">
        <f aca="false">INDEX(Semanas!$E$3:$E$54,32)</f>
        <v>11</v>
      </c>
      <c r="E191" s="0" t="str">
        <f aca="false">IF(Frota!$A8="","",Cronograma!AG8)</f>
        <v/>
      </c>
      <c r="F191" s="0" t="n">
        <f aca="false">IF(OR($E191="",$E191=0),0,1)</f>
        <v>0</v>
      </c>
      <c r="G191" s="0" t="n">
        <f aca="false">IF($F191=0,0,INDEX(Aux_HH!$D$4:$D$18,MATCH($B191&amp;"|"&amp;$E191,Aux_HH!$A$4:$A$18,0)))</f>
        <v>0</v>
      </c>
      <c r="H191" s="0" t="n">
        <f aca="false">IF($F191=0,0,INDEX(Aux_HH!$E$4:$E$18,MATCH($B191&amp;"|"&amp;$E191,Aux_HH!$A$4:$A$18,0)))</f>
        <v>0</v>
      </c>
      <c r="I191" s="0" t="n">
        <f aca="false">IF($F191=0,0,INDEX(Aux_HH!$F$4:$F$18,MATCH($B191&amp;"|"&amp;$E191,Aux_HH!$A$4:$A$18,0)))</f>
        <v>0</v>
      </c>
      <c r="J191" s="0" t="n">
        <f aca="false">IF($F191=0,0,INDEX(Aux_HH!$G$4:$G$18,MATCH($B191&amp;"|"&amp;$E191,Aux_HH!$A$4:$A$18,0)))</f>
        <v>0</v>
      </c>
      <c r="K191" s="0" t="n">
        <f aca="false">IF($F191=0,0,INDEX(Aux_HH!$H$4:$H$18,MATCH($B191&amp;"|"&amp;$E191,Aux_HH!$A$4:$A$18,0)))</f>
        <v>0</v>
      </c>
      <c r="L191" s="0" t="n">
        <f aca="false">IF($F191=0,0,INDEX(Aux_HH!$I$4:$I$18,MATCH($B191&amp;"|"&amp;$E191,Aux_HH!$A$4:$A$18,0)))</f>
        <v>0</v>
      </c>
    </row>
    <row r="192" customFormat="false" ht="15" hidden="false" customHeight="false" outlineLevel="0" collapsed="false">
      <c r="A192" s="0" t="str">
        <f aca="false">IF(Frota!$A8="","",Frota!$A8)</f>
        <v>Colhedora CASE A9000 — 1043</v>
      </c>
      <c r="B192" s="0" t="str">
        <f aca="false">IF(Frota!$A8="","",Frota!$B8)</f>
        <v>Colhedora</v>
      </c>
      <c r="C192" s="0" t="n">
        <v>33</v>
      </c>
      <c r="D192" s="0" t="n">
        <f aca="false">INDEX(Semanas!$E$3:$E$54,33)</f>
        <v>11</v>
      </c>
      <c r="E192" s="0" t="str">
        <f aca="false">IF(Frota!$A8="","",Cronograma!AH8)</f>
        <v>S</v>
      </c>
      <c r="F192" s="0" t="n">
        <f aca="false">IF(OR($E192="",$E192=0),0,1)</f>
        <v>1</v>
      </c>
      <c r="G192" s="0" t="n">
        <f aca="false">IF($F192=0,0,INDEX(Aux_HH!$D$4:$D$18,MATCH($B192&amp;"|"&amp;$E192,Aux_HH!$A$4:$A$18,0)))</f>
        <v>3.75</v>
      </c>
      <c r="H192" s="0" t="n">
        <f aca="false">IF($F192=0,0,INDEX(Aux_HH!$E$4:$E$18,MATCH($B192&amp;"|"&amp;$E192,Aux_HH!$A$4:$A$18,0)))</f>
        <v>0</v>
      </c>
      <c r="I192" s="0" t="n">
        <f aca="false">IF($F192=0,0,INDEX(Aux_HH!$F$4:$F$18,MATCH($B192&amp;"|"&amp;$E192,Aux_HH!$A$4:$A$18,0)))</f>
        <v>1</v>
      </c>
      <c r="J192" s="0" t="n">
        <f aca="false">IF($F192=0,0,INDEX(Aux_HH!$G$4:$G$18,MATCH($B192&amp;"|"&amp;$E192,Aux_HH!$A$4:$A$18,0)))</f>
        <v>0.75</v>
      </c>
      <c r="K192" s="0" t="n">
        <f aca="false">IF($F192=0,0,INDEX(Aux_HH!$H$4:$H$18,MATCH($B192&amp;"|"&amp;$E192,Aux_HH!$A$4:$A$18,0)))</f>
        <v>0</v>
      </c>
      <c r="L192" s="0" t="n">
        <f aca="false">IF($F192=0,0,INDEX(Aux_HH!$I$4:$I$18,MATCH($B192&amp;"|"&amp;$E192,Aux_HH!$A$4:$A$18,0)))</f>
        <v>0</v>
      </c>
    </row>
    <row r="193" customFormat="false" ht="15" hidden="false" customHeight="false" outlineLevel="0" collapsed="false">
      <c r="A193" s="0" t="str">
        <f aca="false">IF(Frota!$A8="","",Frota!$A8)</f>
        <v>Colhedora CASE A9000 — 1043</v>
      </c>
      <c r="B193" s="0" t="str">
        <f aca="false">IF(Frota!$A8="","",Frota!$B8)</f>
        <v>Colhedora</v>
      </c>
      <c r="C193" s="0" t="n">
        <v>34</v>
      </c>
      <c r="D193" s="0" t="n">
        <f aca="false">INDEX(Semanas!$E$3:$E$54,34)</f>
        <v>11</v>
      </c>
      <c r="E193" s="0" t="str">
        <f aca="false">IF(Frota!$A8="","",Cronograma!AI8)</f>
        <v/>
      </c>
      <c r="F193" s="0" t="n">
        <f aca="false">IF(OR($E193="",$E193=0),0,1)</f>
        <v>0</v>
      </c>
      <c r="G193" s="0" t="n">
        <f aca="false">IF($F193=0,0,INDEX(Aux_HH!$D$4:$D$18,MATCH($B193&amp;"|"&amp;$E193,Aux_HH!$A$4:$A$18,0)))</f>
        <v>0</v>
      </c>
      <c r="H193" s="0" t="n">
        <f aca="false">IF($F193=0,0,INDEX(Aux_HH!$E$4:$E$18,MATCH($B193&amp;"|"&amp;$E193,Aux_HH!$A$4:$A$18,0)))</f>
        <v>0</v>
      </c>
      <c r="I193" s="0" t="n">
        <f aca="false">IF($F193=0,0,INDEX(Aux_HH!$F$4:$F$18,MATCH($B193&amp;"|"&amp;$E193,Aux_HH!$A$4:$A$18,0)))</f>
        <v>0</v>
      </c>
      <c r="J193" s="0" t="n">
        <f aca="false">IF($F193=0,0,INDEX(Aux_HH!$G$4:$G$18,MATCH($B193&amp;"|"&amp;$E193,Aux_HH!$A$4:$A$18,0)))</f>
        <v>0</v>
      </c>
      <c r="K193" s="0" t="n">
        <f aca="false">IF($F193=0,0,INDEX(Aux_HH!$H$4:$H$18,MATCH($B193&amp;"|"&amp;$E193,Aux_HH!$A$4:$A$18,0)))</f>
        <v>0</v>
      </c>
      <c r="L193" s="0" t="n">
        <f aca="false">IF($F193=0,0,INDEX(Aux_HH!$I$4:$I$18,MATCH($B193&amp;"|"&amp;$E193,Aux_HH!$A$4:$A$18,0)))</f>
        <v>0</v>
      </c>
    </row>
    <row r="194" customFormat="false" ht="15" hidden="false" customHeight="false" outlineLevel="0" collapsed="false">
      <c r="A194" s="0" t="str">
        <f aca="false">IF(Frota!$A8="","",Frota!$A8)</f>
        <v>Colhedora CASE A9000 — 1043</v>
      </c>
      <c r="B194" s="0" t="str">
        <f aca="false">IF(Frota!$A8="","",Frota!$B8)</f>
        <v>Colhedora</v>
      </c>
      <c r="C194" s="0" t="n">
        <v>35</v>
      </c>
      <c r="D194" s="0" t="n">
        <f aca="false">INDEX(Semanas!$E$3:$E$54,35)</f>
        <v>11</v>
      </c>
      <c r="E194" s="0" t="str">
        <f aca="false">IF(Frota!$A8="","",Cronograma!AJ8)</f>
        <v/>
      </c>
      <c r="F194" s="0" t="n">
        <f aca="false">IF(OR($E194="",$E194=0),0,1)</f>
        <v>0</v>
      </c>
      <c r="G194" s="0" t="n">
        <f aca="false">IF($F194=0,0,INDEX(Aux_HH!$D$4:$D$18,MATCH($B194&amp;"|"&amp;$E194,Aux_HH!$A$4:$A$18,0)))</f>
        <v>0</v>
      </c>
      <c r="H194" s="0" t="n">
        <f aca="false">IF($F194=0,0,INDEX(Aux_HH!$E$4:$E$18,MATCH($B194&amp;"|"&amp;$E194,Aux_HH!$A$4:$A$18,0)))</f>
        <v>0</v>
      </c>
      <c r="I194" s="0" t="n">
        <f aca="false">IF($F194=0,0,INDEX(Aux_HH!$F$4:$F$18,MATCH($B194&amp;"|"&amp;$E194,Aux_HH!$A$4:$A$18,0)))</f>
        <v>0</v>
      </c>
      <c r="J194" s="0" t="n">
        <f aca="false">IF($F194=0,0,INDEX(Aux_HH!$G$4:$G$18,MATCH($B194&amp;"|"&amp;$E194,Aux_HH!$A$4:$A$18,0)))</f>
        <v>0</v>
      </c>
      <c r="K194" s="0" t="n">
        <f aca="false">IF($F194=0,0,INDEX(Aux_HH!$H$4:$H$18,MATCH($B194&amp;"|"&amp;$E194,Aux_HH!$A$4:$A$18,0)))</f>
        <v>0</v>
      </c>
      <c r="L194" s="0" t="n">
        <f aca="false">IF($F194=0,0,INDEX(Aux_HH!$I$4:$I$18,MATCH($B194&amp;"|"&amp;$E194,Aux_HH!$A$4:$A$18,0)))</f>
        <v>0</v>
      </c>
    </row>
    <row r="195" customFormat="false" ht="15" hidden="false" customHeight="false" outlineLevel="0" collapsed="false">
      <c r="A195" s="0" t="str">
        <f aca="false">IF(Frota!$A8="","",Frota!$A8)</f>
        <v>Colhedora CASE A9000 — 1043</v>
      </c>
      <c r="B195" s="0" t="str">
        <f aca="false">IF(Frota!$A8="","",Frota!$B8)</f>
        <v>Colhedora</v>
      </c>
      <c r="C195" s="0" t="n">
        <v>36</v>
      </c>
      <c r="D195" s="0" t="n">
        <f aca="false">INDEX(Semanas!$E$3:$E$54,36)</f>
        <v>12</v>
      </c>
      <c r="E195" s="0" t="str">
        <f aca="false">IF(Frota!$A8="","",Cronograma!AK8)</f>
        <v/>
      </c>
      <c r="F195" s="0" t="n">
        <f aca="false">IF(OR($E195="",$E195=0),0,1)</f>
        <v>0</v>
      </c>
      <c r="G195" s="0" t="n">
        <f aca="false">IF($F195=0,0,INDEX(Aux_HH!$D$4:$D$18,MATCH($B195&amp;"|"&amp;$E195,Aux_HH!$A$4:$A$18,0)))</f>
        <v>0</v>
      </c>
      <c r="H195" s="0" t="n">
        <f aca="false">IF($F195=0,0,INDEX(Aux_HH!$E$4:$E$18,MATCH($B195&amp;"|"&amp;$E195,Aux_HH!$A$4:$A$18,0)))</f>
        <v>0</v>
      </c>
      <c r="I195" s="0" t="n">
        <f aca="false">IF($F195=0,0,INDEX(Aux_HH!$F$4:$F$18,MATCH($B195&amp;"|"&amp;$E195,Aux_HH!$A$4:$A$18,0)))</f>
        <v>0</v>
      </c>
      <c r="J195" s="0" t="n">
        <f aca="false">IF($F195=0,0,INDEX(Aux_HH!$G$4:$G$18,MATCH($B195&amp;"|"&amp;$E195,Aux_HH!$A$4:$A$18,0)))</f>
        <v>0</v>
      </c>
      <c r="K195" s="0" t="n">
        <f aca="false">IF($F195=0,0,INDEX(Aux_HH!$H$4:$H$18,MATCH($B195&amp;"|"&amp;$E195,Aux_HH!$A$4:$A$18,0)))</f>
        <v>0</v>
      </c>
      <c r="L195" s="0" t="n">
        <f aca="false">IF($F195=0,0,INDEX(Aux_HH!$I$4:$I$18,MATCH($B195&amp;"|"&amp;$E195,Aux_HH!$A$4:$A$18,0)))</f>
        <v>0</v>
      </c>
    </row>
    <row r="196" customFormat="false" ht="15" hidden="false" customHeight="false" outlineLevel="0" collapsed="false">
      <c r="A196" s="0" t="str">
        <f aca="false">IF(Frota!$A8="","",Frota!$A8)</f>
        <v>Colhedora CASE A9000 — 1043</v>
      </c>
      <c r="B196" s="0" t="str">
        <f aca="false">IF(Frota!$A8="","",Frota!$B8)</f>
        <v>Colhedora</v>
      </c>
      <c r="C196" s="0" t="n">
        <v>37</v>
      </c>
      <c r="D196" s="0" t="n">
        <f aca="false">INDEX(Semanas!$E$3:$E$54,37)</f>
        <v>12</v>
      </c>
      <c r="E196" s="0" t="str">
        <f aca="false">IF(Frota!$A8="","",Cronograma!AL8)</f>
        <v/>
      </c>
      <c r="F196" s="0" t="n">
        <f aca="false">IF(OR($E196="",$E196=0),0,1)</f>
        <v>0</v>
      </c>
      <c r="G196" s="0" t="n">
        <f aca="false">IF($F196=0,0,INDEX(Aux_HH!$D$4:$D$18,MATCH($B196&amp;"|"&amp;$E196,Aux_HH!$A$4:$A$18,0)))</f>
        <v>0</v>
      </c>
      <c r="H196" s="0" t="n">
        <f aca="false">IF($F196=0,0,INDEX(Aux_HH!$E$4:$E$18,MATCH($B196&amp;"|"&amp;$E196,Aux_HH!$A$4:$A$18,0)))</f>
        <v>0</v>
      </c>
      <c r="I196" s="0" t="n">
        <f aca="false">IF($F196=0,0,INDEX(Aux_HH!$F$4:$F$18,MATCH($B196&amp;"|"&amp;$E196,Aux_HH!$A$4:$A$18,0)))</f>
        <v>0</v>
      </c>
      <c r="J196" s="0" t="n">
        <f aca="false">IF($F196=0,0,INDEX(Aux_HH!$G$4:$G$18,MATCH($B196&amp;"|"&amp;$E196,Aux_HH!$A$4:$A$18,0)))</f>
        <v>0</v>
      </c>
      <c r="K196" s="0" t="n">
        <f aca="false">IF($F196=0,0,INDEX(Aux_HH!$H$4:$H$18,MATCH($B196&amp;"|"&amp;$E196,Aux_HH!$A$4:$A$18,0)))</f>
        <v>0</v>
      </c>
      <c r="L196" s="0" t="n">
        <f aca="false">IF($F196=0,0,INDEX(Aux_HH!$I$4:$I$18,MATCH($B196&amp;"|"&amp;$E196,Aux_HH!$A$4:$A$18,0)))</f>
        <v>0</v>
      </c>
    </row>
    <row r="197" customFormat="false" ht="15" hidden="false" customHeight="false" outlineLevel="0" collapsed="false">
      <c r="A197" s="0" t="str">
        <f aca="false">IF(Frota!$A8="","",Frota!$A8)</f>
        <v>Colhedora CASE A9000 — 1043</v>
      </c>
      <c r="B197" s="0" t="str">
        <f aca="false">IF(Frota!$A8="","",Frota!$B8)</f>
        <v>Colhedora</v>
      </c>
      <c r="C197" s="0" t="n">
        <v>38</v>
      </c>
      <c r="D197" s="0" t="n">
        <f aca="false">INDEX(Semanas!$E$3:$E$54,38)</f>
        <v>12</v>
      </c>
      <c r="E197" s="0" t="str">
        <f aca="false">IF(Frota!$A8="","",Cronograma!AM8)</f>
        <v/>
      </c>
      <c r="F197" s="0" t="n">
        <f aca="false">IF(OR($E197="",$E197=0),0,1)</f>
        <v>0</v>
      </c>
      <c r="G197" s="0" t="n">
        <f aca="false">IF($F197=0,0,INDEX(Aux_HH!$D$4:$D$18,MATCH($B197&amp;"|"&amp;$E197,Aux_HH!$A$4:$A$18,0)))</f>
        <v>0</v>
      </c>
      <c r="H197" s="0" t="n">
        <f aca="false">IF($F197=0,0,INDEX(Aux_HH!$E$4:$E$18,MATCH($B197&amp;"|"&amp;$E197,Aux_HH!$A$4:$A$18,0)))</f>
        <v>0</v>
      </c>
      <c r="I197" s="0" t="n">
        <f aca="false">IF($F197=0,0,INDEX(Aux_HH!$F$4:$F$18,MATCH($B197&amp;"|"&amp;$E197,Aux_HH!$A$4:$A$18,0)))</f>
        <v>0</v>
      </c>
      <c r="J197" s="0" t="n">
        <f aca="false">IF($F197=0,0,INDEX(Aux_HH!$G$4:$G$18,MATCH($B197&amp;"|"&amp;$E197,Aux_HH!$A$4:$A$18,0)))</f>
        <v>0</v>
      </c>
      <c r="K197" s="0" t="n">
        <f aca="false">IF($F197=0,0,INDEX(Aux_HH!$H$4:$H$18,MATCH($B197&amp;"|"&amp;$E197,Aux_HH!$A$4:$A$18,0)))</f>
        <v>0</v>
      </c>
      <c r="L197" s="0" t="n">
        <f aca="false">IF($F197=0,0,INDEX(Aux_HH!$I$4:$I$18,MATCH($B197&amp;"|"&amp;$E197,Aux_HH!$A$4:$A$18,0)))</f>
        <v>0</v>
      </c>
    </row>
    <row r="198" customFormat="false" ht="15" hidden="false" customHeight="false" outlineLevel="0" collapsed="false">
      <c r="A198" s="0" t="str">
        <f aca="false">IF(Frota!$A8="","",Frota!$A8)</f>
        <v>Colhedora CASE A9000 — 1043</v>
      </c>
      <c r="B198" s="0" t="str">
        <f aca="false">IF(Frota!$A8="","",Frota!$B8)</f>
        <v>Colhedora</v>
      </c>
      <c r="C198" s="0" t="n">
        <v>39</v>
      </c>
      <c r="D198" s="0" t="n">
        <f aca="false">INDEX(Semanas!$E$3:$E$54,39)</f>
        <v>12</v>
      </c>
      <c r="E198" s="0" t="str">
        <f aca="false">IF(Frota!$A8="","",Cronograma!AN8)</f>
        <v/>
      </c>
      <c r="F198" s="0" t="n">
        <f aca="false">IF(OR($E198="",$E198=0),0,1)</f>
        <v>0</v>
      </c>
      <c r="G198" s="0" t="n">
        <f aca="false">IF($F198=0,0,INDEX(Aux_HH!$D$4:$D$18,MATCH($B198&amp;"|"&amp;$E198,Aux_HH!$A$4:$A$18,0)))</f>
        <v>0</v>
      </c>
      <c r="H198" s="0" t="n">
        <f aca="false">IF($F198=0,0,INDEX(Aux_HH!$E$4:$E$18,MATCH($B198&amp;"|"&amp;$E198,Aux_HH!$A$4:$A$18,0)))</f>
        <v>0</v>
      </c>
      <c r="I198" s="0" t="n">
        <f aca="false">IF($F198=0,0,INDEX(Aux_HH!$F$4:$F$18,MATCH($B198&amp;"|"&amp;$E198,Aux_HH!$A$4:$A$18,0)))</f>
        <v>0</v>
      </c>
      <c r="J198" s="0" t="n">
        <f aca="false">IF($F198=0,0,INDEX(Aux_HH!$G$4:$G$18,MATCH($B198&amp;"|"&amp;$E198,Aux_HH!$A$4:$A$18,0)))</f>
        <v>0</v>
      </c>
      <c r="K198" s="0" t="n">
        <f aca="false">IF($F198=0,0,INDEX(Aux_HH!$H$4:$H$18,MATCH($B198&amp;"|"&amp;$E198,Aux_HH!$A$4:$A$18,0)))</f>
        <v>0</v>
      </c>
      <c r="L198" s="0" t="n">
        <f aca="false">IF($F198=0,0,INDEX(Aux_HH!$I$4:$I$18,MATCH($B198&amp;"|"&amp;$E198,Aux_HH!$A$4:$A$18,0)))</f>
        <v>0</v>
      </c>
    </row>
    <row r="199" customFormat="false" ht="15" hidden="false" customHeight="false" outlineLevel="0" collapsed="false">
      <c r="A199" s="0" t="str">
        <f aca="false">IF(Frota!$A8="","",Frota!$A8)</f>
        <v>Colhedora CASE A9000 — 1043</v>
      </c>
      <c r="B199" s="0" t="str">
        <f aca="false">IF(Frota!$A8="","",Frota!$B8)</f>
        <v>Colhedora</v>
      </c>
      <c r="C199" s="0" t="n">
        <v>40</v>
      </c>
      <c r="D199" s="0" t="n">
        <f aca="false">INDEX(Semanas!$E$3:$E$54,40)</f>
        <v>12</v>
      </c>
      <c r="E199" s="0" t="str">
        <f aca="false">IF(Frota!$A8="","",Cronograma!AO8)</f>
        <v/>
      </c>
      <c r="F199" s="0" t="n">
        <f aca="false">IF(OR($E199="",$E199=0),0,1)</f>
        <v>0</v>
      </c>
      <c r="G199" s="0" t="n">
        <f aca="false">IF($F199=0,0,INDEX(Aux_HH!$D$4:$D$18,MATCH($B199&amp;"|"&amp;$E199,Aux_HH!$A$4:$A$18,0)))</f>
        <v>0</v>
      </c>
      <c r="H199" s="0" t="n">
        <f aca="false">IF($F199=0,0,INDEX(Aux_HH!$E$4:$E$18,MATCH($B199&amp;"|"&amp;$E199,Aux_HH!$A$4:$A$18,0)))</f>
        <v>0</v>
      </c>
      <c r="I199" s="0" t="n">
        <f aca="false">IF($F199=0,0,INDEX(Aux_HH!$F$4:$F$18,MATCH($B199&amp;"|"&amp;$E199,Aux_HH!$A$4:$A$18,0)))</f>
        <v>0</v>
      </c>
      <c r="J199" s="0" t="n">
        <f aca="false">IF($F199=0,0,INDEX(Aux_HH!$G$4:$G$18,MATCH($B199&amp;"|"&amp;$E199,Aux_HH!$A$4:$A$18,0)))</f>
        <v>0</v>
      </c>
      <c r="K199" s="0" t="n">
        <f aca="false">IF($F199=0,0,INDEX(Aux_HH!$H$4:$H$18,MATCH($B199&amp;"|"&amp;$E199,Aux_HH!$A$4:$A$18,0)))</f>
        <v>0</v>
      </c>
      <c r="L199" s="0" t="n">
        <f aca="false">IF($F199=0,0,INDEX(Aux_HH!$I$4:$I$18,MATCH($B199&amp;"|"&amp;$E199,Aux_HH!$A$4:$A$18,0)))</f>
        <v>0</v>
      </c>
    </row>
    <row r="200" customFormat="false" ht="15" hidden="false" customHeight="false" outlineLevel="0" collapsed="false">
      <c r="A200" s="0" t="str">
        <f aca="false">IF(Frota!$A8="","",Frota!$A8)</f>
        <v>Colhedora CASE A9000 — 1043</v>
      </c>
      <c r="B200" s="0" t="str">
        <f aca="false">IF(Frota!$A8="","",Frota!$B8)</f>
        <v>Colhedora</v>
      </c>
      <c r="C200" s="0" t="n">
        <v>41</v>
      </c>
      <c r="D200" s="0" t="n">
        <f aca="false">INDEX(Semanas!$E$3:$E$54,41)</f>
        <v>1</v>
      </c>
      <c r="E200" s="0" t="str">
        <f aca="false">IF(Frota!$A8="","",Cronograma!AP8)</f>
        <v/>
      </c>
      <c r="F200" s="0" t="n">
        <f aca="false">IF(OR($E200="",$E200=0),0,1)</f>
        <v>0</v>
      </c>
      <c r="G200" s="0" t="n">
        <f aca="false">IF($F200=0,0,INDEX(Aux_HH!$D$4:$D$18,MATCH($B200&amp;"|"&amp;$E200,Aux_HH!$A$4:$A$18,0)))</f>
        <v>0</v>
      </c>
      <c r="H200" s="0" t="n">
        <f aca="false">IF($F200=0,0,INDEX(Aux_HH!$E$4:$E$18,MATCH($B200&amp;"|"&amp;$E200,Aux_HH!$A$4:$A$18,0)))</f>
        <v>0</v>
      </c>
      <c r="I200" s="0" t="n">
        <f aca="false">IF($F200=0,0,INDEX(Aux_HH!$F$4:$F$18,MATCH($B200&amp;"|"&amp;$E200,Aux_HH!$A$4:$A$18,0)))</f>
        <v>0</v>
      </c>
      <c r="J200" s="0" t="n">
        <f aca="false">IF($F200=0,0,INDEX(Aux_HH!$G$4:$G$18,MATCH($B200&amp;"|"&amp;$E200,Aux_HH!$A$4:$A$18,0)))</f>
        <v>0</v>
      </c>
      <c r="K200" s="0" t="n">
        <f aca="false">IF($F200=0,0,INDEX(Aux_HH!$H$4:$H$18,MATCH($B200&amp;"|"&amp;$E200,Aux_HH!$A$4:$A$18,0)))</f>
        <v>0</v>
      </c>
      <c r="L200" s="0" t="n">
        <f aca="false">IF($F200=0,0,INDEX(Aux_HH!$I$4:$I$18,MATCH($B200&amp;"|"&amp;$E200,Aux_HH!$A$4:$A$18,0)))</f>
        <v>0</v>
      </c>
    </row>
    <row r="201" customFormat="false" ht="15" hidden="false" customHeight="false" outlineLevel="0" collapsed="false">
      <c r="A201" s="0" t="str">
        <f aca="false">IF(Frota!$A8="","",Frota!$A8)</f>
        <v>Colhedora CASE A9000 — 1043</v>
      </c>
      <c r="B201" s="0" t="str">
        <f aca="false">IF(Frota!$A8="","",Frota!$B8)</f>
        <v>Colhedora</v>
      </c>
      <c r="C201" s="0" t="n">
        <v>42</v>
      </c>
      <c r="D201" s="0" t="n">
        <f aca="false">INDEX(Semanas!$E$3:$E$54,42)</f>
        <v>1</v>
      </c>
      <c r="E201" s="0" t="str">
        <f aca="false">IF(Frota!$A8="","",Cronograma!AQ8)</f>
        <v/>
      </c>
      <c r="F201" s="0" t="n">
        <f aca="false">IF(OR($E201="",$E201=0),0,1)</f>
        <v>0</v>
      </c>
      <c r="G201" s="0" t="n">
        <f aca="false">IF($F201=0,0,INDEX(Aux_HH!$D$4:$D$18,MATCH($B201&amp;"|"&amp;$E201,Aux_HH!$A$4:$A$18,0)))</f>
        <v>0</v>
      </c>
      <c r="H201" s="0" t="n">
        <f aca="false">IF($F201=0,0,INDEX(Aux_HH!$E$4:$E$18,MATCH($B201&amp;"|"&amp;$E201,Aux_HH!$A$4:$A$18,0)))</f>
        <v>0</v>
      </c>
      <c r="I201" s="0" t="n">
        <f aca="false">IF($F201=0,0,INDEX(Aux_HH!$F$4:$F$18,MATCH($B201&amp;"|"&amp;$E201,Aux_HH!$A$4:$A$18,0)))</f>
        <v>0</v>
      </c>
      <c r="J201" s="0" t="n">
        <f aca="false">IF($F201=0,0,INDEX(Aux_HH!$G$4:$G$18,MATCH($B201&amp;"|"&amp;$E201,Aux_HH!$A$4:$A$18,0)))</f>
        <v>0</v>
      </c>
      <c r="K201" s="0" t="n">
        <f aca="false">IF($F201=0,0,INDEX(Aux_HH!$H$4:$H$18,MATCH($B201&amp;"|"&amp;$E201,Aux_HH!$A$4:$A$18,0)))</f>
        <v>0</v>
      </c>
      <c r="L201" s="0" t="n">
        <f aca="false">IF($F201=0,0,INDEX(Aux_HH!$I$4:$I$18,MATCH($B201&amp;"|"&amp;$E201,Aux_HH!$A$4:$A$18,0)))</f>
        <v>0</v>
      </c>
    </row>
    <row r="202" customFormat="false" ht="15" hidden="false" customHeight="false" outlineLevel="0" collapsed="false">
      <c r="A202" s="0" t="str">
        <f aca="false">IF(Frota!$A8="","",Frota!$A8)</f>
        <v>Colhedora CASE A9000 — 1043</v>
      </c>
      <c r="B202" s="0" t="str">
        <f aca="false">IF(Frota!$A8="","",Frota!$B8)</f>
        <v>Colhedora</v>
      </c>
      <c r="C202" s="0" t="n">
        <v>43</v>
      </c>
      <c r="D202" s="0" t="n">
        <f aca="false">INDEX(Semanas!$E$3:$E$54,43)</f>
        <v>1</v>
      </c>
      <c r="E202" s="0" t="str">
        <f aca="false">IF(Frota!$A8="","",Cronograma!AR8)</f>
        <v/>
      </c>
      <c r="F202" s="0" t="n">
        <f aca="false">IF(OR($E202="",$E202=0),0,1)</f>
        <v>0</v>
      </c>
      <c r="G202" s="0" t="n">
        <f aca="false">IF($F202=0,0,INDEX(Aux_HH!$D$4:$D$18,MATCH($B202&amp;"|"&amp;$E202,Aux_HH!$A$4:$A$18,0)))</f>
        <v>0</v>
      </c>
      <c r="H202" s="0" t="n">
        <f aca="false">IF($F202=0,0,INDEX(Aux_HH!$E$4:$E$18,MATCH($B202&amp;"|"&amp;$E202,Aux_HH!$A$4:$A$18,0)))</f>
        <v>0</v>
      </c>
      <c r="I202" s="0" t="n">
        <f aca="false">IF($F202=0,0,INDEX(Aux_HH!$F$4:$F$18,MATCH($B202&amp;"|"&amp;$E202,Aux_HH!$A$4:$A$18,0)))</f>
        <v>0</v>
      </c>
      <c r="J202" s="0" t="n">
        <f aca="false">IF($F202=0,0,INDEX(Aux_HH!$G$4:$G$18,MATCH($B202&amp;"|"&amp;$E202,Aux_HH!$A$4:$A$18,0)))</f>
        <v>0</v>
      </c>
      <c r="K202" s="0" t="n">
        <f aca="false">IF($F202=0,0,INDEX(Aux_HH!$H$4:$H$18,MATCH($B202&amp;"|"&amp;$E202,Aux_HH!$A$4:$A$18,0)))</f>
        <v>0</v>
      </c>
      <c r="L202" s="0" t="n">
        <f aca="false">IF($F202=0,0,INDEX(Aux_HH!$I$4:$I$18,MATCH($B202&amp;"|"&amp;$E202,Aux_HH!$A$4:$A$18,0)))</f>
        <v>0</v>
      </c>
    </row>
    <row r="203" customFormat="false" ht="15" hidden="false" customHeight="false" outlineLevel="0" collapsed="false">
      <c r="A203" s="0" t="str">
        <f aca="false">IF(Frota!$A8="","",Frota!$A8)</f>
        <v>Colhedora CASE A9000 — 1043</v>
      </c>
      <c r="B203" s="0" t="str">
        <f aca="false">IF(Frota!$A8="","",Frota!$B8)</f>
        <v>Colhedora</v>
      </c>
      <c r="C203" s="0" t="n">
        <v>44</v>
      </c>
      <c r="D203" s="0" t="n">
        <f aca="false">INDEX(Semanas!$E$3:$E$54,44)</f>
        <v>1</v>
      </c>
      <c r="E203" s="0" t="str">
        <f aca="false">IF(Frota!$A8="","",Cronograma!AS8)</f>
        <v/>
      </c>
      <c r="F203" s="0" t="n">
        <f aca="false">IF(OR($E203="",$E203=0),0,1)</f>
        <v>0</v>
      </c>
      <c r="G203" s="0" t="n">
        <f aca="false">IF($F203=0,0,INDEX(Aux_HH!$D$4:$D$18,MATCH($B203&amp;"|"&amp;$E203,Aux_HH!$A$4:$A$18,0)))</f>
        <v>0</v>
      </c>
      <c r="H203" s="0" t="n">
        <f aca="false">IF($F203=0,0,INDEX(Aux_HH!$E$4:$E$18,MATCH($B203&amp;"|"&amp;$E203,Aux_HH!$A$4:$A$18,0)))</f>
        <v>0</v>
      </c>
      <c r="I203" s="0" t="n">
        <f aca="false">IF($F203=0,0,INDEX(Aux_HH!$F$4:$F$18,MATCH($B203&amp;"|"&amp;$E203,Aux_HH!$A$4:$A$18,0)))</f>
        <v>0</v>
      </c>
      <c r="J203" s="0" t="n">
        <f aca="false">IF($F203=0,0,INDEX(Aux_HH!$G$4:$G$18,MATCH($B203&amp;"|"&amp;$E203,Aux_HH!$A$4:$A$18,0)))</f>
        <v>0</v>
      </c>
      <c r="K203" s="0" t="n">
        <f aca="false">IF($F203=0,0,INDEX(Aux_HH!$H$4:$H$18,MATCH($B203&amp;"|"&amp;$E203,Aux_HH!$A$4:$A$18,0)))</f>
        <v>0</v>
      </c>
      <c r="L203" s="0" t="n">
        <f aca="false">IF($F203=0,0,INDEX(Aux_HH!$I$4:$I$18,MATCH($B203&amp;"|"&amp;$E203,Aux_HH!$A$4:$A$18,0)))</f>
        <v>0</v>
      </c>
    </row>
    <row r="204" customFormat="false" ht="15" hidden="false" customHeight="false" outlineLevel="0" collapsed="false">
      <c r="A204" s="0" t="str">
        <f aca="false">IF(Frota!$A8="","",Frota!$A8)</f>
        <v>Colhedora CASE A9000 — 1043</v>
      </c>
      <c r="B204" s="0" t="str">
        <f aca="false">IF(Frota!$A8="","",Frota!$B8)</f>
        <v>Colhedora</v>
      </c>
      <c r="C204" s="0" t="n">
        <v>45</v>
      </c>
      <c r="D204" s="0" t="n">
        <f aca="false">INDEX(Semanas!$E$3:$E$54,45)</f>
        <v>2</v>
      </c>
      <c r="E204" s="0" t="str">
        <f aca="false">IF(Frota!$A8="","",Cronograma!AT8)</f>
        <v/>
      </c>
      <c r="F204" s="0" t="n">
        <f aca="false">IF(OR($E204="",$E204=0),0,1)</f>
        <v>0</v>
      </c>
      <c r="G204" s="0" t="n">
        <f aca="false">IF($F204=0,0,INDEX(Aux_HH!$D$4:$D$18,MATCH($B204&amp;"|"&amp;$E204,Aux_HH!$A$4:$A$18,0)))</f>
        <v>0</v>
      </c>
      <c r="H204" s="0" t="n">
        <f aca="false">IF($F204=0,0,INDEX(Aux_HH!$E$4:$E$18,MATCH($B204&amp;"|"&amp;$E204,Aux_HH!$A$4:$A$18,0)))</f>
        <v>0</v>
      </c>
      <c r="I204" s="0" t="n">
        <f aca="false">IF($F204=0,0,INDEX(Aux_HH!$F$4:$F$18,MATCH($B204&amp;"|"&amp;$E204,Aux_HH!$A$4:$A$18,0)))</f>
        <v>0</v>
      </c>
      <c r="J204" s="0" t="n">
        <f aca="false">IF($F204=0,0,INDEX(Aux_HH!$G$4:$G$18,MATCH($B204&amp;"|"&amp;$E204,Aux_HH!$A$4:$A$18,0)))</f>
        <v>0</v>
      </c>
      <c r="K204" s="0" t="n">
        <f aca="false">IF($F204=0,0,INDEX(Aux_HH!$H$4:$H$18,MATCH($B204&amp;"|"&amp;$E204,Aux_HH!$A$4:$A$18,0)))</f>
        <v>0</v>
      </c>
      <c r="L204" s="0" t="n">
        <f aca="false">IF($F204=0,0,INDEX(Aux_HH!$I$4:$I$18,MATCH($B204&amp;"|"&amp;$E204,Aux_HH!$A$4:$A$18,0)))</f>
        <v>0</v>
      </c>
    </row>
    <row r="205" customFormat="false" ht="15" hidden="false" customHeight="false" outlineLevel="0" collapsed="false">
      <c r="A205" s="0" t="str">
        <f aca="false">IF(Frota!$A8="","",Frota!$A8)</f>
        <v>Colhedora CASE A9000 — 1043</v>
      </c>
      <c r="B205" s="0" t="str">
        <f aca="false">IF(Frota!$A8="","",Frota!$B8)</f>
        <v>Colhedora</v>
      </c>
      <c r="C205" s="0" t="n">
        <v>46</v>
      </c>
      <c r="D205" s="0" t="n">
        <f aca="false">INDEX(Semanas!$E$3:$E$54,46)</f>
        <v>2</v>
      </c>
      <c r="E205" s="0" t="str">
        <f aca="false">IF(Frota!$A8="","",Cronograma!AU8)</f>
        <v/>
      </c>
      <c r="F205" s="0" t="n">
        <f aca="false">IF(OR($E205="",$E205=0),0,1)</f>
        <v>0</v>
      </c>
      <c r="G205" s="0" t="n">
        <f aca="false">IF($F205=0,0,INDEX(Aux_HH!$D$4:$D$18,MATCH($B205&amp;"|"&amp;$E205,Aux_HH!$A$4:$A$18,0)))</f>
        <v>0</v>
      </c>
      <c r="H205" s="0" t="n">
        <f aca="false">IF($F205=0,0,INDEX(Aux_HH!$E$4:$E$18,MATCH($B205&amp;"|"&amp;$E205,Aux_HH!$A$4:$A$18,0)))</f>
        <v>0</v>
      </c>
      <c r="I205" s="0" t="n">
        <f aca="false">IF($F205=0,0,INDEX(Aux_HH!$F$4:$F$18,MATCH($B205&amp;"|"&amp;$E205,Aux_HH!$A$4:$A$18,0)))</f>
        <v>0</v>
      </c>
      <c r="J205" s="0" t="n">
        <f aca="false">IF($F205=0,0,INDEX(Aux_HH!$G$4:$G$18,MATCH($B205&amp;"|"&amp;$E205,Aux_HH!$A$4:$A$18,0)))</f>
        <v>0</v>
      </c>
      <c r="K205" s="0" t="n">
        <f aca="false">IF($F205=0,0,INDEX(Aux_HH!$H$4:$H$18,MATCH($B205&amp;"|"&amp;$E205,Aux_HH!$A$4:$A$18,0)))</f>
        <v>0</v>
      </c>
      <c r="L205" s="0" t="n">
        <f aca="false">IF($F205=0,0,INDEX(Aux_HH!$I$4:$I$18,MATCH($B205&amp;"|"&amp;$E205,Aux_HH!$A$4:$A$18,0)))</f>
        <v>0</v>
      </c>
    </row>
    <row r="206" customFormat="false" ht="15" hidden="false" customHeight="false" outlineLevel="0" collapsed="false">
      <c r="A206" s="0" t="str">
        <f aca="false">IF(Frota!$A8="","",Frota!$A8)</f>
        <v>Colhedora CASE A9000 — 1043</v>
      </c>
      <c r="B206" s="0" t="str">
        <f aca="false">IF(Frota!$A8="","",Frota!$B8)</f>
        <v>Colhedora</v>
      </c>
      <c r="C206" s="0" t="n">
        <v>47</v>
      </c>
      <c r="D206" s="0" t="n">
        <f aca="false">INDEX(Semanas!$E$3:$E$54,47)</f>
        <v>2</v>
      </c>
      <c r="E206" s="0" t="str">
        <f aca="false">IF(Frota!$A8="","",Cronograma!AV8)</f>
        <v/>
      </c>
      <c r="F206" s="0" t="n">
        <f aca="false">IF(OR($E206="",$E206=0),0,1)</f>
        <v>0</v>
      </c>
      <c r="G206" s="0" t="n">
        <f aca="false">IF($F206=0,0,INDEX(Aux_HH!$D$4:$D$18,MATCH($B206&amp;"|"&amp;$E206,Aux_HH!$A$4:$A$18,0)))</f>
        <v>0</v>
      </c>
      <c r="H206" s="0" t="n">
        <f aca="false">IF($F206=0,0,INDEX(Aux_HH!$E$4:$E$18,MATCH($B206&amp;"|"&amp;$E206,Aux_HH!$A$4:$A$18,0)))</f>
        <v>0</v>
      </c>
      <c r="I206" s="0" t="n">
        <f aca="false">IF($F206=0,0,INDEX(Aux_HH!$F$4:$F$18,MATCH($B206&amp;"|"&amp;$E206,Aux_HH!$A$4:$A$18,0)))</f>
        <v>0</v>
      </c>
      <c r="J206" s="0" t="n">
        <f aca="false">IF($F206=0,0,INDEX(Aux_HH!$G$4:$G$18,MATCH($B206&amp;"|"&amp;$E206,Aux_HH!$A$4:$A$18,0)))</f>
        <v>0</v>
      </c>
      <c r="K206" s="0" t="n">
        <f aca="false">IF($F206=0,0,INDEX(Aux_HH!$H$4:$H$18,MATCH($B206&amp;"|"&amp;$E206,Aux_HH!$A$4:$A$18,0)))</f>
        <v>0</v>
      </c>
      <c r="L206" s="0" t="n">
        <f aca="false">IF($F206=0,0,INDEX(Aux_HH!$I$4:$I$18,MATCH($B206&amp;"|"&amp;$E206,Aux_HH!$A$4:$A$18,0)))</f>
        <v>0</v>
      </c>
    </row>
    <row r="207" customFormat="false" ht="15" hidden="false" customHeight="false" outlineLevel="0" collapsed="false">
      <c r="A207" s="0" t="str">
        <f aca="false">IF(Frota!$A8="","",Frota!$A8)</f>
        <v>Colhedora CASE A9000 — 1043</v>
      </c>
      <c r="B207" s="0" t="str">
        <f aca="false">IF(Frota!$A8="","",Frota!$B8)</f>
        <v>Colhedora</v>
      </c>
      <c r="C207" s="0" t="n">
        <v>48</v>
      </c>
      <c r="D207" s="0" t="n">
        <f aca="false">INDEX(Semanas!$E$3:$E$54,48)</f>
        <v>2</v>
      </c>
      <c r="E207" s="0" t="str">
        <f aca="false">IF(Frota!$A8="","",Cronograma!AW8)</f>
        <v/>
      </c>
      <c r="F207" s="0" t="n">
        <f aca="false">IF(OR($E207="",$E207=0),0,1)</f>
        <v>0</v>
      </c>
      <c r="G207" s="0" t="n">
        <f aca="false">IF($F207=0,0,INDEX(Aux_HH!$D$4:$D$18,MATCH($B207&amp;"|"&amp;$E207,Aux_HH!$A$4:$A$18,0)))</f>
        <v>0</v>
      </c>
      <c r="H207" s="0" t="n">
        <f aca="false">IF($F207=0,0,INDEX(Aux_HH!$E$4:$E$18,MATCH($B207&amp;"|"&amp;$E207,Aux_HH!$A$4:$A$18,0)))</f>
        <v>0</v>
      </c>
      <c r="I207" s="0" t="n">
        <f aca="false">IF($F207=0,0,INDEX(Aux_HH!$F$4:$F$18,MATCH($B207&amp;"|"&amp;$E207,Aux_HH!$A$4:$A$18,0)))</f>
        <v>0</v>
      </c>
      <c r="J207" s="0" t="n">
        <f aca="false">IF($F207=0,0,INDEX(Aux_HH!$G$4:$G$18,MATCH($B207&amp;"|"&amp;$E207,Aux_HH!$A$4:$A$18,0)))</f>
        <v>0</v>
      </c>
      <c r="K207" s="0" t="n">
        <f aca="false">IF($F207=0,0,INDEX(Aux_HH!$H$4:$H$18,MATCH($B207&amp;"|"&amp;$E207,Aux_HH!$A$4:$A$18,0)))</f>
        <v>0</v>
      </c>
      <c r="L207" s="0" t="n">
        <f aca="false">IF($F207=0,0,INDEX(Aux_HH!$I$4:$I$18,MATCH($B207&amp;"|"&amp;$E207,Aux_HH!$A$4:$A$18,0)))</f>
        <v>0</v>
      </c>
    </row>
    <row r="208" customFormat="false" ht="15" hidden="false" customHeight="false" outlineLevel="0" collapsed="false">
      <c r="A208" s="0" t="str">
        <f aca="false">IF(Frota!$A8="","",Frota!$A8)</f>
        <v>Colhedora CASE A9000 — 1043</v>
      </c>
      <c r="B208" s="0" t="str">
        <f aca="false">IF(Frota!$A8="","",Frota!$B8)</f>
        <v>Colhedora</v>
      </c>
      <c r="C208" s="0" t="n">
        <v>49</v>
      </c>
      <c r="D208" s="0" t="n">
        <f aca="false">INDEX(Semanas!$E$3:$E$54,49)</f>
        <v>3</v>
      </c>
      <c r="E208" s="0" t="str">
        <f aca="false">IF(Frota!$A8="","",Cronograma!AX8)</f>
        <v/>
      </c>
      <c r="F208" s="0" t="n">
        <f aca="false">IF(OR($E208="",$E208=0),0,1)</f>
        <v>0</v>
      </c>
      <c r="G208" s="0" t="n">
        <f aca="false">IF($F208=0,0,INDEX(Aux_HH!$D$4:$D$18,MATCH($B208&amp;"|"&amp;$E208,Aux_HH!$A$4:$A$18,0)))</f>
        <v>0</v>
      </c>
      <c r="H208" s="0" t="n">
        <f aca="false">IF($F208=0,0,INDEX(Aux_HH!$E$4:$E$18,MATCH($B208&amp;"|"&amp;$E208,Aux_HH!$A$4:$A$18,0)))</f>
        <v>0</v>
      </c>
      <c r="I208" s="0" t="n">
        <f aca="false">IF($F208=0,0,INDEX(Aux_HH!$F$4:$F$18,MATCH($B208&amp;"|"&amp;$E208,Aux_HH!$A$4:$A$18,0)))</f>
        <v>0</v>
      </c>
      <c r="J208" s="0" t="n">
        <f aca="false">IF($F208=0,0,INDEX(Aux_HH!$G$4:$G$18,MATCH($B208&amp;"|"&amp;$E208,Aux_HH!$A$4:$A$18,0)))</f>
        <v>0</v>
      </c>
      <c r="K208" s="0" t="n">
        <f aca="false">IF($F208=0,0,INDEX(Aux_HH!$H$4:$H$18,MATCH($B208&amp;"|"&amp;$E208,Aux_HH!$A$4:$A$18,0)))</f>
        <v>0</v>
      </c>
      <c r="L208" s="0" t="n">
        <f aca="false">IF($F208=0,0,INDEX(Aux_HH!$I$4:$I$18,MATCH($B208&amp;"|"&amp;$E208,Aux_HH!$A$4:$A$18,0)))</f>
        <v>0</v>
      </c>
    </row>
    <row r="209" customFormat="false" ht="15" hidden="false" customHeight="false" outlineLevel="0" collapsed="false">
      <c r="A209" s="0" t="str">
        <f aca="false">IF(Frota!$A8="","",Frota!$A8)</f>
        <v>Colhedora CASE A9000 — 1043</v>
      </c>
      <c r="B209" s="0" t="str">
        <f aca="false">IF(Frota!$A8="","",Frota!$B8)</f>
        <v>Colhedora</v>
      </c>
      <c r="C209" s="0" t="n">
        <v>50</v>
      </c>
      <c r="D209" s="0" t="n">
        <f aca="false">INDEX(Semanas!$E$3:$E$54,50)</f>
        <v>3</v>
      </c>
      <c r="E209" s="0" t="str">
        <f aca="false">IF(Frota!$A8="","",Cronograma!AY8)</f>
        <v>B</v>
      </c>
      <c r="F209" s="0" t="n">
        <f aca="false">IF(OR($E209="",$E209=0),0,1)</f>
        <v>1</v>
      </c>
      <c r="G209" s="0" t="n">
        <f aca="false">IF($F209=0,0,INDEX(Aux_HH!$D$4:$D$18,MATCH($B209&amp;"|"&amp;$E209,Aux_HH!$A$4:$A$18,0)))</f>
        <v>10.25</v>
      </c>
      <c r="H209" s="0" t="n">
        <f aca="false">IF($F209=0,0,INDEX(Aux_HH!$E$4:$E$18,MATCH($B209&amp;"|"&amp;$E209,Aux_HH!$A$4:$A$18,0)))</f>
        <v>0</v>
      </c>
      <c r="I209" s="0" t="n">
        <f aca="false">IF($F209=0,0,INDEX(Aux_HH!$F$4:$F$18,MATCH($B209&amp;"|"&amp;$E209,Aux_HH!$A$4:$A$18,0)))</f>
        <v>3</v>
      </c>
      <c r="J209" s="0" t="n">
        <f aca="false">IF($F209=0,0,INDEX(Aux_HH!$G$4:$G$18,MATCH($B209&amp;"|"&amp;$E209,Aux_HH!$A$4:$A$18,0)))</f>
        <v>1.75</v>
      </c>
      <c r="K209" s="0" t="n">
        <f aca="false">IF($F209=0,0,INDEX(Aux_HH!$H$4:$H$18,MATCH($B209&amp;"|"&amp;$E209,Aux_HH!$A$4:$A$18,0)))</f>
        <v>0</v>
      </c>
      <c r="L209" s="0" t="n">
        <f aca="false">IF($F209=0,0,INDEX(Aux_HH!$I$4:$I$18,MATCH($B209&amp;"|"&amp;$E209,Aux_HH!$A$4:$A$18,0)))</f>
        <v>0</v>
      </c>
    </row>
    <row r="210" customFormat="false" ht="15" hidden="false" customHeight="false" outlineLevel="0" collapsed="false">
      <c r="A210" s="0" t="str">
        <f aca="false">IF(Frota!$A8="","",Frota!$A8)</f>
        <v>Colhedora CASE A9000 — 1043</v>
      </c>
      <c r="B210" s="0" t="str">
        <f aca="false">IF(Frota!$A8="","",Frota!$B8)</f>
        <v>Colhedora</v>
      </c>
      <c r="C210" s="0" t="n">
        <v>51</v>
      </c>
      <c r="D210" s="0" t="n">
        <f aca="false">INDEX(Semanas!$E$3:$E$54,51)</f>
        <v>3</v>
      </c>
      <c r="E210" s="0" t="str">
        <f aca="false">IF(Frota!$A8="","",Cronograma!AZ8)</f>
        <v/>
      </c>
      <c r="F210" s="0" t="n">
        <f aca="false">IF(OR($E210="",$E210=0),0,1)</f>
        <v>0</v>
      </c>
      <c r="G210" s="0" t="n">
        <f aca="false">IF($F210=0,0,INDEX(Aux_HH!$D$4:$D$18,MATCH($B210&amp;"|"&amp;$E210,Aux_HH!$A$4:$A$18,0)))</f>
        <v>0</v>
      </c>
      <c r="H210" s="0" t="n">
        <f aca="false">IF($F210=0,0,INDEX(Aux_HH!$E$4:$E$18,MATCH($B210&amp;"|"&amp;$E210,Aux_HH!$A$4:$A$18,0)))</f>
        <v>0</v>
      </c>
      <c r="I210" s="0" t="n">
        <f aca="false">IF($F210=0,0,INDEX(Aux_HH!$F$4:$F$18,MATCH($B210&amp;"|"&amp;$E210,Aux_HH!$A$4:$A$18,0)))</f>
        <v>0</v>
      </c>
      <c r="J210" s="0" t="n">
        <f aca="false">IF($F210=0,0,INDEX(Aux_HH!$G$4:$G$18,MATCH($B210&amp;"|"&amp;$E210,Aux_HH!$A$4:$A$18,0)))</f>
        <v>0</v>
      </c>
      <c r="K210" s="0" t="n">
        <f aca="false">IF($F210=0,0,INDEX(Aux_HH!$H$4:$H$18,MATCH($B210&amp;"|"&amp;$E210,Aux_HH!$A$4:$A$18,0)))</f>
        <v>0</v>
      </c>
      <c r="L210" s="0" t="n">
        <f aca="false">IF($F210=0,0,INDEX(Aux_HH!$I$4:$I$18,MATCH($B210&amp;"|"&amp;$E210,Aux_HH!$A$4:$A$18,0)))</f>
        <v>0</v>
      </c>
    </row>
    <row r="211" customFormat="false" ht="15" hidden="false" customHeight="false" outlineLevel="0" collapsed="false">
      <c r="A211" s="0" t="str">
        <f aca="false">IF(Frota!$A8="","",Frota!$A8)</f>
        <v>Colhedora CASE A9000 — 1043</v>
      </c>
      <c r="B211" s="0" t="str">
        <f aca="false">IF(Frota!$A8="","",Frota!$B8)</f>
        <v>Colhedora</v>
      </c>
      <c r="C211" s="0" t="n">
        <v>52</v>
      </c>
      <c r="D211" s="0" t="n">
        <f aca="false">INDEX(Semanas!$E$3:$E$54,52)</f>
        <v>3</v>
      </c>
      <c r="E211" s="0" t="str">
        <f aca="false">IF(Frota!$A8="","",Cronograma!BA8)</f>
        <v/>
      </c>
      <c r="F211" s="0" t="n">
        <f aca="false">IF(OR($E211="",$E211=0),0,1)</f>
        <v>0</v>
      </c>
      <c r="G211" s="0" t="n">
        <f aca="false">IF($F211=0,0,INDEX(Aux_HH!$D$4:$D$18,MATCH($B211&amp;"|"&amp;$E211,Aux_HH!$A$4:$A$18,0)))</f>
        <v>0</v>
      </c>
      <c r="H211" s="0" t="n">
        <f aca="false">IF($F211=0,0,INDEX(Aux_HH!$E$4:$E$18,MATCH($B211&amp;"|"&amp;$E211,Aux_HH!$A$4:$A$18,0)))</f>
        <v>0</v>
      </c>
      <c r="I211" s="0" t="n">
        <f aca="false">IF($F211=0,0,INDEX(Aux_HH!$F$4:$F$18,MATCH($B211&amp;"|"&amp;$E211,Aux_HH!$A$4:$A$18,0)))</f>
        <v>0</v>
      </c>
      <c r="J211" s="0" t="n">
        <f aca="false">IF($F211=0,0,INDEX(Aux_HH!$G$4:$G$18,MATCH($B211&amp;"|"&amp;$E211,Aux_HH!$A$4:$A$18,0)))</f>
        <v>0</v>
      </c>
      <c r="K211" s="0" t="n">
        <f aca="false">IF($F211=0,0,INDEX(Aux_HH!$H$4:$H$18,MATCH($B211&amp;"|"&amp;$E211,Aux_HH!$A$4:$A$18,0)))</f>
        <v>0</v>
      </c>
      <c r="L211" s="0" t="n">
        <f aca="false">IF($F211=0,0,INDEX(Aux_HH!$I$4:$I$18,MATCH($B211&amp;"|"&amp;$E211,Aux_HH!$A$4:$A$18,0)))</f>
        <v>0</v>
      </c>
    </row>
    <row r="212" customFormat="false" ht="15" hidden="false" customHeight="false" outlineLevel="0" collapsed="false">
      <c r="A212" s="0" t="str">
        <f aca="false">IF(Frota!$A9="","",Frota!$A9)</f>
        <v>Trator NH T7.315 — 401</v>
      </c>
      <c r="B212" s="0" t="str">
        <f aca="false">IF(Frota!$A9="","",Frota!$B9)</f>
        <v>Trator</v>
      </c>
      <c r="C212" s="0" t="n">
        <v>1</v>
      </c>
      <c r="D212" s="0" t="n">
        <f aca="false">INDEX(Semanas!$E$3:$E$54,1)</f>
        <v>4</v>
      </c>
      <c r="E212" s="0" t="str">
        <f aca="false">IF(Frota!$A9="","",Cronograma!B9)</f>
        <v>S</v>
      </c>
      <c r="F212" s="0" t="n">
        <f aca="false">IF(OR($E212="",$E212=0),0,1)</f>
        <v>1</v>
      </c>
      <c r="G212" s="0" t="n">
        <f aca="false">IF($F212=0,0,INDEX(Aux_HH!$D$4:$D$18,MATCH($B212&amp;"|"&amp;$E212,Aux_HH!$A$4:$A$18,0)))</f>
        <v>1.5</v>
      </c>
      <c r="H212" s="0" t="n">
        <f aca="false">IF($F212=0,0,INDEX(Aux_HH!$E$4:$E$18,MATCH($B212&amp;"|"&amp;$E212,Aux_HH!$A$4:$A$18,0)))</f>
        <v>0</v>
      </c>
      <c r="I212" s="0" t="n">
        <f aca="false">IF($F212=0,0,INDEX(Aux_HH!$F$4:$F$18,MATCH($B212&amp;"|"&amp;$E212,Aux_HH!$A$4:$A$18,0)))</f>
        <v>0</v>
      </c>
      <c r="J212" s="0" t="n">
        <f aca="false">IF($F212=0,0,INDEX(Aux_HH!$G$4:$G$18,MATCH($B212&amp;"|"&amp;$E212,Aux_HH!$A$4:$A$18,0)))</f>
        <v>0.5</v>
      </c>
      <c r="K212" s="0" t="n">
        <f aca="false">IF($F212=0,0,INDEX(Aux_HH!$H$4:$H$18,MATCH($B212&amp;"|"&amp;$E212,Aux_HH!$A$4:$A$18,0)))</f>
        <v>0</v>
      </c>
      <c r="L212" s="0" t="n">
        <f aca="false">IF($F212=0,0,INDEX(Aux_HH!$I$4:$I$18,MATCH($B212&amp;"|"&amp;$E212,Aux_HH!$A$4:$A$18,0)))</f>
        <v>0</v>
      </c>
    </row>
    <row r="213" customFormat="false" ht="15" hidden="false" customHeight="false" outlineLevel="0" collapsed="false">
      <c r="A213" s="0" t="str">
        <f aca="false">IF(Frota!$A9="","",Frota!$A9)</f>
        <v>Trator NH T7.315 — 401</v>
      </c>
      <c r="B213" s="0" t="str">
        <f aca="false">IF(Frota!$A9="","",Frota!$B9)</f>
        <v>Trator</v>
      </c>
      <c r="C213" s="0" t="n">
        <v>2</v>
      </c>
      <c r="D213" s="0" t="n">
        <f aca="false">INDEX(Semanas!$E$3:$E$54,2)</f>
        <v>4</v>
      </c>
      <c r="E213" s="0" t="str">
        <f aca="false">IF(Frota!$A9="","",Cronograma!C9)</f>
        <v/>
      </c>
      <c r="F213" s="0" t="n">
        <f aca="false">IF(OR($E213="",$E213=0),0,1)</f>
        <v>0</v>
      </c>
      <c r="G213" s="0" t="n">
        <f aca="false">IF($F213=0,0,INDEX(Aux_HH!$D$4:$D$18,MATCH($B213&amp;"|"&amp;$E213,Aux_HH!$A$4:$A$18,0)))</f>
        <v>0</v>
      </c>
      <c r="H213" s="0" t="n">
        <f aca="false">IF($F213=0,0,INDEX(Aux_HH!$E$4:$E$18,MATCH($B213&amp;"|"&amp;$E213,Aux_HH!$A$4:$A$18,0)))</f>
        <v>0</v>
      </c>
      <c r="I213" s="0" t="n">
        <f aca="false">IF($F213=0,0,INDEX(Aux_HH!$F$4:$F$18,MATCH($B213&amp;"|"&amp;$E213,Aux_HH!$A$4:$A$18,0)))</f>
        <v>0</v>
      </c>
      <c r="J213" s="0" t="n">
        <f aca="false">IF($F213=0,0,INDEX(Aux_HH!$G$4:$G$18,MATCH($B213&amp;"|"&amp;$E213,Aux_HH!$A$4:$A$18,0)))</f>
        <v>0</v>
      </c>
      <c r="K213" s="0" t="n">
        <f aca="false">IF($F213=0,0,INDEX(Aux_HH!$H$4:$H$18,MATCH($B213&amp;"|"&amp;$E213,Aux_HH!$A$4:$A$18,0)))</f>
        <v>0</v>
      </c>
      <c r="L213" s="0" t="n">
        <f aca="false">IF($F213=0,0,INDEX(Aux_HH!$I$4:$I$18,MATCH($B213&amp;"|"&amp;$E213,Aux_HH!$A$4:$A$18,0)))</f>
        <v>0</v>
      </c>
    </row>
    <row r="214" customFormat="false" ht="15" hidden="false" customHeight="false" outlineLevel="0" collapsed="false">
      <c r="A214" s="0" t="str">
        <f aca="false">IF(Frota!$A9="","",Frota!$A9)</f>
        <v>Trator NH T7.315 — 401</v>
      </c>
      <c r="B214" s="0" t="str">
        <f aca="false">IF(Frota!$A9="","",Frota!$B9)</f>
        <v>Trator</v>
      </c>
      <c r="C214" s="0" t="n">
        <v>3</v>
      </c>
      <c r="D214" s="0" t="n">
        <f aca="false">INDEX(Semanas!$E$3:$E$54,3)</f>
        <v>4</v>
      </c>
      <c r="E214" s="0" t="str">
        <f aca="false">IF(Frota!$A9="","",Cronograma!D9)</f>
        <v/>
      </c>
      <c r="F214" s="0" t="n">
        <f aca="false">IF(OR($E214="",$E214=0),0,1)</f>
        <v>0</v>
      </c>
      <c r="G214" s="0" t="n">
        <f aca="false">IF($F214=0,0,INDEX(Aux_HH!$D$4:$D$18,MATCH($B214&amp;"|"&amp;$E214,Aux_HH!$A$4:$A$18,0)))</f>
        <v>0</v>
      </c>
      <c r="H214" s="0" t="n">
        <f aca="false">IF($F214=0,0,INDEX(Aux_HH!$E$4:$E$18,MATCH($B214&amp;"|"&amp;$E214,Aux_HH!$A$4:$A$18,0)))</f>
        <v>0</v>
      </c>
      <c r="I214" s="0" t="n">
        <f aca="false">IF($F214=0,0,INDEX(Aux_HH!$F$4:$F$18,MATCH($B214&amp;"|"&amp;$E214,Aux_HH!$A$4:$A$18,0)))</f>
        <v>0</v>
      </c>
      <c r="J214" s="0" t="n">
        <f aca="false">IF($F214=0,0,INDEX(Aux_HH!$G$4:$G$18,MATCH($B214&amp;"|"&amp;$E214,Aux_HH!$A$4:$A$18,0)))</f>
        <v>0</v>
      </c>
      <c r="K214" s="0" t="n">
        <f aca="false">IF($F214=0,0,INDEX(Aux_HH!$H$4:$H$18,MATCH($B214&amp;"|"&amp;$E214,Aux_HH!$A$4:$A$18,0)))</f>
        <v>0</v>
      </c>
      <c r="L214" s="0" t="n">
        <f aca="false">IF($F214=0,0,INDEX(Aux_HH!$I$4:$I$18,MATCH($B214&amp;"|"&amp;$E214,Aux_HH!$A$4:$A$18,0)))</f>
        <v>0</v>
      </c>
    </row>
    <row r="215" customFormat="false" ht="15" hidden="false" customHeight="false" outlineLevel="0" collapsed="false">
      <c r="A215" s="0" t="str">
        <f aca="false">IF(Frota!$A9="","",Frota!$A9)</f>
        <v>Trator NH T7.315 — 401</v>
      </c>
      <c r="B215" s="0" t="str">
        <f aca="false">IF(Frota!$A9="","",Frota!$B9)</f>
        <v>Trator</v>
      </c>
      <c r="C215" s="0" t="n">
        <v>4</v>
      </c>
      <c r="D215" s="0" t="n">
        <f aca="false">INDEX(Semanas!$E$3:$E$54,4)</f>
        <v>4</v>
      </c>
      <c r="E215" s="0" t="str">
        <f aca="false">IF(Frota!$A9="","",Cronograma!E9)</f>
        <v/>
      </c>
      <c r="F215" s="0" t="n">
        <f aca="false">IF(OR($E215="",$E215=0),0,1)</f>
        <v>0</v>
      </c>
      <c r="G215" s="0" t="n">
        <f aca="false">IF($F215=0,0,INDEX(Aux_HH!$D$4:$D$18,MATCH($B215&amp;"|"&amp;$E215,Aux_HH!$A$4:$A$18,0)))</f>
        <v>0</v>
      </c>
      <c r="H215" s="0" t="n">
        <f aca="false">IF($F215=0,0,INDEX(Aux_HH!$E$4:$E$18,MATCH($B215&amp;"|"&amp;$E215,Aux_HH!$A$4:$A$18,0)))</f>
        <v>0</v>
      </c>
      <c r="I215" s="0" t="n">
        <f aca="false">IF($F215=0,0,INDEX(Aux_HH!$F$4:$F$18,MATCH($B215&amp;"|"&amp;$E215,Aux_HH!$A$4:$A$18,0)))</f>
        <v>0</v>
      </c>
      <c r="J215" s="0" t="n">
        <f aca="false">IF($F215=0,0,INDEX(Aux_HH!$G$4:$G$18,MATCH($B215&amp;"|"&amp;$E215,Aux_HH!$A$4:$A$18,0)))</f>
        <v>0</v>
      </c>
      <c r="K215" s="0" t="n">
        <f aca="false">IF($F215=0,0,INDEX(Aux_HH!$H$4:$H$18,MATCH($B215&amp;"|"&amp;$E215,Aux_HH!$A$4:$A$18,0)))</f>
        <v>0</v>
      </c>
      <c r="L215" s="0" t="n">
        <f aca="false">IF($F215=0,0,INDEX(Aux_HH!$I$4:$I$18,MATCH($B215&amp;"|"&amp;$E215,Aux_HH!$A$4:$A$18,0)))</f>
        <v>0</v>
      </c>
    </row>
    <row r="216" customFormat="false" ht="15" hidden="false" customHeight="false" outlineLevel="0" collapsed="false">
      <c r="A216" s="0" t="str">
        <f aca="false">IF(Frota!$A9="","",Frota!$A9)</f>
        <v>Trator NH T7.315 — 401</v>
      </c>
      <c r="B216" s="0" t="str">
        <f aca="false">IF(Frota!$A9="","",Frota!$B9)</f>
        <v>Trator</v>
      </c>
      <c r="C216" s="0" t="n">
        <v>5</v>
      </c>
      <c r="D216" s="0" t="n">
        <f aca="false">INDEX(Semanas!$E$3:$E$54,5)</f>
        <v>4</v>
      </c>
      <c r="E216" s="0" t="str">
        <f aca="false">IF(Frota!$A9="","",Cronograma!F9)</f>
        <v/>
      </c>
      <c r="F216" s="0" t="n">
        <f aca="false">IF(OR($E216="",$E216=0),0,1)</f>
        <v>0</v>
      </c>
      <c r="G216" s="0" t="n">
        <f aca="false">IF($F216=0,0,INDEX(Aux_HH!$D$4:$D$18,MATCH($B216&amp;"|"&amp;$E216,Aux_HH!$A$4:$A$18,0)))</f>
        <v>0</v>
      </c>
      <c r="H216" s="0" t="n">
        <f aca="false">IF($F216=0,0,INDEX(Aux_HH!$E$4:$E$18,MATCH($B216&amp;"|"&amp;$E216,Aux_HH!$A$4:$A$18,0)))</f>
        <v>0</v>
      </c>
      <c r="I216" s="0" t="n">
        <f aca="false">IF($F216=0,0,INDEX(Aux_HH!$F$4:$F$18,MATCH($B216&amp;"|"&amp;$E216,Aux_HH!$A$4:$A$18,0)))</f>
        <v>0</v>
      </c>
      <c r="J216" s="0" t="n">
        <f aca="false">IF($F216=0,0,INDEX(Aux_HH!$G$4:$G$18,MATCH($B216&amp;"|"&amp;$E216,Aux_HH!$A$4:$A$18,0)))</f>
        <v>0</v>
      </c>
      <c r="K216" s="0" t="n">
        <f aca="false">IF($F216=0,0,INDEX(Aux_HH!$H$4:$H$18,MATCH($B216&amp;"|"&amp;$E216,Aux_HH!$A$4:$A$18,0)))</f>
        <v>0</v>
      </c>
      <c r="L216" s="0" t="n">
        <f aca="false">IF($F216=0,0,INDEX(Aux_HH!$I$4:$I$18,MATCH($B216&amp;"|"&amp;$E216,Aux_HH!$A$4:$A$18,0)))</f>
        <v>0</v>
      </c>
    </row>
    <row r="217" customFormat="false" ht="15" hidden="false" customHeight="false" outlineLevel="0" collapsed="false">
      <c r="A217" s="0" t="str">
        <f aca="false">IF(Frota!$A9="","",Frota!$A9)</f>
        <v>Trator NH T7.315 — 401</v>
      </c>
      <c r="B217" s="0" t="str">
        <f aca="false">IF(Frota!$A9="","",Frota!$B9)</f>
        <v>Trator</v>
      </c>
      <c r="C217" s="0" t="n">
        <v>6</v>
      </c>
      <c r="D217" s="0" t="n">
        <f aca="false">INDEX(Semanas!$E$3:$E$54,6)</f>
        <v>5</v>
      </c>
      <c r="E217" s="0" t="str">
        <f aca="false">IF(Frota!$A9="","",Cronograma!G9)</f>
        <v>A</v>
      </c>
      <c r="F217" s="0" t="n">
        <f aca="false">IF(OR($E217="",$E217=0),0,1)</f>
        <v>1</v>
      </c>
      <c r="G217" s="0" t="n">
        <f aca="false">IF($F217=0,0,INDEX(Aux_HH!$D$4:$D$18,MATCH($B217&amp;"|"&amp;$E217,Aux_HH!$A$4:$A$18,0)))</f>
        <v>1.5</v>
      </c>
      <c r="H217" s="0" t="n">
        <f aca="false">IF($F217=0,0,INDEX(Aux_HH!$E$4:$E$18,MATCH($B217&amp;"|"&amp;$E217,Aux_HH!$A$4:$A$18,0)))</f>
        <v>0</v>
      </c>
      <c r="I217" s="0" t="n">
        <f aca="false">IF($F217=0,0,INDEX(Aux_HH!$F$4:$F$18,MATCH($B217&amp;"|"&amp;$E217,Aux_HH!$A$4:$A$18,0)))</f>
        <v>0</v>
      </c>
      <c r="J217" s="0" t="n">
        <f aca="false">IF($F217=0,0,INDEX(Aux_HH!$G$4:$G$18,MATCH($B217&amp;"|"&amp;$E217,Aux_HH!$A$4:$A$18,0)))</f>
        <v>0.5</v>
      </c>
      <c r="K217" s="0" t="n">
        <f aca="false">IF($F217=0,0,INDEX(Aux_HH!$H$4:$H$18,MATCH($B217&amp;"|"&amp;$E217,Aux_HH!$A$4:$A$18,0)))</f>
        <v>0</v>
      </c>
      <c r="L217" s="0" t="n">
        <f aca="false">IF($F217=0,0,INDEX(Aux_HH!$I$4:$I$18,MATCH($B217&amp;"|"&amp;$E217,Aux_HH!$A$4:$A$18,0)))</f>
        <v>0</v>
      </c>
    </row>
    <row r="218" customFormat="false" ht="15" hidden="false" customHeight="false" outlineLevel="0" collapsed="false">
      <c r="A218" s="0" t="str">
        <f aca="false">IF(Frota!$A9="","",Frota!$A9)</f>
        <v>Trator NH T7.315 — 401</v>
      </c>
      <c r="B218" s="0" t="str">
        <f aca="false">IF(Frota!$A9="","",Frota!$B9)</f>
        <v>Trator</v>
      </c>
      <c r="C218" s="0" t="n">
        <v>7</v>
      </c>
      <c r="D218" s="0" t="n">
        <f aca="false">INDEX(Semanas!$E$3:$E$54,7)</f>
        <v>5</v>
      </c>
      <c r="E218" s="0" t="str">
        <f aca="false">IF(Frota!$A9="","",Cronograma!H9)</f>
        <v/>
      </c>
      <c r="F218" s="0" t="n">
        <f aca="false">IF(OR($E218="",$E218=0),0,1)</f>
        <v>0</v>
      </c>
      <c r="G218" s="0" t="n">
        <f aca="false">IF($F218=0,0,INDEX(Aux_HH!$D$4:$D$18,MATCH($B218&amp;"|"&amp;$E218,Aux_HH!$A$4:$A$18,0)))</f>
        <v>0</v>
      </c>
      <c r="H218" s="0" t="n">
        <f aca="false">IF($F218=0,0,INDEX(Aux_HH!$E$4:$E$18,MATCH($B218&amp;"|"&amp;$E218,Aux_HH!$A$4:$A$18,0)))</f>
        <v>0</v>
      </c>
      <c r="I218" s="0" t="n">
        <f aca="false">IF($F218=0,0,INDEX(Aux_HH!$F$4:$F$18,MATCH($B218&amp;"|"&amp;$E218,Aux_HH!$A$4:$A$18,0)))</f>
        <v>0</v>
      </c>
      <c r="J218" s="0" t="n">
        <f aca="false">IF($F218=0,0,INDEX(Aux_HH!$G$4:$G$18,MATCH($B218&amp;"|"&amp;$E218,Aux_HH!$A$4:$A$18,0)))</f>
        <v>0</v>
      </c>
      <c r="K218" s="0" t="n">
        <f aca="false">IF($F218=0,0,INDEX(Aux_HH!$H$4:$H$18,MATCH($B218&amp;"|"&amp;$E218,Aux_HH!$A$4:$A$18,0)))</f>
        <v>0</v>
      </c>
      <c r="L218" s="0" t="n">
        <f aca="false">IF($F218=0,0,INDEX(Aux_HH!$I$4:$I$18,MATCH($B218&amp;"|"&amp;$E218,Aux_HH!$A$4:$A$18,0)))</f>
        <v>0</v>
      </c>
    </row>
    <row r="219" customFormat="false" ht="15" hidden="false" customHeight="false" outlineLevel="0" collapsed="false">
      <c r="A219" s="0" t="str">
        <f aca="false">IF(Frota!$A9="","",Frota!$A9)</f>
        <v>Trator NH T7.315 — 401</v>
      </c>
      <c r="B219" s="0" t="str">
        <f aca="false">IF(Frota!$A9="","",Frota!$B9)</f>
        <v>Trator</v>
      </c>
      <c r="C219" s="0" t="n">
        <v>8</v>
      </c>
      <c r="D219" s="0" t="n">
        <f aca="false">INDEX(Semanas!$E$3:$E$54,8)</f>
        <v>5</v>
      </c>
      <c r="E219" s="0" t="str">
        <f aca="false">IF(Frota!$A9="","",Cronograma!I9)</f>
        <v/>
      </c>
      <c r="F219" s="0" t="n">
        <f aca="false">IF(OR($E219="",$E219=0),0,1)</f>
        <v>0</v>
      </c>
      <c r="G219" s="0" t="n">
        <f aca="false">IF($F219=0,0,INDEX(Aux_HH!$D$4:$D$18,MATCH($B219&amp;"|"&amp;$E219,Aux_HH!$A$4:$A$18,0)))</f>
        <v>0</v>
      </c>
      <c r="H219" s="0" t="n">
        <f aca="false">IF($F219=0,0,INDEX(Aux_HH!$E$4:$E$18,MATCH($B219&amp;"|"&amp;$E219,Aux_HH!$A$4:$A$18,0)))</f>
        <v>0</v>
      </c>
      <c r="I219" s="0" t="n">
        <f aca="false">IF($F219=0,0,INDEX(Aux_HH!$F$4:$F$18,MATCH($B219&amp;"|"&amp;$E219,Aux_HH!$A$4:$A$18,0)))</f>
        <v>0</v>
      </c>
      <c r="J219" s="0" t="n">
        <f aca="false">IF($F219=0,0,INDEX(Aux_HH!$G$4:$G$18,MATCH($B219&amp;"|"&amp;$E219,Aux_HH!$A$4:$A$18,0)))</f>
        <v>0</v>
      </c>
      <c r="K219" s="0" t="n">
        <f aca="false">IF($F219=0,0,INDEX(Aux_HH!$H$4:$H$18,MATCH($B219&amp;"|"&amp;$E219,Aux_HH!$A$4:$A$18,0)))</f>
        <v>0</v>
      </c>
      <c r="L219" s="0" t="n">
        <f aca="false">IF($F219=0,0,INDEX(Aux_HH!$I$4:$I$18,MATCH($B219&amp;"|"&amp;$E219,Aux_HH!$A$4:$A$18,0)))</f>
        <v>0</v>
      </c>
    </row>
    <row r="220" customFormat="false" ht="15" hidden="false" customHeight="false" outlineLevel="0" collapsed="false">
      <c r="A220" s="0" t="str">
        <f aca="false">IF(Frota!$A9="","",Frota!$A9)</f>
        <v>Trator NH T7.315 — 401</v>
      </c>
      <c r="B220" s="0" t="str">
        <f aca="false">IF(Frota!$A9="","",Frota!$B9)</f>
        <v>Trator</v>
      </c>
      <c r="C220" s="0" t="n">
        <v>9</v>
      </c>
      <c r="D220" s="0" t="n">
        <f aca="false">INDEX(Semanas!$E$3:$E$54,9)</f>
        <v>5</v>
      </c>
      <c r="E220" s="0" t="str">
        <f aca="false">IF(Frota!$A9="","",Cronograma!J9)</f>
        <v/>
      </c>
      <c r="F220" s="0" t="n">
        <f aca="false">IF(OR($E220="",$E220=0),0,1)</f>
        <v>0</v>
      </c>
      <c r="G220" s="0" t="n">
        <f aca="false">IF($F220=0,0,INDEX(Aux_HH!$D$4:$D$18,MATCH($B220&amp;"|"&amp;$E220,Aux_HH!$A$4:$A$18,0)))</f>
        <v>0</v>
      </c>
      <c r="H220" s="0" t="n">
        <f aca="false">IF($F220=0,0,INDEX(Aux_HH!$E$4:$E$18,MATCH($B220&amp;"|"&amp;$E220,Aux_HH!$A$4:$A$18,0)))</f>
        <v>0</v>
      </c>
      <c r="I220" s="0" t="n">
        <f aca="false">IF($F220=0,0,INDEX(Aux_HH!$F$4:$F$18,MATCH($B220&amp;"|"&amp;$E220,Aux_HH!$A$4:$A$18,0)))</f>
        <v>0</v>
      </c>
      <c r="J220" s="0" t="n">
        <f aca="false">IF($F220=0,0,INDEX(Aux_HH!$G$4:$G$18,MATCH($B220&amp;"|"&amp;$E220,Aux_HH!$A$4:$A$18,0)))</f>
        <v>0</v>
      </c>
      <c r="K220" s="0" t="n">
        <f aca="false">IF($F220=0,0,INDEX(Aux_HH!$H$4:$H$18,MATCH($B220&amp;"|"&amp;$E220,Aux_HH!$A$4:$A$18,0)))</f>
        <v>0</v>
      </c>
      <c r="L220" s="0" t="n">
        <f aca="false">IF($F220=0,0,INDEX(Aux_HH!$I$4:$I$18,MATCH($B220&amp;"|"&amp;$E220,Aux_HH!$A$4:$A$18,0)))</f>
        <v>0</v>
      </c>
    </row>
    <row r="221" customFormat="false" ht="15" hidden="false" customHeight="false" outlineLevel="0" collapsed="false">
      <c r="A221" s="0" t="str">
        <f aca="false">IF(Frota!$A9="","",Frota!$A9)</f>
        <v>Trator NH T7.315 — 401</v>
      </c>
      <c r="B221" s="0" t="str">
        <f aca="false">IF(Frota!$A9="","",Frota!$B9)</f>
        <v>Trator</v>
      </c>
      <c r="C221" s="0" t="n">
        <v>10</v>
      </c>
      <c r="D221" s="0" t="n">
        <f aca="false">INDEX(Semanas!$E$3:$E$54,10)</f>
        <v>6</v>
      </c>
      <c r="E221" s="0" t="str">
        <f aca="false">IF(Frota!$A9="","",Cronograma!K9)</f>
        <v/>
      </c>
      <c r="F221" s="0" t="n">
        <f aca="false">IF(OR($E221="",$E221=0),0,1)</f>
        <v>0</v>
      </c>
      <c r="G221" s="0" t="n">
        <f aca="false">IF($F221=0,0,INDEX(Aux_HH!$D$4:$D$18,MATCH($B221&amp;"|"&amp;$E221,Aux_HH!$A$4:$A$18,0)))</f>
        <v>0</v>
      </c>
      <c r="H221" s="0" t="n">
        <f aca="false">IF($F221=0,0,INDEX(Aux_HH!$E$4:$E$18,MATCH($B221&amp;"|"&amp;$E221,Aux_HH!$A$4:$A$18,0)))</f>
        <v>0</v>
      </c>
      <c r="I221" s="0" t="n">
        <f aca="false">IF($F221=0,0,INDEX(Aux_HH!$F$4:$F$18,MATCH($B221&amp;"|"&amp;$E221,Aux_HH!$A$4:$A$18,0)))</f>
        <v>0</v>
      </c>
      <c r="J221" s="0" t="n">
        <f aca="false">IF($F221=0,0,INDEX(Aux_HH!$G$4:$G$18,MATCH($B221&amp;"|"&amp;$E221,Aux_HH!$A$4:$A$18,0)))</f>
        <v>0</v>
      </c>
      <c r="K221" s="0" t="n">
        <f aca="false">IF($F221=0,0,INDEX(Aux_HH!$H$4:$H$18,MATCH($B221&amp;"|"&amp;$E221,Aux_HH!$A$4:$A$18,0)))</f>
        <v>0</v>
      </c>
      <c r="L221" s="0" t="n">
        <f aca="false">IF($F221=0,0,INDEX(Aux_HH!$I$4:$I$18,MATCH($B221&amp;"|"&amp;$E221,Aux_HH!$A$4:$A$18,0)))</f>
        <v>0</v>
      </c>
    </row>
    <row r="222" customFormat="false" ht="15" hidden="false" customHeight="false" outlineLevel="0" collapsed="false">
      <c r="A222" s="0" t="str">
        <f aca="false">IF(Frota!$A9="","",Frota!$A9)</f>
        <v>Trator NH T7.315 — 401</v>
      </c>
      <c r="B222" s="0" t="str">
        <f aca="false">IF(Frota!$A9="","",Frota!$B9)</f>
        <v>Trator</v>
      </c>
      <c r="C222" s="0" t="n">
        <v>11</v>
      </c>
      <c r="D222" s="0" t="n">
        <f aca="false">INDEX(Semanas!$E$3:$E$54,11)</f>
        <v>6</v>
      </c>
      <c r="E222" s="0" t="str">
        <f aca="false">IF(Frota!$A9="","",Cronograma!L9)</f>
        <v>S</v>
      </c>
      <c r="F222" s="0" t="n">
        <f aca="false">IF(OR($E222="",$E222=0),0,1)</f>
        <v>1</v>
      </c>
      <c r="G222" s="0" t="n">
        <f aca="false">IF($F222=0,0,INDEX(Aux_HH!$D$4:$D$18,MATCH($B222&amp;"|"&amp;$E222,Aux_HH!$A$4:$A$18,0)))</f>
        <v>1.5</v>
      </c>
      <c r="H222" s="0" t="n">
        <f aca="false">IF($F222=0,0,INDEX(Aux_HH!$E$4:$E$18,MATCH($B222&amp;"|"&amp;$E222,Aux_HH!$A$4:$A$18,0)))</f>
        <v>0</v>
      </c>
      <c r="I222" s="0" t="n">
        <f aca="false">IF($F222=0,0,INDEX(Aux_HH!$F$4:$F$18,MATCH($B222&amp;"|"&amp;$E222,Aux_HH!$A$4:$A$18,0)))</f>
        <v>0</v>
      </c>
      <c r="J222" s="0" t="n">
        <f aca="false">IF($F222=0,0,INDEX(Aux_HH!$G$4:$G$18,MATCH($B222&amp;"|"&amp;$E222,Aux_HH!$A$4:$A$18,0)))</f>
        <v>0.5</v>
      </c>
      <c r="K222" s="0" t="n">
        <f aca="false">IF($F222=0,0,INDEX(Aux_HH!$H$4:$H$18,MATCH($B222&amp;"|"&amp;$E222,Aux_HH!$A$4:$A$18,0)))</f>
        <v>0</v>
      </c>
      <c r="L222" s="0" t="n">
        <f aca="false">IF($F222=0,0,INDEX(Aux_HH!$I$4:$I$18,MATCH($B222&amp;"|"&amp;$E222,Aux_HH!$A$4:$A$18,0)))</f>
        <v>0</v>
      </c>
    </row>
    <row r="223" customFormat="false" ht="15" hidden="false" customHeight="false" outlineLevel="0" collapsed="false">
      <c r="A223" s="0" t="str">
        <f aca="false">IF(Frota!$A9="","",Frota!$A9)</f>
        <v>Trator NH T7.315 — 401</v>
      </c>
      <c r="B223" s="0" t="str">
        <f aca="false">IF(Frota!$A9="","",Frota!$B9)</f>
        <v>Trator</v>
      </c>
      <c r="C223" s="0" t="n">
        <v>12</v>
      </c>
      <c r="D223" s="0" t="n">
        <f aca="false">INDEX(Semanas!$E$3:$E$54,12)</f>
        <v>6</v>
      </c>
      <c r="E223" s="0" t="str">
        <f aca="false">IF(Frota!$A9="","",Cronograma!M9)</f>
        <v/>
      </c>
      <c r="F223" s="0" t="n">
        <f aca="false">IF(OR($E223="",$E223=0),0,1)</f>
        <v>0</v>
      </c>
      <c r="G223" s="0" t="n">
        <f aca="false">IF($F223=0,0,INDEX(Aux_HH!$D$4:$D$18,MATCH($B223&amp;"|"&amp;$E223,Aux_HH!$A$4:$A$18,0)))</f>
        <v>0</v>
      </c>
      <c r="H223" s="0" t="n">
        <f aca="false">IF($F223=0,0,INDEX(Aux_HH!$E$4:$E$18,MATCH($B223&amp;"|"&amp;$E223,Aux_HH!$A$4:$A$18,0)))</f>
        <v>0</v>
      </c>
      <c r="I223" s="0" t="n">
        <f aca="false">IF($F223=0,0,INDEX(Aux_HH!$F$4:$F$18,MATCH($B223&amp;"|"&amp;$E223,Aux_HH!$A$4:$A$18,0)))</f>
        <v>0</v>
      </c>
      <c r="J223" s="0" t="n">
        <f aca="false">IF($F223=0,0,INDEX(Aux_HH!$G$4:$G$18,MATCH($B223&amp;"|"&amp;$E223,Aux_HH!$A$4:$A$18,0)))</f>
        <v>0</v>
      </c>
      <c r="K223" s="0" t="n">
        <f aca="false">IF($F223=0,0,INDEX(Aux_HH!$H$4:$H$18,MATCH($B223&amp;"|"&amp;$E223,Aux_HH!$A$4:$A$18,0)))</f>
        <v>0</v>
      </c>
      <c r="L223" s="0" t="n">
        <f aca="false">IF($F223=0,0,INDEX(Aux_HH!$I$4:$I$18,MATCH($B223&amp;"|"&amp;$E223,Aux_HH!$A$4:$A$18,0)))</f>
        <v>0</v>
      </c>
    </row>
    <row r="224" customFormat="false" ht="15" hidden="false" customHeight="false" outlineLevel="0" collapsed="false">
      <c r="A224" s="0" t="str">
        <f aca="false">IF(Frota!$A9="","",Frota!$A9)</f>
        <v>Trator NH T7.315 — 401</v>
      </c>
      <c r="B224" s="0" t="str">
        <f aca="false">IF(Frota!$A9="","",Frota!$B9)</f>
        <v>Trator</v>
      </c>
      <c r="C224" s="0" t="n">
        <v>13</v>
      </c>
      <c r="D224" s="0" t="n">
        <f aca="false">INDEX(Semanas!$E$3:$E$54,13)</f>
        <v>6</v>
      </c>
      <c r="E224" s="0" t="str">
        <f aca="false">IF(Frota!$A9="","",Cronograma!N9)</f>
        <v/>
      </c>
      <c r="F224" s="0" t="n">
        <f aca="false">IF(OR($E224="",$E224=0),0,1)</f>
        <v>0</v>
      </c>
      <c r="G224" s="0" t="n">
        <f aca="false">IF($F224=0,0,INDEX(Aux_HH!$D$4:$D$18,MATCH($B224&amp;"|"&amp;$E224,Aux_HH!$A$4:$A$18,0)))</f>
        <v>0</v>
      </c>
      <c r="H224" s="0" t="n">
        <f aca="false">IF($F224=0,0,INDEX(Aux_HH!$E$4:$E$18,MATCH($B224&amp;"|"&amp;$E224,Aux_HH!$A$4:$A$18,0)))</f>
        <v>0</v>
      </c>
      <c r="I224" s="0" t="n">
        <f aca="false">IF($F224=0,0,INDEX(Aux_HH!$F$4:$F$18,MATCH($B224&amp;"|"&amp;$E224,Aux_HH!$A$4:$A$18,0)))</f>
        <v>0</v>
      </c>
      <c r="J224" s="0" t="n">
        <f aca="false">IF($F224=0,0,INDEX(Aux_HH!$G$4:$G$18,MATCH($B224&amp;"|"&amp;$E224,Aux_HH!$A$4:$A$18,0)))</f>
        <v>0</v>
      </c>
      <c r="K224" s="0" t="n">
        <f aca="false">IF($F224=0,0,INDEX(Aux_HH!$H$4:$H$18,MATCH($B224&amp;"|"&amp;$E224,Aux_HH!$A$4:$A$18,0)))</f>
        <v>0</v>
      </c>
      <c r="L224" s="0" t="n">
        <f aca="false">IF($F224=0,0,INDEX(Aux_HH!$I$4:$I$18,MATCH($B224&amp;"|"&amp;$E224,Aux_HH!$A$4:$A$18,0)))</f>
        <v>0</v>
      </c>
    </row>
    <row r="225" customFormat="false" ht="15" hidden="false" customHeight="false" outlineLevel="0" collapsed="false">
      <c r="A225" s="0" t="str">
        <f aca="false">IF(Frota!$A9="","",Frota!$A9)</f>
        <v>Trator NH T7.315 — 401</v>
      </c>
      <c r="B225" s="0" t="str">
        <f aca="false">IF(Frota!$A9="","",Frota!$B9)</f>
        <v>Trator</v>
      </c>
      <c r="C225" s="0" t="n">
        <v>14</v>
      </c>
      <c r="D225" s="0" t="n">
        <f aca="false">INDEX(Semanas!$E$3:$E$54,14)</f>
        <v>7</v>
      </c>
      <c r="E225" s="0" t="str">
        <f aca="false">IF(Frota!$A9="","",Cronograma!O9)</f>
        <v/>
      </c>
      <c r="F225" s="0" t="n">
        <f aca="false">IF(OR($E225="",$E225=0),0,1)</f>
        <v>0</v>
      </c>
      <c r="G225" s="0" t="n">
        <f aca="false">IF($F225=0,0,INDEX(Aux_HH!$D$4:$D$18,MATCH($B225&amp;"|"&amp;$E225,Aux_HH!$A$4:$A$18,0)))</f>
        <v>0</v>
      </c>
      <c r="H225" s="0" t="n">
        <f aca="false">IF($F225=0,0,INDEX(Aux_HH!$E$4:$E$18,MATCH($B225&amp;"|"&amp;$E225,Aux_HH!$A$4:$A$18,0)))</f>
        <v>0</v>
      </c>
      <c r="I225" s="0" t="n">
        <f aca="false">IF($F225=0,0,INDEX(Aux_HH!$F$4:$F$18,MATCH($B225&amp;"|"&amp;$E225,Aux_HH!$A$4:$A$18,0)))</f>
        <v>0</v>
      </c>
      <c r="J225" s="0" t="n">
        <f aca="false">IF($F225=0,0,INDEX(Aux_HH!$G$4:$G$18,MATCH($B225&amp;"|"&amp;$E225,Aux_HH!$A$4:$A$18,0)))</f>
        <v>0</v>
      </c>
      <c r="K225" s="0" t="n">
        <f aca="false">IF($F225=0,0,INDEX(Aux_HH!$H$4:$H$18,MATCH($B225&amp;"|"&amp;$E225,Aux_HH!$A$4:$A$18,0)))</f>
        <v>0</v>
      </c>
      <c r="L225" s="0" t="n">
        <f aca="false">IF($F225=0,0,INDEX(Aux_HH!$I$4:$I$18,MATCH($B225&amp;"|"&amp;$E225,Aux_HH!$A$4:$A$18,0)))</f>
        <v>0</v>
      </c>
    </row>
    <row r="226" customFormat="false" ht="15" hidden="false" customHeight="false" outlineLevel="0" collapsed="false">
      <c r="A226" s="0" t="str">
        <f aca="false">IF(Frota!$A9="","",Frota!$A9)</f>
        <v>Trator NH T7.315 — 401</v>
      </c>
      <c r="B226" s="0" t="str">
        <f aca="false">IF(Frota!$A9="","",Frota!$B9)</f>
        <v>Trator</v>
      </c>
      <c r="C226" s="0" t="n">
        <v>15</v>
      </c>
      <c r="D226" s="0" t="n">
        <f aca="false">INDEX(Semanas!$E$3:$E$54,15)</f>
        <v>7</v>
      </c>
      <c r="E226" s="0" t="str">
        <f aca="false">IF(Frota!$A9="","",Cronograma!P9)</f>
        <v/>
      </c>
      <c r="F226" s="0" t="n">
        <f aca="false">IF(OR($E226="",$E226=0),0,1)</f>
        <v>0</v>
      </c>
      <c r="G226" s="0" t="n">
        <f aca="false">IF($F226=0,0,INDEX(Aux_HH!$D$4:$D$18,MATCH($B226&amp;"|"&amp;$E226,Aux_HH!$A$4:$A$18,0)))</f>
        <v>0</v>
      </c>
      <c r="H226" s="0" t="n">
        <f aca="false">IF($F226=0,0,INDEX(Aux_HH!$E$4:$E$18,MATCH($B226&amp;"|"&amp;$E226,Aux_HH!$A$4:$A$18,0)))</f>
        <v>0</v>
      </c>
      <c r="I226" s="0" t="n">
        <f aca="false">IF($F226=0,0,INDEX(Aux_HH!$F$4:$F$18,MATCH($B226&amp;"|"&amp;$E226,Aux_HH!$A$4:$A$18,0)))</f>
        <v>0</v>
      </c>
      <c r="J226" s="0" t="n">
        <f aca="false">IF($F226=0,0,INDEX(Aux_HH!$G$4:$G$18,MATCH($B226&amp;"|"&amp;$E226,Aux_HH!$A$4:$A$18,0)))</f>
        <v>0</v>
      </c>
      <c r="K226" s="0" t="n">
        <f aca="false">IF($F226=0,0,INDEX(Aux_HH!$H$4:$H$18,MATCH($B226&amp;"|"&amp;$E226,Aux_HH!$A$4:$A$18,0)))</f>
        <v>0</v>
      </c>
      <c r="L226" s="0" t="n">
        <f aca="false">IF($F226=0,0,INDEX(Aux_HH!$I$4:$I$18,MATCH($B226&amp;"|"&amp;$E226,Aux_HH!$A$4:$A$18,0)))</f>
        <v>0</v>
      </c>
    </row>
    <row r="227" customFormat="false" ht="15" hidden="false" customHeight="false" outlineLevel="0" collapsed="false">
      <c r="A227" s="0" t="str">
        <f aca="false">IF(Frota!$A9="","",Frota!$A9)</f>
        <v>Trator NH T7.315 — 401</v>
      </c>
      <c r="B227" s="0" t="str">
        <f aca="false">IF(Frota!$A9="","",Frota!$B9)</f>
        <v>Trator</v>
      </c>
      <c r="C227" s="0" t="n">
        <v>16</v>
      </c>
      <c r="D227" s="0" t="n">
        <f aca="false">INDEX(Semanas!$E$3:$E$54,16)</f>
        <v>7</v>
      </c>
      <c r="E227" s="0" t="str">
        <f aca="false">IF(Frota!$A9="","",Cronograma!Q9)</f>
        <v>B</v>
      </c>
      <c r="F227" s="0" t="n">
        <f aca="false">IF(OR($E227="",$E227=0),0,1)</f>
        <v>1</v>
      </c>
      <c r="G227" s="0" t="n">
        <f aca="false">IF($F227=0,0,INDEX(Aux_HH!$D$4:$D$18,MATCH($B227&amp;"|"&amp;$E227,Aux_HH!$A$4:$A$18,0)))</f>
        <v>1.5</v>
      </c>
      <c r="H227" s="0" t="n">
        <f aca="false">IF($F227=0,0,INDEX(Aux_HH!$E$4:$E$18,MATCH($B227&amp;"|"&amp;$E227,Aux_HH!$A$4:$A$18,0)))</f>
        <v>0</v>
      </c>
      <c r="I227" s="0" t="n">
        <f aca="false">IF($F227=0,0,INDEX(Aux_HH!$F$4:$F$18,MATCH($B227&amp;"|"&amp;$E227,Aux_HH!$A$4:$A$18,0)))</f>
        <v>0</v>
      </c>
      <c r="J227" s="0" t="n">
        <f aca="false">IF($F227=0,0,INDEX(Aux_HH!$G$4:$G$18,MATCH($B227&amp;"|"&amp;$E227,Aux_HH!$A$4:$A$18,0)))</f>
        <v>0.5</v>
      </c>
      <c r="K227" s="0" t="n">
        <f aca="false">IF($F227=0,0,INDEX(Aux_HH!$H$4:$H$18,MATCH($B227&amp;"|"&amp;$E227,Aux_HH!$A$4:$A$18,0)))</f>
        <v>0</v>
      </c>
      <c r="L227" s="0" t="n">
        <f aca="false">IF($F227=0,0,INDEX(Aux_HH!$I$4:$I$18,MATCH($B227&amp;"|"&amp;$E227,Aux_HH!$A$4:$A$18,0)))</f>
        <v>0</v>
      </c>
    </row>
    <row r="228" customFormat="false" ht="15" hidden="false" customHeight="false" outlineLevel="0" collapsed="false">
      <c r="A228" s="0" t="str">
        <f aca="false">IF(Frota!$A9="","",Frota!$A9)</f>
        <v>Trator NH T7.315 — 401</v>
      </c>
      <c r="B228" s="0" t="str">
        <f aca="false">IF(Frota!$A9="","",Frota!$B9)</f>
        <v>Trator</v>
      </c>
      <c r="C228" s="0" t="n">
        <v>17</v>
      </c>
      <c r="D228" s="0" t="n">
        <f aca="false">INDEX(Semanas!$E$3:$E$54,17)</f>
        <v>7</v>
      </c>
      <c r="E228" s="0" t="str">
        <f aca="false">IF(Frota!$A9="","",Cronograma!R9)</f>
        <v/>
      </c>
      <c r="F228" s="0" t="n">
        <f aca="false">IF(OR($E228="",$E228=0),0,1)</f>
        <v>0</v>
      </c>
      <c r="G228" s="0" t="n">
        <f aca="false">IF($F228=0,0,INDEX(Aux_HH!$D$4:$D$18,MATCH($B228&amp;"|"&amp;$E228,Aux_HH!$A$4:$A$18,0)))</f>
        <v>0</v>
      </c>
      <c r="H228" s="0" t="n">
        <f aca="false">IF($F228=0,0,INDEX(Aux_HH!$E$4:$E$18,MATCH($B228&amp;"|"&amp;$E228,Aux_HH!$A$4:$A$18,0)))</f>
        <v>0</v>
      </c>
      <c r="I228" s="0" t="n">
        <f aca="false">IF($F228=0,0,INDEX(Aux_HH!$F$4:$F$18,MATCH($B228&amp;"|"&amp;$E228,Aux_HH!$A$4:$A$18,0)))</f>
        <v>0</v>
      </c>
      <c r="J228" s="0" t="n">
        <f aca="false">IF($F228=0,0,INDEX(Aux_HH!$G$4:$G$18,MATCH($B228&amp;"|"&amp;$E228,Aux_HH!$A$4:$A$18,0)))</f>
        <v>0</v>
      </c>
      <c r="K228" s="0" t="n">
        <f aca="false">IF($F228=0,0,INDEX(Aux_HH!$H$4:$H$18,MATCH($B228&amp;"|"&amp;$E228,Aux_HH!$A$4:$A$18,0)))</f>
        <v>0</v>
      </c>
      <c r="L228" s="0" t="n">
        <f aca="false">IF($F228=0,0,INDEX(Aux_HH!$I$4:$I$18,MATCH($B228&amp;"|"&amp;$E228,Aux_HH!$A$4:$A$18,0)))</f>
        <v>0</v>
      </c>
    </row>
    <row r="229" customFormat="false" ht="15" hidden="false" customHeight="false" outlineLevel="0" collapsed="false">
      <c r="A229" s="0" t="str">
        <f aca="false">IF(Frota!$A9="","",Frota!$A9)</f>
        <v>Trator NH T7.315 — 401</v>
      </c>
      <c r="B229" s="0" t="str">
        <f aca="false">IF(Frota!$A9="","",Frota!$B9)</f>
        <v>Trator</v>
      </c>
      <c r="C229" s="0" t="n">
        <v>18</v>
      </c>
      <c r="D229" s="0" t="n">
        <f aca="false">INDEX(Semanas!$E$3:$E$54,18)</f>
        <v>7</v>
      </c>
      <c r="E229" s="0" t="str">
        <f aca="false">IF(Frota!$A9="","",Cronograma!S9)</f>
        <v/>
      </c>
      <c r="F229" s="0" t="n">
        <f aca="false">IF(OR($E229="",$E229=0),0,1)</f>
        <v>0</v>
      </c>
      <c r="G229" s="0" t="n">
        <f aca="false">IF($F229=0,0,INDEX(Aux_HH!$D$4:$D$18,MATCH($B229&amp;"|"&amp;$E229,Aux_HH!$A$4:$A$18,0)))</f>
        <v>0</v>
      </c>
      <c r="H229" s="0" t="n">
        <f aca="false">IF($F229=0,0,INDEX(Aux_HH!$E$4:$E$18,MATCH($B229&amp;"|"&amp;$E229,Aux_HH!$A$4:$A$18,0)))</f>
        <v>0</v>
      </c>
      <c r="I229" s="0" t="n">
        <f aca="false">IF($F229=0,0,INDEX(Aux_HH!$F$4:$F$18,MATCH($B229&amp;"|"&amp;$E229,Aux_HH!$A$4:$A$18,0)))</f>
        <v>0</v>
      </c>
      <c r="J229" s="0" t="n">
        <f aca="false">IF($F229=0,0,INDEX(Aux_HH!$G$4:$G$18,MATCH($B229&amp;"|"&amp;$E229,Aux_HH!$A$4:$A$18,0)))</f>
        <v>0</v>
      </c>
      <c r="K229" s="0" t="n">
        <f aca="false">IF($F229=0,0,INDEX(Aux_HH!$H$4:$H$18,MATCH($B229&amp;"|"&amp;$E229,Aux_HH!$A$4:$A$18,0)))</f>
        <v>0</v>
      </c>
      <c r="L229" s="0" t="n">
        <f aca="false">IF($F229=0,0,INDEX(Aux_HH!$I$4:$I$18,MATCH($B229&amp;"|"&amp;$E229,Aux_HH!$A$4:$A$18,0)))</f>
        <v>0</v>
      </c>
    </row>
    <row r="230" customFormat="false" ht="15" hidden="false" customHeight="false" outlineLevel="0" collapsed="false">
      <c r="A230" s="0" t="str">
        <f aca="false">IF(Frota!$A9="","",Frota!$A9)</f>
        <v>Trator NH T7.315 — 401</v>
      </c>
      <c r="B230" s="0" t="str">
        <f aca="false">IF(Frota!$A9="","",Frota!$B9)</f>
        <v>Trator</v>
      </c>
      <c r="C230" s="0" t="n">
        <v>19</v>
      </c>
      <c r="D230" s="0" t="n">
        <f aca="false">INDEX(Semanas!$E$3:$E$54,19)</f>
        <v>8</v>
      </c>
      <c r="E230" s="0" t="str">
        <f aca="false">IF(Frota!$A9="","",Cronograma!T9)</f>
        <v/>
      </c>
      <c r="F230" s="0" t="n">
        <f aca="false">IF(OR($E230="",$E230=0),0,1)</f>
        <v>0</v>
      </c>
      <c r="G230" s="0" t="n">
        <f aca="false">IF($F230=0,0,INDEX(Aux_HH!$D$4:$D$18,MATCH($B230&amp;"|"&amp;$E230,Aux_HH!$A$4:$A$18,0)))</f>
        <v>0</v>
      </c>
      <c r="H230" s="0" t="n">
        <f aca="false">IF($F230=0,0,INDEX(Aux_HH!$E$4:$E$18,MATCH($B230&amp;"|"&amp;$E230,Aux_HH!$A$4:$A$18,0)))</f>
        <v>0</v>
      </c>
      <c r="I230" s="0" t="n">
        <f aca="false">IF($F230=0,0,INDEX(Aux_HH!$F$4:$F$18,MATCH($B230&amp;"|"&amp;$E230,Aux_HH!$A$4:$A$18,0)))</f>
        <v>0</v>
      </c>
      <c r="J230" s="0" t="n">
        <f aca="false">IF($F230=0,0,INDEX(Aux_HH!$G$4:$G$18,MATCH($B230&amp;"|"&amp;$E230,Aux_HH!$A$4:$A$18,0)))</f>
        <v>0</v>
      </c>
      <c r="K230" s="0" t="n">
        <f aca="false">IF($F230=0,0,INDEX(Aux_HH!$H$4:$H$18,MATCH($B230&amp;"|"&amp;$E230,Aux_HH!$A$4:$A$18,0)))</f>
        <v>0</v>
      </c>
      <c r="L230" s="0" t="n">
        <f aca="false">IF($F230=0,0,INDEX(Aux_HH!$I$4:$I$18,MATCH($B230&amp;"|"&amp;$E230,Aux_HH!$A$4:$A$18,0)))</f>
        <v>0</v>
      </c>
    </row>
    <row r="231" customFormat="false" ht="15" hidden="false" customHeight="false" outlineLevel="0" collapsed="false">
      <c r="A231" s="0" t="str">
        <f aca="false">IF(Frota!$A9="","",Frota!$A9)</f>
        <v>Trator NH T7.315 — 401</v>
      </c>
      <c r="B231" s="0" t="str">
        <f aca="false">IF(Frota!$A9="","",Frota!$B9)</f>
        <v>Trator</v>
      </c>
      <c r="C231" s="0" t="n">
        <v>20</v>
      </c>
      <c r="D231" s="0" t="n">
        <f aca="false">INDEX(Semanas!$E$3:$E$54,20)</f>
        <v>8</v>
      </c>
      <c r="E231" s="0" t="str">
        <f aca="false">IF(Frota!$A9="","",Cronograma!U9)</f>
        <v/>
      </c>
      <c r="F231" s="0" t="n">
        <f aca="false">IF(OR($E231="",$E231=0),0,1)</f>
        <v>0</v>
      </c>
      <c r="G231" s="0" t="n">
        <f aca="false">IF($F231=0,0,INDEX(Aux_HH!$D$4:$D$18,MATCH($B231&amp;"|"&amp;$E231,Aux_HH!$A$4:$A$18,0)))</f>
        <v>0</v>
      </c>
      <c r="H231" s="0" t="n">
        <f aca="false">IF($F231=0,0,INDEX(Aux_HH!$E$4:$E$18,MATCH($B231&amp;"|"&amp;$E231,Aux_HH!$A$4:$A$18,0)))</f>
        <v>0</v>
      </c>
      <c r="I231" s="0" t="n">
        <f aca="false">IF($F231=0,0,INDEX(Aux_HH!$F$4:$F$18,MATCH($B231&amp;"|"&amp;$E231,Aux_HH!$A$4:$A$18,0)))</f>
        <v>0</v>
      </c>
      <c r="J231" s="0" t="n">
        <f aca="false">IF($F231=0,0,INDEX(Aux_HH!$G$4:$G$18,MATCH($B231&amp;"|"&amp;$E231,Aux_HH!$A$4:$A$18,0)))</f>
        <v>0</v>
      </c>
      <c r="K231" s="0" t="n">
        <f aca="false">IF($F231=0,0,INDEX(Aux_HH!$H$4:$H$18,MATCH($B231&amp;"|"&amp;$E231,Aux_HH!$A$4:$A$18,0)))</f>
        <v>0</v>
      </c>
      <c r="L231" s="0" t="n">
        <f aca="false">IF($F231=0,0,INDEX(Aux_HH!$I$4:$I$18,MATCH($B231&amp;"|"&amp;$E231,Aux_HH!$A$4:$A$18,0)))</f>
        <v>0</v>
      </c>
    </row>
    <row r="232" customFormat="false" ht="15" hidden="false" customHeight="false" outlineLevel="0" collapsed="false">
      <c r="A232" s="0" t="str">
        <f aca="false">IF(Frota!$A9="","",Frota!$A9)</f>
        <v>Trator NH T7.315 — 401</v>
      </c>
      <c r="B232" s="0" t="str">
        <f aca="false">IF(Frota!$A9="","",Frota!$B9)</f>
        <v>Trator</v>
      </c>
      <c r="C232" s="0" t="n">
        <v>21</v>
      </c>
      <c r="D232" s="0" t="n">
        <f aca="false">INDEX(Semanas!$E$3:$E$54,21)</f>
        <v>8</v>
      </c>
      <c r="E232" s="0" t="str">
        <f aca="false">IF(Frota!$A9="","",Cronograma!V9)</f>
        <v>S</v>
      </c>
      <c r="F232" s="0" t="n">
        <f aca="false">IF(OR($E232="",$E232=0),0,1)</f>
        <v>1</v>
      </c>
      <c r="G232" s="0" t="n">
        <f aca="false">IF($F232=0,0,INDEX(Aux_HH!$D$4:$D$18,MATCH($B232&amp;"|"&amp;$E232,Aux_HH!$A$4:$A$18,0)))</f>
        <v>1.5</v>
      </c>
      <c r="H232" s="0" t="n">
        <f aca="false">IF($F232=0,0,INDEX(Aux_HH!$E$4:$E$18,MATCH($B232&amp;"|"&amp;$E232,Aux_HH!$A$4:$A$18,0)))</f>
        <v>0</v>
      </c>
      <c r="I232" s="0" t="n">
        <f aca="false">IF($F232=0,0,INDEX(Aux_HH!$F$4:$F$18,MATCH($B232&amp;"|"&amp;$E232,Aux_HH!$A$4:$A$18,0)))</f>
        <v>0</v>
      </c>
      <c r="J232" s="0" t="n">
        <f aca="false">IF($F232=0,0,INDEX(Aux_HH!$G$4:$G$18,MATCH($B232&amp;"|"&amp;$E232,Aux_HH!$A$4:$A$18,0)))</f>
        <v>0.5</v>
      </c>
      <c r="K232" s="0" t="n">
        <f aca="false">IF($F232=0,0,INDEX(Aux_HH!$H$4:$H$18,MATCH($B232&amp;"|"&amp;$E232,Aux_HH!$A$4:$A$18,0)))</f>
        <v>0</v>
      </c>
      <c r="L232" s="0" t="n">
        <f aca="false">IF($F232=0,0,INDEX(Aux_HH!$I$4:$I$18,MATCH($B232&amp;"|"&amp;$E232,Aux_HH!$A$4:$A$18,0)))</f>
        <v>0</v>
      </c>
    </row>
    <row r="233" customFormat="false" ht="15" hidden="false" customHeight="false" outlineLevel="0" collapsed="false">
      <c r="A233" s="0" t="str">
        <f aca="false">IF(Frota!$A9="","",Frota!$A9)</f>
        <v>Trator NH T7.315 — 401</v>
      </c>
      <c r="B233" s="0" t="str">
        <f aca="false">IF(Frota!$A9="","",Frota!$B9)</f>
        <v>Trator</v>
      </c>
      <c r="C233" s="0" t="n">
        <v>22</v>
      </c>
      <c r="D233" s="0" t="n">
        <f aca="false">INDEX(Semanas!$E$3:$E$54,22)</f>
        <v>8</v>
      </c>
      <c r="E233" s="0" t="str">
        <f aca="false">IF(Frota!$A9="","",Cronograma!W9)</f>
        <v/>
      </c>
      <c r="F233" s="0" t="n">
        <f aca="false">IF(OR($E233="",$E233=0),0,1)</f>
        <v>0</v>
      </c>
      <c r="G233" s="0" t="n">
        <f aca="false">IF($F233=0,0,INDEX(Aux_HH!$D$4:$D$18,MATCH($B233&amp;"|"&amp;$E233,Aux_HH!$A$4:$A$18,0)))</f>
        <v>0</v>
      </c>
      <c r="H233" s="0" t="n">
        <f aca="false">IF($F233=0,0,INDEX(Aux_HH!$E$4:$E$18,MATCH($B233&amp;"|"&amp;$E233,Aux_HH!$A$4:$A$18,0)))</f>
        <v>0</v>
      </c>
      <c r="I233" s="0" t="n">
        <f aca="false">IF($F233=0,0,INDEX(Aux_HH!$F$4:$F$18,MATCH($B233&amp;"|"&amp;$E233,Aux_HH!$A$4:$A$18,0)))</f>
        <v>0</v>
      </c>
      <c r="J233" s="0" t="n">
        <f aca="false">IF($F233=0,0,INDEX(Aux_HH!$G$4:$G$18,MATCH($B233&amp;"|"&amp;$E233,Aux_HH!$A$4:$A$18,0)))</f>
        <v>0</v>
      </c>
      <c r="K233" s="0" t="n">
        <f aca="false">IF($F233=0,0,INDEX(Aux_HH!$H$4:$H$18,MATCH($B233&amp;"|"&amp;$E233,Aux_HH!$A$4:$A$18,0)))</f>
        <v>0</v>
      </c>
      <c r="L233" s="0" t="n">
        <f aca="false">IF($F233=0,0,INDEX(Aux_HH!$I$4:$I$18,MATCH($B233&amp;"|"&amp;$E233,Aux_HH!$A$4:$A$18,0)))</f>
        <v>0</v>
      </c>
    </row>
    <row r="234" customFormat="false" ht="15" hidden="false" customHeight="false" outlineLevel="0" collapsed="false">
      <c r="A234" s="0" t="str">
        <f aca="false">IF(Frota!$A9="","",Frota!$A9)</f>
        <v>Trator NH T7.315 — 401</v>
      </c>
      <c r="B234" s="0" t="str">
        <f aca="false">IF(Frota!$A9="","",Frota!$B9)</f>
        <v>Trator</v>
      </c>
      <c r="C234" s="0" t="n">
        <v>23</v>
      </c>
      <c r="D234" s="0" t="n">
        <f aca="false">INDEX(Semanas!$E$3:$E$54,23)</f>
        <v>9</v>
      </c>
      <c r="E234" s="0" t="str">
        <f aca="false">IF(Frota!$A9="","",Cronograma!X9)</f>
        <v/>
      </c>
      <c r="F234" s="0" t="n">
        <f aca="false">IF(OR($E234="",$E234=0),0,1)</f>
        <v>0</v>
      </c>
      <c r="G234" s="0" t="n">
        <f aca="false">IF($F234=0,0,INDEX(Aux_HH!$D$4:$D$18,MATCH($B234&amp;"|"&amp;$E234,Aux_HH!$A$4:$A$18,0)))</f>
        <v>0</v>
      </c>
      <c r="H234" s="0" t="n">
        <f aca="false">IF($F234=0,0,INDEX(Aux_HH!$E$4:$E$18,MATCH($B234&amp;"|"&amp;$E234,Aux_HH!$A$4:$A$18,0)))</f>
        <v>0</v>
      </c>
      <c r="I234" s="0" t="n">
        <f aca="false">IF($F234=0,0,INDEX(Aux_HH!$F$4:$F$18,MATCH($B234&amp;"|"&amp;$E234,Aux_HH!$A$4:$A$18,0)))</f>
        <v>0</v>
      </c>
      <c r="J234" s="0" t="n">
        <f aca="false">IF($F234=0,0,INDEX(Aux_HH!$G$4:$G$18,MATCH($B234&amp;"|"&amp;$E234,Aux_HH!$A$4:$A$18,0)))</f>
        <v>0</v>
      </c>
      <c r="K234" s="0" t="n">
        <f aca="false">IF($F234=0,0,INDEX(Aux_HH!$H$4:$H$18,MATCH($B234&amp;"|"&amp;$E234,Aux_HH!$A$4:$A$18,0)))</f>
        <v>0</v>
      </c>
      <c r="L234" s="0" t="n">
        <f aca="false">IF($F234=0,0,INDEX(Aux_HH!$I$4:$I$18,MATCH($B234&amp;"|"&amp;$E234,Aux_HH!$A$4:$A$18,0)))</f>
        <v>0</v>
      </c>
    </row>
    <row r="235" customFormat="false" ht="15" hidden="false" customHeight="false" outlineLevel="0" collapsed="false">
      <c r="A235" s="0" t="str">
        <f aca="false">IF(Frota!$A9="","",Frota!$A9)</f>
        <v>Trator NH T7.315 — 401</v>
      </c>
      <c r="B235" s="0" t="str">
        <f aca="false">IF(Frota!$A9="","",Frota!$B9)</f>
        <v>Trator</v>
      </c>
      <c r="C235" s="0" t="n">
        <v>24</v>
      </c>
      <c r="D235" s="0" t="n">
        <f aca="false">INDEX(Semanas!$E$3:$E$54,24)</f>
        <v>9</v>
      </c>
      <c r="E235" s="0" t="str">
        <f aca="false">IF(Frota!$A9="","",Cronograma!Y9)</f>
        <v/>
      </c>
      <c r="F235" s="0" t="n">
        <f aca="false">IF(OR($E235="",$E235=0),0,1)</f>
        <v>0</v>
      </c>
      <c r="G235" s="0" t="n">
        <f aca="false">IF($F235=0,0,INDEX(Aux_HH!$D$4:$D$18,MATCH($B235&amp;"|"&amp;$E235,Aux_HH!$A$4:$A$18,0)))</f>
        <v>0</v>
      </c>
      <c r="H235" s="0" t="n">
        <f aca="false">IF($F235=0,0,INDEX(Aux_HH!$E$4:$E$18,MATCH($B235&amp;"|"&amp;$E235,Aux_HH!$A$4:$A$18,0)))</f>
        <v>0</v>
      </c>
      <c r="I235" s="0" t="n">
        <f aca="false">IF($F235=0,0,INDEX(Aux_HH!$F$4:$F$18,MATCH($B235&amp;"|"&amp;$E235,Aux_HH!$A$4:$A$18,0)))</f>
        <v>0</v>
      </c>
      <c r="J235" s="0" t="n">
        <f aca="false">IF($F235=0,0,INDEX(Aux_HH!$G$4:$G$18,MATCH($B235&amp;"|"&amp;$E235,Aux_HH!$A$4:$A$18,0)))</f>
        <v>0</v>
      </c>
      <c r="K235" s="0" t="n">
        <f aca="false">IF($F235=0,0,INDEX(Aux_HH!$H$4:$H$18,MATCH($B235&amp;"|"&amp;$E235,Aux_HH!$A$4:$A$18,0)))</f>
        <v>0</v>
      </c>
      <c r="L235" s="0" t="n">
        <f aca="false">IF($F235=0,0,INDEX(Aux_HH!$I$4:$I$18,MATCH($B235&amp;"|"&amp;$E235,Aux_HH!$A$4:$A$18,0)))</f>
        <v>0</v>
      </c>
    </row>
    <row r="236" customFormat="false" ht="15" hidden="false" customHeight="false" outlineLevel="0" collapsed="false">
      <c r="A236" s="0" t="str">
        <f aca="false">IF(Frota!$A9="","",Frota!$A9)</f>
        <v>Trator NH T7.315 — 401</v>
      </c>
      <c r="B236" s="0" t="str">
        <f aca="false">IF(Frota!$A9="","",Frota!$B9)</f>
        <v>Trator</v>
      </c>
      <c r="C236" s="0" t="n">
        <v>25</v>
      </c>
      <c r="D236" s="0" t="n">
        <f aca="false">INDEX(Semanas!$E$3:$E$54,25)</f>
        <v>9</v>
      </c>
      <c r="E236" s="0" t="str">
        <f aca="false">IF(Frota!$A9="","",Cronograma!Z9)</f>
        <v/>
      </c>
      <c r="F236" s="0" t="n">
        <f aca="false">IF(OR($E236="",$E236=0),0,1)</f>
        <v>0</v>
      </c>
      <c r="G236" s="0" t="n">
        <f aca="false">IF($F236=0,0,INDEX(Aux_HH!$D$4:$D$18,MATCH($B236&amp;"|"&amp;$E236,Aux_HH!$A$4:$A$18,0)))</f>
        <v>0</v>
      </c>
      <c r="H236" s="0" t="n">
        <f aca="false">IF($F236=0,0,INDEX(Aux_HH!$E$4:$E$18,MATCH($B236&amp;"|"&amp;$E236,Aux_HH!$A$4:$A$18,0)))</f>
        <v>0</v>
      </c>
      <c r="I236" s="0" t="n">
        <f aca="false">IF($F236=0,0,INDEX(Aux_HH!$F$4:$F$18,MATCH($B236&amp;"|"&amp;$E236,Aux_HH!$A$4:$A$18,0)))</f>
        <v>0</v>
      </c>
      <c r="J236" s="0" t="n">
        <f aca="false">IF($F236=0,0,INDEX(Aux_HH!$G$4:$G$18,MATCH($B236&amp;"|"&amp;$E236,Aux_HH!$A$4:$A$18,0)))</f>
        <v>0</v>
      </c>
      <c r="K236" s="0" t="n">
        <f aca="false">IF($F236=0,0,INDEX(Aux_HH!$H$4:$H$18,MATCH($B236&amp;"|"&amp;$E236,Aux_HH!$A$4:$A$18,0)))</f>
        <v>0</v>
      </c>
      <c r="L236" s="0" t="n">
        <f aca="false">IF($F236=0,0,INDEX(Aux_HH!$I$4:$I$18,MATCH($B236&amp;"|"&amp;$E236,Aux_HH!$A$4:$A$18,0)))</f>
        <v>0</v>
      </c>
    </row>
    <row r="237" customFormat="false" ht="15" hidden="false" customHeight="false" outlineLevel="0" collapsed="false">
      <c r="A237" s="0" t="str">
        <f aca="false">IF(Frota!$A9="","",Frota!$A9)</f>
        <v>Trator NH T7.315 — 401</v>
      </c>
      <c r="B237" s="0" t="str">
        <f aca="false">IF(Frota!$A9="","",Frota!$B9)</f>
        <v>Trator</v>
      </c>
      <c r="C237" s="0" t="n">
        <v>26</v>
      </c>
      <c r="D237" s="0" t="n">
        <f aca="false">INDEX(Semanas!$E$3:$E$54,26)</f>
        <v>9</v>
      </c>
      <c r="E237" s="0" t="str">
        <f aca="false">IF(Frota!$A9="","",Cronograma!AA9)</f>
        <v>A</v>
      </c>
      <c r="F237" s="0" t="n">
        <f aca="false">IF(OR($E237="",$E237=0),0,1)</f>
        <v>1</v>
      </c>
      <c r="G237" s="0" t="n">
        <f aca="false">IF($F237=0,0,INDEX(Aux_HH!$D$4:$D$18,MATCH($B237&amp;"|"&amp;$E237,Aux_HH!$A$4:$A$18,0)))</f>
        <v>1.5</v>
      </c>
      <c r="H237" s="0" t="n">
        <f aca="false">IF($F237=0,0,INDEX(Aux_HH!$E$4:$E$18,MATCH($B237&amp;"|"&amp;$E237,Aux_HH!$A$4:$A$18,0)))</f>
        <v>0</v>
      </c>
      <c r="I237" s="0" t="n">
        <f aca="false">IF($F237=0,0,INDEX(Aux_HH!$F$4:$F$18,MATCH($B237&amp;"|"&amp;$E237,Aux_HH!$A$4:$A$18,0)))</f>
        <v>0</v>
      </c>
      <c r="J237" s="0" t="n">
        <f aca="false">IF($F237=0,0,INDEX(Aux_HH!$G$4:$G$18,MATCH($B237&amp;"|"&amp;$E237,Aux_HH!$A$4:$A$18,0)))</f>
        <v>0.5</v>
      </c>
      <c r="K237" s="0" t="n">
        <f aca="false">IF($F237=0,0,INDEX(Aux_HH!$H$4:$H$18,MATCH($B237&amp;"|"&amp;$E237,Aux_HH!$A$4:$A$18,0)))</f>
        <v>0</v>
      </c>
      <c r="L237" s="0" t="n">
        <f aca="false">IF($F237=0,0,INDEX(Aux_HH!$I$4:$I$18,MATCH($B237&amp;"|"&amp;$E237,Aux_HH!$A$4:$A$18,0)))</f>
        <v>0</v>
      </c>
    </row>
    <row r="238" customFormat="false" ht="15" hidden="false" customHeight="false" outlineLevel="0" collapsed="false">
      <c r="A238" s="0" t="str">
        <f aca="false">IF(Frota!$A9="","",Frota!$A9)</f>
        <v>Trator NH T7.315 — 401</v>
      </c>
      <c r="B238" s="0" t="str">
        <f aca="false">IF(Frota!$A9="","",Frota!$B9)</f>
        <v>Trator</v>
      </c>
      <c r="C238" s="0" t="n">
        <v>27</v>
      </c>
      <c r="D238" s="0" t="n">
        <f aca="false">INDEX(Semanas!$E$3:$E$54,27)</f>
        <v>9</v>
      </c>
      <c r="E238" s="0" t="str">
        <f aca="false">IF(Frota!$A9="","",Cronograma!AB9)</f>
        <v/>
      </c>
      <c r="F238" s="0" t="n">
        <f aca="false">IF(OR($E238="",$E238=0),0,1)</f>
        <v>0</v>
      </c>
      <c r="G238" s="0" t="n">
        <f aca="false">IF($F238=0,0,INDEX(Aux_HH!$D$4:$D$18,MATCH($B238&amp;"|"&amp;$E238,Aux_HH!$A$4:$A$18,0)))</f>
        <v>0</v>
      </c>
      <c r="H238" s="0" t="n">
        <f aca="false">IF($F238=0,0,INDEX(Aux_HH!$E$4:$E$18,MATCH($B238&amp;"|"&amp;$E238,Aux_HH!$A$4:$A$18,0)))</f>
        <v>0</v>
      </c>
      <c r="I238" s="0" t="n">
        <f aca="false">IF($F238=0,0,INDEX(Aux_HH!$F$4:$F$18,MATCH($B238&amp;"|"&amp;$E238,Aux_HH!$A$4:$A$18,0)))</f>
        <v>0</v>
      </c>
      <c r="J238" s="0" t="n">
        <f aca="false">IF($F238=0,0,INDEX(Aux_HH!$G$4:$G$18,MATCH($B238&amp;"|"&amp;$E238,Aux_HH!$A$4:$A$18,0)))</f>
        <v>0</v>
      </c>
      <c r="K238" s="0" t="n">
        <f aca="false">IF($F238=0,0,INDEX(Aux_HH!$H$4:$H$18,MATCH($B238&amp;"|"&amp;$E238,Aux_HH!$A$4:$A$18,0)))</f>
        <v>0</v>
      </c>
      <c r="L238" s="0" t="n">
        <f aca="false">IF($F238=0,0,INDEX(Aux_HH!$I$4:$I$18,MATCH($B238&amp;"|"&amp;$E238,Aux_HH!$A$4:$A$18,0)))</f>
        <v>0</v>
      </c>
    </row>
    <row r="239" customFormat="false" ht="15" hidden="false" customHeight="false" outlineLevel="0" collapsed="false">
      <c r="A239" s="0" t="str">
        <f aca="false">IF(Frota!$A9="","",Frota!$A9)</f>
        <v>Trator NH T7.315 — 401</v>
      </c>
      <c r="B239" s="0" t="str">
        <f aca="false">IF(Frota!$A9="","",Frota!$B9)</f>
        <v>Trator</v>
      </c>
      <c r="C239" s="0" t="n">
        <v>28</v>
      </c>
      <c r="D239" s="0" t="n">
        <f aca="false">INDEX(Semanas!$E$3:$E$54,28)</f>
        <v>10</v>
      </c>
      <c r="E239" s="0" t="str">
        <f aca="false">IF(Frota!$A9="","",Cronograma!AC9)</f>
        <v/>
      </c>
      <c r="F239" s="0" t="n">
        <f aca="false">IF(OR($E239="",$E239=0),0,1)</f>
        <v>0</v>
      </c>
      <c r="G239" s="0" t="n">
        <f aca="false">IF($F239=0,0,INDEX(Aux_HH!$D$4:$D$18,MATCH($B239&amp;"|"&amp;$E239,Aux_HH!$A$4:$A$18,0)))</f>
        <v>0</v>
      </c>
      <c r="H239" s="0" t="n">
        <f aca="false">IF($F239=0,0,INDEX(Aux_HH!$E$4:$E$18,MATCH($B239&amp;"|"&amp;$E239,Aux_HH!$A$4:$A$18,0)))</f>
        <v>0</v>
      </c>
      <c r="I239" s="0" t="n">
        <f aca="false">IF($F239=0,0,INDEX(Aux_HH!$F$4:$F$18,MATCH($B239&amp;"|"&amp;$E239,Aux_HH!$A$4:$A$18,0)))</f>
        <v>0</v>
      </c>
      <c r="J239" s="0" t="n">
        <f aca="false">IF($F239=0,0,INDEX(Aux_HH!$G$4:$G$18,MATCH($B239&amp;"|"&amp;$E239,Aux_HH!$A$4:$A$18,0)))</f>
        <v>0</v>
      </c>
      <c r="K239" s="0" t="n">
        <f aca="false">IF($F239=0,0,INDEX(Aux_HH!$H$4:$H$18,MATCH($B239&amp;"|"&amp;$E239,Aux_HH!$A$4:$A$18,0)))</f>
        <v>0</v>
      </c>
      <c r="L239" s="0" t="n">
        <f aca="false">IF($F239=0,0,INDEX(Aux_HH!$I$4:$I$18,MATCH($B239&amp;"|"&amp;$E239,Aux_HH!$A$4:$A$18,0)))</f>
        <v>0</v>
      </c>
    </row>
    <row r="240" customFormat="false" ht="15" hidden="false" customHeight="false" outlineLevel="0" collapsed="false">
      <c r="A240" s="0" t="str">
        <f aca="false">IF(Frota!$A9="","",Frota!$A9)</f>
        <v>Trator NH T7.315 — 401</v>
      </c>
      <c r="B240" s="0" t="str">
        <f aca="false">IF(Frota!$A9="","",Frota!$B9)</f>
        <v>Trator</v>
      </c>
      <c r="C240" s="0" t="n">
        <v>29</v>
      </c>
      <c r="D240" s="0" t="n">
        <f aca="false">INDEX(Semanas!$E$3:$E$54,29)</f>
        <v>10</v>
      </c>
      <c r="E240" s="0" t="str">
        <f aca="false">IF(Frota!$A9="","",Cronograma!AD9)</f>
        <v/>
      </c>
      <c r="F240" s="0" t="n">
        <f aca="false">IF(OR($E240="",$E240=0),0,1)</f>
        <v>0</v>
      </c>
      <c r="G240" s="0" t="n">
        <f aca="false">IF($F240=0,0,INDEX(Aux_HH!$D$4:$D$18,MATCH($B240&amp;"|"&amp;$E240,Aux_HH!$A$4:$A$18,0)))</f>
        <v>0</v>
      </c>
      <c r="H240" s="0" t="n">
        <f aca="false">IF($F240=0,0,INDEX(Aux_HH!$E$4:$E$18,MATCH($B240&amp;"|"&amp;$E240,Aux_HH!$A$4:$A$18,0)))</f>
        <v>0</v>
      </c>
      <c r="I240" s="0" t="n">
        <f aca="false">IF($F240=0,0,INDEX(Aux_HH!$F$4:$F$18,MATCH($B240&amp;"|"&amp;$E240,Aux_HH!$A$4:$A$18,0)))</f>
        <v>0</v>
      </c>
      <c r="J240" s="0" t="n">
        <f aca="false">IF($F240=0,0,INDEX(Aux_HH!$G$4:$G$18,MATCH($B240&amp;"|"&amp;$E240,Aux_HH!$A$4:$A$18,0)))</f>
        <v>0</v>
      </c>
      <c r="K240" s="0" t="n">
        <f aca="false">IF($F240=0,0,INDEX(Aux_HH!$H$4:$H$18,MATCH($B240&amp;"|"&amp;$E240,Aux_HH!$A$4:$A$18,0)))</f>
        <v>0</v>
      </c>
      <c r="L240" s="0" t="n">
        <f aca="false">IF($F240=0,0,INDEX(Aux_HH!$I$4:$I$18,MATCH($B240&amp;"|"&amp;$E240,Aux_HH!$A$4:$A$18,0)))</f>
        <v>0</v>
      </c>
    </row>
    <row r="241" customFormat="false" ht="15" hidden="false" customHeight="false" outlineLevel="0" collapsed="false">
      <c r="A241" s="0" t="str">
        <f aca="false">IF(Frota!$A9="","",Frota!$A9)</f>
        <v>Trator NH T7.315 — 401</v>
      </c>
      <c r="B241" s="0" t="str">
        <f aca="false">IF(Frota!$A9="","",Frota!$B9)</f>
        <v>Trator</v>
      </c>
      <c r="C241" s="0" t="n">
        <v>30</v>
      </c>
      <c r="D241" s="0" t="n">
        <f aca="false">INDEX(Semanas!$E$3:$E$54,30)</f>
        <v>10</v>
      </c>
      <c r="E241" s="0" t="str">
        <f aca="false">IF(Frota!$A9="","",Cronograma!AE9)</f>
        <v/>
      </c>
      <c r="F241" s="0" t="n">
        <f aca="false">IF(OR($E241="",$E241=0),0,1)</f>
        <v>0</v>
      </c>
      <c r="G241" s="0" t="n">
        <f aca="false">IF($F241=0,0,INDEX(Aux_HH!$D$4:$D$18,MATCH($B241&amp;"|"&amp;$E241,Aux_HH!$A$4:$A$18,0)))</f>
        <v>0</v>
      </c>
      <c r="H241" s="0" t="n">
        <f aca="false">IF($F241=0,0,INDEX(Aux_HH!$E$4:$E$18,MATCH($B241&amp;"|"&amp;$E241,Aux_HH!$A$4:$A$18,0)))</f>
        <v>0</v>
      </c>
      <c r="I241" s="0" t="n">
        <f aca="false">IF($F241=0,0,INDEX(Aux_HH!$F$4:$F$18,MATCH($B241&amp;"|"&amp;$E241,Aux_HH!$A$4:$A$18,0)))</f>
        <v>0</v>
      </c>
      <c r="J241" s="0" t="n">
        <f aca="false">IF($F241=0,0,INDEX(Aux_HH!$G$4:$G$18,MATCH($B241&amp;"|"&amp;$E241,Aux_HH!$A$4:$A$18,0)))</f>
        <v>0</v>
      </c>
      <c r="K241" s="0" t="n">
        <f aca="false">IF($F241=0,0,INDEX(Aux_HH!$H$4:$H$18,MATCH($B241&amp;"|"&amp;$E241,Aux_HH!$A$4:$A$18,0)))</f>
        <v>0</v>
      </c>
      <c r="L241" s="0" t="n">
        <f aca="false">IF($F241=0,0,INDEX(Aux_HH!$I$4:$I$18,MATCH($B241&amp;"|"&amp;$E241,Aux_HH!$A$4:$A$18,0)))</f>
        <v>0</v>
      </c>
    </row>
    <row r="242" customFormat="false" ht="15" hidden="false" customHeight="false" outlineLevel="0" collapsed="false">
      <c r="A242" s="0" t="str">
        <f aca="false">IF(Frota!$A9="","",Frota!$A9)</f>
        <v>Trator NH T7.315 — 401</v>
      </c>
      <c r="B242" s="0" t="str">
        <f aca="false">IF(Frota!$A9="","",Frota!$B9)</f>
        <v>Trator</v>
      </c>
      <c r="C242" s="0" t="n">
        <v>31</v>
      </c>
      <c r="D242" s="0" t="n">
        <f aca="false">INDEX(Semanas!$E$3:$E$54,31)</f>
        <v>10</v>
      </c>
      <c r="E242" s="0" t="str">
        <f aca="false">IF(Frota!$A9="","",Cronograma!AF9)</f>
        <v>S</v>
      </c>
      <c r="F242" s="0" t="n">
        <f aca="false">IF(OR($E242="",$E242=0),0,1)</f>
        <v>1</v>
      </c>
      <c r="G242" s="0" t="n">
        <f aca="false">IF($F242=0,0,INDEX(Aux_HH!$D$4:$D$18,MATCH($B242&amp;"|"&amp;$E242,Aux_HH!$A$4:$A$18,0)))</f>
        <v>1.5</v>
      </c>
      <c r="H242" s="0" t="n">
        <f aca="false">IF($F242=0,0,INDEX(Aux_HH!$E$4:$E$18,MATCH($B242&amp;"|"&amp;$E242,Aux_HH!$A$4:$A$18,0)))</f>
        <v>0</v>
      </c>
      <c r="I242" s="0" t="n">
        <f aca="false">IF($F242=0,0,INDEX(Aux_HH!$F$4:$F$18,MATCH($B242&amp;"|"&amp;$E242,Aux_HH!$A$4:$A$18,0)))</f>
        <v>0</v>
      </c>
      <c r="J242" s="0" t="n">
        <f aca="false">IF($F242=0,0,INDEX(Aux_HH!$G$4:$G$18,MATCH($B242&amp;"|"&amp;$E242,Aux_HH!$A$4:$A$18,0)))</f>
        <v>0.5</v>
      </c>
      <c r="K242" s="0" t="n">
        <f aca="false">IF($F242=0,0,INDEX(Aux_HH!$H$4:$H$18,MATCH($B242&amp;"|"&amp;$E242,Aux_HH!$A$4:$A$18,0)))</f>
        <v>0</v>
      </c>
      <c r="L242" s="0" t="n">
        <f aca="false">IF($F242=0,0,INDEX(Aux_HH!$I$4:$I$18,MATCH($B242&amp;"|"&amp;$E242,Aux_HH!$A$4:$A$18,0)))</f>
        <v>0</v>
      </c>
    </row>
    <row r="243" customFormat="false" ht="15" hidden="false" customHeight="false" outlineLevel="0" collapsed="false">
      <c r="A243" s="0" t="str">
        <f aca="false">IF(Frota!$A9="","",Frota!$A9)</f>
        <v>Trator NH T7.315 — 401</v>
      </c>
      <c r="B243" s="0" t="str">
        <f aca="false">IF(Frota!$A9="","",Frota!$B9)</f>
        <v>Trator</v>
      </c>
      <c r="C243" s="0" t="n">
        <v>32</v>
      </c>
      <c r="D243" s="0" t="n">
        <f aca="false">INDEX(Semanas!$E$3:$E$54,32)</f>
        <v>11</v>
      </c>
      <c r="E243" s="0" t="str">
        <f aca="false">IF(Frota!$A9="","",Cronograma!AG9)</f>
        <v/>
      </c>
      <c r="F243" s="0" t="n">
        <f aca="false">IF(OR($E243="",$E243=0),0,1)</f>
        <v>0</v>
      </c>
      <c r="G243" s="0" t="n">
        <f aca="false">IF($F243=0,0,INDEX(Aux_HH!$D$4:$D$18,MATCH($B243&amp;"|"&amp;$E243,Aux_HH!$A$4:$A$18,0)))</f>
        <v>0</v>
      </c>
      <c r="H243" s="0" t="n">
        <f aca="false">IF($F243=0,0,INDEX(Aux_HH!$E$4:$E$18,MATCH($B243&amp;"|"&amp;$E243,Aux_HH!$A$4:$A$18,0)))</f>
        <v>0</v>
      </c>
      <c r="I243" s="0" t="n">
        <f aca="false">IF($F243=0,0,INDEX(Aux_HH!$F$4:$F$18,MATCH($B243&amp;"|"&amp;$E243,Aux_HH!$A$4:$A$18,0)))</f>
        <v>0</v>
      </c>
      <c r="J243" s="0" t="n">
        <f aca="false">IF($F243=0,0,INDEX(Aux_HH!$G$4:$G$18,MATCH($B243&amp;"|"&amp;$E243,Aux_HH!$A$4:$A$18,0)))</f>
        <v>0</v>
      </c>
      <c r="K243" s="0" t="n">
        <f aca="false">IF($F243=0,0,INDEX(Aux_HH!$H$4:$H$18,MATCH($B243&amp;"|"&amp;$E243,Aux_HH!$A$4:$A$18,0)))</f>
        <v>0</v>
      </c>
      <c r="L243" s="0" t="n">
        <f aca="false">IF($F243=0,0,INDEX(Aux_HH!$I$4:$I$18,MATCH($B243&amp;"|"&amp;$E243,Aux_HH!$A$4:$A$18,0)))</f>
        <v>0</v>
      </c>
    </row>
    <row r="244" customFormat="false" ht="15" hidden="false" customHeight="false" outlineLevel="0" collapsed="false">
      <c r="A244" s="0" t="str">
        <f aca="false">IF(Frota!$A9="","",Frota!$A9)</f>
        <v>Trator NH T7.315 — 401</v>
      </c>
      <c r="B244" s="0" t="str">
        <f aca="false">IF(Frota!$A9="","",Frota!$B9)</f>
        <v>Trator</v>
      </c>
      <c r="C244" s="0" t="n">
        <v>33</v>
      </c>
      <c r="D244" s="0" t="n">
        <f aca="false">INDEX(Semanas!$E$3:$E$54,33)</f>
        <v>11</v>
      </c>
      <c r="E244" s="0" t="str">
        <f aca="false">IF(Frota!$A9="","",Cronograma!AH9)</f>
        <v/>
      </c>
      <c r="F244" s="0" t="n">
        <f aca="false">IF(OR($E244="",$E244=0),0,1)</f>
        <v>0</v>
      </c>
      <c r="G244" s="0" t="n">
        <f aca="false">IF($F244=0,0,INDEX(Aux_HH!$D$4:$D$18,MATCH($B244&amp;"|"&amp;$E244,Aux_HH!$A$4:$A$18,0)))</f>
        <v>0</v>
      </c>
      <c r="H244" s="0" t="n">
        <f aca="false">IF($F244=0,0,INDEX(Aux_HH!$E$4:$E$18,MATCH($B244&amp;"|"&amp;$E244,Aux_HH!$A$4:$A$18,0)))</f>
        <v>0</v>
      </c>
      <c r="I244" s="0" t="n">
        <f aca="false">IF($F244=0,0,INDEX(Aux_HH!$F$4:$F$18,MATCH($B244&amp;"|"&amp;$E244,Aux_HH!$A$4:$A$18,0)))</f>
        <v>0</v>
      </c>
      <c r="J244" s="0" t="n">
        <f aca="false">IF($F244=0,0,INDEX(Aux_HH!$G$4:$G$18,MATCH($B244&amp;"|"&amp;$E244,Aux_HH!$A$4:$A$18,0)))</f>
        <v>0</v>
      </c>
      <c r="K244" s="0" t="n">
        <f aca="false">IF($F244=0,0,INDEX(Aux_HH!$H$4:$H$18,MATCH($B244&amp;"|"&amp;$E244,Aux_HH!$A$4:$A$18,0)))</f>
        <v>0</v>
      </c>
      <c r="L244" s="0" t="n">
        <f aca="false">IF($F244=0,0,INDEX(Aux_HH!$I$4:$I$18,MATCH($B244&amp;"|"&amp;$E244,Aux_HH!$A$4:$A$18,0)))</f>
        <v>0</v>
      </c>
    </row>
    <row r="245" customFormat="false" ht="15" hidden="false" customHeight="false" outlineLevel="0" collapsed="false">
      <c r="A245" s="0" t="str">
        <f aca="false">IF(Frota!$A9="","",Frota!$A9)</f>
        <v>Trator NH T7.315 — 401</v>
      </c>
      <c r="B245" s="0" t="str">
        <f aca="false">IF(Frota!$A9="","",Frota!$B9)</f>
        <v>Trator</v>
      </c>
      <c r="C245" s="0" t="n">
        <v>34</v>
      </c>
      <c r="D245" s="0" t="n">
        <f aca="false">INDEX(Semanas!$E$3:$E$54,34)</f>
        <v>11</v>
      </c>
      <c r="E245" s="0" t="str">
        <f aca="false">IF(Frota!$A9="","",Cronograma!AI9)</f>
        <v/>
      </c>
      <c r="F245" s="0" t="n">
        <f aca="false">IF(OR($E245="",$E245=0),0,1)</f>
        <v>0</v>
      </c>
      <c r="G245" s="0" t="n">
        <f aca="false">IF($F245=0,0,INDEX(Aux_HH!$D$4:$D$18,MATCH($B245&amp;"|"&amp;$E245,Aux_HH!$A$4:$A$18,0)))</f>
        <v>0</v>
      </c>
      <c r="H245" s="0" t="n">
        <f aca="false">IF($F245=0,0,INDEX(Aux_HH!$E$4:$E$18,MATCH($B245&amp;"|"&amp;$E245,Aux_HH!$A$4:$A$18,0)))</f>
        <v>0</v>
      </c>
      <c r="I245" s="0" t="n">
        <f aca="false">IF($F245=0,0,INDEX(Aux_HH!$F$4:$F$18,MATCH($B245&amp;"|"&amp;$E245,Aux_HH!$A$4:$A$18,0)))</f>
        <v>0</v>
      </c>
      <c r="J245" s="0" t="n">
        <f aca="false">IF($F245=0,0,INDEX(Aux_HH!$G$4:$G$18,MATCH($B245&amp;"|"&amp;$E245,Aux_HH!$A$4:$A$18,0)))</f>
        <v>0</v>
      </c>
      <c r="K245" s="0" t="n">
        <f aca="false">IF($F245=0,0,INDEX(Aux_HH!$H$4:$H$18,MATCH($B245&amp;"|"&amp;$E245,Aux_HH!$A$4:$A$18,0)))</f>
        <v>0</v>
      </c>
      <c r="L245" s="0" t="n">
        <f aca="false">IF($F245=0,0,INDEX(Aux_HH!$I$4:$I$18,MATCH($B245&amp;"|"&amp;$E245,Aux_HH!$A$4:$A$18,0)))</f>
        <v>0</v>
      </c>
    </row>
    <row r="246" customFormat="false" ht="15" hidden="false" customHeight="false" outlineLevel="0" collapsed="false">
      <c r="A246" s="0" t="str">
        <f aca="false">IF(Frota!$A9="","",Frota!$A9)</f>
        <v>Trator NH T7.315 — 401</v>
      </c>
      <c r="B246" s="0" t="str">
        <f aca="false">IF(Frota!$A9="","",Frota!$B9)</f>
        <v>Trator</v>
      </c>
      <c r="C246" s="0" t="n">
        <v>35</v>
      </c>
      <c r="D246" s="0" t="n">
        <f aca="false">INDEX(Semanas!$E$3:$E$54,35)</f>
        <v>11</v>
      </c>
      <c r="E246" s="0" t="str">
        <f aca="false">IF(Frota!$A9="","",Cronograma!AJ9)</f>
        <v/>
      </c>
      <c r="F246" s="0" t="n">
        <f aca="false">IF(OR($E246="",$E246=0),0,1)</f>
        <v>0</v>
      </c>
      <c r="G246" s="0" t="n">
        <f aca="false">IF($F246=0,0,INDEX(Aux_HH!$D$4:$D$18,MATCH($B246&amp;"|"&amp;$E246,Aux_HH!$A$4:$A$18,0)))</f>
        <v>0</v>
      </c>
      <c r="H246" s="0" t="n">
        <f aca="false">IF($F246=0,0,INDEX(Aux_HH!$E$4:$E$18,MATCH($B246&amp;"|"&amp;$E246,Aux_HH!$A$4:$A$18,0)))</f>
        <v>0</v>
      </c>
      <c r="I246" s="0" t="n">
        <f aca="false">IF($F246=0,0,INDEX(Aux_HH!$F$4:$F$18,MATCH($B246&amp;"|"&amp;$E246,Aux_HH!$A$4:$A$18,0)))</f>
        <v>0</v>
      </c>
      <c r="J246" s="0" t="n">
        <f aca="false">IF($F246=0,0,INDEX(Aux_HH!$G$4:$G$18,MATCH($B246&amp;"|"&amp;$E246,Aux_HH!$A$4:$A$18,0)))</f>
        <v>0</v>
      </c>
      <c r="K246" s="0" t="n">
        <f aca="false">IF($F246=0,0,INDEX(Aux_HH!$H$4:$H$18,MATCH($B246&amp;"|"&amp;$E246,Aux_HH!$A$4:$A$18,0)))</f>
        <v>0</v>
      </c>
      <c r="L246" s="0" t="n">
        <f aca="false">IF($F246=0,0,INDEX(Aux_HH!$I$4:$I$18,MATCH($B246&amp;"|"&amp;$E246,Aux_HH!$A$4:$A$18,0)))</f>
        <v>0</v>
      </c>
    </row>
    <row r="247" customFormat="false" ht="15" hidden="false" customHeight="false" outlineLevel="0" collapsed="false">
      <c r="A247" s="0" t="str">
        <f aca="false">IF(Frota!$A9="","",Frota!$A9)</f>
        <v>Trator NH T7.315 — 401</v>
      </c>
      <c r="B247" s="0" t="str">
        <f aca="false">IF(Frota!$A9="","",Frota!$B9)</f>
        <v>Trator</v>
      </c>
      <c r="C247" s="0" t="n">
        <v>36</v>
      </c>
      <c r="D247" s="0" t="n">
        <f aca="false">INDEX(Semanas!$E$3:$E$54,36)</f>
        <v>12</v>
      </c>
      <c r="E247" s="0" t="str">
        <f aca="false">IF(Frota!$A9="","",Cronograma!AK9)</f>
        <v/>
      </c>
      <c r="F247" s="0" t="n">
        <f aca="false">IF(OR($E247="",$E247=0),0,1)</f>
        <v>0</v>
      </c>
      <c r="G247" s="0" t="n">
        <f aca="false">IF($F247=0,0,INDEX(Aux_HH!$D$4:$D$18,MATCH($B247&amp;"|"&amp;$E247,Aux_HH!$A$4:$A$18,0)))</f>
        <v>0</v>
      </c>
      <c r="H247" s="0" t="n">
        <f aca="false">IF($F247=0,0,INDEX(Aux_HH!$E$4:$E$18,MATCH($B247&amp;"|"&amp;$E247,Aux_HH!$A$4:$A$18,0)))</f>
        <v>0</v>
      </c>
      <c r="I247" s="0" t="n">
        <f aca="false">IF($F247=0,0,INDEX(Aux_HH!$F$4:$F$18,MATCH($B247&amp;"|"&amp;$E247,Aux_HH!$A$4:$A$18,0)))</f>
        <v>0</v>
      </c>
      <c r="J247" s="0" t="n">
        <f aca="false">IF($F247=0,0,INDEX(Aux_HH!$G$4:$G$18,MATCH($B247&amp;"|"&amp;$E247,Aux_HH!$A$4:$A$18,0)))</f>
        <v>0</v>
      </c>
      <c r="K247" s="0" t="n">
        <f aca="false">IF($F247=0,0,INDEX(Aux_HH!$H$4:$H$18,MATCH($B247&amp;"|"&amp;$E247,Aux_HH!$A$4:$A$18,0)))</f>
        <v>0</v>
      </c>
      <c r="L247" s="0" t="n">
        <f aca="false">IF($F247=0,0,INDEX(Aux_HH!$I$4:$I$18,MATCH($B247&amp;"|"&amp;$E247,Aux_HH!$A$4:$A$18,0)))</f>
        <v>0</v>
      </c>
    </row>
    <row r="248" customFormat="false" ht="15" hidden="false" customHeight="false" outlineLevel="0" collapsed="false">
      <c r="A248" s="0" t="str">
        <f aca="false">IF(Frota!$A9="","",Frota!$A9)</f>
        <v>Trator NH T7.315 — 401</v>
      </c>
      <c r="B248" s="0" t="str">
        <f aca="false">IF(Frota!$A9="","",Frota!$B9)</f>
        <v>Trator</v>
      </c>
      <c r="C248" s="0" t="n">
        <v>37</v>
      </c>
      <c r="D248" s="0" t="n">
        <f aca="false">INDEX(Semanas!$E$3:$E$54,37)</f>
        <v>12</v>
      </c>
      <c r="E248" s="0" t="str">
        <f aca="false">IF(Frota!$A9="","",Cronograma!AL9)</f>
        <v/>
      </c>
      <c r="F248" s="0" t="n">
        <f aca="false">IF(OR($E248="",$E248=0),0,1)</f>
        <v>0</v>
      </c>
      <c r="G248" s="0" t="n">
        <f aca="false">IF($F248=0,0,INDEX(Aux_HH!$D$4:$D$18,MATCH($B248&amp;"|"&amp;$E248,Aux_HH!$A$4:$A$18,0)))</f>
        <v>0</v>
      </c>
      <c r="H248" s="0" t="n">
        <f aca="false">IF($F248=0,0,INDEX(Aux_HH!$E$4:$E$18,MATCH($B248&amp;"|"&amp;$E248,Aux_HH!$A$4:$A$18,0)))</f>
        <v>0</v>
      </c>
      <c r="I248" s="0" t="n">
        <f aca="false">IF($F248=0,0,INDEX(Aux_HH!$F$4:$F$18,MATCH($B248&amp;"|"&amp;$E248,Aux_HH!$A$4:$A$18,0)))</f>
        <v>0</v>
      </c>
      <c r="J248" s="0" t="n">
        <f aca="false">IF($F248=0,0,INDEX(Aux_HH!$G$4:$G$18,MATCH($B248&amp;"|"&amp;$E248,Aux_HH!$A$4:$A$18,0)))</f>
        <v>0</v>
      </c>
      <c r="K248" s="0" t="n">
        <f aca="false">IF($F248=0,0,INDEX(Aux_HH!$H$4:$H$18,MATCH($B248&amp;"|"&amp;$E248,Aux_HH!$A$4:$A$18,0)))</f>
        <v>0</v>
      </c>
      <c r="L248" s="0" t="n">
        <f aca="false">IF($F248=0,0,INDEX(Aux_HH!$I$4:$I$18,MATCH($B248&amp;"|"&amp;$E248,Aux_HH!$A$4:$A$18,0)))</f>
        <v>0</v>
      </c>
    </row>
    <row r="249" customFormat="false" ht="15" hidden="false" customHeight="false" outlineLevel="0" collapsed="false">
      <c r="A249" s="0" t="str">
        <f aca="false">IF(Frota!$A9="","",Frota!$A9)</f>
        <v>Trator NH T7.315 — 401</v>
      </c>
      <c r="B249" s="0" t="str">
        <f aca="false">IF(Frota!$A9="","",Frota!$B9)</f>
        <v>Trator</v>
      </c>
      <c r="C249" s="0" t="n">
        <v>38</v>
      </c>
      <c r="D249" s="0" t="n">
        <f aca="false">INDEX(Semanas!$E$3:$E$54,38)</f>
        <v>12</v>
      </c>
      <c r="E249" s="0" t="str">
        <f aca="false">IF(Frota!$A9="","",Cronograma!AM9)</f>
        <v/>
      </c>
      <c r="F249" s="0" t="n">
        <f aca="false">IF(OR($E249="",$E249=0),0,1)</f>
        <v>0</v>
      </c>
      <c r="G249" s="0" t="n">
        <f aca="false">IF($F249=0,0,INDEX(Aux_HH!$D$4:$D$18,MATCH($B249&amp;"|"&amp;$E249,Aux_HH!$A$4:$A$18,0)))</f>
        <v>0</v>
      </c>
      <c r="H249" s="0" t="n">
        <f aca="false">IF($F249=0,0,INDEX(Aux_HH!$E$4:$E$18,MATCH($B249&amp;"|"&amp;$E249,Aux_HH!$A$4:$A$18,0)))</f>
        <v>0</v>
      </c>
      <c r="I249" s="0" t="n">
        <f aca="false">IF($F249=0,0,INDEX(Aux_HH!$F$4:$F$18,MATCH($B249&amp;"|"&amp;$E249,Aux_HH!$A$4:$A$18,0)))</f>
        <v>0</v>
      </c>
      <c r="J249" s="0" t="n">
        <f aca="false">IF($F249=0,0,INDEX(Aux_HH!$G$4:$G$18,MATCH($B249&amp;"|"&amp;$E249,Aux_HH!$A$4:$A$18,0)))</f>
        <v>0</v>
      </c>
      <c r="K249" s="0" t="n">
        <f aca="false">IF($F249=0,0,INDEX(Aux_HH!$H$4:$H$18,MATCH($B249&amp;"|"&amp;$E249,Aux_HH!$A$4:$A$18,0)))</f>
        <v>0</v>
      </c>
      <c r="L249" s="0" t="n">
        <f aca="false">IF($F249=0,0,INDEX(Aux_HH!$I$4:$I$18,MATCH($B249&amp;"|"&amp;$E249,Aux_HH!$A$4:$A$18,0)))</f>
        <v>0</v>
      </c>
    </row>
    <row r="250" customFormat="false" ht="15" hidden="false" customHeight="false" outlineLevel="0" collapsed="false">
      <c r="A250" s="0" t="str">
        <f aca="false">IF(Frota!$A9="","",Frota!$A9)</f>
        <v>Trator NH T7.315 — 401</v>
      </c>
      <c r="B250" s="0" t="str">
        <f aca="false">IF(Frota!$A9="","",Frota!$B9)</f>
        <v>Trator</v>
      </c>
      <c r="C250" s="0" t="n">
        <v>39</v>
      </c>
      <c r="D250" s="0" t="n">
        <f aca="false">INDEX(Semanas!$E$3:$E$54,39)</f>
        <v>12</v>
      </c>
      <c r="E250" s="0" t="str">
        <f aca="false">IF(Frota!$A9="","",Cronograma!AN9)</f>
        <v/>
      </c>
      <c r="F250" s="0" t="n">
        <f aca="false">IF(OR($E250="",$E250=0),0,1)</f>
        <v>0</v>
      </c>
      <c r="G250" s="0" t="n">
        <f aca="false">IF($F250=0,0,INDEX(Aux_HH!$D$4:$D$18,MATCH($B250&amp;"|"&amp;$E250,Aux_HH!$A$4:$A$18,0)))</f>
        <v>0</v>
      </c>
      <c r="H250" s="0" t="n">
        <f aca="false">IF($F250=0,0,INDEX(Aux_HH!$E$4:$E$18,MATCH($B250&amp;"|"&amp;$E250,Aux_HH!$A$4:$A$18,0)))</f>
        <v>0</v>
      </c>
      <c r="I250" s="0" t="n">
        <f aca="false">IF($F250=0,0,INDEX(Aux_HH!$F$4:$F$18,MATCH($B250&amp;"|"&amp;$E250,Aux_HH!$A$4:$A$18,0)))</f>
        <v>0</v>
      </c>
      <c r="J250" s="0" t="n">
        <f aca="false">IF($F250=0,0,INDEX(Aux_HH!$G$4:$G$18,MATCH($B250&amp;"|"&amp;$E250,Aux_HH!$A$4:$A$18,0)))</f>
        <v>0</v>
      </c>
      <c r="K250" s="0" t="n">
        <f aca="false">IF($F250=0,0,INDEX(Aux_HH!$H$4:$H$18,MATCH($B250&amp;"|"&amp;$E250,Aux_HH!$A$4:$A$18,0)))</f>
        <v>0</v>
      </c>
      <c r="L250" s="0" t="n">
        <f aca="false">IF($F250=0,0,INDEX(Aux_HH!$I$4:$I$18,MATCH($B250&amp;"|"&amp;$E250,Aux_HH!$A$4:$A$18,0)))</f>
        <v>0</v>
      </c>
    </row>
    <row r="251" customFormat="false" ht="15" hidden="false" customHeight="false" outlineLevel="0" collapsed="false">
      <c r="A251" s="0" t="str">
        <f aca="false">IF(Frota!$A9="","",Frota!$A9)</f>
        <v>Trator NH T7.315 — 401</v>
      </c>
      <c r="B251" s="0" t="str">
        <f aca="false">IF(Frota!$A9="","",Frota!$B9)</f>
        <v>Trator</v>
      </c>
      <c r="C251" s="0" t="n">
        <v>40</v>
      </c>
      <c r="D251" s="0" t="n">
        <f aca="false">INDEX(Semanas!$E$3:$E$54,40)</f>
        <v>12</v>
      </c>
      <c r="E251" s="0" t="str">
        <f aca="false">IF(Frota!$A9="","",Cronograma!AO9)</f>
        <v>B</v>
      </c>
      <c r="F251" s="0" t="n">
        <f aca="false">IF(OR($E251="",$E251=0),0,1)</f>
        <v>1</v>
      </c>
      <c r="G251" s="0" t="n">
        <f aca="false">IF($F251=0,0,INDEX(Aux_HH!$D$4:$D$18,MATCH($B251&amp;"|"&amp;$E251,Aux_HH!$A$4:$A$18,0)))</f>
        <v>1.5</v>
      </c>
      <c r="H251" s="0" t="n">
        <f aca="false">IF($F251=0,0,INDEX(Aux_HH!$E$4:$E$18,MATCH($B251&amp;"|"&amp;$E251,Aux_HH!$A$4:$A$18,0)))</f>
        <v>0</v>
      </c>
      <c r="I251" s="0" t="n">
        <f aca="false">IF($F251=0,0,INDEX(Aux_HH!$F$4:$F$18,MATCH($B251&amp;"|"&amp;$E251,Aux_HH!$A$4:$A$18,0)))</f>
        <v>0</v>
      </c>
      <c r="J251" s="0" t="n">
        <f aca="false">IF($F251=0,0,INDEX(Aux_HH!$G$4:$G$18,MATCH($B251&amp;"|"&amp;$E251,Aux_HH!$A$4:$A$18,0)))</f>
        <v>0.5</v>
      </c>
      <c r="K251" s="0" t="n">
        <f aca="false">IF($F251=0,0,INDEX(Aux_HH!$H$4:$H$18,MATCH($B251&amp;"|"&amp;$E251,Aux_HH!$A$4:$A$18,0)))</f>
        <v>0</v>
      </c>
      <c r="L251" s="0" t="n">
        <f aca="false">IF($F251=0,0,INDEX(Aux_HH!$I$4:$I$18,MATCH($B251&amp;"|"&amp;$E251,Aux_HH!$A$4:$A$18,0)))</f>
        <v>0</v>
      </c>
    </row>
    <row r="252" customFormat="false" ht="15" hidden="false" customHeight="false" outlineLevel="0" collapsed="false">
      <c r="A252" s="0" t="str">
        <f aca="false">IF(Frota!$A9="","",Frota!$A9)</f>
        <v>Trator NH T7.315 — 401</v>
      </c>
      <c r="B252" s="0" t="str">
        <f aca="false">IF(Frota!$A9="","",Frota!$B9)</f>
        <v>Trator</v>
      </c>
      <c r="C252" s="0" t="n">
        <v>41</v>
      </c>
      <c r="D252" s="0" t="n">
        <f aca="false">INDEX(Semanas!$E$3:$E$54,41)</f>
        <v>1</v>
      </c>
      <c r="E252" s="0" t="str">
        <f aca="false">IF(Frota!$A9="","",Cronograma!AP9)</f>
        <v/>
      </c>
      <c r="F252" s="0" t="n">
        <f aca="false">IF(OR($E252="",$E252=0),0,1)</f>
        <v>0</v>
      </c>
      <c r="G252" s="0" t="n">
        <f aca="false">IF($F252=0,0,INDEX(Aux_HH!$D$4:$D$18,MATCH($B252&amp;"|"&amp;$E252,Aux_HH!$A$4:$A$18,0)))</f>
        <v>0</v>
      </c>
      <c r="H252" s="0" t="n">
        <f aca="false">IF($F252=0,0,INDEX(Aux_HH!$E$4:$E$18,MATCH($B252&amp;"|"&amp;$E252,Aux_HH!$A$4:$A$18,0)))</f>
        <v>0</v>
      </c>
      <c r="I252" s="0" t="n">
        <f aca="false">IF($F252=0,0,INDEX(Aux_HH!$F$4:$F$18,MATCH($B252&amp;"|"&amp;$E252,Aux_HH!$A$4:$A$18,0)))</f>
        <v>0</v>
      </c>
      <c r="J252" s="0" t="n">
        <f aca="false">IF($F252=0,0,INDEX(Aux_HH!$G$4:$G$18,MATCH($B252&amp;"|"&amp;$E252,Aux_HH!$A$4:$A$18,0)))</f>
        <v>0</v>
      </c>
      <c r="K252" s="0" t="n">
        <f aca="false">IF($F252=0,0,INDEX(Aux_HH!$H$4:$H$18,MATCH($B252&amp;"|"&amp;$E252,Aux_HH!$A$4:$A$18,0)))</f>
        <v>0</v>
      </c>
      <c r="L252" s="0" t="n">
        <f aca="false">IF($F252=0,0,INDEX(Aux_HH!$I$4:$I$18,MATCH($B252&amp;"|"&amp;$E252,Aux_HH!$A$4:$A$18,0)))</f>
        <v>0</v>
      </c>
    </row>
    <row r="253" customFormat="false" ht="15" hidden="false" customHeight="false" outlineLevel="0" collapsed="false">
      <c r="A253" s="0" t="str">
        <f aca="false">IF(Frota!$A9="","",Frota!$A9)</f>
        <v>Trator NH T7.315 — 401</v>
      </c>
      <c r="B253" s="0" t="str">
        <f aca="false">IF(Frota!$A9="","",Frota!$B9)</f>
        <v>Trator</v>
      </c>
      <c r="C253" s="0" t="n">
        <v>42</v>
      </c>
      <c r="D253" s="0" t="n">
        <f aca="false">INDEX(Semanas!$E$3:$E$54,42)</f>
        <v>1</v>
      </c>
      <c r="E253" s="0" t="str">
        <f aca="false">IF(Frota!$A9="","",Cronograma!AQ9)</f>
        <v/>
      </c>
      <c r="F253" s="0" t="n">
        <f aca="false">IF(OR($E253="",$E253=0),0,1)</f>
        <v>0</v>
      </c>
      <c r="G253" s="0" t="n">
        <f aca="false">IF($F253=0,0,INDEX(Aux_HH!$D$4:$D$18,MATCH($B253&amp;"|"&amp;$E253,Aux_HH!$A$4:$A$18,0)))</f>
        <v>0</v>
      </c>
      <c r="H253" s="0" t="n">
        <f aca="false">IF($F253=0,0,INDEX(Aux_HH!$E$4:$E$18,MATCH($B253&amp;"|"&amp;$E253,Aux_HH!$A$4:$A$18,0)))</f>
        <v>0</v>
      </c>
      <c r="I253" s="0" t="n">
        <f aca="false">IF($F253=0,0,INDEX(Aux_HH!$F$4:$F$18,MATCH($B253&amp;"|"&amp;$E253,Aux_HH!$A$4:$A$18,0)))</f>
        <v>0</v>
      </c>
      <c r="J253" s="0" t="n">
        <f aca="false">IF($F253=0,0,INDEX(Aux_HH!$G$4:$G$18,MATCH($B253&amp;"|"&amp;$E253,Aux_HH!$A$4:$A$18,0)))</f>
        <v>0</v>
      </c>
      <c r="K253" s="0" t="n">
        <f aca="false">IF($F253=0,0,INDEX(Aux_HH!$H$4:$H$18,MATCH($B253&amp;"|"&amp;$E253,Aux_HH!$A$4:$A$18,0)))</f>
        <v>0</v>
      </c>
      <c r="L253" s="0" t="n">
        <f aca="false">IF($F253=0,0,INDEX(Aux_HH!$I$4:$I$18,MATCH($B253&amp;"|"&amp;$E253,Aux_HH!$A$4:$A$18,0)))</f>
        <v>0</v>
      </c>
    </row>
    <row r="254" customFormat="false" ht="15" hidden="false" customHeight="false" outlineLevel="0" collapsed="false">
      <c r="A254" s="0" t="str">
        <f aca="false">IF(Frota!$A9="","",Frota!$A9)</f>
        <v>Trator NH T7.315 — 401</v>
      </c>
      <c r="B254" s="0" t="str">
        <f aca="false">IF(Frota!$A9="","",Frota!$B9)</f>
        <v>Trator</v>
      </c>
      <c r="C254" s="0" t="n">
        <v>43</v>
      </c>
      <c r="D254" s="0" t="n">
        <f aca="false">INDEX(Semanas!$E$3:$E$54,43)</f>
        <v>1</v>
      </c>
      <c r="E254" s="0" t="str">
        <f aca="false">IF(Frota!$A9="","",Cronograma!AR9)</f>
        <v/>
      </c>
      <c r="F254" s="0" t="n">
        <f aca="false">IF(OR($E254="",$E254=0),0,1)</f>
        <v>0</v>
      </c>
      <c r="G254" s="0" t="n">
        <f aca="false">IF($F254=0,0,INDEX(Aux_HH!$D$4:$D$18,MATCH($B254&amp;"|"&amp;$E254,Aux_HH!$A$4:$A$18,0)))</f>
        <v>0</v>
      </c>
      <c r="H254" s="0" t="n">
        <f aca="false">IF($F254=0,0,INDEX(Aux_HH!$E$4:$E$18,MATCH($B254&amp;"|"&amp;$E254,Aux_HH!$A$4:$A$18,0)))</f>
        <v>0</v>
      </c>
      <c r="I254" s="0" t="n">
        <f aca="false">IF($F254=0,0,INDEX(Aux_HH!$F$4:$F$18,MATCH($B254&amp;"|"&amp;$E254,Aux_HH!$A$4:$A$18,0)))</f>
        <v>0</v>
      </c>
      <c r="J254" s="0" t="n">
        <f aca="false">IF($F254=0,0,INDEX(Aux_HH!$G$4:$G$18,MATCH($B254&amp;"|"&amp;$E254,Aux_HH!$A$4:$A$18,0)))</f>
        <v>0</v>
      </c>
      <c r="K254" s="0" t="n">
        <f aca="false">IF($F254=0,0,INDEX(Aux_HH!$H$4:$H$18,MATCH($B254&amp;"|"&amp;$E254,Aux_HH!$A$4:$A$18,0)))</f>
        <v>0</v>
      </c>
      <c r="L254" s="0" t="n">
        <f aca="false">IF($F254=0,0,INDEX(Aux_HH!$I$4:$I$18,MATCH($B254&amp;"|"&amp;$E254,Aux_HH!$A$4:$A$18,0)))</f>
        <v>0</v>
      </c>
    </row>
    <row r="255" customFormat="false" ht="15" hidden="false" customHeight="false" outlineLevel="0" collapsed="false">
      <c r="A255" s="0" t="str">
        <f aca="false">IF(Frota!$A9="","",Frota!$A9)</f>
        <v>Trator NH T7.315 — 401</v>
      </c>
      <c r="B255" s="0" t="str">
        <f aca="false">IF(Frota!$A9="","",Frota!$B9)</f>
        <v>Trator</v>
      </c>
      <c r="C255" s="0" t="n">
        <v>44</v>
      </c>
      <c r="D255" s="0" t="n">
        <f aca="false">INDEX(Semanas!$E$3:$E$54,44)</f>
        <v>1</v>
      </c>
      <c r="E255" s="0" t="str">
        <f aca="false">IF(Frota!$A9="","",Cronograma!AS9)</f>
        <v/>
      </c>
      <c r="F255" s="0" t="n">
        <f aca="false">IF(OR($E255="",$E255=0),0,1)</f>
        <v>0</v>
      </c>
      <c r="G255" s="0" t="n">
        <f aca="false">IF($F255=0,0,INDEX(Aux_HH!$D$4:$D$18,MATCH($B255&amp;"|"&amp;$E255,Aux_HH!$A$4:$A$18,0)))</f>
        <v>0</v>
      </c>
      <c r="H255" s="0" t="n">
        <f aca="false">IF($F255=0,0,INDEX(Aux_HH!$E$4:$E$18,MATCH($B255&amp;"|"&amp;$E255,Aux_HH!$A$4:$A$18,0)))</f>
        <v>0</v>
      </c>
      <c r="I255" s="0" t="n">
        <f aca="false">IF($F255=0,0,INDEX(Aux_HH!$F$4:$F$18,MATCH($B255&amp;"|"&amp;$E255,Aux_HH!$A$4:$A$18,0)))</f>
        <v>0</v>
      </c>
      <c r="J255" s="0" t="n">
        <f aca="false">IF($F255=0,0,INDEX(Aux_HH!$G$4:$G$18,MATCH($B255&amp;"|"&amp;$E255,Aux_HH!$A$4:$A$18,0)))</f>
        <v>0</v>
      </c>
      <c r="K255" s="0" t="n">
        <f aca="false">IF($F255=0,0,INDEX(Aux_HH!$H$4:$H$18,MATCH($B255&amp;"|"&amp;$E255,Aux_HH!$A$4:$A$18,0)))</f>
        <v>0</v>
      </c>
      <c r="L255" s="0" t="n">
        <f aca="false">IF($F255=0,0,INDEX(Aux_HH!$I$4:$I$18,MATCH($B255&amp;"|"&amp;$E255,Aux_HH!$A$4:$A$18,0)))</f>
        <v>0</v>
      </c>
    </row>
    <row r="256" customFormat="false" ht="15" hidden="false" customHeight="false" outlineLevel="0" collapsed="false">
      <c r="A256" s="0" t="str">
        <f aca="false">IF(Frota!$A9="","",Frota!$A9)</f>
        <v>Trator NH T7.315 — 401</v>
      </c>
      <c r="B256" s="0" t="str">
        <f aca="false">IF(Frota!$A9="","",Frota!$B9)</f>
        <v>Trator</v>
      </c>
      <c r="C256" s="0" t="n">
        <v>45</v>
      </c>
      <c r="D256" s="0" t="n">
        <f aca="false">INDEX(Semanas!$E$3:$E$54,45)</f>
        <v>2</v>
      </c>
      <c r="E256" s="0" t="str">
        <f aca="false">IF(Frota!$A9="","",Cronograma!AT9)</f>
        <v/>
      </c>
      <c r="F256" s="0" t="n">
        <f aca="false">IF(OR($E256="",$E256=0),0,1)</f>
        <v>0</v>
      </c>
      <c r="G256" s="0" t="n">
        <f aca="false">IF($F256=0,0,INDEX(Aux_HH!$D$4:$D$18,MATCH($B256&amp;"|"&amp;$E256,Aux_HH!$A$4:$A$18,0)))</f>
        <v>0</v>
      </c>
      <c r="H256" s="0" t="n">
        <f aca="false">IF($F256=0,0,INDEX(Aux_HH!$E$4:$E$18,MATCH($B256&amp;"|"&amp;$E256,Aux_HH!$A$4:$A$18,0)))</f>
        <v>0</v>
      </c>
      <c r="I256" s="0" t="n">
        <f aca="false">IF($F256=0,0,INDEX(Aux_HH!$F$4:$F$18,MATCH($B256&amp;"|"&amp;$E256,Aux_HH!$A$4:$A$18,0)))</f>
        <v>0</v>
      </c>
      <c r="J256" s="0" t="n">
        <f aca="false">IF($F256=0,0,INDEX(Aux_HH!$G$4:$G$18,MATCH($B256&amp;"|"&amp;$E256,Aux_HH!$A$4:$A$18,0)))</f>
        <v>0</v>
      </c>
      <c r="K256" s="0" t="n">
        <f aca="false">IF($F256=0,0,INDEX(Aux_HH!$H$4:$H$18,MATCH($B256&amp;"|"&amp;$E256,Aux_HH!$A$4:$A$18,0)))</f>
        <v>0</v>
      </c>
      <c r="L256" s="0" t="n">
        <f aca="false">IF($F256=0,0,INDEX(Aux_HH!$I$4:$I$18,MATCH($B256&amp;"|"&amp;$E256,Aux_HH!$A$4:$A$18,0)))</f>
        <v>0</v>
      </c>
    </row>
    <row r="257" customFormat="false" ht="15" hidden="false" customHeight="false" outlineLevel="0" collapsed="false">
      <c r="A257" s="0" t="str">
        <f aca="false">IF(Frota!$A9="","",Frota!$A9)</f>
        <v>Trator NH T7.315 — 401</v>
      </c>
      <c r="B257" s="0" t="str">
        <f aca="false">IF(Frota!$A9="","",Frota!$B9)</f>
        <v>Trator</v>
      </c>
      <c r="C257" s="0" t="n">
        <v>46</v>
      </c>
      <c r="D257" s="0" t="n">
        <f aca="false">INDEX(Semanas!$E$3:$E$54,46)</f>
        <v>2</v>
      </c>
      <c r="E257" s="0" t="str">
        <f aca="false">IF(Frota!$A9="","",Cronograma!AU9)</f>
        <v/>
      </c>
      <c r="F257" s="0" t="n">
        <f aca="false">IF(OR($E257="",$E257=0),0,1)</f>
        <v>0</v>
      </c>
      <c r="G257" s="0" t="n">
        <f aca="false">IF($F257=0,0,INDEX(Aux_HH!$D$4:$D$18,MATCH($B257&amp;"|"&amp;$E257,Aux_HH!$A$4:$A$18,0)))</f>
        <v>0</v>
      </c>
      <c r="H257" s="0" t="n">
        <f aca="false">IF($F257=0,0,INDEX(Aux_HH!$E$4:$E$18,MATCH($B257&amp;"|"&amp;$E257,Aux_HH!$A$4:$A$18,0)))</f>
        <v>0</v>
      </c>
      <c r="I257" s="0" t="n">
        <f aca="false">IF($F257=0,0,INDEX(Aux_HH!$F$4:$F$18,MATCH($B257&amp;"|"&amp;$E257,Aux_HH!$A$4:$A$18,0)))</f>
        <v>0</v>
      </c>
      <c r="J257" s="0" t="n">
        <f aca="false">IF($F257=0,0,INDEX(Aux_HH!$G$4:$G$18,MATCH($B257&amp;"|"&amp;$E257,Aux_HH!$A$4:$A$18,0)))</f>
        <v>0</v>
      </c>
      <c r="K257" s="0" t="n">
        <f aca="false">IF($F257=0,0,INDEX(Aux_HH!$H$4:$H$18,MATCH($B257&amp;"|"&amp;$E257,Aux_HH!$A$4:$A$18,0)))</f>
        <v>0</v>
      </c>
      <c r="L257" s="0" t="n">
        <f aca="false">IF($F257=0,0,INDEX(Aux_HH!$I$4:$I$18,MATCH($B257&amp;"|"&amp;$E257,Aux_HH!$A$4:$A$18,0)))</f>
        <v>0</v>
      </c>
    </row>
    <row r="258" customFormat="false" ht="15" hidden="false" customHeight="false" outlineLevel="0" collapsed="false">
      <c r="A258" s="0" t="str">
        <f aca="false">IF(Frota!$A9="","",Frota!$A9)</f>
        <v>Trator NH T7.315 — 401</v>
      </c>
      <c r="B258" s="0" t="str">
        <f aca="false">IF(Frota!$A9="","",Frota!$B9)</f>
        <v>Trator</v>
      </c>
      <c r="C258" s="0" t="n">
        <v>47</v>
      </c>
      <c r="D258" s="0" t="n">
        <f aca="false">INDEX(Semanas!$E$3:$E$54,47)</f>
        <v>2</v>
      </c>
      <c r="E258" s="0" t="str">
        <f aca="false">IF(Frota!$A9="","",Cronograma!AV9)</f>
        <v/>
      </c>
      <c r="F258" s="0" t="n">
        <f aca="false">IF(OR($E258="",$E258=0),0,1)</f>
        <v>0</v>
      </c>
      <c r="G258" s="0" t="n">
        <f aca="false">IF($F258=0,0,INDEX(Aux_HH!$D$4:$D$18,MATCH($B258&amp;"|"&amp;$E258,Aux_HH!$A$4:$A$18,0)))</f>
        <v>0</v>
      </c>
      <c r="H258" s="0" t="n">
        <f aca="false">IF($F258=0,0,INDEX(Aux_HH!$E$4:$E$18,MATCH($B258&amp;"|"&amp;$E258,Aux_HH!$A$4:$A$18,0)))</f>
        <v>0</v>
      </c>
      <c r="I258" s="0" t="n">
        <f aca="false">IF($F258=0,0,INDEX(Aux_HH!$F$4:$F$18,MATCH($B258&amp;"|"&amp;$E258,Aux_HH!$A$4:$A$18,0)))</f>
        <v>0</v>
      </c>
      <c r="J258" s="0" t="n">
        <f aca="false">IF($F258=0,0,INDEX(Aux_HH!$G$4:$G$18,MATCH($B258&amp;"|"&amp;$E258,Aux_HH!$A$4:$A$18,0)))</f>
        <v>0</v>
      </c>
      <c r="K258" s="0" t="n">
        <f aca="false">IF($F258=0,0,INDEX(Aux_HH!$H$4:$H$18,MATCH($B258&amp;"|"&amp;$E258,Aux_HH!$A$4:$A$18,0)))</f>
        <v>0</v>
      </c>
      <c r="L258" s="0" t="n">
        <f aca="false">IF($F258=0,0,INDEX(Aux_HH!$I$4:$I$18,MATCH($B258&amp;"|"&amp;$E258,Aux_HH!$A$4:$A$18,0)))</f>
        <v>0</v>
      </c>
    </row>
    <row r="259" customFormat="false" ht="15" hidden="false" customHeight="false" outlineLevel="0" collapsed="false">
      <c r="A259" s="0" t="str">
        <f aca="false">IF(Frota!$A9="","",Frota!$A9)</f>
        <v>Trator NH T7.315 — 401</v>
      </c>
      <c r="B259" s="0" t="str">
        <f aca="false">IF(Frota!$A9="","",Frota!$B9)</f>
        <v>Trator</v>
      </c>
      <c r="C259" s="0" t="n">
        <v>48</v>
      </c>
      <c r="D259" s="0" t="n">
        <f aca="false">INDEX(Semanas!$E$3:$E$54,48)</f>
        <v>2</v>
      </c>
      <c r="E259" s="0" t="str">
        <f aca="false">IF(Frota!$A9="","",Cronograma!AW9)</f>
        <v/>
      </c>
      <c r="F259" s="0" t="n">
        <f aca="false">IF(OR($E259="",$E259=0),0,1)</f>
        <v>0</v>
      </c>
      <c r="G259" s="0" t="n">
        <f aca="false">IF($F259=0,0,INDEX(Aux_HH!$D$4:$D$18,MATCH($B259&amp;"|"&amp;$E259,Aux_HH!$A$4:$A$18,0)))</f>
        <v>0</v>
      </c>
      <c r="H259" s="0" t="n">
        <f aca="false">IF($F259=0,0,INDEX(Aux_HH!$E$4:$E$18,MATCH($B259&amp;"|"&amp;$E259,Aux_HH!$A$4:$A$18,0)))</f>
        <v>0</v>
      </c>
      <c r="I259" s="0" t="n">
        <f aca="false">IF($F259=0,0,INDEX(Aux_HH!$F$4:$F$18,MATCH($B259&amp;"|"&amp;$E259,Aux_HH!$A$4:$A$18,0)))</f>
        <v>0</v>
      </c>
      <c r="J259" s="0" t="n">
        <f aca="false">IF($F259=0,0,INDEX(Aux_HH!$G$4:$G$18,MATCH($B259&amp;"|"&amp;$E259,Aux_HH!$A$4:$A$18,0)))</f>
        <v>0</v>
      </c>
      <c r="K259" s="0" t="n">
        <f aca="false">IF($F259=0,0,INDEX(Aux_HH!$H$4:$H$18,MATCH($B259&amp;"|"&amp;$E259,Aux_HH!$A$4:$A$18,0)))</f>
        <v>0</v>
      </c>
      <c r="L259" s="0" t="n">
        <f aca="false">IF($F259=0,0,INDEX(Aux_HH!$I$4:$I$18,MATCH($B259&amp;"|"&amp;$E259,Aux_HH!$A$4:$A$18,0)))</f>
        <v>0</v>
      </c>
    </row>
    <row r="260" customFormat="false" ht="15" hidden="false" customHeight="false" outlineLevel="0" collapsed="false">
      <c r="A260" s="0" t="str">
        <f aca="false">IF(Frota!$A9="","",Frota!$A9)</f>
        <v>Trator NH T7.315 — 401</v>
      </c>
      <c r="B260" s="0" t="str">
        <f aca="false">IF(Frota!$A9="","",Frota!$B9)</f>
        <v>Trator</v>
      </c>
      <c r="C260" s="0" t="n">
        <v>49</v>
      </c>
      <c r="D260" s="0" t="n">
        <f aca="false">INDEX(Semanas!$E$3:$E$54,49)</f>
        <v>3</v>
      </c>
      <c r="E260" s="0" t="str">
        <f aca="false">IF(Frota!$A9="","",Cronograma!AX9)</f>
        <v/>
      </c>
      <c r="F260" s="0" t="n">
        <f aca="false">IF(OR($E260="",$E260=0),0,1)</f>
        <v>0</v>
      </c>
      <c r="G260" s="0" t="n">
        <f aca="false">IF($F260=0,0,INDEX(Aux_HH!$D$4:$D$18,MATCH($B260&amp;"|"&amp;$E260,Aux_HH!$A$4:$A$18,0)))</f>
        <v>0</v>
      </c>
      <c r="H260" s="0" t="n">
        <f aca="false">IF($F260=0,0,INDEX(Aux_HH!$E$4:$E$18,MATCH($B260&amp;"|"&amp;$E260,Aux_HH!$A$4:$A$18,0)))</f>
        <v>0</v>
      </c>
      <c r="I260" s="0" t="n">
        <f aca="false">IF($F260=0,0,INDEX(Aux_HH!$F$4:$F$18,MATCH($B260&amp;"|"&amp;$E260,Aux_HH!$A$4:$A$18,0)))</f>
        <v>0</v>
      </c>
      <c r="J260" s="0" t="n">
        <f aca="false">IF($F260=0,0,INDEX(Aux_HH!$G$4:$G$18,MATCH($B260&amp;"|"&amp;$E260,Aux_HH!$A$4:$A$18,0)))</f>
        <v>0</v>
      </c>
      <c r="K260" s="0" t="n">
        <f aca="false">IF($F260=0,0,INDEX(Aux_HH!$H$4:$H$18,MATCH($B260&amp;"|"&amp;$E260,Aux_HH!$A$4:$A$18,0)))</f>
        <v>0</v>
      </c>
      <c r="L260" s="0" t="n">
        <f aca="false">IF($F260=0,0,INDEX(Aux_HH!$I$4:$I$18,MATCH($B260&amp;"|"&amp;$E260,Aux_HH!$A$4:$A$18,0)))</f>
        <v>0</v>
      </c>
    </row>
    <row r="261" customFormat="false" ht="15" hidden="false" customHeight="false" outlineLevel="0" collapsed="false">
      <c r="A261" s="0" t="str">
        <f aca="false">IF(Frota!$A9="","",Frota!$A9)</f>
        <v>Trator NH T7.315 — 401</v>
      </c>
      <c r="B261" s="0" t="str">
        <f aca="false">IF(Frota!$A9="","",Frota!$B9)</f>
        <v>Trator</v>
      </c>
      <c r="C261" s="0" t="n">
        <v>50</v>
      </c>
      <c r="D261" s="0" t="n">
        <f aca="false">INDEX(Semanas!$E$3:$E$54,50)</f>
        <v>3</v>
      </c>
      <c r="E261" s="0" t="str">
        <f aca="false">IF(Frota!$A9="","",Cronograma!AY9)</f>
        <v/>
      </c>
      <c r="F261" s="0" t="n">
        <f aca="false">IF(OR($E261="",$E261=0),0,1)</f>
        <v>0</v>
      </c>
      <c r="G261" s="0" t="n">
        <f aca="false">IF($F261=0,0,INDEX(Aux_HH!$D$4:$D$18,MATCH($B261&amp;"|"&amp;$E261,Aux_HH!$A$4:$A$18,0)))</f>
        <v>0</v>
      </c>
      <c r="H261" s="0" t="n">
        <f aca="false">IF($F261=0,0,INDEX(Aux_HH!$E$4:$E$18,MATCH($B261&amp;"|"&amp;$E261,Aux_HH!$A$4:$A$18,0)))</f>
        <v>0</v>
      </c>
      <c r="I261" s="0" t="n">
        <f aca="false">IF($F261=0,0,INDEX(Aux_HH!$F$4:$F$18,MATCH($B261&amp;"|"&amp;$E261,Aux_HH!$A$4:$A$18,0)))</f>
        <v>0</v>
      </c>
      <c r="J261" s="0" t="n">
        <f aca="false">IF($F261=0,0,INDEX(Aux_HH!$G$4:$G$18,MATCH($B261&amp;"|"&amp;$E261,Aux_HH!$A$4:$A$18,0)))</f>
        <v>0</v>
      </c>
      <c r="K261" s="0" t="n">
        <f aca="false">IF($F261=0,0,INDEX(Aux_HH!$H$4:$H$18,MATCH($B261&amp;"|"&amp;$E261,Aux_HH!$A$4:$A$18,0)))</f>
        <v>0</v>
      </c>
      <c r="L261" s="0" t="n">
        <f aca="false">IF($F261=0,0,INDEX(Aux_HH!$I$4:$I$18,MATCH($B261&amp;"|"&amp;$E261,Aux_HH!$A$4:$A$18,0)))</f>
        <v>0</v>
      </c>
    </row>
    <row r="262" customFormat="false" ht="15" hidden="false" customHeight="false" outlineLevel="0" collapsed="false">
      <c r="A262" s="0" t="str">
        <f aca="false">IF(Frota!$A9="","",Frota!$A9)</f>
        <v>Trator NH T7.315 — 401</v>
      </c>
      <c r="B262" s="0" t="str">
        <f aca="false">IF(Frota!$A9="","",Frota!$B9)</f>
        <v>Trator</v>
      </c>
      <c r="C262" s="0" t="n">
        <v>51</v>
      </c>
      <c r="D262" s="0" t="n">
        <f aca="false">INDEX(Semanas!$E$3:$E$54,51)</f>
        <v>3</v>
      </c>
      <c r="E262" s="0" t="str">
        <f aca="false">IF(Frota!$A9="","",Cronograma!AZ9)</f>
        <v/>
      </c>
      <c r="F262" s="0" t="n">
        <f aca="false">IF(OR($E262="",$E262=0),0,1)</f>
        <v>0</v>
      </c>
      <c r="G262" s="0" t="n">
        <f aca="false">IF($F262=0,0,INDEX(Aux_HH!$D$4:$D$18,MATCH($B262&amp;"|"&amp;$E262,Aux_HH!$A$4:$A$18,0)))</f>
        <v>0</v>
      </c>
      <c r="H262" s="0" t="n">
        <f aca="false">IF($F262=0,0,INDEX(Aux_HH!$E$4:$E$18,MATCH($B262&amp;"|"&amp;$E262,Aux_HH!$A$4:$A$18,0)))</f>
        <v>0</v>
      </c>
      <c r="I262" s="0" t="n">
        <f aca="false">IF($F262=0,0,INDEX(Aux_HH!$F$4:$F$18,MATCH($B262&amp;"|"&amp;$E262,Aux_HH!$A$4:$A$18,0)))</f>
        <v>0</v>
      </c>
      <c r="J262" s="0" t="n">
        <f aca="false">IF($F262=0,0,INDEX(Aux_HH!$G$4:$G$18,MATCH($B262&amp;"|"&amp;$E262,Aux_HH!$A$4:$A$18,0)))</f>
        <v>0</v>
      </c>
      <c r="K262" s="0" t="n">
        <f aca="false">IF($F262=0,0,INDEX(Aux_HH!$H$4:$H$18,MATCH($B262&amp;"|"&amp;$E262,Aux_HH!$A$4:$A$18,0)))</f>
        <v>0</v>
      </c>
      <c r="L262" s="0" t="n">
        <f aca="false">IF($F262=0,0,INDEX(Aux_HH!$I$4:$I$18,MATCH($B262&amp;"|"&amp;$E262,Aux_HH!$A$4:$A$18,0)))</f>
        <v>0</v>
      </c>
    </row>
    <row r="263" customFormat="false" ht="15" hidden="false" customHeight="false" outlineLevel="0" collapsed="false">
      <c r="A263" s="0" t="str">
        <f aca="false">IF(Frota!$A9="","",Frota!$A9)</f>
        <v>Trator NH T7.315 — 401</v>
      </c>
      <c r="B263" s="0" t="str">
        <f aca="false">IF(Frota!$A9="","",Frota!$B9)</f>
        <v>Trator</v>
      </c>
      <c r="C263" s="0" t="n">
        <v>52</v>
      </c>
      <c r="D263" s="0" t="n">
        <f aca="false">INDEX(Semanas!$E$3:$E$54,52)</f>
        <v>3</v>
      </c>
      <c r="E263" s="0" t="str">
        <f aca="false">IF(Frota!$A9="","",Cronograma!BA9)</f>
        <v/>
      </c>
      <c r="F263" s="0" t="n">
        <f aca="false">IF(OR($E263="",$E263=0),0,1)</f>
        <v>0</v>
      </c>
      <c r="G263" s="0" t="n">
        <f aca="false">IF($F263=0,0,INDEX(Aux_HH!$D$4:$D$18,MATCH($B263&amp;"|"&amp;$E263,Aux_HH!$A$4:$A$18,0)))</f>
        <v>0</v>
      </c>
      <c r="H263" s="0" t="n">
        <f aca="false">IF($F263=0,0,INDEX(Aux_HH!$E$4:$E$18,MATCH($B263&amp;"|"&amp;$E263,Aux_HH!$A$4:$A$18,0)))</f>
        <v>0</v>
      </c>
      <c r="I263" s="0" t="n">
        <f aca="false">IF($F263=0,0,INDEX(Aux_HH!$F$4:$F$18,MATCH($B263&amp;"|"&amp;$E263,Aux_HH!$A$4:$A$18,0)))</f>
        <v>0</v>
      </c>
      <c r="J263" s="0" t="n">
        <f aca="false">IF($F263=0,0,INDEX(Aux_HH!$G$4:$G$18,MATCH($B263&amp;"|"&amp;$E263,Aux_HH!$A$4:$A$18,0)))</f>
        <v>0</v>
      </c>
      <c r="K263" s="0" t="n">
        <f aca="false">IF($F263=0,0,INDEX(Aux_HH!$H$4:$H$18,MATCH($B263&amp;"|"&amp;$E263,Aux_HH!$A$4:$A$18,0)))</f>
        <v>0</v>
      </c>
      <c r="L263" s="0" t="n">
        <f aca="false">IF($F263=0,0,INDEX(Aux_HH!$I$4:$I$18,MATCH($B263&amp;"|"&amp;$E263,Aux_HH!$A$4:$A$18,0)))</f>
        <v>0</v>
      </c>
    </row>
    <row r="264" customFormat="false" ht="15" hidden="false" customHeight="false" outlineLevel="0" collapsed="false">
      <c r="A264" s="0" t="str">
        <f aca="false">IF(Frota!$A10="","",Frota!$A10)</f>
        <v>Trator NH T7.315 — 402</v>
      </c>
      <c r="B264" s="0" t="str">
        <f aca="false">IF(Frota!$A10="","",Frota!$B10)</f>
        <v>Trator</v>
      </c>
      <c r="C264" s="0" t="n">
        <v>1</v>
      </c>
      <c r="D264" s="0" t="n">
        <f aca="false">INDEX(Semanas!$E$3:$E$54,1)</f>
        <v>4</v>
      </c>
      <c r="E264" s="0" t="str">
        <f aca="false">IF(Frota!$A10="","",Cronograma!B10)</f>
        <v/>
      </c>
      <c r="F264" s="0" t="n">
        <f aca="false">IF(OR($E264="",$E264=0),0,1)</f>
        <v>0</v>
      </c>
      <c r="G264" s="0" t="n">
        <f aca="false">IF($F264=0,0,INDEX(Aux_HH!$D$4:$D$18,MATCH($B264&amp;"|"&amp;$E264,Aux_HH!$A$4:$A$18,0)))</f>
        <v>0</v>
      </c>
      <c r="H264" s="0" t="n">
        <f aca="false">IF($F264=0,0,INDEX(Aux_HH!$E$4:$E$18,MATCH($B264&amp;"|"&amp;$E264,Aux_HH!$A$4:$A$18,0)))</f>
        <v>0</v>
      </c>
      <c r="I264" s="0" t="n">
        <f aca="false">IF($F264=0,0,INDEX(Aux_HH!$F$4:$F$18,MATCH($B264&amp;"|"&amp;$E264,Aux_HH!$A$4:$A$18,0)))</f>
        <v>0</v>
      </c>
      <c r="J264" s="0" t="n">
        <f aca="false">IF($F264=0,0,INDEX(Aux_HH!$G$4:$G$18,MATCH($B264&amp;"|"&amp;$E264,Aux_HH!$A$4:$A$18,0)))</f>
        <v>0</v>
      </c>
      <c r="K264" s="0" t="n">
        <f aca="false">IF($F264=0,0,INDEX(Aux_HH!$H$4:$H$18,MATCH($B264&amp;"|"&amp;$E264,Aux_HH!$A$4:$A$18,0)))</f>
        <v>0</v>
      </c>
      <c r="L264" s="0" t="n">
        <f aca="false">IF($F264=0,0,INDEX(Aux_HH!$I$4:$I$18,MATCH($B264&amp;"|"&amp;$E264,Aux_HH!$A$4:$A$18,0)))</f>
        <v>0</v>
      </c>
    </row>
    <row r="265" customFormat="false" ht="15" hidden="false" customHeight="false" outlineLevel="0" collapsed="false">
      <c r="A265" s="0" t="str">
        <f aca="false">IF(Frota!$A10="","",Frota!$A10)</f>
        <v>Trator NH T7.315 — 402</v>
      </c>
      <c r="B265" s="0" t="str">
        <f aca="false">IF(Frota!$A10="","",Frota!$B10)</f>
        <v>Trator</v>
      </c>
      <c r="C265" s="0" t="n">
        <v>2</v>
      </c>
      <c r="D265" s="0" t="n">
        <f aca="false">INDEX(Semanas!$E$3:$E$54,2)</f>
        <v>4</v>
      </c>
      <c r="E265" s="0" t="str">
        <f aca="false">IF(Frota!$A10="","",Cronograma!C10)</f>
        <v/>
      </c>
      <c r="F265" s="0" t="n">
        <f aca="false">IF(OR($E265="",$E265=0),0,1)</f>
        <v>0</v>
      </c>
      <c r="G265" s="0" t="n">
        <f aca="false">IF($F265=0,0,INDEX(Aux_HH!$D$4:$D$18,MATCH($B265&amp;"|"&amp;$E265,Aux_HH!$A$4:$A$18,0)))</f>
        <v>0</v>
      </c>
      <c r="H265" s="0" t="n">
        <f aca="false">IF($F265=0,0,INDEX(Aux_HH!$E$4:$E$18,MATCH($B265&amp;"|"&amp;$E265,Aux_HH!$A$4:$A$18,0)))</f>
        <v>0</v>
      </c>
      <c r="I265" s="0" t="n">
        <f aca="false">IF($F265=0,0,INDEX(Aux_HH!$F$4:$F$18,MATCH($B265&amp;"|"&amp;$E265,Aux_HH!$A$4:$A$18,0)))</f>
        <v>0</v>
      </c>
      <c r="J265" s="0" t="n">
        <f aca="false">IF($F265=0,0,INDEX(Aux_HH!$G$4:$G$18,MATCH($B265&amp;"|"&amp;$E265,Aux_HH!$A$4:$A$18,0)))</f>
        <v>0</v>
      </c>
      <c r="K265" s="0" t="n">
        <f aca="false">IF($F265=0,0,INDEX(Aux_HH!$H$4:$H$18,MATCH($B265&amp;"|"&amp;$E265,Aux_HH!$A$4:$A$18,0)))</f>
        <v>0</v>
      </c>
      <c r="L265" s="0" t="n">
        <f aca="false">IF($F265=0,0,INDEX(Aux_HH!$I$4:$I$18,MATCH($B265&amp;"|"&amp;$E265,Aux_HH!$A$4:$A$18,0)))</f>
        <v>0</v>
      </c>
    </row>
    <row r="266" customFormat="false" ht="15" hidden="false" customHeight="false" outlineLevel="0" collapsed="false">
      <c r="A266" s="0" t="str">
        <f aca="false">IF(Frota!$A10="","",Frota!$A10)</f>
        <v>Trator NH T7.315 — 402</v>
      </c>
      <c r="B266" s="0" t="str">
        <f aca="false">IF(Frota!$A10="","",Frota!$B10)</f>
        <v>Trator</v>
      </c>
      <c r="C266" s="0" t="n">
        <v>3</v>
      </c>
      <c r="D266" s="0" t="n">
        <f aca="false">INDEX(Semanas!$E$3:$E$54,3)</f>
        <v>4</v>
      </c>
      <c r="E266" s="0" t="str">
        <f aca="false">IF(Frota!$A10="","",Cronograma!D10)</f>
        <v/>
      </c>
      <c r="F266" s="0" t="n">
        <f aca="false">IF(OR($E266="",$E266=0),0,1)</f>
        <v>0</v>
      </c>
      <c r="G266" s="0" t="n">
        <f aca="false">IF($F266=0,0,INDEX(Aux_HH!$D$4:$D$18,MATCH($B266&amp;"|"&amp;$E266,Aux_HH!$A$4:$A$18,0)))</f>
        <v>0</v>
      </c>
      <c r="H266" s="0" t="n">
        <f aca="false">IF($F266=0,0,INDEX(Aux_HH!$E$4:$E$18,MATCH($B266&amp;"|"&amp;$E266,Aux_HH!$A$4:$A$18,0)))</f>
        <v>0</v>
      </c>
      <c r="I266" s="0" t="n">
        <f aca="false">IF($F266=0,0,INDEX(Aux_HH!$F$4:$F$18,MATCH($B266&amp;"|"&amp;$E266,Aux_HH!$A$4:$A$18,0)))</f>
        <v>0</v>
      </c>
      <c r="J266" s="0" t="n">
        <f aca="false">IF($F266=0,0,INDEX(Aux_HH!$G$4:$G$18,MATCH($B266&amp;"|"&amp;$E266,Aux_HH!$A$4:$A$18,0)))</f>
        <v>0</v>
      </c>
      <c r="K266" s="0" t="n">
        <f aca="false">IF($F266=0,0,INDEX(Aux_HH!$H$4:$H$18,MATCH($B266&amp;"|"&amp;$E266,Aux_HH!$A$4:$A$18,0)))</f>
        <v>0</v>
      </c>
      <c r="L266" s="0" t="n">
        <f aca="false">IF($F266=0,0,INDEX(Aux_HH!$I$4:$I$18,MATCH($B266&amp;"|"&amp;$E266,Aux_HH!$A$4:$A$18,0)))</f>
        <v>0</v>
      </c>
    </row>
    <row r="267" customFormat="false" ht="15" hidden="false" customHeight="false" outlineLevel="0" collapsed="false">
      <c r="A267" s="0" t="str">
        <f aca="false">IF(Frota!$A10="","",Frota!$A10)</f>
        <v>Trator NH T7.315 — 402</v>
      </c>
      <c r="B267" s="0" t="str">
        <f aca="false">IF(Frota!$A10="","",Frota!$B10)</f>
        <v>Trator</v>
      </c>
      <c r="C267" s="0" t="n">
        <v>4</v>
      </c>
      <c r="D267" s="0" t="n">
        <f aca="false">INDEX(Semanas!$E$3:$E$54,4)</f>
        <v>4</v>
      </c>
      <c r="E267" s="0" t="str">
        <f aca="false">IF(Frota!$A10="","",Cronograma!E10)</f>
        <v>S</v>
      </c>
      <c r="F267" s="0" t="n">
        <f aca="false">IF(OR($E267="",$E267=0),0,1)</f>
        <v>1</v>
      </c>
      <c r="G267" s="0" t="n">
        <f aca="false">IF($F267=0,0,INDEX(Aux_HH!$D$4:$D$18,MATCH($B267&amp;"|"&amp;$E267,Aux_HH!$A$4:$A$18,0)))</f>
        <v>1.5</v>
      </c>
      <c r="H267" s="0" t="n">
        <f aca="false">IF($F267=0,0,INDEX(Aux_HH!$E$4:$E$18,MATCH($B267&amp;"|"&amp;$E267,Aux_HH!$A$4:$A$18,0)))</f>
        <v>0</v>
      </c>
      <c r="I267" s="0" t="n">
        <f aca="false">IF($F267=0,0,INDEX(Aux_HH!$F$4:$F$18,MATCH($B267&amp;"|"&amp;$E267,Aux_HH!$A$4:$A$18,0)))</f>
        <v>0</v>
      </c>
      <c r="J267" s="0" t="n">
        <f aca="false">IF($F267=0,0,INDEX(Aux_HH!$G$4:$G$18,MATCH($B267&amp;"|"&amp;$E267,Aux_HH!$A$4:$A$18,0)))</f>
        <v>0.5</v>
      </c>
      <c r="K267" s="0" t="n">
        <f aca="false">IF($F267=0,0,INDEX(Aux_HH!$H$4:$H$18,MATCH($B267&amp;"|"&amp;$E267,Aux_HH!$A$4:$A$18,0)))</f>
        <v>0</v>
      </c>
      <c r="L267" s="0" t="n">
        <f aca="false">IF($F267=0,0,INDEX(Aux_HH!$I$4:$I$18,MATCH($B267&amp;"|"&amp;$E267,Aux_HH!$A$4:$A$18,0)))</f>
        <v>0</v>
      </c>
    </row>
    <row r="268" customFormat="false" ht="15" hidden="false" customHeight="false" outlineLevel="0" collapsed="false">
      <c r="A268" s="0" t="str">
        <f aca="false">IF(Frota!$A10="","",Frota!$A10)</f>
        <v>Trator NH T7.315 — 402</v>
      </c>
      <c r="B268" s="0" t="str">
        <f aca="false">IF(Frota!$A10="","",Frota!$B10)</f>
        <v>Trator</v>
      </c>
      <c r="C268" s="0" t="n">
        <v>5</v>
      </c>
      <c r="D268" s="0" t="n">
        <f aca="false">INDEX(Semanas!$E$3:$E$54,5)</f>
        <v>4</v>
      </c>
      <c r="E268" s="0" t="str">
        <f aca="false">IF(Frota!$A10="","",Cronograma!F10)</f>
        <v/>
      </c>
      <c r="F268" s="0" t="n">
        <f aca="false">IF(OR($E268="",$E268=0),0,1)</f>
        <v>0</v>
      </c>
      <c r="G268" s="0" t="n">
        <f aca="false">IF($F268=0,0,INDEX(Aux_HH!$D$4:$D$18,MATCH($B268&amp;"|"&amp;$E268,Aux_HH!$A$4:$A$18,0)))</f>
        <v>0</v>
      </c>
      <c r="H268" s="0" t="n">
        <f aca="false">IF($F268=0,0,INDEX(Aux_HH!$E$4:$E$18,MATCH($B268&amp;"|"&amp;$E268,Aux_HH!$A$4:$A$18,0)))</f>
        <v>0</v>
      </c>
      <c r="I268" s="0" t="n">
        <f aca="false">IF($F268=0,0,INDEX(Aux_HH!$F$4:$F$18,MATCH($B268&amp;"|"&amp;$E268,Aux_HH!$A$4:$A$18,0)))</f>
        <v>0</v>
      </c>
      <c r="J268" s="0" t="n">
        <f aca="false">IF($F268=0,0,INDEX(Aux_HH!$G$4:$G$18,MATCH($B268&amp;"|"&amp;$E268,Aux_HH!$A$4:$A$18,0)))</f>
        <v>0</v>
      </c>
      <c r="K268" s="0" t="n">
        <f aca="false">IF($F268=0,0,INDEX(Aux_HH!$H$4:$H$18,MATCH($B268&amp;"|"&amp;$E268,Aux_HH!$A$4:$A$18,0)))</f>
        <v>0</v>
      </c>
      <c r="L268" s="0" t="n">
        <f aca="false">IF($F268=0,0,INDEX(Aux_HH!$I$4:$I$18,MATCH($B268&amp;"|"&amp;$E268,Aux_HH!$A$4:$A$18,0)))</f>
        <v>0</v>
      </c>
    </row>
    <row r="269" customFormat="false" ht="15" hidden="false" customHeight="false" outlineLevel="0" collapsed="false">
      <c r="A269" s="0" t="str">
        <f aca="false">IF(Frota!$A10="","",Frota!$A10)</f>
        <v>Trator NH T7.315 — 402</v>
      </c>
      <c r="B269" s="0" t="str">
        <f aca="false">IF(Frota!$A10="","",Frota!$B10)</f>
        <v>Trator</v>
      </c>
      <c r="C269" s="0" t="n">
        <v>6</v>
      </c>
      <c r="D269" s="0" t="n">
        <f aca="false">INDEX(Semanas!$E$3:$E$54,6)</f>
        <v>5</v>
      </c>
      <c r="E269" s="0" t="str">
        <f aca="false">IF(Frota!$A10="","",Cronograma!G10)</f>
        <v/>
      </c>
      <c r="F269" s="0" t="n">
        <f aca="false">IF(OR($E269="",$E269=0),0,1)</f>
        <v>0</v>
      </c>
      <c r="G269" s="0" t="n">
        <f aca="false">IF($F269=0,0,INDEX(Aux_HH!$D$4:$D$18,MATCH($B269&amp;"|"&amp;$E269,Aux_HH!$A$4:$A$18,0)))</f>
        <v>0</v>
      </c>
      <c r="H269" s="0" t="n">
        <f aca="false">IF($F269=0,0,INDEX(Aux_HH!$E$4:$E$18,MATCH($B269&amp;"|"&amp;$E269,Aux_HH!$A$4:$A$18,0)))</f>
        <v>0</v>
      </c>
      <c r="I269" s="0" t="n">
        <f aca="false">IF($F269=0,0,INDEX(Aux_HH!$F$4:$F$18,MATCH($B269&amp;"|"&amp;$E269,Aux_HH!$A$4:$A$18,0)))</f>
        <v>0</v>
      </c>
      <c r="J269" s="0" t="n">
        <f aca="false">IF($F269=0,0,INDEX(Aux_HH!$G$4:$G$18,MATCH($B269&amp;"|"&amp;$E269,Aux_HH!$A$4:$A$18,0)))</f>
        <v>0</v>
      </c>
      <c r="K269" s="0" t="n">
        <f aca="false">IF($F269=0,0,INDEX(Aux_HH!$H$4:$H$18,MATCH($B269&amp;"|"&amp;$E269,Aux_HH!$A$4:$A$18,0)))</f>
        <v>0</v>
      </c>
      <c r="L269" s="0" t="n">
        <f aca="false">IF($F269=0,0,INDEX(Aux_HH!$I$4:$I$18,MATCH($B269&amp;"|"&amp;$E269,Aux_HH!$A$4:$A$18,0)))</f>
        <v>0</v>
      </c>
    </row>
    <row r="270" customFormat="false" ht="15" hidden="false" customHeight="false" outlineLevel="0" collapsed="false">
      <c r="A270" s="0" t="str">
        <f aca="false">IF(Frota!$A10="","",Frota!$A10)</f>
        <v>Trator NH T7.315 — 402</v>
      </c>
      <c r="B270" s="0" t="str">
        <f aca="false">IF(Frota!$A10="","",Frota!$B10)</f>
        <v>Trator</v>
      </c>
      <c r="C270" s="0" t="n">
        <v>7</v>
      </c>
      <c r="D270" s="0" t="n">
        <f aca="false">INDEX(Semanas!$E$3:$E$54,7)</f>
        <v>5</v>
      </c>
      <c r="E270" s="0" t="str">
        <f aca="false">IF(Frota!$A10="","",Cronograma!H10)</f>
        <v/>
      </c>
      <c r="F270" s="0" t="n">
        <f aca="false">IF(OR($E270="",$E270=0),0,1)</f>
        <v>0</v>
      </c>
      <c r="G270" s="0" t="n">
        <f aca="false">IF($F270=0,0,INDEX(Aux_HH!$D$4:$D$18,MATCH($B270&amp;"|"&amp;$E270,Aux_HH!$A$4:$A$18,0)))</f>
        <v>0</v>
      </c>
      <c r="H270" s="0" t="n">
        <f aca="false">IF($F270=0,0,INDEX(Aux_HH!$E$4:$E$18,MATCH($B270&amp;"|"&amp;$E270,Aux_HH!$A$4:$A$18,0)))</f>
        <v>0</v>
      </c>
      <c r="I270" s="0" t="n">
        <f aca="false">IF($F270=0,0,INDEX(Aux_HH!$F$4:$F$18,MATCH($B270&amp;"|"&amp;$E270,Aux_HH!$A$4:$A$18,0)))</f>
        <v>0</v>
      </c>
      <c r="J270" s="0" t="n">
        <f aca="false">IF($F270=0,0,INDEX(Aux_HH!$G$4:$G$18,MATCH($B270&amp;"|"&amp;$E270,Aux_HH!$A$4:$A$18,0)))</f>
        <v>0</v>
      </c>
      <c r="K270" s="0" t="n">
        <f aca="false">IF($F270=0,0,INDEX(Aux_HH!$H$4:$H$18,MATCH($B270&amp;"|"&amp;$E270,Aux_HH!$A$4:$A$18,0)))</f>
        <v>0</v>
      </c>
      <c r="L270" s="0" t="n">
        <f aca="false">IF($F270=0,0,INDEX(Aux_HH!$I$4:$I$18,MATCH($B270&amp;"|"&amp;$E270,Aux_HH!$A$4:$A$18,0)))</f>
        <v>0</v>
      </c>
    </row>
    <row r="271" customFormat="false" ht="15" hidden="false" customHeight="false" outlineLevel="0" collapsed="false">
      <c r="A271" s="0" t="str">
        <f aca="false">IF(Frota!$A10="","",Frota!$A10)</f>
        <v>Trator NH T7.315 — 402</v>
      </c>
      <c r="B271" s="0" t="str">
        <f aca="false">IF(Frota!$A10="","",Frota!$B10)</f>
        <v>Trator</v>
      </c>
      <c r="C271" s="0" t="n">
        <v>8</v>
      </c>
      <c r="D271" s="0" t="n">
        <f aca="false">INDEX(Semanas!$E$3:$E$54,8)</f>
        <v>5</v>
      </c>
      <c r="E271" s="0" t="str">
        <f aca="false">IF(Frota!$A10="","",Cronograma!I10)</f>
        <v/>
      </c>
      <c r="F271" s="0" t="n">
        <f aca="false">IF(OR($E271="",$E271=0),0,1)</f>
        <v>0</v>
      </c>
      <c r="G271" s="0" t="n">
        <f aca="false">IF($F271=0,0,INDEX(Aux_HH!$D$4:$D$18,MATCH($B271&amp;"|"&amp;$E271,Aux_HH!$A$4:$A$18,0)))</f>
        <v>0</v>
      </c>
      <c r="H271" s="0" t="n">
        <f aca="false">IF($F271=0,0,INDEX(Aux_HH!$E$4:$E$18,MATCH($B271&amp;"|"&amp;$E271,Aux_HH!$A$4:$A$18,0)))</f>
        <v>0</v>
      </c>
      <c r="I271" s="0" t="n">
        <f aca="false">IF($F271=0,0,INDEX(Aux_HH!$F$4:$F$18,MATCH($B271&amp;"|"&amp;$E271,Aux_HH!$A$4:$A$18,0)))</f>
        <v>0</v>
      </c>
      <c r="J271" s="0" t="n">
        <f aca="false">IF($F271=0,0,INDEX(Aux_HH!$G$4:$G$18,MATCH($B271&amp;"|"&amp;$E271,Aux_HH!$A$4:$A$18,0)))</f>
        <v>0</v>
      </c>
      <c r="K271" s="0" t="n">
        <f aca="false">IF($F271=0,0,INDEX(Aux_HH!$H$4:$H$18,MATCH($B271&amp;"|"&amp;$E271,Aux_HH!$A$4:$A$18,0)))</f>
        <v>0</v>
      </c>
      <c r="L271" s="0" t="n">
        <f aca="false">IF($F271=0,0,INDEX(Aux_HH!$I$4:$I$18,MATCH($B271&amp;"|"&amp;$E271,Aux_HH!$A$4:$A$18,0)))</f>
        <v>0</v>
      </c>
    </row>
    <row r="272" customFormat="false" ht="15" hidden="false" customHeight="false" outlineLevel="0" collapsed="false">
      <c r="A272" s="0" t="str">
        <f aca="false">IF(Frota!$A10="","",Frota!$A10)</f>
        <v>Trator NH T7.315 — 402</v>
      </c>
      <c r="B272" s="0" t="str">
        <f aca="false">IF(Frota!$A10="","",Frota!$B10)</f>
        <v>Trator</v>
      </c>
      <c r="C272" s="0" t="n">
        <v>9</v>
      </c>
      <c r="D272" s="0" t="n">
        <f aca="false">INDEX(Semanas!$E$3:$E$54,9)</f>
        <v>5</v>
      </c>
      <c r="E272" s="0" t="str">
        <f aca="false">IF(Frota!$A10="","",Cronograma!J10)</f>
        <v>A</v>
      </c>
      <c r="F272" s="0" t="n">
        <f aca="false">IF(OR($E272="",$E272=0),0,1)</f>
        <v>1</v>
      </c>
      <c r="G272" s="0" t="n">
        <f aca="false">IF($F272=0,0,INDEX(Aux_HH!$D$4:$D$18,MATCH($B272&amp;"|"&amp;$E272,Aux_HH!$A$4:$A$18,0)))</f>
        <v>1.5</v>
      </c>
      <c r="H272" s="0" t="n">
        <f aca="false">IF($F272=0,0,INDEX(Aux_HH!$E$4:$E$18,MATCH($B272&amp;"|"&amp;$E272,Aux_HH!$A$4:$A$18,0)))</f>
        <v>0</v>
      </c>
      <c r="I272" s="0" t="n">
        <f aca="false">IF($F272=0,0,INDEX(Aux_HH!$F$4:$F$18,MATCH($B272&amp;"|"&amp;$E272,Aux_HH!$A$4:$A$18,0)))</f>
        <v>0</v>
      </c>
      <c r="J272" s="0" t="n">
        <f aca="false">IF($F272=0,0,INDEX(Aux_HH!$G$4:$G$18,MATCH($B272&amp;"|"&amp;$E272,Aux_HH!$A$4:$A$18,0)))</f>
        <v>0.5</v>
      </c>
      <c r="K272" s="0" t="n">
        <f aca="false">IF($F272=0,0,INDEX(Aux_HH!$H$4:$H$18,MATCH($B272&amp;"|"&amp;$E272,Aux_HH!$A$4:$A$18,0)))</f>
        <v>0</v>
      </c>
      <c r="L272" s="0" t="n">
        <f aca="false">IF($F272=0,0,INDEX(Aux_HH!$I$4:$I$18,MATCH($B272&amp;"|"&amp;$E272,Aux_HH!$A$4:$A$18,0)))</f>
        <v>0</v>
      </c>
    </row>
    <row r="273" customFormat="false" ht="15" hidden="false" customHeight="false" outlineLevel="0" collapsed="false">
      <c r="A273" s="0" t="str">
        <f aca="false">IF(Frota!$A10="","",Frota!$A10)</f>
        <v>Trator NH T7.315 — 402</v>
      </c>
      <c r="B273" s="0" t="str">
        <f aca="false">IF(Frota!$A10="","",Frota!$B10)</f>
        <v>Trator</v>
      </c>
      <c r="C273" s="0" t="n">
        <v>10</v>
      </c>
      <c r="D273" s="0" t="n">
        <f aca="false">INDEX(Semanas!$E$3:$E$54,10)</f>
        <v>6</v>
      </c>
      <c r="E273" s="0" t="str">
        <f aca="false">IF(Frota!$A10="","",Cronograma!K10)</f>
        <v/>
      </c>
      <c r="F273" s="0" t="n">
        <f aca="false">IF(OR($E273="",$E273=0),0,1)</f>
        <v>0</v>
      </c>
      <c r="G273" s="0" t="n">
        <f aca="false">IF($F273=0,0,INDEX(Aux_HH!$D$4:$D$18,MATCH($B273&amp;"|"&amp;$E273,Aux_HH!$A$4:$A$18,0)))</f>
        <v>0</v>
      </c>
      <c r="H273" s="0" t="n">
        <f aca="false">IF($F273=0,0,INDEX(Aux_HH!$E$4:$E$18,MATCH($B273&amp;"|"&amp;$E273,Aux_HH!$A$4:$A$18,0)))</f>
        <v>0</v>
      </c>
      <c r="I273" s="0" t="n">
        <f aca="false">IF($F273=0,0,INDEX(Aux_HH!$F$4:$F$18,MATCH($B273&amp;"|"&amp;$E273,Aux_HH!$A$4:$A$18,0)))</f>
        <v>0</v>
      </c>
      <c r="J273" s="0" t="n">
        <f aca="false">IF($F273=0,0,INDEX(Aux_HH!$G$4:$G$18,MATCH($B273&amp;"|"&amp;$E273,Aux_HH!$A$4:$A$18,0)))</f>
        <v>0</v>
      </c>
      <c r="K273" s="0" t="n">
        <f aca="false">IF($F273=0,0,INDEX(Aux_HH!$H$4:$H$18,MATCH($B273&amp;"|"&amp;$E273,Aux_HH!$A$4:$A$18,0)))</f>
        <v>0</v>
      </c>
      <c r="L273" s="0" t="n">
        <f aca="false">IF($F273=0,0,INDEX(Aux_HH!$I$4:$I$18,MATCH($B273&amp;"|"&amp;$E273,Aux_HH!$A$4:$A$18,0)))</f>
        <v>0</v>
      </c>
    </row>
    <row r="274" customFormat="false" ht="15" hidden="false" customHeight="false" outlineLevel="0" collapsed="false">
      <c r="A274" s="0" t="str">
        <f aca="false">IF(Frota!$A10="","",Frota!$A10)</f>
        <v>Trator NH T7.315 — 402</v>
      </c>
      <c r="B274" s="0" t="str">
        <f aca="false">IF(Frota!$A10="","",Frota!$B10)</f>
        <v>Trator</v>
      </c>
      <c r="C274" s="0" t="n">
        <v>11</v>
      </c>
      <c r="D274" s="0" t="n">
        <f aca="false">INDEX(Semanas!$E$3:$E$54,11)</f>
        <v>6</v>
      </c>
      <c r="E274" s="0" t="str">
        <f aca="false">IF(Frota!$A10="","",Cronograma!L10)</f>
        <v/>
      </c>
      <c r="F274" s="0" t="n">
        <f aca="false">IF(OR($E274="",$E274=0),0,1)</f>
        <v>0</v>
      </c>
      <c r="G274" s="0" t="n">
        <f aca="false">IF($F274=0,0,INDEX(Aux_HH!$D$4:$D$18,MATCH($B274&amp;"|"&amp;$E274,Aux_HH!$A$4:$A$18,0)))</f>
        <v>0</v>
      </c>
      <c r="H274" s="0" t="n">
        <f aca="false">IF($F274=0,0,INDEX(Aux_HH!$E$4:$E$18,MATCH($B274&amp;"|"&amp;$E274,Aux_HH!$A$4:$A$18,0)))</f>
        <v>0</v>
      </c>
      <c r="I274" s="0" t="n">
        <f aca="false">IF($F274=0,0,INDEX(Aux_HH!$F$4:$F$18,MATCH($B274&amp;"|"&amp;$E274,Aux_HH!$A$4:$A$18,0)))</f>
        <v>0</v>
      </c>
      <c r="J274" s="0" t="n">
        <f aca="false">IF($F274=0,0,INDEX(Aux_HH!$G$4:$G$18,MATCH($B274&amp;"|"&amp;$E274,Aux_HH!$A$4:$A$18,0)))</f>
        <v>0</v>
      </c>
      <c r="K274" s="0" t="n">
        <f aca="false">IF($F274=0,0,INDEX(Aux_HH!$H$4:$H$18,MATCH($B274&amp;"|"&amp;$E274,Aux_HH!$A$4:$A$18,0)))</f>
        <v>0</v>
      </c>
      <c r="L274" s="0" t="n">
        <f aca="false">IF($F274=0,0,INDEX(Aux_HH!$I$4:$I$18,MATCH($B274&amp;"|"&amp;$E274,Aux_HH!$A$4:$A$18,0)))</f>
        <v>0</v>
      </c>
    </row>
    <row r="275" customFormat="false" ht="15" hidden="false" customHeight="false" outlineLevel="0" collapsed="false">
      <c r="A275" s="0" t="str">
        <f aca="false">IF(Frota!$A10="","",Frota!$A10)</f>
        <v>Trator NH T7.315 — 402</v>
      </c>
      <c r="B275" s="0" t="str">
        <f aca="false">IF(Frota!$A10="","",Frota!$B10)</f>
        <v>Trator</v>
      </c>
      <c r="C275" s="0" t="n">
        <v>12</v>
      </c>
      <c r="D275" s="0" t="n">
        <f aca="false">INDEX(Semanas!$E$3:$E$54,12)</f>
        <v>6</v>
      </c>
      <c r="E275" s="0" t="str">
        <f aca="false">IF(Frota!$A10="","",Cronograma!M10)</f>
        <v/>
      </c>
      <c r="F275" s="0" t="n">
        <f aca="false">IF(OR($E275="",$E275=0),0,1)</f>
        <v>0</v>
      </c>
      <c r="G275" s="0" t="n">
        <f aca="false">IF($F275=0,0,INDEX(Aux_HH!$D$4:$D$18,MATCH($B275&amp;"|"&amp;$E275,Aux_HH!$A$4:$A$18,0)))</f>
        <v>0</v>
      </c>
      <c r="H275" s="0" t="n">
        <f aca="false">IF($F275=0,0,INDEX(Aux_HH!$E$4:$E$18,MATCH($B275&amp;"|"&amp;$E275,Aux_HH!$A$4:$A$18,0)))</f>
        <v>0</v>
      </c>
      <c r="I275" s="0" t="n">
        <f aca="false">IF($F275=0,0,INDEX(Aux_HH!$F$4:$F$18,MATCH($B275&amp;"|"&amp;$E275,Aux_HH!$A$4:$A$18,0)))</f>
        <v>0</v>
      </c>
      <c r="J275" s="0" t="n">
        <f aca="false">IF($F275=0,0,INDEX(Aux_HH!$G$4:$G$18,MATCH($B275&amp;"|"&amp;$E275,Aux_HH!$A$4:$A$18,0)))</f>
        <v>0</v>
      </c>
      <c r="K275" s="0" t="n">
        <f aca="false">IF($F275=0,0,INDEX(Aux_HH!$H$4:$H$18,MATCH($B275&amp;"|"&amp;$E275,Aux_HH!$A$4:$A$18,0)))</f>
        <v>0</v>
      </c>
      <c r="L275" s="0" t="n">
        <f aca="false">IF($F275=0,0,INDEX(Aux_HH!$I$4:$I$18,MATCH($B275&amp;"|"&amp;$E275,Aux_HH!$A$4:$A$18,0)))</f>
        <v>0</v>
      </c>
    </row>
    <row r="276" customFormat="false" ht="15" hidden="false" customHeight="false" outlineLevel="0" collapsed="false">
      <c r="A276" s="0" t="str">
        <f aca="false">IF(Frota!$A10="","",Frota!$A10)</f>
        <v>Trator NH T7.315 — 402</v>
      </c>
      <c r="B276" s="0" t="str">
        <f aca="false">IF(Frota!$A10="","",Frota!$B10)</f>
        <v>Trator</v>
      </c>
      <c r="C276" s="0" t="n">
        <v>13</v>
      </c>
      <c r="D276" s="0" t="n">
        <f aca="false">INDEX(Semanas!$E$3:$E$54,13)</f>
        <v>6</v>
      </c>
      <c r="E276" s="0" t="str">
        <f aca="false">IF(Frota!$A10="","",Cronograma!N10)</f>
        <v/>
      </c>
      <c r="F276" s="0" t="n">
        <f aca="false">IF(OR($E276="",$E276=0),0,1)</f>
        <v>0</v>
      </c>
      <c r="G276" s="0" t="n">
        <f aca="false">IF($F276=0,0,INDEX(Aux_HH!$D$4:$D$18,MATCH($B276&amp;"|"&amp;$E276,Aux_HH!$A$4:$A$18,0)))</f>
        <v>0</v>
      </c>
      <c r="H276" s="0" t="n">
        <f aca="false">IF($F276=0,0,INDEX(Aux_HH!$E$4:$E$18,MATCH($B276&amp;"|"&amp;$E276,Aux_HH!$A$4:$A$18,0)))</f>
        <v>0</v>
      </c>
      <c r="I276" s="0" t="n">
        <f aca="false">IF($F276=0,0,INDEX(Aux_HH!$F$4:$F$18,MATCH($B276&amp;"|"&amp;$E276,Aux_HH!$A$4:$A$18,0)))</f>
        <v>0</v>
      </c>
      <c r="J276" s="0" t="n">
        <f aca="false">IF($F276=0,0,INDEX(Aux_HH!$G$4:$G$18,MATCH($B276&amp;"|"&amp;$E276,Aux_HH!$A$4:$A$18,0)))</f>
        <v>0</v>
      </c>
      <c r="K276" s="0" t="n">
        <f aca="false">IF($F276=0,0,INDEX(Aux_HH!$H$4:$H$18,MATCH($B276&amp;"|"&amp;$E276,Aux_HH!$A$4:$A$18,0)))</f>
        <v>0</v>
      </c>
      <c r="L276" s="0" t="n">
        <f aca="false">IF($F276=0,0,INDEX(Aux_HH!$I$4:$I$18,MATCH($B276&amp;"|"&amp;$E276,Aux_HH!$A$4:$A$18,0)))</f>
        <v>0</v>
      </c>
    </row>
    <row r="277" customFormat="false" ht="15" hidden="false" customHeight="false" outlineLevel="0" collapsed="false">
      <c r="A277" s="0" t="str">
        <f aca="false">IF(Frota!$A10="","",Frota!$A10)</f>
        <v>Trator NH T7.315 — 402</v>
      </c>
      <c r="B277" s="0" t="str">
        <f aca="false">IF(Frota!$A10="","",Frota!$B10)</f>
        <v>Trator</v>
      </c>
      <c r="C277" s="0" t="n">
        <v>14</v>
      </c>
      <c r="D277" s="0" t="n">
        <f aca="false">INDEX(Semanas!$E$3:$E$54,14)</f>
        <v>7</v>
      </c>
      <c r="E277" s="0" t="str">
        <f aca="false">IF(Frota!$A10="","",Cronograma!O10)</f>
        <v>S</v>
      </c>
      <c r="F277" s="0" t="n">
        <f aca="false">IF(OR($E277="",$E277=0),0,1)</f>
        <v>1</v>
      </c>
      <c r="G277" s="0" t="n">
        <f aca="false">IF($F277=0,0,INDEX(Aux_HH!$D$4:$D$18,MATCH($B277&amp;"|"&amp;$E277,Aux_HH!$A$4:$A$18,0)))</f>
        <v>1.5</v>
      </c>
      <c r="H277" s="0" t="n">
        <f aca="false">IF($F277=0,0,INDEX(Aux_HH!$E$4:$E$18,MATCH($B277&amp;"|"&amp;$E277,Aux_HH!$A$4:$A$18,0)))</f>
        <v>0</v>
      </c>
      <c r="I277" s="0" t="n">
        <f aca="false">IF($F277=0,0,INDEX(Aux_HH!$F$4:$F$18,MATCH($B277&amp;"|"&amp;$E277,Aux_HH!$A$4:$A$18,0)))</f>
        <v>0</v>
      </c>
      <c r="J277" s="0" t="n">
        <f aca="false">IF($F277=0,0,INDEX(Aux_HH!$G$4:$G$18,MATCH($B277&amp;"|"&amp;$E277,Aux_HH!$A$4:$A$18,0)))</f>
        <v>0.5</v>
      </c>
      <c r="K277" s="0" t="n">
        <f aca="false">IF($F277=0,0,INDEX(Aux_HH!$H$4:$H$18,MATCH($B277&amp;"|"&amp;$E277,Aux_HH!$A$4:$A$18,0)))</f>
        <v>0</v>
      </c>
      <c r="L277" s="0" t="n">
        <f aca="false">IF($F277=0,0,INDEX(Aux_HH!$I$4:$I$18,MATCH($B277&amp;"|"&amp;$E277,Aux_HH!$A$4:$A$18,0)))</f>
        <v>0</v>
      </c>
    </row>
    <row r="278" customFormat="false" ht="15" hidden="false" customHeight="false" outlineLevel="0" collapsed="false">
      <c r="A278" s="0" t="str">
        <f aca="false">IF(Frota!$A10="","",Frota!$A10)</f>
        <v>Trator NH T7.315 — 402</v>
      </c>
      <c r="B278" s="0" t="str">
        <f aca="false">IF(Frota!$A10="","",Frota!$B10)</f>
        <v>Trator</v>
      </c>
      <c r="C278" s="0" t="n">
        <v>15</v>
      </c>
      <c r="D278" s="0" t="n">
        <f aca="false">INDEX(Semanas!$E$3:$E$54,15)</f>
        <v>7</v>
      </c>
      <c r="E278" s="0" t="str">
        <f aca="false">IF(Frota!$A10="","",Cronograma!P10)</f>
        <v/>
      </c>
      <c r="F278" s="0" t="n">
        <f aca="false">IF(OR($E278="",$E278=0),0,1)</f>
        <v>0</v>
      </c>
      <c r="G278" s="0" t="n">
        <f aca="false">IF($F278=0,0,INDEX(Aux_HH!$D$4:$D$18,MATCH($B278&amp;"|"&amp;$E278,Aux_HH!$A$4:$A$18,0)))</f>
        <v>0</v>
      </c>
      <c r="H278" s="0" t="n">
        <f aca="false">IF($F278=0,0,INDEX(Aux_HH!$E$4:$E$18,MATCH($B278&amp;"|"&amp;$E278,Aux_HH!$A$4:$A$18,0)))</f>
        <v>0</v>
      </c>
      <c r="I278" s="0" t="n">
        <f aca="false">IF($F278=0,0,INDEX(Aux_HH!$F$4:$F$18,MATCH($B278&amp;"|"&amp;$E278,Aux_HH!$A$4:$A$18,0)))</f>
        <v>0</v>
      </c>
      <c r="J278" s="0" t="n">
        <f aca="false">IF($F278=0,0,INDEX(Aux_HH!$G$4:$G$18,MATCH($B278&amp;"|"&amp;$E278,Aux_HH!$A$4:$A$18,0)))</f>
        <v>0</v>
      </c>
      <c r="K278" s="0" t="n">
        <f aca="false">IF($F278=0,0,INDEX(Aux_HH!$H$4:$H$18,MATCH($B278&amp;"|"&amp;$E278,Aux_HH!$A$4:$A$18,0)))</f>
        <v>0</v>
      </c>
      <c r="L278" s="0" t="n">
        <f aca="false">IF($F278=0,0,INDEX(Aux_HH!$I$4:$I$18,MATCH($B278&amp;"|"&amp;$E278,Aux_HH!$A$4:$A$18,0)))</f>
        <v>0</v>
      </c>
    </row>
    <row r="279" customFormat="false" ht="15" hidden="false" customHeight="false" outlineLevel="0" collapsed="false">
      <c r="A279" s="0" t="str">
        <f aca="false">IF(Frota!$A10="","",Frota!$A10)</f>
        <v>Trator NH T7.315 — 402</v>
      </c>
      <c r="B279" s="0" t="str">
        <f aca="false">IF(Frota!$A10="","",Frota!$B10)</f>
        <v>Trator</v>
      </c>
      <c r="C279" s="0" t="n">
        <v>16</v>
      </c>
      <c r="D279" s="0" t="n">
        <f aca="false">INDEX(Semanas!$E$3:$E$54,16)</f>
        <v>7</v>
      </c>
      <c r="E279" s="0" t="str">
        <f aca="false">IF(Frota!$A10="","",Cronograma!Q10)</f>
        <v/>
      </c>
      <c r="F279" s="0" t="n">
        <f aca="false">IF(OR($E279="",$E279=0),0,1)</f>
        <v>0</v>
      </c>
      <c r="G279" s="0" t="n">
        <f aca="false">IF($F279=0,0,INDEX(Aux_HH!$D$4:$D$18,MATCH($B279&amp;"|"&amp;$E279,Aux_HH!$A$4:$A$18,0)))</f>
        <v>0</v>
      </c>
      <c r="H279" s="0" t="n">
        <f aca="false">IF($F279=0,0,INDEX(Aux_HH!$E$4:$E$18,MATCH($B279&amp;"|"&amp;$E279,Aux_HH!$A$4:$A$18,0)))</f>
        <v>0</v>
      </c>
      <c r="I279" s="0" t="n">
        <f aca="false">IF($F279=0,0,INDEX(Aux_HH!$F$4:$F$18,MATCH($B279&amp;"|"&amp;$E279,Aux_HH!$A$4:$A$18,0)))</f>
        <v>0</v>
      </c>
      <c r="J279" s="0" t="n">
        <f aca="false">IF($F279=0,0,INDEX(Aux_HH!$G$4:$G$18,MATCH($B279&amp;"|"&amp;$E279,Aux_HH!$A$4:$A$18,0)))</f>
        <v>0</v>
      </c>
      <c r="K279" s="0" t="n">
        <f aca="false">IF($F279=0,0,INDEX(Aux_HH!$H$4:$H$18,MATCH($B279&amp;"|"&amp;$E279,Aux_HH!$A$4:$A$18,0)))</f>
        <v>0</v>
      </c>
      <c r="L279" s="0" t="n">
        <f aca="false">IF($F279=0,0,INDEX(Aux_HH!$I$4:$I$18,MATCH($B279&amp;"|"&amp;$E279,Aux_HH!$A$4:$A$18,0)))</f>
        <v>0</v>
      </c>
    </row>
    <row r="280" customFormat="false" ht="15" hidden="false" customHeight="false" outlineLevel="0" collapsed="false">
      <c r="A280" s="0" t="str">
        <f aca="false">IF(Frota!$A10="","",Frota!$A10)</f>
        <v>Trator NH T7.315 — 402</v>
      </c>
      <c r="B280" s="0" t="str">
        <f aca="false">IF(Frota!$A10="","",Frota!$B10)</f>
        <v>Trator</v>
      </c>
      <c r="C280" s="0" t="n">
        <v>17</v>
      </c>
      <c r="D280" s="0" t="n">
        <f aca="false">INDEX(Semanas!$E$3:$E$54,17)</f>
        <v>7</v>
      </c>
      <c r="E280" s="0" t="str">
        <f aca="false">IF(Frota!$A10="","",Cronograma!R10)</f>
        <v/>
      </c>
      <c r="F280" s="0" t="n">
        <f aca="false">IF(OR($E280="",$E280=0),0,1)</f>
        <v>0</v>
      </c>
      <c r="G280" s="0" t="n">
        <f aca="false">IF($F280=0,0,INDEX(Aux_HH!$D$4:$D$18,MATCH($B280&amp;"|"&amp;$E280,Aux_HH!$A$4:$A$18,0)))</f>
        <v>0</v>
      </c>
      <c r="H280" s="0" t="n">
        <f aca="false">IF($F280=0,0,INDEX(Aux_HH!$E$4:$E$18,MATCH($B280&amp;"|"&amp;$E280,Aux_HH!$A$4:$A$18,0)))</f>
        <v>0</v>
      </c>
      <c r="I280" s="0" t="n">
        <f aca="false">IF($F280=0,0,INDEX(Aux_HH!$F$4:$F$18,MATCH($B280&amp;"|"&amp;$E280,Aux_HH!$A$4:$A$18,0)))</f>
        <v>0</v>
      </c>
      <c r="J280" s="0" t="n">
        <f aca="false">IF($F280=0,0,INDEX(Aux_HH!$G$4:$G$18,MATCH($B280&amp;"|"&amp;$E280,Aux_HH!$A$4:$A$18,0)))</f>
        <v>0</v>
      </c>
      <c r="K280" s="0" t="n">
        <f aca="false">IF($F280=0,0,INDEX(Aux_HH!$H$4:$H$18,MATCH($B280&amp;"|"&amp;$E280,Aux_HH!$A$4:$A$18,0)))</f>
        <v>0</v>
      </c>
      <c r="L280" s="0" t="n">
        <f aca="false">IF($F280=0,0,INDEX(Aux_HH!$I$4:$I$18,MATCH($B280&amp;"|"&amp;$E280,Aux_HH!$A$4:$A$18,0)))</f>
        <v>0</v>
      </c>
    </row>
    <row r="281" customFormat="false" ht="15" hidden="false" customHeight="false" outlineLevel="0" collapsed="false">
      <c r="A281" s="0" t="str">
        <f aca="false">IF(Frota!$A10="","",Frota!$A10)</f>
        <v>Trator NH T7.315 — 402</v>
      </c>
      <c r="B281" s="0" t="str">
        <f aca="false">IF(Frota!$A10="","",Frota!$B10)</f>
        <v>Trator</v>
      </c>
      <c r="C281" s="0" t="n">
        <v>18</v>
      </c>
      <c r="D281" s="0" t="n">
        <f aca="false">INDEX(Semanas!$E$3:$E$54,18)</f>
        <v>7</v>
      </c>
      <c r="E281" s="0" t="str">
        <f aca="false">IF(Frota!$A10="","",Cronograma!S10)</f>
        <v/>
      </c>
      <c r="F281" s="0" t="n">
        <f aca="false">IF(OR($E281="",$E281=0),0,1)</f>
        <v>0</v>
      </c>
      <c r="G281" s="0" t="n">
        <f aca="false">IF($F281=0,0,INDEX(Aux_HH!$D$4:$D$18,MATCH($B281&amp;"|"&amp;$E281,Aux_HH!$A$4:$A$18,0)))</f>
        <v>0</v>
      </c>
      <c r="H281" s="0" t="n">
        <f aca="false">IF($F281=0,0,INDEX(Aux_HH!$E$4:$E$18,MATCH($B281&amp;"|"&amp;$E281,Aux_HH!$A$4:$A$18,0)))</f>
        <v>0</v>
      </c>
      <c r="I281" s="0" t="n">
        <f aca="false">IF($F281=0,0,INDEX(Aux_HH!$F$4:$F$18,MATCH($B281&amp;"|"&amp;$E281,Aux_HH!$A$4:$A$18,0)))</f>
        <v>0</v>
      </c>
      <c r="J281" s="0" t="n">
        <f aca="false">IF($F281=0,0,INDEX(Aux_HH!$G$4:$G$18,MATCH($B281&amp;"|"&amp;$E281,Aux_HH!$A$4:$A$18,0)))</f>
        <v>0</v>
      </c>
      <c r="K281" s="0" t="n">
        <f aca="false">IF($F281=0,0,INDEX(Aux_HH!$H$4:$H$18,MATCH($B281&amp;"|"&amp;$E281,Aux_HH!$A$4:$A$18,0)))</f>
        <v>0</v>
      </c>
      <c r="L281" s="0" t="n">
        <f aca="false">IF($F281=0,0,INDEX(Aux_HH!$I$4:$I$18,MATCH($B281&amp;"|"&amp;$E281,Aux_HH!$A$4:$A$18,0)))</f>
        <v>0</v>
      </c>
    </row>
    <row r="282" customFormat="false" ht="15" hidden="false" customHeight="false" outlineLevel="0" collapsed="false">
      <c r="A282" s="0" t="str">
        <f aca="false">IF(Frota!$A10="","",Frota!$A10)</f>
        <v>Trator NH T7.315 — 402</v>
      </c>
      <c r="B282" s="0" t="str">
        <f aca="false">IF(Frota!$A10="","",Frota!$B10)</f>
        <v>Trator</v>
      </c>
      <c r="C282" s="0" t="n">
        <v>19</v>
      </c>
      <c r="D282" s="0" t="n">
        <f aca="false">INDEX(Semanas!$E$3:$E$54,19)</f>
        <v>8</v>
      </c>
      <c r="E282" s="0" t="str">
        <f aca="false">IF(Frota!$A10="","",Cronograma!T10)</f>
        <v>B</v>
      </c>
      <c r="F282" s="0" t="n">
        <f aca="false">IF(OR($E282="",$E282=0),0,1)</f>
        <v>1</v>
      </c>
      <c r="G282" s="0" t="n">
        <f aca="false">IF($F282=0,0,INDEX(Aux_HH!$D$4:$D$18,MATCH($B282&amp;"|"&amp;$E282,Aux_HH!$A$4:$A$18,0)))</f>
        <v>1.5</v>
      </c>
      <c r="H282" s="0" t="n">
        <f aca="false">IF($F282=0,0,INDEX(Aux_HH!$E$4:$E$18,MATCH($B282&amp;"|"&amp;$E282,Aux_HH!$A$4:$A$18,0)))</f>
        <v>0</v>
      </c>
      <c r="I282" s="0" t="n">
        <f aca="false">IF($F282=0,0,INDEX(Aux_HH!$F$4:$F$18,MATCH($B282&amp;"|"&amp;$E282,Aux_HH!$A$4:$A$18,0)))</f>
        <v>0</v>
      </c>
      <c r="J282" s="0" t="n">
        <f aca="false">IF($F282=0,0,INDEX(Aux_HH!$G$4:$G$18,MATCH($B282&amp;"|"&amp;$E282,Aux_HH!$A$4:$A$18,0)))</f>
        <v>0.5</v>
      </c>
      <c r="K282" s="0" t="n">
        <f aca="false">IF($F282=0,0,INDEX(Aux_HH!$H$4:$H$18,MATCH($B282&amp;"|"&amp;$E282,Aux_HH!$A$4:$A$18,0)))</f>
        <v>0</v>
      </c>
      <c r="L282" s="0" t="n">
        <f aca="false">IF($F282=0,0,INDEX(Aux_HH!$I$4:$I$18,MATCH($B282&amp;"|"&amp;$E282,Aux_HH!$A$4:$A$18,0)))</f>
        <v>0</v>
      </c>
    </row>
    <row r="283" customFormat="false" ht="15" hidden="false" customHeight="false" outlineLevel="0" collapsed="false">
      <c r="A283" s="0" t="str">
        <f aca="false">IF(Frota!$A10="","",Frota!$A10)</f>
        <v>Trator NH T7.315 — 402</v>
      </c>
      <c r="B283" s="0" t="str">
        <f aca="false">IF(Frota!$A10="","",Frota!$B10)</f>
        <v>Trator</v>
      </c>
      <c r="C283" s="0" t="n">
        <v>20</v>
      </c>
      <c r="D283" s="0" t="n">
        <f aca="false">INDEX(Semanas!$E$3:$E$54,20)</f>
        <v>8</v>
      </c>
      <c r="E283" s="0" t="str">
        <f aca="false">IF(Frota!$A10="","",Cronograma!U10)</f>
        <v/>
      </c>
      <c r="F283" s="0" t="n">
        <f aca="false">IF(OR($E283="",$E283=0),0,1)</f>
        <v>0</v>
      </c>
      <c r="G283" s="0" t="n">
        <f aca="false">IF($F283=0,0,INDEX(Aux_HH!$D$4:$D$18,MATCH($B283&amp;"|"&amp;$E283,Aux_HH!$A$4:$A$18,0)))</f>
        <v>0</v>
      </c>
      <c r="H283" s="0" t="n">
        <f aca="false">IF($F283=0,0,INDEX(Aux_HH!$E$4:$E$18,MATCH($B283&amp;"|"&amp;$E283,Aux_HH!$A$4:$A$18,0)))</f>
        <v>0</v>
      </c>
      <c r="I283" s="0" t="n">
        <f aca="false">IF($F283=0,0,INDEX(Aux_HH!$F$4:$F$18,MATCH($B283&amp;"|"&amp;$E283,Aux_HH!$A$4:$A$18,0)))</f>
        <v>0</v>
      </c>
      <c r="J283" s="0" t="n">
        <f aca="false">IF($F283=0,0,INDEX(Aux_HH!$G$4:$G$18,MATCH($B283&amp;"|"&amp;$E283,Aux_HH!$A$4:$A$18,0)))</f>
        <v>0</v>
      </c>
      <c r="K283" s="0" t="n">
        <f aca="false">IF($F283=0,0,INDEX(Aux_HH!$H$4:$H$18,MATCH($B283&amp;"|"&amp;$E283,Aux_HH!$A$4:$A$18,0)))</f>
        <v>0</v>
      </c>
      <c r="L283" s="0" t="n">
        <f aca="false">IF($F283=0,0,INDEX(Aux_HH!$I$4:$I$18,MATCH($B283&amp;"|"&amp;$E283,Aux_HH!$A$4:$A$18,0)))</f>
        <v>0</v>
      </c>
    </row>
    <row r="284" customFormat="false" ht="15" hidden="false" customHeight="false" outlineLevel="0" collapsed="false">
      <c r="A284" s="0" t="str">
        <f aca="false">IF(Frota!$A10="","",Frota!$A10)</f>
        <v>Trator NH T7.315 — 402</v>
      </c>
      <c r="B284" s="0" t="str">
        <f aca="false">IF(Frota!$A10="","",Frota!$B10)</f>
        <v>Trator</v>
      </c>
      <c r="C284" s="0" t="n">
        <v>21</v>
      </c>
      <c r="D284" s="0" t="n">
        <f aca="false">INDEX(Semanas!$E$3:$E$54,21)</f>
        <v>8</v>
      </c>
      <c r="E284" s="0" t="str">
        <f aca="false">IF(Frota!$A10="","",Cronograma!V10)</f>
        <v/>
      </c>
      <c r="F284" s="0" t="n">
        <f aca="false">IF(OR($E284="",$E284=0),0,1)</f>
        <v>0</v>
      </c>
      <c r="G284" s="0" t="n">
        <f aca="false">IF($F284=0,0,INDEX(Aux_HH!$D$4:$D$18,MATCH($B284&amp;"|"&amp;$E284,Aux_HH!$A$4:$A$18,0)))</f>
        <v>0</v>
      </c>
      <c r="H284" s="0" t="n">
        <f aca="false">IF($F284=0,0,INDEX(Aux_HH!$E$4:$E$18,MATCH($B284&amp;"|"&amp;$E284,Aux_HH!$A$4:$A$18,0)))</f>
        <v>0</v>
      </c>
      <c r="I284" s="0" t="n">
        <f aca="false">IF($F284=0,0,INDEX(Aux_HH!$F$4:$F$18,MATCH($B284&amp;"|"&amp;$E284,Aux_HH!$A$4:$A$18,0)))</f>
        <v>0</v>
      </c>
      <c r="J284" s="0" t="n">
        <f aca="false">IF($F284=0,0,INDEX(Aux_HH!$G$4:$G$18,MATCH($B284&amp;"|"&amp;$E284,Aux_HH!$A$4:$A$18,0)))</f>
        <v>0</v>
      </c>
      <c r="K284" s="0" t="n">
        <f aca="false">IF($F284=0,0,INDEX(Aux_HH!$H$4:$H$18,MATCH($B284&amp;"|"&amp;$E284,Aux_HH!$A$4:$A$18,0)))</f>
        <v>0</v>
      </c>
      <c r="L284" s="0" t="n">
        <f aca="false">IF($F284=0,0,INDEX(Aux_HH!$I$4:$I$18,MATCH($B284&amp;"|"&amp;$E284,Aux_HH!$A$4:$A$18,0)))</f>
        <v>0</v>
      </c>
    </row>
    <row r="285" customFormat="false" ht="15" hidden="false" customHeight="false" outlineLevel="0" collapsed="false">
      <c r="A285" s="0" t="str">
        <f aca="false">IF(Frota!$A10="","",Frota!$A10)</f>
        <v>Trator NH T7.315 — 402</v>
      </c>
      <c r="B285" s="0" t="str">
        <f aca="false">IF(Frota!$A10="","",Frota!$B10)</f>
        <v>Trator</v>
      </c>
      <c r="C285" s="0" t="n">
        <v>22</v>
      </c>
      <c r="D285" s="0" t="n">
        <f aca="false">INDEX(Semanas!$E$3:$E$54,22)</f>
        <v>8</v>
      </c>
      <c r="E285" s="0" t="str">
        <f aca="false">IF(Frota!$A10="","",Cronograma!W10)</f>
        <v/>
      </c>
      <c r="F285" s="0" t="n">
        <f aca="false">IF(OR($E285="",$E285=0),0,1)</f>
        <v>0</v>
      </c>
      <c r="G285" s="0" t="n">
        <f aca="false">IF($F285=0,0,INDEX(Aux_HH!$D$4:$D$18,MATCH($B285&amp;"|"&amp;$E285,Aux_HH!$A$4:$A$18,0)))</f>
        <v>0</v>
      </c>
      <c r="H285" s="0" t="n">
        <f aca="false">IF($F285=0,0,INDEX(Aux_HH!$E$4:$E$18,MATCH($B285&amp;"|"&amp;$E285,Aux_HH!$A$4:$A$18,0)))</f>
        <v>0</v>
      </c>
      <c r="I285" s="0" t="n">
        <f aca="false">IF($F285=0,0,INDEX(Aux_HH!$F$4:$F$18,MATCH($B285&amp;"|"&amp;$E285,Aux_HH!$A$4:$A$18,0)))</f>
        <v>0</v>
      </c>
      <c r="J285" s="0" t="n">
        <f aca="false">IF($F285=0,0,INDEX(Aux_HH!$G$4:$G$18,MATCH($B285&amp;"|"&amp;$E285,Aux_HH!$A$4:$A$18,0)))</f>
        <v>0</v>
      </c>
      <c r="K285" s="0" t="n">
        <f aca="false">IF($F285=0,0,INDEX(Aux_HH!$H$4:$H$18,MATCH($B285&amp;"|"&amp;$E285,Aux_HH!$A$4:$A$18,0)))</f>
        <v>0</v>
      </c>
      <c r="L285" s="0" t="n">
        <f aca="false">IF($F285=0,0,INDEX(Aux_HH!$I$4:$I$18,MATCH($B285&amp;"|"&amp;$E285,Aux_HH!$A$4:$A$18,0)))</f>
        <v>0</v>
      </c>
    </row>
    <row r="286" customFormat="false" ht="15" hidden="false" customHeight="false" outlineLevel="0" collapsed="false">
      <c r="A286" s="0" t="str">
        <f aca="false">IF(Frota!$A10="","",Frota!$A10)</f>
        <v>Trator NH T7.315 — 402</v>
      </c>
      <c r="B286" s="0" t="str">
        <f aca="false">IF(Frota!$A10="","",Frota!$B10)</f>
        <v>Trator</v>
      </c>
      <c r="C286" s="0" t="n">
        <v>23</v>
      </c>
      <c r="D286" s="0" t="n">
        <f aca="false">INDEX(Semanas!$E$3:$E$54,23)</f>
        <v>9</v>
      </c>
      <c r="E286" s="0" t="str">
        <f aca="false">IF(Frota!$A10="","",Cronograma!X10)</f>
        <v/>
      </c>
      <c r="F286" s="0" t="n">
        <f aca="false">IF(OR($E286="",$E286=0),0,1)</f>
        <v>0</v>
      </c>
      <c r="G286" s="0" t="n">
        <f aca="false">IF($F286=0,0,INDEX(Aux_HH!$D$4:$D$18,MATCH($B286&amp;"|"&amp;$E286,Aux_HH!$A$4:$A$18,0)))</f>
        <v>0</v>
      </c>
      <c r="H286" s="0" t="n">
        <f aca="false">IF($F286=0,0,INDEX(Aux_HH!$E$4:$E$18,MATCH($B286&amp;"|"&amp;$E286,Aux_HH!$A$4:$A$18,0)))</f>
        <v>0</v>
      </c>
      <c r="I286" s="0" t="n">
        <f aca="false">IF($F286=0,0,INDEX(Aux_HH!$F$4:$F$18,MATCH($B286&amp;"|"&amp;$E286,Aux_HH!$A$4:$A$18,0)))</f>
        <v>0</v>
      </c>
      <c r="J286" s="0" t="n">
        <f aca="false">IF($F286=0,0,INDEX(Aux_HH!$G$4:$G$18,MATCH($B286&amp;"|"&amp;$E286,Aux_HH!$A$4:$A$18,0)))</f>
        <v>0</v>
      </c>
      <c r="K286" s="0" t="n">
        <f aca="false">IF($F286=0,0,INDEX(Aux_HH!$H$4:$H$18,MATCH($B286&amp;"|"&amp;$E286,Aux_HH!$A$4:$A$18,0)))</f>
        <v>0</v>
      </c>
      <c r="L286" s="0" t="n">
        <f aca="false">IF($F286=0,0,INDEX(Aux_HH!$I$4:$I$18,MATCH($B286&amp;"|"&amp;$E286,Aux_HH!$A$4:$A$18,0)))</f>
        <v>0</v>
      </c>
    </row>
    <row r="287" customFormat="false" ht="15" hidden="false" customHeight="false" outlineLevel="0" collapsed="false">
      <c r="A287" s="0" t="str">
        <f aca="false">IF(Frota!$A10="","",Frota!$A10)</f>
        <v>Trator NH T7.315 — 402</v>
      </c>
      <c r="B287" s="0" t="str">
        <f aca="false">IF(Frota!$A10="","",Frota!$B10)</f>
        <v>Trator</v>
      </c>
      <c r="C287" s="0" t="n">
        <v>24</v>
      </c>
      <c r="D287" s="0" t="n">
        <f aca="false">INDEX(Semanas!$E$3:$E$54,24)</f>
        <v>9</v>
      </c>
      <c r="E287" s="0" t="str">
        <f aca="false">IF(Frota!$A10="","",Cronograma!Y10)</f>
        <v>S</v>
      </c>
      <c r="F287" s="0" t="n">
        <f aca="false">IF(OR($E287="",$E287=0),0,1)</f>
        <v>1</v>
      </c>
      <c r="G287" s="0" t="n">
        <f aca="false">IF($F287=0,0,INDEX(Aux_HH!$D$4:$D$18,MATCH($B287&amp;"|"&amp;$E287,Aux_HH!$A$4:$A$18,0)))</f>
        <v>1.5</v>
      </c>
      <c r="H287" s="0" t="n">
        <f aca="false">IF($F287=0,0,INDEX(Aux_HH!$E$4:$E$18,MATCH($B287&amp;"|"&amp;$E287,Aux_HH!$A$4:$A$18,0)))</f>
        <v>0</v>
      </c>
      <c r="I287" s="0" t="n">
        <f aca="false">IF($F287=0,0,INDEX(Aux_HH!$F$4:$F$18,MATCH($B287&amp;"|"&amp;$E287,Aux_HH!$A$4:$A$18,0)))</f>
        <v>0</v>
      </c>
      <c r="J287" s="0" t="n">
        <f aca="false">IF($F287=0,0,INDEX(Aux_HH!$G$4:$G$18,MATCH($B287&amp;"|"&amp;$E287,Aux_HH!$A$4:$A$18,0)))</f>
        <v>0.5</v>
      </c>
      <c r="K287" s="0" t="n">
        <f aca="false">IF($F287=0,0,INDEX(Aux_HH!$H$4:$H$18,MATCH($B287&amp;"|"&amp;$E287,Aux_HH!$A$4:$A$18,0)))</f>
        <v>0</v>
      </c>
      <c r="L287" s="0" t="n">
        <f aca="false">IF($F287=0,0,INDEX(Aux_HH!$I$4:$I$18,MATCH($B287&amp;"|"&amp;$E287,Aux_HH!$A$4:$A$18,0)))</f>
        <v>0</v>
      </c>
    </row>
    <row r="288" customFormat="false" ht="15" hidden="false" customHeight="false" outlineLevel="0" collapsed="false">
      <c r="A288" s="0" t="str">
        <f aca="false">IF(Frota!$A10="","",Frota!$A10)</f>
        <v>Trator NH T7.315 — 402</v>
      </c>
      <c r="B288" s="0" t="str">
        <f aca="false">IF(Frota!$A10="","",Frota!$B10)</f>
        <v>Trator</v>
      </c>
      <c r="C288" s="0" t="n">
        <v>25</v>
      </c>
      <c r="D288" s="0" t="n">
        <f aca="false">INDEX(Semanas!$E$3:$E$54,25)</f>
        <v>9</v>
      </c>
      <c r="E288" s="0" t="str">
        <f aca="false">IF(Frota!$A10="","",Cronograma!Z10)</f>
        <v/>
      </c>
      <c r="F288" s="0" t="n">
        <f aca="false">IF(OR($E288="",$E288=0),0,1)</f>
        <v>0</v>
      </c>
      <c r="G288" s="0" t="n">
        <f aca="false">IF($F288=0,0,INDEX(Aux_HH!$D$4:$D$18,MATCH($B288&amp;"|"&amp;$E288,Aux_HH!$A$4:$A$18,0)))</f>
        <v>0</v>
      </c>
      <c r="H288" s="0" t="n">
        <f aca="false">IF($F288=0,0,INDEX(Aux_HH!$E$4:$E$18,MATCH($B288&amp;"|"&amp;$E288,Aux_HH!$A$4:$A$18,0)))</f>
        <v>0</v>
      </c>
      <c r="I288" s="0" t="n">
        <f aca="false">IF($F288=0,0,INDEX(Aux_HH!$F$4:$F$18,MATCH($B288&amp;"|"&amp;$E288,Aux_HH!$A$4:$A$18,0)))</f>
        <v>0</v>
      </c>
      <c r="J288" s="0" t="n">
        <f aca="false">IF($F288=0,0,INDEX(Aux_HH!$G$4:$G$18,MATCH($B288&amp;"|"&amp;$E288,Aux_HH!$A$4:$A$18,0)))</f>
        <v>0</v>
      </c>
      <c r="K288" s="0" t="n">
        <f aca="false">IF($F288=0,0,INDEX(Aux_HH!$H$4:$H$18,MATCH($B288&amp;"|"&amp;$E288,Aux_HH!$A$4:$A$18,0)))</f>
        <v>0</v>
      </c>
      <c r="L288" s="0" t="n">
        <f aca="false">IF($F288=0,0,INDEX(Aux_HH!$I$4:$I$18,MATCH($B288&amp;"|"&amp;$E288,Aux_HH!$A$4:$A$18,0)))</f>
        <v>0</v>
      </c>
    </row>
    <row r="289" customFormat="false" ht="15" hidden="false" customHeight="false" outlineLevel="0" collapsed="false">
      <c r="A289" s="0" t="str">
        <f aca="false">IF(Frota!$A10="","",Frota!$A10)</f>
        <v>Trator NH T7.315 — 402</v>
      </c>
      <c r="B289" s="0" t="str">
        <f aca="false">IF(Frota!$A10="","",Frota!$B10)</f>
        <v>Trator</v>
      </c>
      <c r="C289" s="0" t="n">
        <v>26</v>
      </c>
      <c r="D289" s="0" t="n">
        <f aca="false">INDEX(Semanas!$E$3:$E$54,26)</f>
        <v>9</v>
      </c>
      <c r="E289" s="0" t="str">
        <f aca="false">IF(Frota!$A10="","",Cronograma!AA10)</f>
        <v/>
      </c>
      <c r="F289" s="0" t="n">
        <f aca="false">IF(OR($E289="",$E289=0),0,1)</f>
        <v>0</v>
      </c>
      <c r="G289" s="0" t="n">
        <f aca="false">IF($F289=0,0,INDEX(Aux_HH!$D$4:$D$18,MATCH($B289&amp;"|"&amp;$E289,Aux_HH!$A$4:$A$18,0)))</f>
        <v>0</v>
      </c>
      <c r="H289" s="0" t="n">
        <f aca="false">IF($F289=0,0,INDEX(Aux_HH!$E$4:$E$18,MATCH($B289&amp;"|"&amp;$E289,Aux_HH!$A$4:$A$18,0)))</f>
        <v>0</v>
      </c>
      <c r="I289" s="0" t="n">
        <f aca="false">IF($F289=0,0,INDEX(Aux_HH!$F$4:$F$18,MATCH($B289&amp;"|"&amp;$E289,Aux_HH!$A$4:$A$18,0)))</f>
        <v>0</v>
      </c>
      <c r="J289" s="0" t="n">
        <f aca="false">IF($F289=0,0,INDEX(Aux_HH!$G$4:$G$18,MATCH($B289&amp;"|"&amp;$E289,Aux_HH!$A$4:$A$18,0)))</f>
        <v>0</v>
      </c>
      <c r="K289" s="0" t="n">
        <f aca="false">IF($F289=0,0,INDEX(Aux_HH!$H$4:$H$18,MATCH($B289&amp;"|"&amp;$E289,Aux_HH!$A$4:$A$18,0)))</f>
        <v>0</v>
      </c>
      <c r="L289" s="0" t="n">
        <f aca="false">IF($F289=0,0,INDEX(Aux_HH!$I$4:$I$18,MATCH($B289&amp;"|"&amp;$E289,Aux_HH!$A$4:$A$18,0)))</f>
        <v>0</v>
      </c>
    </row>
    <row r="290" customFormat="false" ht="15" hidden="false" customHeight="false" outlineLevel="0" collapsed="false">
      <c r="A290" s="0" t="str">
        <f aca="false">IF(Frota!$A10="","",Frota!$A10)</f>
        <v>Trator NH T7.315 — 402</v>
      </c>
      <c r="B290" s="0" t="str">
        <f aca="false">IF(Frota!$A10="","",Frota!$B10)</f>
        <v>Trator</v>
      </c>
      <c r="C290" s="0" t="n">
        <v>27</v>
      </c>
      <c r="D290" s="0" t="n">
        <f aca="false">INDEX(Semanas!$E$3:$E$54,27)</f>
        <v>9</v>
      </c>
      <c r="E290" s="0" t="str">
        <f aca="false">IF(Frota!$A10="","",Cronograma!AB10)</f>
        <v/>
      </c>
      <c r="F290" s="0" t="n">
        <f aca="false">IF(OR($E290="",$E290=0),0,1)</f>
        <v>0</v>
      </c>
      <c r="G290" s="0" t="n">
        <f aca="false">IF($F290=0,0,INDEX(Aux_HH!$D$4:$D$18,MATCH($B290&amp;"|"&amp;$E290,Aux_HH!$A$4:$A$18,0)))</f>
        <v>0</v>
      </c>
      <c r="H290" s="0" t="n">
        <f aca="false">IF($F290=0,0,INDEX(Aux_HH!$E$4:$E$18,MATCH($B290&amp;"|"&amp;$E290,Aux_HH!$A$4:$A$18,0)))</f>
        <v>0</v>
      </c>
      <c r="I290" s="0" t="n">
        <f aca="false">IF($F290=0,0,INDEX(Aux_HH!$F$4:$F$18,MATCH($B290&amp;"|"&amp;$E290,Aux_HH!$A$4:$A$18,0)))</f>
        <v>0</v>
      </c>
      <c r="J290" s="0" t="n">
        <f aca="false">IF($F290=0,0,INDEX(Aux_HH!$G$4:$G$18,MATCH($B290&amp;"|"&amp;$E290,Aux_HH!$A$4:$A$18,0)))</f>
        <v>0</v>
      </c>
      <c r="K290" s="0" t="n">
        <f aca="false">IF($F290=0,0,INDEX(Aux_HH!$H$4:$H$18,MATCH($B290&amp;"|"&amp;$E290,Aux_HH!$A$4:$A$18,0)))</f>
        <v>0</v>
      </c>
      <c r="L290" s="0" t="n">
        <f aca="false">IF($F290=0,0,INDEX(Aux_HH!$I$4:$I$18,MATCH($B290&amp;"|"&amp;$E290,Aux_HH!$A$4:$A$18,0)))</f>
        <v>0</v>
      </c>
    </row>
    <row r="291" customFormat="false" ht="15" hidden="false" customHeight="false" outlineLevel="0" collapsed="false">
      <c r="A291" s="0" t="str">
        <f aca="false">IF(Frota!$A10="","",Frota!$A10)</f>
        <v>Trator NH T7.315 — 402</v>
      </c>
      <c r="B291" s="0" t="str">
        <f aca="false">IF(Frota!$A10="","",Frota!$B10)</f>
        <v>Trator</v>
      </c>
      <c r="C291" s="0" t="n">
        <v>28</v>
      </c>
      <c r="D291" s="0" t="n">
        <f aca="false">INDEX(Semanas!$E$3:$E$54,28)</f>
        <v>10</v>
      </c>
      <c r="E291" s="0" t="str">
        <f aca="false">IF(Frota!$A10="","",Cronograma!AC10)</f>
        <v/>
      </c>
      <c r="F291" s="0" t="n">
        <f aca="false">IF(OR($E291="",$E291=0),0,1)</f>
        <v>0</v>
      </c>
      <c r="G291" s="0" t="n">
        <f aca="false">IF($F291=0,0,INDEX(Aux_HH!$D$4:$D$18,MATCH($B291&amp;"|"&amp;$E291,Aux_HH!$A$4:$A$18,0)))</f>
        <v>0</v>
      </c>
      <c r="H291" s="0" t="n">
        <f aca="false">IF($F291=0,0,INDEX(Aux_HH!$E$4:$E$18,MATCH($B291&amp;"|"&amp;$E291,Aux_HH!$A$4:$A$18,0)))</f>
        <v>0</v>
      </c>
      <c r="I291" s="0" t="n">
        <f aca="false">IF($F291=0,0,INDEX(Aux_HH!$F$4:$F$18,MATCH($B291&amp;"|"&amp;$E291,Aux_HH!$A$4:$A$18,0)))</f>
        <v>0</v>
      </c>
      <c r="J291" s="0" t="n">
        <f aca="false">IF($F291=0,0,INDEX(Aux_HH!$G$4:$G$18,MATCH($B291&amp;"|"&amp;$E291,Aux_HH!$A$4:$A$18,0)))</f>
        <v>0</v>
      </c>
      <c r="K291" s="0" t="n">
        <f aca="false">IF($F291=0,0,INDEX(Aux_HH!$H$4:$H$18,MATCH($B291&amp;"|"&amp;$E291,Aux_HH!$A$4:$A$18,0)))</f>
        <v>0</v>
      </c>
      <c r="L291" s="0" t="n">
        <f aca="false">IF($F291=0,0,INDEX(Aux_HH!$I$4:$I$18,MATCH($B291&amp;"|"&amp;$E291,Aux_HH!$A$4:$A$18,0)))</f>
        <v>0</v>
      </c>
    </row>
    <row r="292" customFormat="false" ht="15" hidden="false" customHeight="false" outlineLevel="0" collapsed="false">
      <c r="A292" s="0" t="str">
        <f aca="false">IF(Frota!$A10="","",Frota!$A10)</f>
        <v>Trator NH T7.315 — 402</v>
      </c>
      <c r="B292" s="0" t="str">
        <f aca="false">IF(Frota!$A10="","",Frota!$B10)</f>
        <v>Trator</v>
      </c>
      <c r="C292" s="0" t="n">
        <v>29</v>
      </c>
      <c r="D292" s="0" t="n">
        <f aca="false">INDEX(Semanas!$E$3:$E$54,29)</f>
        <v>10</v>
      </c>
      <c r="E292" s="0" t="str">
        <f aca="false">IF(Frota!$A10="","",Cronograma!AD10)</f>
        <v>A</v>
      </c>
      <c r="F292" s="0" t="n">
        <f aca="false">IF(OR($E292="",$E292=0),0,1)</f>
        <v>1</v>
      </c>
      <c r="G292" s="0" t="n">
        <f aca="false">IF($F292=0,0,INDEX(Aux_HH!$D$4:$D$18,MATCH($B292&amp;"|"&amp;$E292,Aux_HH!$A$4:$A$18,0)))</f>
        <v>1.5</v>
      </c>
      <c r="H292" s="0" t="n">
        <f aca="false">IF($F292=0,0,INDEX(Aux_HH!$E$4:$E$18,MATCH($B292&amp;"|"&amp;$E292,Aux_HH!$A$4:$A$18,0)))</f>
        <v>0</v>
      </c>
      <c r="I292" s="0" t="n">
        <f aca="false">IF($F292=0,0,INDEX(Aux_HH!$F$4:$F$18,MATCH($B292&amp;"|"&amp;$E292,Aux_HH!$A$4:$A$18,0)))</f>
        <v>0</v>
      </c>
      <c r="J292" s="0" t="n">
        <f aca="false">IF($F292=0,0,INDEX(Aux_HH!$G$4:$G$18,MATCH($B292&amp;"|"&amp;$E292,Aux_HH!$A$4:$A$18,0)))</f>
        <v>0.5</v>
      </c>
      <c r="K292" s="0" t="n">
        <f aca="false">IF($F292=0,0,INDEX(Aux_HH!$H$4:$H$18,MATCH($B292&amp;"|"&amp;$E292,Aux_HH!$A$4:$A$18,0)))</f>
        <v>0</v>
      </c>
      <c r="L292" s="0" t="n">
        <f aca="false">IF($F292=0,0,INDEX(Aux_HH!$I$4:$I$18,MATCH($B292&amp;"|"&amp;$E292,Aux_HH!$A$4:$A$18,0)))</f>
        <v>0</v>
      </c>
    </row>
    <row r="293" customFormat="false" ht="15" hidden="false" customHeight="false" outlineLevel="0" collapsed="false">
      <c r="A293" s="0" t="str">
        <f aca="false">IF(Frota!$A10="","",Frota!$A10)</f>
        <v>Trator NH T7.315 — 402</v>
      </c>
      <c r="B293" s="0" t="str">
        <f aca="false">IF(Frota!$A10="","",Frota!$B10)</f>
        <v>Trator</v>
      </c>
      <c r="C293" s="0" t="n">
        <v>30</v>
      </c>
      <c r="D293" s="0" t="n">
        <f aca="false">INDEX(Semanas!$E$3:$E$54,30)</f>
        <v>10</v>
      </c>
      <c r="E293" s="0" t="str">
        <f aca="false">IF(Frota!$A10="","",Cronograma!AE10)</f>
        <v/>
      </c>
      <c r="F293" s="0" t="n">
        <f aca="false">IF(OR($E293="",$E293=0),0,1)</f>
        <v>0</v>
      </c>
      <c r="G293" s="0" t="n">
        <f aca="false">IF($F293=0,0,INDEX(Aux_HH!$D$4:$D$18,MATCH($B293&amp;"|"&amp;$E293,Aux_HH!$A$4:$A$18,0)))</f>
        <v>0</v>
      </c>
      <c r="H293" s="0" t="n">
        <f aca="false">IF($F293=0,0,INDEX(Aux_HH!$E$4:$E$18,MATCH($B293&amp;"|"&amp;$E293,Aux_HH!$A$4:$A$18,0)))</f>
        <v>0</v>
      </c>
      <c r="I293" s="0" t="n">
        <f aca="false">IF($F293=0,0,INDEX(Aux_HH!$F$4:$F$18,MATCH($B293&amp;"|"&amp;$E293,Aux_HH!$A$4:$A$18,0)))</f>
        <v>0</v>
      </c>
      <c r="J293" s="0" t="n">
        <f aca="false">IF($F293=0,0,INDEX(Aux_HH!$G$4:$G$18,MATCH($B293&amp;"|"&amp;$E293,Aux_HH!$A$4:$A$18,0)))</f>
        <v>0</v>
      </c>
      <c r="K293" s="0" t="n">
        <f aca="false">IF($F293=0,0,INDEX(Aux_HH!$H$4:$H$18,MATCH($B293&amp;"|"&amp;$E293,Aux_HH!$A$4:$A$18,0)))</f>
        <v>0</v>
      </c>
      <c r="L293" s="0" t="n">
        <f aca="false">IF($F293=0,0,INDEX(Aux_HH!$I$4:$I$18,MATCH($B293&amp;"|"&amp;$E293,Aux_HH!$A$4:$A$18,0)))</f>
        <v>0</v>
      </c>
    </row>
    <row r="294" customFormat="false" ht="15" hidden="false" customHeight="false" outlineLevel="0" collapsed="false">
      <c r="A294" s="0" t="str">
        <f aca="false">IF(Frota!$A10="","",Frota!$A10)</f>
        <v>Trator NH T7.315 — 402</v>
      </c>
      <c r="B294" s="0" t="str">
        <f aca="false">IF(Frota!$A10="","",Frota!$B10)</f>
        <v>Trator</v>
      </c>
      <c r="C294" s="0" t="n">
        <v>31</v>
      </c>
      <c r="D294" s="0" t="n">
        <f aca="false">INDEX(Semanas!$E$3:$E$54,31)</f>
        <v>10</v>
      </c>
      <c r="E294" s="0" t="str">
        <f aca="false">IF(Frota!$A10="","",Cronograma!AF10)</f>
        <v/>
      </c>
      <c r="F294" s="0" t="n">
        <f aca="false">IF(OR($E294="",$E294=0),0,1)</f>
        <v>0</v>
      </c>
      <c r="G294" s="0" t="n">
        <f aca="false">IF($F294=0,0,INDEX(Aux_HH!$D$4:$D$18,MATCH($B294&amp;"|"&amp;$E294,Aux_HH!$A$4:$A$18,0)))</f>
        <v>0</v>
      </c>
      <c r="H294" s="0" t="n">
        <f aca="false">IF($F294=0,0,INDEX(Aux_HH!$E$4:$E$18,MATCH($B294&amp;"|"&amp;$E294,Aux_HH!$A$4:$A$18,0)))</f>
        <v>0</v>
      </c>
      <c r="I294" s="0" t="n">
        <f aca="false">IF($F294=0,0,INDEX(Aux_HH!$F$4:$F$18,MATCH($B294&amp;"|"&amp;$E294,Aux_HH!$A$4:$A$18,0)))</f>
        <v>0</v>
      </c>
      <c r="J294" s="0" t="n">
        <f aca="false">IF($F294=0,0,INDEX(Aux_HH!$G$4:$G$18,MATCH($B294&amp;"|"&amp;$E294,Aux_HH!$A$4:$A$18,0)))</f>
        <v>0</v>
      </c>
      <c r="K294" s="0" t="n">
        <f aca="false">IF($F294=0,0,INDEX(Aux_HH!$H$4:$H$18,MATCH($B294&amp;"|"&amp;$E294,Aux_HH!$A$4:$A$18,0)))</f>
        <v>0</v>
      </c>
      <c r="L294" s="0" t="n">
        <f aca="false">IF($F294=0,0,INDEX(Aux_HH!$I$4:$I$18,MATCH($B294&amp;"|"&amp;$E294,Aux_HH!$A$4:$A$18,0)))</f>
        <v>0</v>
      </c>
    </row>
    <row r="295" customFormat="false" ht="15" hidden="false" customHeight="false" outlineLevel="0" collapsed="false">
      <c r="A295" s="0" t="str">
        <f aca="false">IF(Frota!$A10="","",Frota!$A10)</f>
        <v>Trator NH T7.315 — 402</v>
      </c>
      <c r="B295" s="0" t="str">
        <f aca="false">IF(Frota!$A10="","",Frota!$B10)</f>
        <v>Trator</v>
      </c>
      <c r="C295" s="0" t="n">
        <v>32</v>
      </c>
      <c r="D295" s="0" t="n">
        <f aca="false">INDEX(Semanas!$E$3:$E$54,32)</f>
        <v>11</v>
      </c>
      <c r="E295" s="0" t="str">
        <f aca="false">IF(Frota!$A10="","",Cronograma!AG10)</f>
        <v/>
      </c>
      <c r="F295" s="0" t="n">
        <f aca="false">IF(OR($E295="",$E295=0),0,1)</f>
        <v>0</v>
      </c>
      <c r="G295" s="0" t="n">
        <f aca="false">IF($F295=0,0,INDEX(Aux_HH!$D$4:$D$18,MATCH($B295&amp;"|"&amp;$E295,Aux_HH!$A$4:$A$18,0)))</f>
        <v>0</v>
      </c>
      <c r="H295" s="0" t="n">
        <f aca="false">IF($F295=0,0,INDEX(Aux_HH!$E$4:$E$18,MATCH($B295&amp;"|"&amp;$E295,Aux_HH!$A$4:$A$18,0)))</f>
        <v>0</v>
      </c>
      <c r="I295" s="0" t="n">
        <f aca="false">IF($F295=0,0,INDEX(Aux_HH!$F$4:$F$18,MATCH($B295&amp;"|"&amp;$E295,Aux_HH!$A$4:$A$18,0)))</f>
        <v>0</v>
      </c>
      <c r="J295" s="0" t="n">
        <f aca="false">IF($F295=0,0,INDEX(Aux_HH!$G$4:$G$18,MATCH($B295&amp;"|"&amp;$E295,Aux_HH!$A$4:$A$18,0)))</f>
        <v>0</v>
      </c>
      <c r="K295" s="0" t="n">
        <f aca="false">IF($F295=0,0,INDEX(Aux_HH!$H$4:$H$18,MATCH($B295&amp;"|"&amp;$E295,Aux_HH!$A$4:$A$18,0)))</f>
        <v>0</v>
      </c>
      <c r="L295" s="0" t="n">
        <f aca="false">IF($F295=0,0,INDEX(Aux_HH!$I$4:$I$18,MATCH($B295&amp;"|"&amp;$E295,Aux_HH!$A$4:$A$18,0)))</f>
        <v>0</v>
      </c>
    </row>
    <row r="296" customFormat="false" ht="15" hidden="false" customHeight="false" outlineLevel="0" collapsed="false">
      <c r="A296" s="0" t="str">
        <f aca="false">IF(Frota!$A10="","",Frota!$A10)</f>
        <v>Trator NH T7.315 — 402</v>
      </c>
      <c r="B296" s="0" t="str">
        <f aca="false">IF(Frota!$A10="","",Frota!$B10)</f>
        <v>Trator</v>
      </c>
      <c r="C296" s="0" t="n">
        <v>33</v>
      </c>
      <c r="D296" s="0" t="n">
        <f aca="false">INDEX(Semanas!$E$3:$E$54,33)</f>
        <v>11</v>
      </c>
      <c r="E296" s="0" t="str">
        <f aca="false">IF(Frota!$A10="","",Cronograma!AH10)</f>
        <v/>
      </c>
      <c r="F296" s="0" t="n">
        <f aca="false">IF(OR($E296="",$E296=0),0,1)</f>
        <v>0</v>
      </c>
      <c r="G296" s="0" t="n">
        <f aca="false">IF($F296=0,0,INDEX(Aux_HH!$D$4:$D$18,MATCH($B296&amp;"|"&amp;$E296,Aux_HH!$A$4:$A$18,0)))</f>
        <v>0</v>
      </c>
      <c r="H296" s="0" t="n">
        <f aca="false">IF($F296=0,0,INDEX(Aux_HH!$E$4:$E$18,MATCH($B296&amp;"|"&amp;$E296,Aux_HH!$A$4:$A$18,0)))</f>
        <v>0</v>
      </c>
      <c r="I296" s="0" t="n">
        <f aca="false">IF($F296=0,0,INDEX(Aux_HH!$F$4:$F$18,MATCH($B296&amp;"|"&amp;$E296,Aux_HH!$A$4:$A$18,0)))</f>
        <v>0</v>
      </c>
      <c r="J296" s="0" t="n">
        <f aca="false">IF($F296=0,0,INDEX(Aux_HH!$G$4:$G$18,MATCH($B296&amp;"|"&amp;$E296,Aux_HH!$A$4:$A$18,0)))</f>
        <v>0</v>
      </c>
      <c r="K296" s="0" t="n">
        <f aca="false">IF($F296=0,0,INDEX(Aux_HH!$H$4:$H$18,MATCH($B296&amp;"|"&amp;$E296,Aux_HH!$A$4:$A$18,0)))</f>
        <v>0</v>
      </c>
      <c r="L296" s="0" t="n">
        <f aca="false">IF($F296=0,0,INDEX(Aux_HH!$I$4:$I$18,MATCH($B296&amp;"|"&amp;$E296,Aux_HH!$A$4:$A$18,0)))</f>
        <v>0</v>
      </c>
    </row>
    <row r="297" customFormat="false" ht="15" hidden="false" customHeight="false" outlineLevel="0" collapsed="false">
      <c r="A297" s="0" t="str">
        <f aca="false">IF(Frota!$A10="","",Frota!$A10)</f>
        <v>Trator NH T7.315 — 402</v>
      </c>
      <c r="B297" s="0" t="str">
        <f aca="false">IF(Frota!$A10="","",Frota!$B10)</f>
        <v>Trator</v>
      </c>
      <c r="C297" s="0" t="n">
        <v>34</v>
      </c>
      <c r="D297" s="0" t="n">
        <f aca="false">INDEX(Semanas!$E$3:$E$54,34)</f>
        <v>11</v>
      </c>
      <c r="E297" s="0" t="str">
        <f aca="false">IF(Frota!$A10="","",Cronograma!AI10)</f>
        <v>S</v>
      </c>
      <c r="F297" s="0" t="n">
        <f aca="false">IF(OR($E297="",$E297=0),0,1)</f>
        <v>1</v>
      </c>
      <c r="G297" s="0" t="n">
        <f aca="false">IF($F297=0,0,INDEX(Aux_HH!$D$4:$D$18,MATCH($B297&amp;"|"&amp;$E297,Aux_HH!$A$4:$A$18,0)))</f>
        <v>1.5</v>
      </c>
      <c r="H297" s="0" t="n">
        <f aca="false">IF($F297=0,0,INDEX(Aux_HH!$E$4:$E$18,MATCH($B297&amp;"|"&amp;$E297,Aux_HH!$A$4:$A$18,0)))</f>
        <v>0</v>
      </c>
      <c r="I297" s="0" t="n">
        <f aca="false">IF($F297=0,0,INDEX(Aux_HH!$F$4:$F$18,MATCH($B297&amp;"|"&amp;$E297,Aux_HH!$A$4:$A$18,0)))</f>
        <v>0</v>
      </c>
      <c r="J297" s="0" t="n">
        <f aca="false">IF($F297=0,0,INDEX(Aux_HH!$G$4:$G$18,MATCH($B297&amp;"|"&amp;$E297,Aux_HH!$A$4:$A$18,0)))</f>
        <v>0.5</v>
      </c>
      <c r="K297" s="0" t="n">
        <f aca="false">IF($F297=0,0,INDEX(Aux_HH!$H$4:$H$18,MATCH($B297&amp;"|"&amp;$E297,Aux_HH!$A$4:$A$18,0)))</f>
        <v>0</v>
      </c>
      <c r="L297" s="0" t="n">
        <f aca="false">IF($F297=0,0,INDEX(Aux_HH!$I$4:$I$18,MATCH($B297&amp;"|"&amp;$E297,Aux_HH!$A$4:$A$18,0)))</f>
        <v>0</v>
      </c>
    </row>
    <row r="298" customFormat="false" ht="15" hidden="false" customHeight="false" outlineLevel="0" collapsed="false">
      <c r="A298" s="0" t="str">
        <f aca="false">IF(Frota!$A10="","",Frota!$A10)</f>
        <v>Trator NH T7.315 — 402</v>
      </c>
      <c r="B298" s="0" t="str">
        <f aca="false">IF(Frota!$A10="","",Frota!$B10)</f>
        <v>Trator</v>
      </c>
      <c r="C298" s="0" t="n">
        <v>35</v>
      </c>
      <c r="D298" s="0" t="n">
        <f aca="false">INDEX(Semanas!$E$3:$E$54,35)</f>
        <v>11</v>
      </c>
      <c r="E298" s="0" t="str">
        <f aca="false">IF(Frota!$A10="","",Cronograma!AJ10)</f>
        <v/>
      </c>
      <c r="F298" s="0" t="n">
        <f aca="false">IF(OR($E298="",$E298=0),0,1)</f>
        <v>0</v>
      </c>
      <c r="G298" s="0" t="n">
        <f aca="false">IF($F298=0,0,INDEX(Aux_HH!$D$4:$D$18,MATCH($B298&amp;"|"&amp;$E298,Aux_HH!$A$4:$A$18,0)))</f>
        <v>0</v>
      </c>
      <c r="H298" s="0" t="n">
        <f aca="false">IF($F298=0,0,INDEX(Aux_HH!$E$4:$E$18,MATCH($B298&amp;"|"&amp;$E298,Aux_HH!$A$4:$A$18,0)))</f>
        <v>0</v>
      </c>
      <c r="I298" s="0" t="n">
        <f aca="false">IF($F298=0,0,INDEX(Aux_HH!$F$4:$F$18,MATCH($B298&amp;"|"&amp;$E298,Aux_HH!$A$4:$A$18,0)))</f>
        <v>0</v>
      </c>
      <c r="J298" s="0" t="n">
        <f aca="false">IF($F298=0,0,INDEX(Aux_HH!$G$4:$G$18,MATCH($B298&amp;"|"&amp;$E298,Aux_HH!$A$4:$A$18,0)))</f>
        <v>0</v>
      </c>
      <c r="K298" s="0" t="n">
        <f aca="false">IF($F298=0,0,INDEX(Aux_HH!$H$4:$H$18,MATCH($B298&amp;"|"&amp;$E298,Aux_HH!$A$4:$A$18,0)))</f>
        <v>0</v>
      </c>
      <c r="L298" s="0" t="n">
        <f aca="false">IF($F298=0,0,INDEX(Aux_HH!$I$4:$I$18,MATCH($B298&amp;"|"&amp;$E298,Aux_HH!$A$4:$A$18,0)))</f>
        <v>0</v>
      </c>
    </row>
    <row r="299" customFormat="false" ht="15" hidden="false" customHeight="false" outlineLevel="0" collapsed="false">
      <c r="A299" s="0" t="str">
        <f aca="false">IF(Frota!$A10="","",Frota!$A10)</f>
        <v>Trator NH T7.315 — 402</v>
      </c>
      <c r="B299" s="0" t="str">
        <f aca="false">IF(Frota!$A10="","",Frota!$B10)</f>
        <v>Trator</v>
      </c>
      <c r="C299" s="0" t="n">
        <v>36</v>
      </c>
      <c r="D299" s="0" t="n">
        <f aca="false">INDEX(Semanas!$E$3:$E$54,36)</f>
        <v>12</v>
      </c>
      <c r="E299" s="0" t="str">
        <f aca="false">IF(Frota!$A10="","",Cronograma!AK10)</f>
        <v/>
      </c>
      <c r="F299" s="0" t="n">
        <f aca="false">IF(OR($E299="",$E299=0),0,1)</f>
        <v>0</v>
      </c>
      <c r="G299" s="0" t="n">
        <f aca="false">IF($F299=0,0,INDEX(Aux_HH!$D$4:$D$18,MATCH($B299&amp;"|"&amp;$E299,Aux_HH!$A$4:$A$18,0)))</f>
        <v>0</v>
      </c>
      <c r="H299" s="0" t="n">
        <f aca="false">IF($F299=0,0,INDEX(Aux_HH!$E$4:$E$18,MATCH($B299&amp;"|"&amp;$E299,Aux_HH!$A$4:$A$18,0)))</f>
        <v>0</v>
      </c>
      <c r="I299" s="0" t="n">
        <f aca="false">IF($F299=0,0,INDEX(Aux_HH!$F$4:$F$18,MATCH($B299&amp;"|"&amp;$E299,Aux_HH!$A$4:$A$18,0)))</f>
        <v>0</v>
      </c>
      <c r="J299" s="0" t="n">
        <f aca="false">IF($F299=0,0,INDEX(Aux_HH!$G$4:$G$18,MATCH($B299&amp;"|"&amp;$E299,Aux_HH!$A$4:$A$18,0)))</f>
        <v>0</v>
      </c>
      <c r="K299" s="0" t="n">
        <f aca="false">IF($F299=0,0,INDEX(Aux_HH!$H$4:$H$18,MATCH($B299&amp;"|"&amp;$E299,Aux_HH!$A$4:$A$18,0)))</f>
        <v>0</v>
      </c>
      <c r="L299" s="0" t="n">
        <f aca="false">IF($F299=0,0,INDEX(Aux_HH!$I$4:$I$18,MATCH($B299&amp;"|"&amp;$E299,Aux_HH!$A$4:$A$18,0)))</f>
        <v>0</v>
      </c>
    </row>
    <row r="300" customFormat="false" ht="15" hidden="false" customHeight="false" outlineLevel="0" collapsed="false">
      <c r="A300" s="0" t="str">
        <f aca="false">IF(Frota!$A10="","",Frota!$A10)</f>
        <v>Trator NH T7.315 — 402</v>
      </c>
      <c r="B300" s="0" t="str">
        <f aca="false">IF(Frota!$A10="","",Frota!$B10)</f>
        <v>Trator</v>
      </c>
      <c r="C300" s="0" t="n">
        <v>37</v>
      </c>
      <c r="D300" s="0" t="n">
        <f aca="false">INDEX(Semanas!$E$3:$E$54,37)</f>
        <v>12</v>
      </c>
      <c r="E300" s="0" t="str">
        <f aca="false">IF(Frota!$A10="","",Cronograma!AL10)</f>
        <v/>
      </c>
      <c r="F300" s="0" t="n">
        <f aca="false">IF(OR($E300="",$E300=0),0,1)</f>
        <v>0</v>
      </c>
      <c r="G300" s="0" t="n">
        <f aca="false">IF($F300=0,0,INDEX(Aux_HH!$D$4:$D$18,MATCH($B300&amp;"|"&amp;$E300,Aux_HH!$A$4:$A$18,0)))</f>
        <v>0</v>
      </c>
      <c r="H300" s="0" t="n">
        <f aca="false">IF($F300=0,0,INDEX(Aux_HH!$E$4:$E$18,MATCH($B300&amp;"|"&amp;$E300,Aux_HH!$A$4:$A$18,0)))</f>
        <v>0</v>
      </c>
      <c r="I300" s="0" t="n">
        <f aca="false">IF($F300=0,0,INDEX(Aux_HH!$F$4:$F$18,MATCH($B300&amp;"|"&amp;$E300,Aux_HH!$A$4:$A$18,0)))</f>
        <v>0</v>
      </c>
      <c r="J300" s="0" t="n">
        <f aca="false">IF($F300=0,0,INDEX(Aux_HH!$G$4:$G$18,MATCH($B300&amp;"|"&amp;$E300,Aux_HH!$A$4:$A$18,0)))</f>
        <v>0</v>
      </c>
      <c r="K300" s="0" t="n">
        <f aca="false">IF($F300=0,0,INDEX(Aux_HH!$H$4:$H$18,MATCH($B300&amp;"|"&amp;$E300,Aux_HH!$A$4:$A$18,0)))</f>
        <v>0</v>
      </c>
      <c r="L300" s="0" t="n">
        <f aca="false">IF($F300=0,0,INDEX(Aux_HH!$I$4:$I$18,MATCH($B300&amp;"|"&amp;$E300,Aux_HH!$A$4:$A$18,0)))</f>
        <v>0</v>
      </c>
    </row>
    <row r="301" customFormat="false" ht="15" hidden="false" customHeight="false" outlineLevel="0" collapsed="false">
      <c r="A301" s="0" t="str">
        <f aca="false">IF(Frota!$A10="","",Frota!$A10)</f>
        <v>Trator NH T7.315 — 402</v>
      </c>
      <c r="B301" s="0" t="str">
        <f aca="false">IF(Frota!$A10="","",Frota!$B10)</f>
        <v>Trator</v>
      </c>
      <c r="C301" s="0" t="n">
        <v>38</v>
      </c>
      <c r="D301" s="0" t="n">
        <f aca="false">INDEX(Semanas!$E$3:$E$54,38)</f>
        <v>12</v>
      </c>
      <c r="E301" s="0" t="str">
        <f aca="false">IF(Frota!$A10="","",Cronograma!AM10)</f>
        <v/>
      </c>
      <c r="F301" s="0" t="n">
        <f aca="false">IF(OR($E301="",$E301=0),0,1)</f>
        <v>0</v>
      </c>
      <c r="G301" s="0" t="n">
        <f aca="false">IF($F301=0,0,INDEX(Aux_HH!$D$4:$D$18,MATCH($B301&amp;"|"&amp;$E301,Aux_HH!$A$4:$A$18,0)))</f>
        <v>0</v>
      </c>
      <c r="H301" s="0" t="n">
        <f aca="false">IF($F301=0,0,INDEX(Aux_HH!$E$4:$E$18,MATCH($B301&amp;"|"&amp;$E301,Aux_HH!$A$4:$A$18,0)))</f>
        <v>0</v>
      </c>
      <c r="I301" s="0" t="n">
        <f aca="false">IF($F301=0,0,INDEX(Aux_HH!$F$4:$F$18,MATCH($B301&amp;"|"&amp;$E301,Aux_HH!$A$4:$A$18,0)))</f>
        <v>0</v>
      </c>
      <c r="J301" s="0" t="n">
        <f aca="false">IF($F301=0,0,INDEX(Aux_HH!$G$4:$G$18,MATCH($B301&amp;"|"&amp;$E301,Aux_HH!$A$4:$A$18,0)))</f>
        <v>0</v>
      </c>
      <c r="K301" s="0" t="n">
        <f aca="false">IF($F301=0,0,INDEX(Aux_HH!$H$4:$H$18,MATCH($B301&amp;"|"&amp;$E301,Aux_HH!$A$4:$A$18,0)))</f>
        <v>0</v>
      </c>
      <c r="L301" s="0" t="n">
        <f aca="false">IF($F301=0,0,INDEX(Aux_HH!$I$4:$I$18,MATCH($B301&amp;"|"&amp;$E301,Aux_HH!$A$4:$A$18,0)))</f>
        <v>0</v>
      </c>
    </row>
    <row r="302" customFormat="false" ht="15" hidden="false" customHeight="false" outlineLevel="0" collapsed="false">
      <c r="A302" s="0" t="str">
        <f aca="false">IF(Frota!$A10="","",Frota!$A10)</f>
        <v>Trator NH T7.315 — 402</v>
      </c>
      <c r="B302" s="0" t="str">
        <f aca="false">IF(Frota!$A10="","",Frota!$B10)</f>
        <v>Trator</v>
      </c>
      <c r="C302" s="0" t="n">
        <v>39</v>
      </c>
      <c r="D302" s="0" t="n">
        <f aca="false">INDEX(Semanas!$E$3:$E$54,39)</f>
        <v>12</v>
      </c>
      <c r="E302" s="0" t="str">
        <f aca="false">IF(Frota!$A10="","",Cronograma!AN10)</f>
        <v/>
      </c>
      <c r="F302" s="0" t="n">
        <f aca="false">IF(OR($E302="",$E302=0),0,1)</f>
        <v>0</v>
      </c>
      <c r="G302" s="0" t="n">
        <f aca="false">IF($F302=0,0,INDEX(Aux_HH!$D$4:$D$18,MATCH($B302&amp;"|"&amp;$E302,Aux_HH!$A$4:$A$18,0)))</f>
        <v>0</v>
      </c>
      <c r="H302" s="0" t="n">
        <f aca="false">IF($F302=0,0,INDEX(Aux_HH!$E$4:$E$18,MATCH($B302&amp;"|"&amp;$E302,Aux_HH!$A$4:$A$18,0)))</f>
        <v>0</v>
      </c>
      <c r="I302" s="0" t="n">
        <f aca="false">IF($F302=0,0,INDEX(Aux_HH!$F$4:$F$18,MATCH($B302&amp;"|"&amp;$E302,Aux_HH!$A$4:$A$18,0)))</f>
        <v>0</v>
      </c>
      <c r="J302" s="0" t="n">
        <f aca="false">IF($F302=0,0,INDEX(Aux_HH!$G$4:$G$18,MATCH($B302&amp;"|"&amp;$E302,Aux_HH!$A$4:$A$18,0)))</f>
        <v>0</v>
      </c>
      <c r="K302" s="0" t="n">
        <f aca="false">IF($F302=0,0,INDEX(Aux_HH!$H$4:$H$18,MATCH($B302&amp;"|"&amp;$E302,Aux_HH!$A$4:$A$18,0)))</f>
        <v>0</v>
      </c>
      <c r="L302" s="0" t="n">
        <f aca="false">IF($F302=0,0,INDEX(Aux_HH!$I$4:$I$18,MATCH($B302&amp;"|"&amp;$E302,Aux_HH!$A$4:$A$18,0)))</f>
        <v>0</v>
      </c>
    </row>
    <row r="303" customFormat="false" ht="15" hidden="false" customHeight="false" outlineLevel="0" collapsed="false">
      <c r="A303" s="0" t="str">
        <f aca="false">IF(Frota!$A10="","",Frota!$A10)</f>
        <v>Trator NH T7.315 — 402</v>
      </c>
      <c r="B303" s="0" t="str">
        <f aca="false">IF(Frota!$A10="","",Frota!$B10)</f>
        <v>Trator</v>
      </c>
      <c r="C303" s="0" t="n">
        <v>40</v>
      </c>
      <c r="D303" s="0" t="n">
        <f aca="false">INDEX(Semanas!$E$3:$E$54,40)</f>
        <v>12</v>
      </c>
      <c r="E303" s="0" t="str">
        <f aca="false">IF(Frota!$A10="","",Cronograma!AO10)</f>
        <v/>
      </c>
      <c r="F303" s="0" t="n">
        <f aca="false">IF(OR($E303="",$E303=0),0,1)</f>
        <v>0</v>
      </c>
      <c r="G303" s="0" t="n">
        <f aca="false">IF($F303=0,0,INDEX(Aux_HH!$D$4:$D$18,MATCH($B303&amp;"|"&amp;$E303,Aux_HH!$A$4:$A$18,0)))</f>
        <v>0</v>
      </c>
      <c r="H303" s="0" t="n">
        <f aca="false">IF($F303=0,0,INDEX(Aux_HH!$E$4:$E$18,MATCH($B303&amp;"|"&amp;$E303,Aux_HH!$A$4:$A$18,0)))</f>
        <v>0</v>
      </c>
      <c r="I303" s="0" t="n">
        <f aca="false">IF($F303=0,0,INDEX(Aux_HH!$F$4:$F$18,MATCH($B303&amp;"|"&amp;$E303,Aux_HH!$A$4:$A$18,0)))</f>
        <v>0</v>
      </c>
      <c r="J303" s="0" t="n">
        <f aca="false">IF($F303=0,0,INDEX(Aux_HH!$G$4:$G$18,MATCH($B303&amp;"|"&amp;$E303,Aux_HH!$A$4:$A$18,0)))</f>
        <v>0</v>
      </c>
      <c r="K303" s="0" t="n">
        <f aca="false">IF($F303=0,0,INDEX(Aux_HH!$H$4:$H$18,MATCH($B303&amp;"|"&amp;$E303,Aux_HH!$A$4:$A$18,0)))</f>
        <v>0</v>
      </c>
      <c r="L303" s="0" t="n">
        <f aca="false">IF($F303=0,0,INDEX(Aux_HH!$I$4:$I$18,MATCH($B303&amp;"|"&amp;$E303,Aux_HH!$A$4:$A$18,0)))</f>
        <v>0</v>
      </c>
    </row>
    <row r="304" customFormat="false" ht="15" hidden="false" customHeight="false" outlineLevel="0" collapsed="false">
      <c r="A304" s="0" t="str">
        <f aca="false">IF(Frota!$A10="","",Frota!$A10)</f>
        <v>Trator NH T7.315 — 402</v>
      </c>
      <c r="B304" s="0" t="str">
        <f aca="false">IF(Frota!$A10="","",Frota!$B10)</f>
        <v>Trator</v>
      </c>
      <c r="C304" s="0" t="n">
        <v>41</v>
      </c>
      <c r="D304" s="0" t="n">
        <f aca="false">INDEX(Semanas!$E$3:$E$54,41)</f>
        <v>1</v>
      </c>
      <c r="E304" s="0" t="str">
        <f aca="false">IF(Frota!$A10="","",Cronograma!AP10)</f>
        <v/>
      </c>
      <c r="F304" s="0" t="n">
        <f aca="false">IF(OR($E304="",$E304=0),0,1)</f>
        <v>0</v>
      </c>
      <c r="G304" s="0" t="n">
        <f aca="false">IF($F304=0,0,INDEX(Aux_HH!$D$4:$D$18,MATCH($B304&amp;"|"&amp;$E304,Aux_HH!$A$4:$A$18,0)))</f>
        <v>0</v>
      </c>
      <c r="H304" s="0" t="n">
        <f aca="false">IF($F304=0,0,INDEX(Aux_HH!$E$4:$E$18,MATCH($B304&amp;"|"&amp;$E304,Aux_HH!$A$4:$A$18,0)))</f>
        <v>0</v>
      </c>
      <c r="I304" s="0" t="n">
        <f aca="false">IF($F304=0,0,INDEX(Aux_HH!$F$4:$F$18,MATCH($B304&amp;"|"&amp;$E304,Aux_HH!$A$4:$A$18,0)))</f>
        <v>0</v>
      </c>
      <c r="J304" s="0" t="n">
        <f aca="false">IF($F304=0,0,INDEX(Aux_HH!$G$4:$G$18,MATCH($B304&amp;"|"&amp;$E304,Aux_HH!$A$4:$A$18,0)))</f>
        <v>0</v>
      </c>
      <c r="K304" s="0" t="n">
        <f aca="false">IF($F304=0,0,INDEX(Aux_HH!$H$4:$H$18,MATCH($B304&amp;"|"&amp;$E304,Aux_HH!$A$4:$A$18,0)))</f>
        <v>0</v>
      </c>
      <c r="L304" s="0" t="n">
        <f aca="false">IF($F304=0,0,INDEX(Aux_HH!$I$4:$I$18,MATCH($B304&amp;"|"&amp;$E304,Aux_HH!$A$4:$A$18,0)))</f>
        <v>0</v>
      </c>
    </row>
    <row r="305" customFormat="false" ht="15" hidden="false" customHeight="false" outlineLevel="0" collapsed="false">
      <c r="A305" s="0" t="str">
        <f aca="false">IF(Frota!$A10="","",Frota!$A10)</f>
        <v>Trator NH T7.315 — 402</v>
      </c>
      <c r="B305" s="0" t="str">
        <f aca="false">IF(Frota!$A10="","",Frota!$B10)</f>
        <v>Trator</v>
      </c>
      <c r="C305" s="0" t="n">
        <v>42</v>
      </c>
      <c r="D305" s="0" t="n">
        <f aca="false">INDEX(Semanas!$E$3:$E$54,42)</f>
        <v>1</v>
      </c>
      <c r="E305" s="0" t="str">
        <f aca="false">IF(Frota!$A10="","",Cronograma!AQ10)</f>
        <v/>
      </c>
      <c r="F305" s="0" t="n">
        <f aca="false">IF(OR($E305="",$E305=0),0,1)</f>
        <v>0</v>
      </c>
      <c r="G305" s="0" t="n">
        <f aca="false">IF($F305=0,0,INDEX(Aux_HH!$D$4:$D$18,MATCH($B305&amp;"|"&amp;$E305,Aux_HH!$A$4:$A$18,0)))</f>
        <v>0</v>
      </c>
      <c r="H305" s="0" t="n">
        <f aca="false">IF($F305=0,0,INDEX(Aux_HH!$E$4:$E$18,MATCH($B305&amp;"|"&amp;$E305,Aux_HH!$A$4:$A$18,0)))</f>
        <v>0</v>
      </c>
      <c r="I305" s="0" t="n">
        <f aca="false">IF($F305=0,0,INDEX(Aux_HH!$F$4:$F$18,MATCH($B305&amp;"|"&amp;$E305,Aux_HH!$A$4:$A$18,0)))</f>
        <v>0</v>
      </c>
      <c r="J305" s="0" t="n">
        <f aca="false">IF($F305=0,0,INDEX(Aux_HH!$G$4:$G$18,MATCH($B305&amp;"|"&amp;$E305,Aux_HH!$A$4:$A$18,0)))</f>
        <v>0</v>
      </c>
      <c r="K305" s="0" t="n">
        <f aca="false">IF($F305=0,0,INDEX(Aux_HH!$H$4:$H$18,MATCH($B305&amp;"|"&amp;$E305,Aux_HH!$A$4:$A$18,0)))</f>
        <v>0</v>
      </c>
      <c r="L305" s="0" t="n">
        <f aca="false">IF($F305=0,0,INDEX(Aux_HH!$I$4:$I$18,MATCH($B305&amp;"|"&amp;$E305,Aux_HH!$A$4:$A$18,0)))</f>
        <v>0</v>
      </c>
    </row>
    <row r="306" customFormat="false" ht="15" hidden="false" customHeight="false" outlineLevel="0" collapsed="false">
      <c r="A306" s="0" t="str">
        <f aca="false">IF(Frota!$A10="","",Frota!$A10)</f>
        <v>Trator NH T7.315 — 402</v>
      </c>
      <c r="B306" s="0" t="str">
        <f aca="false">IF(Frota!$A10="","",Frota!$B10)</f>
        <v>Trator</v>
      </c>
      <c r="C306" s="0" t="n">
        <v>43</v>
      </c>
      <c r="D306" s="0" t="n">
        <f aca="false">INDEX(Semanas!$E$3:$E$54,43)</f>
        <v>1</v>
      </c>
      <c r="E306" s="0" t="str">
        <f aca="false">IF(Frota!$A10="","",Cronograma!AR10)</f>
        <v/>
      </c>
      <c r="F306" s="0" t="n">
        <f aca="false">IF(OR($E306="",$E306=0),0,1)</f>
        <v>0</v>
      </c>
      <c r="G306" s="0" t="n">
        <f aca="false">IF($F306=0,0,INDEX(Aux_HH!$D$4:$D$18,MATCH($B306&amp;"|"&amp;$E306,Aux_HH!$A$4:$A$18,0)))</f>
        <v>0</v>
      </c>
      <c r="H306" s="0" t="n">
        <f aca="false">IF($F306=0,0,INDEX(Aux_HH!$E$4:$E$18,MATCH($B306&amp;"|"&amp;$E306,Aux_HH!$A$4:$A$18,0)))</f>
        <v>0</v>
      </c>
      <c r="I306" s="0" t="n">
        <f aca="false">IF($F306=0,0,INDEX(Aux_HH!$F$4:$F$18,MATCH($B306&amp;"|"&amp;$E306,Aux_HH!$A$4:$A$18,0)))</f>
        <v>0</v>
      </c>
      <c r="J306" s="0" t="n">
        <f aca="false">IF($F306=0,0,INDEX(Aux_HH!$G$4:$G$18,MATCH($B306&amp;"|"&amp;$E306,Aux_HH!$A$4:$A$18,0)))</f>
        <v>0</v>
      </c>
      <c r="K306" s="0" t="n">
        <f aca="false">IF($F306=0,0,INDEX(Aux_HH!$H$4:$H$18,MATCH($B306&amp;"|"&amp;$E306,Aux_HH!$A$4:$A$18,0)))</f>
        <v>0</v>
      </c>
      <c r="L306" s="0" t="n">
        <f aca="false">IF($F306=0,0,INDEX(Aux_HH!$I$4:$I$18,MATCH($B306&amp;"|"&amp;$E306,Aux_HH!$A$4:$A$18,0)))</f>
        <v>0</v>
      </c>
    </row>
    <row r="307" customFormat="false" ht="15" hidden="false" customHeight="false" outlineLevel="0" collapsed="false">
      <c r="A307" s="0" t="str">
        <f aca="false">IF(Frota!$A10="","",Frota!$A10)</f>
        <v>Trator NH T7.315 — 402</v>
      </c>
      <c r="B307" s="0" t="str">
        <f aca="false">IF(Frota!$A10="","",Frota!$B10)</f>
        <v>Trator</v>
      </c>
      <c r="C307" s="0" t="n">
        <v>44</v>
      </c>
      <c r="D307" s="0" t="n">
        <f aca="false">INDEX(Semanas!$E$3:$E$54,44)</f>
        <v>1</v>
      </c>
      <c r="E307" s="0" t="str">
        <f aca="false">IF(Frota!$A10="","",Cronograma!AS10)</f>
        <v/>
      </c>
      <c r="F307" s="0" t="n">
        <f aca="false">IF(OR($E307="",$E307=0),0,1)</f>
        <v>0</v>
      </c>
      <c r="G307" s="0" t="n">
        <f aca="false">IF($F307=0,0,INDEX(Aux_HH!$D$4:$D$18,MATCH($B307&amp;"|"&amp;$E307,Aux_HH!$A$4:$A$18,0)))</f>
        <v>0</v>
      </c>
      <c r="H307" s="0" t="n">
        <f aca="false">IF($F307=0,0,INDEX(Aux_HH!$E$4:$E$18,MATCH($B307&amp;"|"&amp;$E307,Aux_HH!$A$4:$A$18,0)))</f>
        <v>0</v>
      </c>
      <c r="I307" s="0" t="n">
        <f aca="false">IF($F307=0,0,INDEX(Aux_HH!$F$4:$F$18,MATCH($B307&amp;"|"&amp;$E307,Aux_HH!$A$4:$A$18,0)))</f>
        <v>0</v>
      </c>
      <c r="J307" s="0" t="n">
        <f aca="false">IF($F307=0,0,INDEX(Aux_HH!$G$4:$G$18,MATCH($B307&amp;"|"&amp;$E307,Aux_HH!$A$4:$A$18,0)))</f>
        <v>0</v>
      </c>
      <c r="K307" s="0" t="n">
        <f aca="false">IF($F307=0,0,INDEX(Aux_HH!$H$4:$H$18,MATCH($B307&amp;"|"&amp;$E307,Aux_HH!$A$4:$A$18,0)))</f>
        <v>0</v>
      </c>
      <c r="L307" s="0" t="n">
        <f aca="false">IF($F307=0,0,INDEX(Aux_HH!$I$4:$I$18,MATCH($B307&amp;"|"&amp;$E307,Aux_HH!$A$4:$A$18,0)))</f>
        <v>0</v>
      </c>
    </row>
    <row r="308" customFormat="false" ht="15" hidden="false" customHeight="false" outlineLevel="0" collapsed="false">
      <c r="A308" s="0" t="str">
        <f aca="false">IF(Frota!$A10="","",Frota!$A10)</f>
        <v>Trator NH T7.315 — 402</v>
      </c>
      <c r="B308" s="0" t="str">
        <f aca="false">IF(Frota!$A10="","",Frota!$B10)</f>
        <v>Trator</v>
      </c>
      <c r="C308" s="0" t="n">
        <v>45</v>
      </c>
      <c r="D308" s="0" t="n">
        <f aca="false">INDEX(Semanas!$E$3:$E$54,45)</f>
        <v>2</v>
      </c>
      <c r="E308" s="0" t="str">
        <f aca="false">IF(Frota!$A10="","",Cronograma!AT10)</f>
        <v/>
      </c>
      <c r="F308" s="0" t="n">
        <f aca="false">IF(OR($E308="",$E308=0),0,1)</f>
        <v>0</v>
      </c>
      <c r="G308" s="0" t="n">
        <f aca="false">IF($F308=0,0,INDEX(Aux_HH!$D$4:$D$18,MATCH($B308&amp;"|"&amp;$E308,Aux_HH!$A$4:$A$18,0)))</f>
        <v>0</v>
      </c>
      <c r="H308" s="0" t="n">
        <f aca="false">IF($F308=0,0,INDEX(Aux_HH!$E$4:$E$18,MATCH($B308&amp;"|"&amp;$E308,Aux_HH!$A$4:$A$18,0)))</f>
        <v>0</v>
      </c>
      <c r="I308" s="0" t="n">
        <f aca="false">IF($F308=0,0,INDEX(Aux_HH!$F$4:$F$18,MATCH($B308&amp;"|"&amp;$E308,Aux_HH!$A$4:$A$18,0)))</f>
        <v>0</v>
      </c>
      <c r="J308" s="0" t="n">
        <f aca="false">IF($F308=0,0,INDEX(Aux_HH!$G$4:$G$18,MATCH($B308&amp;"|"&amp;$E308,Aux_HH!$A$4:$A$18,0)))</f>
        <v>0</v>
      </c>
      <c r="K308" s="0" t="n">
        <f aca="false">IF($F308=0,0,INDEX(Aux_HH!$H$4:$H$18,MATCH($B308&amp;"|"&amp;$E308,Aux_HH!$A$4:$A$18,0)))</f>
        <v>0</v>
      </c>
      <c r="L308" s="0" t="n">
        <f aca="false">IF($F308=0,0,INDEX(Aux_HH!$I$4:$I$18,MATCH($B308&amp;"|"&amp;$E308,Aux_HH!$A$4:$A$18,0)))</f>
        <v>0</v>
      </c>
    </row>
    <row r="309" customFormat="false" ht="15" hidden="false" customHeight="false" outlineLevel="0" collapsed="false">
      <c r="A309" s="0" t="str">
        <f aca="false">IF(Frota!$A10="","",Frota!$A10)</f>
        <v>Trator NH T7.315 — 402</v>
      </c>
      <c r="B309" s="0" t="str">
        <f aca="false">IF(Frota!$A10="","",Frota!$B10)</f>
        <v>Trator</v>
      </c>
      <c r="C309" s="0" t="n">
        <v>46</v>
      </c>
      <c r="D309" s="0" t="n">
        <f aca="false">INDEX(Semanas!$E$3:$E$54,46)</f>
        <v>2</v>
      </c>
      <c r="E309" s="0" t="str">
        <f aca="false">IF(Frota!$A10="","",Cronograma!AU10)</f>
        <v/>
      </c>
      <c r="F309" s="0" t="n">
        <f aca="false">IF(OR($E309="",$E309=0),0,1)</f>
        <v>0</v>
      </c>
      <c r="G309" s="0" t="n">
        <f aca="false">IF($F309=0,0,INDEX(Aux_HH!$D$4:$D$18,MATCH($B309&amp;"|"&amp;$E309,Aux_HH!$A$4:$A$18,0)))</f>
        <v>0</v>
      </c>
      <c r="H309" s="0" t="n">
        <f aca="false">IF($F309=0,0,INDEX(Aux_HH!$E$4:$E$18,MATCH($B309&amp;"|"&amp;$E309,Aux_HH!$A$4:$A$18,0)))</f>
        <v>0</v>
      </c>
      <c r="I309" s="0" t="n">
        <f aca="false">IF($F309=0,0,INDEX(Aux_HH!$F$4:$F$18,MATCH($B309&amp;"|"&amp;$E309,Aux_HH!$A$4:$A$18,0)))</f>
        <v>0</v>
      </c>
      <c r="J309" s="0" t="n">
        <f aca="false">IF($F309=0,0,INDEX(Aux_HH!$G$4:$G$18,MATCH($B309&amp;"|"&amp;$E309,Aux_HH!$A$4:$A$18,0)))</f>
        <v>0</v>
      </c>
      <c r="K309" s="0" t="n">
        <f aca="false">IF($F309=0,0,INDEX(Aux_HH!$H$4:$H$18,MATCH($B309&amp;"|"&amp;$E309,Aux_HH!$A$4:$A$18,0)))</f>
        <v>0</v>
      </c>
      <c r="L309" s="0" t="n">
        <f aca="false">IF($F309=0,0,INDEX(Aux_HH!$I$4:$I$18,MATCH($B309&amp;"|"&amp;$E309,Aux_HH!$A$4:$A$18,0)))</f>
        <v>0</v>
      </c>
    </row>
    <row r="310" customFormat="false" ht="15" hidden="false" customHeight="false" outlineLevel="0" collapsed="false">
      <c r="A310" s="0" t="str">
        <f aca="false">IF(Frota!$A10="","",Frota!$A10)</f>
        <v>Trator NH T7.315 — 402</v>
      </c>
      <c r="B310" s="0" t="str">
        <f aca="false">IF(Frota!$A10="","",Frota!$B10)</f>
        <v>Trator</v>
      </c>
      <c r="C310" s="0" t="n">
        <v>47</v>
      </c>
      <c r="D310" s="0" t="n">
        <f aca="false">INDEX(Semanas!$E$3:$E$54,47)</f>
        <v>2</v>
      </c>
      <c r="E310" s="0" t="str">
        <f aca="false">IF(Frota!$A10="","",Cronograma!AV10)</f>
        <v/>
      </c>
      <c r="F310" s="0" t="n">
        <f aca="false">IF(OR($E310="",$E310=0),0,1)</f>
        <v>0</v>
      </c>
      <c r="G310" s="0" t="n">
        <f aca="false">IF($F310=0,0,INDEX(Aux_HH!$D$4:$D$18,MATCH($B310&amp;"|"&amp;$E310,Aux_HH!$A$4:$A$18,0)))</f>
        <v>0</v>
      </c>
      <c r="H310" s="0" t="n">
        <f aca="false">IF($F310=0,0,INDEX(Aux_HH!$E$4:$E$18,MATCH($B310&amp;"|"&amp;$E310,Aux_HH!$A$4:$A$18,0)))</f>
        <v>0</v>
      </c>
      <c r="I310" s="0" t="n">
        <f aca="false">IF($F310=0,0,INDEX(Aux_HH!$F$4:$F$18,MATCH($B310&amp;"|"&amp;$E310,Aux_HH!$A$4:$A$18,0)))</f>
        <v>0</v>
      </c>
      <c r="J310" s="0" t="n">
        <f aca="false">IF($F310=0,0,INDEX(Aux_HH!$G$4:$G$18,MATCH($B310&amp;"|"&amp;$E310,Aux_HH!$A$4:$A$18,0)))</f>
        <v>0</v>
      </c>
      <c r="K310" s="0" t="n">
        <f aca="false">IF($F310=0,0,INDEX(Aux_HH!$H$4:$H$18,MATCH($B310&amp;"|"&amp;$E310,Aux_HH!$A$4:$A$18,0)))</f>
        <v>0</v>
      </c>
      <c r="L310" s="0" t="n">
        <f aca="false">IF($F310=0,0,INDEX(Aux_HH!$I$4:$I$18,MATCH($B310&amp;"|"&amp;$E310,Aux_HH!$A$4:$A$18,0)))</f>
        <v>0</v>
      </c>
    </row>
    <row r="311" customFormat="false" ht="15" hidden="false" customHeight="false" outlineLevel="0" collapsed="false">
      <c r="A311" s="0" t="str">
        <f aca="false">IF(Frota!$A10="","",Frota!$A10)</f>
        <v>Trator NH T7.315 — 402</v>
      </c>
      <c r="B311" s="0" t="str">
        <f aca="false">IF(Frota!$A10="","",Frota!$B10)</f>
        <v>Trator</v>
      </c>
      <c r="C311" s="0" t="n">
        <v>48</v>
      </c>
      <c r="D311" s="0" t="n">
        <f aca="false">INDEX(Semanas!$E$3:$E$54,48)</f>
        <v>2</v>
      </c>
      <c r="E311" s="0" t="str">
        <f aca="false">IF(Frota!$A10="","",Cronograma!AW10)</f>
        <v/>
      </c>
      <c r="F311" s="0" t="n">
        <f aca="false">IF(OR($E311="",$E311=0),0,1)</f>
        <v>0</v>
      </c>
      <c r="G311" s="0" t="n">
        <f aca="false">IF($F311=0,0,INDEX(Aux_HH!$D$4:$D$18,MATCH($B311&amp;"|"&amp;$E311,Aux_HH!$A$4:$A$18,0)))</f>
        <v>0</v>
      </c>
      <c r="H311" s="0" t="n">
        <f aca="false">IF($F311=0,0,INDEX(Aux_HH!$E$4:$E$18,MATCH($B311&amp;"|"&amp;$E311,Aux_HH!$A$4:$A$18,0)))</f>
        <v>0</v>
      </c>
      <c r="I311" s="0" t="n">
        <f aca="false">IF($F311=0,0,INDEX(Aux_HH!$F$4:$F$18,MATCH($B311&amp;"|"&amp;$E311,Aux_HH!$A$4:$A$18,0)))</f>
        <v>0</v>
      </c>
      <c r="J311" s="0" t="n">
        <f aca="false">IF($F311=0,0,INDEX(Aux_HH!$G$4:$G$18,MATCH($B311&amp;"|"&amp;$E311,Aux_HH!$A$4:$A$18,0)))</f>
        <v>0</v>
      </c>
      <c r="K311" s="0" t="n">
        <f aca="false">IF($F311=0,0,INDEX(Aux_HH!$H$4:$H$18,MATCH($B311&amp;"|"&amp;$E311,Aux_HH!$A$4:$A$18,0)))</f>
        <v>0</v>
      </c>
      <c r="L311" s="0" t="n">
        <f aca="false">IF($F311=0,0,INDEX(Aux_HH!$I$4:$I$18,MATCH($B311&amp;"|"&amp;$E311,Aux_HH!$A$4:$A$18,0)))</f>
        <v>0</v>
      </c>
    </row>
    <row r="312" customFormat="false" ht="15" hidden="false" customHeight="false" outlineLevel="0" collapsed="false">
      <c r="A312" s="0" t="str">
        <f aca="false">IF(Frota!$A10="","",Frota!$A10)</f>
        <v>Trator NH T7.315 — 402</v>
      </c>
      <c r="B312" s="0" t="str">
        <f aca="false">IF(Frota!$A10="","",Frota!$B10)</f>
        <v>Trator</v>
      </c>
      <c r="C312" s="0" t="n">
        <v>49</v>
      </c>
      <c r="D312" s="0" t="n">
        <f aca="false">INDEX(Semanas!$E$3:$E$54,49)</f>
        <v>3</v>
      </c>
      <c r="E312" s="0" t="str">
        <f aca="false">IF(Frota!$A10="","",Cronograma!AX10)</f>
        <v/>
      </c>
      <c r="F312" s="0" t="n">
        <f aca="false">IF(OR($E312="",$E312=0),0,1)</f>
        <v>0</v>
      </c>
      <c r="G312" s="0" t="n">
        <f aca="false">IF($F312=0,0,INDEX(Aux_HH!$D$4:$D$18,MATCH($B312&amp;"|"&amp;$E312,Aux_HH!$A$4:$A$18,0)))</f>
        <v>0</v>
      </c>
      <c r="H312" s="0" t="n">
        <f aca="false">IF($F312=0,0,INDEX(Aux_HH!$E$4:$E$18,MATCH($B312&amp;"|"&amp;$E312,Aux_HH!$A$4:$A$18,0)))</f>
        <v>0</v>
      </c>
      <c r="I312" s="0" t="n">
        <f aca="false">IF($F312=0,0,INDEX(Aux_HH!$F$4:$F$18,MATCH($B312&amp;"|"&amp;$E312,Aux_HH!$A$4:$A$18,0)))</f>
        <v>0</v>
      </c>
      <c r="J312" s="0" t="n">
        <f aca="false">IF($F312=0,0,INDEX(Aux_HH!$G$4:$G$18,MATCH($B312&amp;"|"&amp;$E312,Aux_HH!$A$4:$A$18,0)))</f>
        <v>0</v>
      </c>
      <c r="K312" s="0" t="n">
        <f aca="false">IF($F312=0,0,INDEX(Aux_HH!$H$4:$H$18,MATCH($B312&amp;"|"&amp;$E312,Aux_HH!$A$4:$A$18,0)))</f>
        <v>0</v>
      </c>
      <c r="L312" s="0" t="n">
        <f aca="false">IF($F312=0,0,INDEX(Aux_HH!$I$4:$I$18,MATCH($B312&amp;"|"&amp;$E312,Aux_HH!$A$4:$A$18,0)))</f>
        <v>0</v>
      </c>
    </row>
    <row r="313" customFormat="false" ht="15" hidden="false" customHeight="false" outlineLevel="0" collapsed="false">
      <c r="A313" s="0" t="str">
        <f aca="false">IF(Frota!$A10="","",Frota!$A10)</f>
        <v>Trator NH T7.315 — 402</v>
      </c>
      <c r="B313" s="0" t="str">
        <f aca="false">IF(Frota!$A10="","",Frota!$B10)</f>
        <v>Trator</v>
      </c>
      <c r="C313" s="0" t="n">
        <v>50</v>
      </c>
      <c r="D313" s="0" t="n">
        <f aca="false">INDEX(Semanas!$E$3:$E$54,50)</f>
        <v>3</v>
      </c>
      <c r="E313" s="0" t="str">
        <f aca="false">IF(Frota!$A10="","",Cronograma!AY10)</f>
        <v/>
      </c>
      <c r="F313" s="0" t="n">
        <f aca="false">IF(OR($E313="",$E313=0),0,1)</f>
        <v>0</v>
      </c>
      <c r="G313" s="0" t="n">
        <f aca="false">IF($F313=0,0,INDEX(Aux_HH!$D$4:$D$18,MATCH($B313&amp;"|"&amp;$E313,Aux_HH!$A$4:$A$18,0)))</f>
        <v>0</v>
      </c>
      <c r="H313" s="0" t="n">
        <f aca="false">IF($F313=0,0,INDEX(Aux_HH!$E$4:$E$18,MATCH($B313&amp;"|"&amp;$E313,Aux_HH!$A$4:$A$18,0)))</f>
        <v>0</v>
      </c>
      <c r="I313" s="0" t="n">
        <f aca="false">IF($F313=0,0,INDEX(Aux_HH!$F$4:$F$18,MATCH($B313&amp;"|"&amp;$E313,Aux_HH!$A$4:$A$18,0)))</f>
        <v>0</v>
      </c>
      <c r="J313" s="0" t="n">
        <f aca="false">IF($F313=0,0,INDEX(Aux_HH!$G$4:$G$18,MATCH($B313&amp;"|"&amp;$E313,Aux_HH!$A$4:$A$18,0)))</f>
        <v>0</v>
      </c>
      <c r="K313" s="0" t="n">
        <f aca="false">IF($F313=0,0,INDEX(Aux_HH!$H$4:$H$18,MATCH($B313&amp;"|"&amp;$E313,Aux_HH!$A$4:$A$18,0)))</f>
        <v>0</v>
      </c>
      <c r="L313" s="0" t="n">
        <f aca="false">IF($F313=0,0,INDEX(Aux_HH!$I$4:$I$18,MATCH($B313&amp;"|"&amp;$E313,Aux_HH!$A$4:$A$18,0)))</f>
        <v>0</v>
      </c>
    </row>
    <row r="314" customFormat="false" ht="15" hidden="false" customHeight="false" outlineLevel="0" collapsed="false">
      <c r="A314" s="0" t="str">
        <f aca="false">IF(Frota!$A10="","",Frota!$A10)</f>
        <v>Trator NH T7.315 — 402</v>
      </c>
      <c r="B314" s="0" t="str">
        <f aca="false">IF(Frota!$A10="","",Frota!$B10)</f>
        <v>Trator</v>
      </c>
      <c r="C314" s="0" t="n">
        <v>51</v>
      </c>
      <c r="D314" s="0" t="n">
        <f aca="false">INDEX(Semanas!$E$3:$E$54,51)</f>
        <v>3</v>
      </c>
      <c r="E314" s="0" t="str">
        <f aca="false">IF(Frota!$A10="","",Cronograma!AZ10)</f>
        <v>B</v>
      </c>
      <c r="F314" s="0" t="n">
        <f aca="false">IF(OR($E314="",$E314=0),0,1)</f>
        <v>1</v>
      </c>
      <c r="G314" s="0" t="n">
        <f aca="false">IF($F314=0,0,INDEX(Aux_HH!$D$4:$D$18,MATCH($B314&amp;"|"&amp;$E314,Aux_HH!$A$4:$A$18,0)))</f>
        <v>1.5</v>
      </c>
      <c r="H314" s="0" t="n">
        <f aca="false">IF($F314=0,0,INDEX(Aux_HH!$E$4:$E$18,MATCH($B314&amp;"|"&amp;$E314,Aux_HH!$A$4:$A$18,0)))</f>
        <v>0</v>
      </c>
      <c r="I314" s="0" t="n">
        <f aca="false">IF($F314=0,0,INDEX(Aux_HH!$F$4:$F$18,MATCH($B314&amp;"|"&amp;$E314,Aux_HH!$A$4:$A$18,0)))</f>
        <v>0</v>
      </c>
      <c r="J314" s="0" t="n">
        <f aca="false">IF($F314=0,0,INDEX(Aux_HH!$G$4:$G$18,MATCH($B314&amp;"|"&amp;$E314,Aux_HH!$A$4:$A$18,0)))</f>
        <v>0.5</v>
      </c>
      <c r="K314" s="0" t="n">
        <f aca="false">IF($F314=0,0,INDEX(Aux_HH!$H$4:$H$18,MATCH($B314&amp;"|"&amp;$E314,Aux_HH!$A$4:$A$18,0)))</f>
        <v>0</v>
      </c>
      <c r="L314" s="0" t="n">
        <f aca="false">IF($F314=0,0,INDEX(Aux_HH!$I$4:$I$18,MATCH($B314&amp;"|"&amp;$E314,Aux_HH!$A$4:$A$18,0)))</f>
        <v>0</v>
      </c>
    </row>
    <row r="315" customFormat="false" ht="15" hidden="false" customHeight="false" outlineLevel="0" collapsed="false">
      <c r="A315" s="0" t="str">
        <f aca="false">IF(Frota!$A10="","",Frota!$A10)</f>
        <v>Trator NH T7.315 — 402</v>
      </c>
      <c r="B315" s="0" t="str">
        <f aca="false">IF(Frota!$A10="","",Frota!$B10)</f>
        <v>Trator</v>
      </c>
      <c r="C315" s="0" t="n">
        <v>52</v>
      </c>
      <c r="D315" s="0" t="n">
        <f aca="false">INDEX(Semanas!$E$3:$E$54,52)</f>
        <v>3</v>
      </c>
      <c r="E315" s="0" t="str">
        <f aca="false">IF(Frota!$A10="","",Cronograma!BA10)</f>
        <v/>
      </c>
      <c r="F315" s="0" t="n">
        <f aca="false">IF(OR($E315="",$E315=0),0,1)</f>
        <v>0</v>
      </c>
      <c r="G315" s="0" t="n">
        <f aca="false">IF($F315=0,0,INDEX(Aux_HH!$D$4:$D$18,MATCH($B315&amp;"|"&amp;$E315,Aux_HH!$A$4:$A$18,0)))</f>
        <v>0</v>
      </c>
      <c r="H315" s="0" t="n">
        <f aca="false">IF($F315=0,0,INDEX(Aux_HH!$E$4:$E$18,MATCH($B315&amp;"|"&amp;$E315,Aux_HH!$A$4:$A$18,0)))</f>
        <v>0</v>
      </c>
      <c r="I315" s="0" t="n">
        <f aca="false">IF($F315=0,0,INDEX(Aux_HH!$F$4:$F$18,MATCH($B315&amp;"|"&amp;$E315,Aux_HH!$A$4:$A$18,0)))</f>
        <v>0</v>
      </c>
      <c r="J315" s="0" t="n">
        <f aca="false">IF($F315=0,0,INDEX(Aux_HH!$G$4:$G$18,MATCH($B315&amp;"|"&amp;$E315,Aux_HH!$A$4:$A$18,0)))</f>
        <v>0</v>
      </c>
      <c r="K315" s="0" t="n">
        <f aca="false">IF($F315=0,0,INDEX(Aux_HH!$H$4:$H$18,MATCH($B315&amp;"|"&amp;$E315,Aux_HH!$A$4:$A$18,0)))</f>
        <v>0</v>
      </c>
      <c r="L315" s="0" t="n">
        <f aca="false">IF($F315=0,0,INDEX(Aux_HH!$I$4:$I$18,MATCH($B315&amp;"|"&amp;$E315,Aux_HH!$A$4:$A$18,0)))</f>
        <v>0</v>
      </c>
    </row>
    <row r="316" customFormat="false" ht="15" hidden="false" customHeight="false" outlineLevel="0" collapsed="false">
      <c r="A316" s="0" t="str">
        <f aca="false">IF(Frota!$A11="","",Frota!$A11)</f>
        <v>Trator Case Puma 175 — 403</v>
      </c>
      <c r="B316" s="0" t="str">
        <f aca="false">IF(Frota!$A11="","",Frota!$B11)</f>
        <v>Trator</v>
      </c>
      <c r="C316" s="0" t="n">
        <v>1</v>
      </c>
      <c r="D316" s="0" t="n">
        <f aca="false">INDEX(Semanas!$E$3:$E$54,1)</f>
        <v>4</v>
      </c>
      <c r="E316" s="0" t="str">
        <f aca="false">IF(Frota!$A11="","",Cronograma!B11)</f>
        <v/>
      </c>
      <c r="F316" s="0" t="n">
        <f aca="false">IF(OR($E316="",$E316=0),0,1)</f>
        <v>0</v>
      </c>
      <c r="G316" s="0" t="n">
        <f aca="false">IF($F316=0,0,INDEX(Aux_HH!$D$4:$D$18,MATCH($B316&amp;"|"&amp;$E316,Aux_HH!$A$4:$A$18,0)))</f>
        <v>0</v>
      </c>
      <c r="H316" s="0" t="n">
        <f aca="false">IF($F316=0,0,INDEX(Aux_HH!$E$4:$E$18,MATCH($B316&amp;"|"&amp;$E316,Aux_HH!$A$4:$A$18,0)))</f>
        <v>0</v>
      </c>
      <c r="I316" s="0" t="n">
        <f aca="false">IF($F316=0,0,INDEX(Aux_HH!$F$4:$F$18,MATCH($B316&amp;"|"&amp;$E316,Aux_HH!$A$4:$A$18,0)))</f>
        <v>0</v>
      </c>
      <c r="J316" s="0" t="n">
        <f aca="false">IF($F316=0,0,INDEX(Aux_HH!$G$4:$G$18,MATCH($B316&amp;"|"&amp;$E316,Aux_HH!$A$4:$A$18,0)))</f>
        <v>0</v>
      </c>
      <c r="K316" s="0" t="n">
        <f aca="false">IF($F316=0,0,INDEX(Aux_HH!$H$4:$H$18,MATCH($B316&amp;"|"&amp;$E316,Aux_HH!$A$4:$A$18,0)))</f>
        <v>0</v>
      </c>
      <c r="L316" s="0" t="n">
        <f aca="false">IF($F316=0,0,INDEX(Aux_HH!$I$4:$I$18,MATCH($B316&amp;"|"&amp;$E316,Aux_HH!$A$4:$A$18,0)))</f>
        <v>0</v>
      </c>
    </row>
    <row r="317" customFormat="false" ht="15" hidden="false" customHeight="false" outlineLevel="0" collapsed="false">
      <c r="A317" s="0" t="str">
        <f aca="false">IF(Frota!$A11="","",Frota!$A11)</f>
        <v>Trator Case Puma 175 — 403</v>
      </c>
      <c r="B317" s="0" t="str">
        <f aca="false">IF(Frota!$A11="","",Frota!$B11)</f>
        <v>Trator</v>
      </c>
      <c r="C317" s="0" t="n">
        <v>2</v>
      </c>
      <c r="D317" s="0" t="n">
        <f aca="false">INDEX(Semanas!$E$3:$E$54,2)</f>
        <v>4</v>
      </c>
      <c r="E317" s="0" t="str">
        <f aca="false">IF(Frota!$A11="","",Cronograma!C11)</f>
        <v/>
      </c>
      <c r="F317" s="0" t="n">
        <f aca="false">IF(OR($E317="",$E317=0),0,1)</f>
        <v>0</v>
      </c>
      <c r="G317" s="0" t="n">
        <f aca="false">IF($F317=0,0,INDEX(Aux_HH!$D$4:$D$18,MATCH($B317&amp;"|"&amp;$E317,Aux_HH!$A$4:$A$18,0)))</f>
        <v>0</v>
      </c>
      <c r="H317" s="0" t="n">
        <f aca="false">IF($F317=0,0,INDEX(Aux_HH!$E$4:$E$18,MATCH($B317&amp;"|"&amp;$E317,Aux_HH!$A$4:$A$18,0)))</f>
        <v>0</v>
      </c>
      <c r="I317" s="0" t="n">
        <f aca="false">IF($F317=0,0,INDEX(Aux_HH!$F$4:$F$18,MATCH($B317&amp;"|"&amp;$E317,Aux_HH!$A$4:$A$18,0)))</f>
        <v>0</v>
      </c>
      <c r="J317" s="0" t="n">
        <f aca="false">IF($F317=0,0,INDEX(Aux_HH!$G$4:$G$18,MATCH($B317&amp;"|"&amp;$E317,Aux_HH!$A$4:$A$18,0)))</f>
        <v>0</v>
      </c>
      <c r="K317" s="0" t="n">
        <f aca="false">IF($F317=0,0,INDEX(Aux_HH!$H$4:$H$18,MATCH($B317&amp;"|"&amp;$E317,Aux_HH!$A$4:$A$18,0)))</f>
        <v>0</v>
      </c>
      <c r="L317" s="0" t="n">
        <f aca="false">IF($F317=0,0,INDEX(Aux_HH!$I$4:$I$18,MATCH($B317&amp;"|"&amp;$E317,Aux_HH!$A$4:$A$18,0)))</f>
        <v>0</v>
      </c>
    </row>
    <row r="318" customFormat="false" ht="15" hidden="false" customHeight="false" outlineLevel="0" collapsed="false">
      <c r="A318" s="0" t="str">
        <f aca="false">IF(Frota!$A11="","",Frota!$A11)</f>
        <v>Trator Case Puma 175 — 403</v>
      </c>
      <c r="B318" s="0" t="str">
        <f aca="false">IF(Frota!$A11="","",Frota!$B11)</f>
        <v>Trator</v>
      </c>
      <c r="C318" s="0" t="n">
        <v>3</v>
      </c>
      <c r="D318" s="0" t="n">
        <f aca="false">INDEX(Semanas!$E$3:$E$54,3)</f>
        <v>4</v>
      </c>
      <c r="E318" s="0" t="str">
        <f aca="false">IF(Frota!$A11="","",Cronograma!D11)</f>
        <v/>
      </c>
      <c r="F318" s="0" t="n">
        <f aca="false">IF(OR($E318="",$E318=0),0,1)</f>
        <v>0</v>
      </c>
      <c r="G318" s="0" t="n">
        <f aca="false">IF($F318=0,0,INDEX(Aux_HH!$D$4:$D$18,MATCH($B318&amp;"|"&amp;$E318,Aux_HH!$A$4:$A$18,0)))</f>
        <v>0</v>
      </c>
      <c r="H318" s="0" t="n">
        <f aca="false">IF($F318=0,0,INDEX(Aux_HH!$E$4:$E$18,MATCH($B318&amp;"|"&amp;$E318,Aux_HH!$A$4:$A$18,0)))</f>
        <v>0</v>
      </c>
      <c r="I318" s="0" t="n">
        <f aca="false">IF($F318=0,0,INDEX(Aux_HH!$F$4:$F$18,MATCH($B318&amp;"|"&amp;$E318,Aux_HH!$A$4:$A$18,0)))</f>
        <v>0</v>
      </c>
      <c r="J318" s="0" t="n">
        <f aca="false">IF($F318=0,0,INDEX(Aux_HH!$G$4:$G$18,MATCH($B318&amp;"|"&amp;$E318,Aux_HH!$A$4:$A$18,0)))</f>
        <v>0</v>
      </c>
      <c r="K318" s="0" t="n">
        <f aca="false">IF($F318=0,0,INDEX(Aux_HH!$H$4:$H$18,MATCH($B318&amp;"|"&amp;$E318,Aux_HH!$A$4:$A$18,0)))</f>
        <v>0</v>
      </c>
      <c r="L318" s="0" t="n">
        <f aca="false">IF($F318=0,0,INDEX(Aux_HH!$I$4:$I$18,MATCH($B318&amp;"|"&amp;$E318,Aux_HH!$A$4:$A$18,0)))</f>
        <v>0</v>
      </c>
    </row>
    <row r="319" customFormat="false" ht="15" hidden="false" customHeight="false" outlineLevel="0" collapsed="false">
      <c r="A319" s="0" t="str">
        <f aca="false">IF(Frota!$A11="","",Frota!$A11)</f>
        <v>Trator Case Puma 175 — 403</v>
      </c>
      <c r="B319" s="0" t="str">
        <f aca="false">IF(Frota!$A11="","",Frota!$B11)</f>
        <v>Trator</v>
      </c>
      <c r="C319" s="0" t="n">
        <v>4</v>
      </c>
      <c r="D319" s="0" t="n">
        <f aca="false">INDEX(Semanas!$E$3:$E$54,4)</f>
        <v>4</v>
      </c>
      <c r="E319" s="0" t="str">
        <f aca="false">IF(Frota!$A11="","",Cronograma!E11)</f>
        <v>S</v>
      </c>
      <c r="F319" s="0" t="n">
        <f aca="false">IF(OR($E319="",$E319=0),0,1)</f>
        <v>1</v>
      </c>
      <c r="G319" s="0" t="n">
        <f aca="false">IF($F319=0,0,INDEX(Aux_HH!$D$4:$D$18,MATCH($B319&amp;"|"&amp;$E319,Aux_HH!$A$4:$A$18,0)))</f>
        <v>1.5</v>
      </c>
      <c r="H319" s="0" t="n">
        <f aca="false">IF($F319=0,0,INDEX(Aux_HH!$E$4:$E$18,MATCH($B319&amp;"|"&amp;$E319,Aux_HH!$A$4:$A$18,0)))</f>
        <v>0</v>
      </c>
      <c r="I319" s="0" t="n">
        <f aca="false">IF($F319=0,0,INDEX(Aux_HH!$F$4:$F$18,MATCH($B319&amp;"|"&amp;$E319,Aux_HH!$A$4:$A$18,0)))</f>
        <v>0</v>
      </c>
      <c r="J319" s="0" t="n">
        <f aca="false">IF($F319=0,0,INDEX(Aux_HH!$G$4:$G$18,MATCH($B319&amp;"|"&amp;$E319,Aux_HH!$A$4:$A$18,0)))</f>
        <v>0.5</v>
      </c>
      <c r="K319" s="0" t="n">
        <f aca="false">IF($F319=0,0,INDEX(Aux_HH!$H$4:$H$18,MATCH($B319&amp;"|"&amp;$E319,Aux_HH!$A$4:$A$18,0)))</f>
        <v>0</v>
      </c>
      <c r="L319" s="0" t="n">
        <f aca="false">IF($F319=0,0,INDEX(Aux_HH!$I$4:$I$18,MATCH($B319&amp;"|"&amp;$E319,Aux_HH!$A$4:$A$18,0)))</f>
        <v>0</v>
      </c>
    </row>
    <row r="320" customFormat="false" ht="15" hidden="false" customHeight="false" outlineLevel="0" collapsed="false">
      <c r="A320" s="0" t="str">
        <f aca="false">IF(Frota!$A11="","",Frota!$A11)</f>
        <v>Trator Case Puma 175 — 403</v>
      </c>
      <c r="B320" s="0" t="str">
        <f aca="false">IF(Frota!$A11="","",Frota!$B11)</f>
        <v>Trator</v>
      </c>
      <c r="C320" s="0" t="n">
        <v>5</v>
      </c>
      <c r="D320" s="0" t="n">
        <f aca="false">INDEX(Semanas!$E$3:$E$54,5)</f>
        <v>4</v>
      </c>
      <c r="E320" s="0" t="str">
        <f aca="false">IF(Frota!$A11="","",Cronograma!F11)</f>
        <v/>
      </c>
      <c r="F320" s="0" t="n">
        <f aca="false">IF(OR($E320="",$E320=0),0,1)</f>
        <v>0</v>
      </c>
      <c r="G320" s="0" t="n">
        <f aca="false">IF($F320=0,0,INDEX(Aux_HH!$D$4:$D$18,MATCH($B320&amp;"|"&amp;$E320,Aux_HH!$A$4:$A$18,0)))</f>
        <v>0</v>
      </c>
      <c r="H320" s="0" t="n">
        <f aca="false">IF($F320=0,0,INDEX(Aux_HH!$E$4:$E$18,MATCH($B320&amp;"|"&amp;$E320,Aux_HH!$A$4:$A$18,0)))</f>
        <v>0</v>
      </c>
      <c r="I320" s="0" t="n">
        <f aca="false">IF($F320=0,0,INDEX(Aux_HH!$F$4:$F$18,MATCH($B320&amp;"|"&amp;$E320,Aux_HH!$A$4:$A$18,0)))</f>
        <v>0</v>
      </c>
      <c r="J320" s="0" t="n">
        <f aca="false">IF($F320=0,0,INDEX(Aux_HH!$G$4:$G$18,MATCH($B320&amp;"|"&amp;$E320,Aux_HH!$A$4:$A$18,0)))</f>
        <v>0</v>
      </c>
      <c r="K320" s="0" t="n">
        <f aca="false">IF($F320=0,0,INDEX(Aux_HH!$H$4:$H$18,MATCH($B320&amp;"|"&amp;$E320,Aux_HH!$A$4:$A$18,0)))</f>
        <v>0</v>
      </c>
      <c r="L320" s="0" t="n">
        <f aca="false">IF($F320=0,0,INDEX(Aux_HH!$I$4:$I$18,MATCH($B320&amp;"|"&amp;$E320,Aux_HH!$A$4:$A$18,0)))</f>
        <v>0</v>
      </c>
    </row>
    <row r="321" customFormat="false" ht="15" hidden="false" customHeight="false" outlineLevel="0" collapsed="false">
      <c r="A321" s="0" t="str">
        <f aca="false">IF(Frota!$A11="","",Frota!$A11)</f>
        <v>Trator Case Puma 175 — 403</v>
      </c>
      <c r="B321" s="0" t="str">
        <f aca="false">IF(Frota!$A11="","",Frota!$B11)</f>
        <v>Trator</v>
      </c>
      <c r="C321" s="0" t="n">
        <v>6</v>
      </c>
      <c r="D321" s="0" t="n">
        <f aca="false">INDEX(Semanas!$E$3:$E$54,6)</f>
        <v>5</v>
      </c>
      <c r="E321" s="0" t="str">
        <f aca="false">IF(Frota!$A11="","",Cronograma!G11)</f>
        <v/>
      </c>
      <c r="F321" s="0" t="n">
        <f aca="false">IF(OR($E321="",$E321=0),0,1)</f>
        <v>0</v>
      </c>
      <c r="G321" s="0" t="n">
        <f aca="false">IF($F321=0,0,INDEX(Aux_HH!$D$4:$D$18,MATCH($B321&amp;"|"&amp;$E321,Aux_HH!$A$4:$A$18,0)))</f>
        <v>0</v>
      </c>
      <c r="H321" s="0" t="n">
        <f aca="false">IF($F321=0,0,INDEX(Aux_HH!$E$4:$E$18,MATCH($B321&amp;"|"&amp;$E321,Aux_HH!$A$4:$A$18,0)))</f>
        <v>0</v>
      </c>
      <c r="I321" s="0" t="n">
        <f aca="false">IF($F321=0,0,INDEX(Aux_HH!$F$4:$F$18,MATCH($B321&amp;"|"&amp;$E321,Aux_HH!$A$4:$A$18,0)))</f>
        <v>0</v>
      </c>
      <c r="J321" s="0" t="n">
        <f aca="false">IF($F321=0,0,INDEX(Aux_HH!$G$4:$G$18,MATCH($B321&amp;"|"&amp;$E321,Aux_HH!$A$4:$A$18,0)))</f>
        <v>0</v>
      </c>
      <c r="K321" s="0" t="n">
        <f aca="false">IF($F321=0,0,INDEX(Aux_HH!$H$4:$H$18,MATCH($B321&amp;"|"&amp;$E321,Aux_HH!$A$4:$A$18,0)))</f>
        <v>0</v>
      </c>
      <c r="L321" s="0" t="n">
        <f aca="false">IF($F321=0,0,INDEX(Aux_HH!$I$4:$I$18,MATCH($B321&amp;"|"&amp;$E321,Aux_HH!$A$4:$A$18,0)))</f>
        <v>0</v>
      </c>
    </row>
    <row r="322" customFormat="false" ht="15" hidden="false" customHeight="false" outlineLevel="0" collapsed="false">
      <c r="A322" s="0" t="str">
        <f aca="false">IF(Frota!$A11="","",Frota!$A11)</f>
        <v>Trator Case Puma 175 — 403</v>
      </c>
      <c r="B322" s="0" t="str">
        <f aca="false">IF(Frota!$A11="","",Frota!$B11)</f>
        <v>Trator</v>
      </c>
      <c r="C322" s="0" t="n">
        <v>7</v>
      </c>
      <c r="D322" s="0" t="n">
        <f aca="false">INDEX(Semanas!$E$3:$E$54,7)</f>
        <v>5</v>
      </c>
      <c r="E322" s="0" t="str">
        <f aca="false">IF(Frota!$A11="","",Cronograma!H11)</f>
        <v/>
      </c>
      <c r="F322" s="0" t="n">
        <f aca="false">IF(OR($E322="",$E322=0),0,1)</f>
        <v>0</v>
      </c>
      <c r="G322" s="0" t="n">
        <f aca="false">IF($F322=0,0,INDEX(Aux_HH!$D$4:$D$18,MATCH($B322&amp;"|"&amp;$E322,Aux_HH!$A$4:$A$18,0)))</f>
        <v>0</v>
      </c>
      <c r="H322" s="0" t="n">
        <f aca="false">IF($F322=0,0,INDEX(Aux_HH!$E$4:$E$18,MATCH($B322&amp;"|"&amp;$E322,Aux_HH!$A$4:$A$18,0)))</f>
        <v>0</v>
      </c>
      <c r="I322" s="0" t="n">
        <f aca="false">IF($F322=0,0,INDEX(Aux_HH!$F$4:$F$18,MATCH($B322&amp;"|"&amp;$E322,Aux_HH!$A$4:$A$18,0)))</f>
        <v>0</v>
      </c>
      <c r="J322" s="0" t="n">
        <f aca="false">IF($F322=0,0,INDEX(Aux_HH!$G$4:$G$18,MATCH($B322&amp;"|"&amp;$E322,Aux_HH!$A$4:$A$18,0)))</f>
        <v>0</v>
      </c>
      <c r="K322" s="0" t="n">
        <f aca="false">IF($F322=0,0,INDEX(Aux_HH!$H$4:$H$18,MATCH($B322&amp;"|"&amp;$E322,Aux_HH!$A$4:$A$18,0)))</f>
        <v>0</v>
      </c>
      <c r="L322" s="0" t="n">
        <f aca="false">IF($F322=0,0,INDEX(Aux_HH!$I$4:$I$18,MATCH($B322&amp;"|"&amp;$E322,Aux_HH!$A$4:$A$18,0)))</f>
        <v>0</v>
      </c>
    </row>
    <row r="323" customFormat="false" ht="15" hidden="false" customHeight="false" outlineLevel="0" collapsed="false">
      <c r="A323" s="0" t="str">
        <f aca="false">IF(Frota!$A11="","",Frota!$A11)</f>
        <v>Trator Case Puma 175 — 403</v>
      </c>
      <c r="B323" s="0" t="str">
        <f aca="false">IF(Frota!$A11="","",Frota!$B11)</f>
        <v>Trator</v>
      </c>
      <c r="C323" s="0" t="n">
        <v>8</v>
      </c>
      <c r="D323" s="0" t="n">
        <f aca="false">INDEX(Semanas!$E$3:$E$54,8)</f>
        <v>5</v>
      </c>
      <c r="E323" s="0" t="str">
        <f aca="false">IF(Frota!$A11="","",Cronograma!I11)</f>
        <v/>
      </c>
      <c r="F323" s="0" t="n">
        <f aca="false">IF(OR($E323="",$E323=0),0,1)</f>
        <v>0</v>
      </c>
      <c r="G323" s="0" t="n">
        <f aca="false">IF($F323=0,0,INDEX(Aux_HH!$D$4:$D$18,MATCH($B323&amp;"|"&amp;$E323,Aux_HH!$A$4:$A$18,0)))</f>
        <v>0</v>
      </c>
      <c r="H323" s="0" t="n">
        <f aca="false">IF($F323=0,0,INDEX(Aux_HH!$E$4:$E$18,MATCH($B323&amp;"|"&amp;$E323,Aux_HH!$A$4:$A$18,0)))</f>
        <v>0</v>
      </c>
      <c r="I323" s="0" t="n">
        <f aca="false">IF($F323=0,0,INDEX(Aux_HH!$F$4:$F$18,MATCH($B323&amp;"|"&amp;$E323,Aux_HH!$A$4:$A$18,0)))</f>
        <v>0</v>
      </c>
      <c r="J323" s="0" t="n">
        <f aca="false">IF($F323=0,0,INDEX(Aux_HH!$G$4:$G$18,MATCH($B323&amp;"|"&amp;$E323,Aux_HH!$A$4:$A$18,0)))</f>
        <v>0</v>
      </c>
      <c r="K323" s="0" t="n">
        <f aca="false">IF($F323=0,0,INDEX(Aux_HH!$H$4:$H$18,MATCH($B323&amp;"|"&amp;$E323,Aux_HH!$A$4:$A$18,0)))</f>
        <v>0</v>
      </c>
      <c r="L323" s="0" t="n">
        <f aca="false">IF($F323=0,0,INDEX(Aux_HH!$I$4:$I$18,MATCH($B323&amp;"|"&amp;$E323,Aux_HH!$A$4:$A$18,0)))</f>
        <v>0</v>
      </c>
    </row>
    <row r="324" customFormat="false" ht="15" hidden="false" customHeight="false" outlineLevel="0" collapsed="false">
      <c r="A324" s="0" t="str">
        <f aca="false">IF(Frota!$A11="","",Frota!$A11)</f>
        <v>Trator Case Puma 175 — 403</v>
      </c>
      <c r="B324" s="0" t="str">
        <f aca="false">IF(Frota!$A11="","",Frota!$B11)</f>
        <v>Trator</v>
      </c>
      <c r="C324" s="0" t="n">
        <v>9</v>
      </c>
      <c r="D324" s="0" t="n">
        <f aca="false">INDEX(Semanas!$E$3:$E$54,9)</f>
        <v>5</v>
      </c>
      <c r="E324" s="0" t="str">
        <f aca="false">IF(Frota!$A11="","",Cronograma!J11)</f>
        <v>A</v>
      </c>
      <c r="F324" s="0" t="n">
        <f aca="false">IF(OR($E324="",$E324=0),0,1)</f>
        <v>1</v>
      </c>
      <c r="G324" s="0" t="n">
        <f aca="false">IF($F324=0,0,INDEX(Aux_HH!$D$4:$D$18,MATCH($B324&amp;"|"&amp;$E324,Aux_HH!$A$4:$A$18,0)))</f>
        <v>1.5</v>
      </c>
      <c r="H324" s="0" t="n">
        <f aca="false">IF($F324=0,0,INDEX(Aux_HH!$E$4:$E$18,MATCH($B324&amp;"|"&amp;$E324,Aux_HH!$A$4:$A$18,0)))</f>
        <v>0</v>
      </c>
      <c r="I324" s="0" t="n">
        <f aca="false">IF($F324=0,0,INDEX(Aux_HH!$F$4:$F$18,MATCH($B324&amp;"|"&amp;$E324,Aux_HH!$A$4:$A$18,0)))</f>
        <v>0</v>
      </c>
      <c r="J324" s="0" t="n">
        <f aca="false">IF($F324=0,0,INDEX(Aux_HH!$G$4:$G$18,MATCH($B324&amp;"|"&amp;$E324,Aux_HH!$A$4:$A$18,0)))</f>
        <v>0.5</v>
      </c>
      <c r="K324" s="0" t="n">
        <f aca="false">IF($F324=0,0,INDEX(Aux_HH!$H$4:$H$18,MATCH($B324&amp;"|"&amp;$E324,Aux_HH!$A$4:$A$18,0)))</f>
        <v>0</v>
      </c>
      <c r="L324" s="0" t="n">
        <f aca="false">IF($F324=0,0,INDEX(Aux_HH!$I$4:$I$18,MATCH($B324&amp;"|"&amp;$E324,Aux_HH!$A$4:$A$18,0)))</f>
        <v>0</v>
      </c>
    </row>
    <row r="325" customFormat="false" ht="15" hidden="false" customHeight="false" outlineLevel="0" collapsed="false">
      <c r="A325" s="0" t="str">
        <f aca="false">IF(Frota!$A11="","",Frota!$A11)</f>
        <v>Trator Case Puma 175 — 403</v>
      </c>
      <c r="B325" s="0" t="str">
        <f aca="false">IF(Frota!$A11="","",Frota!$B11)</f>
        <v>Trator</v>
      </c>
      <c r="C325" s="0" t="n">
        <v>10</v>
      </c>
      <c r="D325" s="0" t="n">
        <f aca="false">INDEX(Semanas!$E$3:$E$54,10)</f>
        <v>6</v>
      </c>
      <c r="E325" s="0" t="str">
        <f aca="false">IF(Frota!$A11="","",Cronograma!K11)</f>
        <v/>
      </c>
      <c r="F325" s="0" t="n">
        <f aca="false">IF(OR($E325="",$E325=0),0,1)</f>
        <v>0</v>
      </c>
      <c r="G325" s="0" t="n">
        <f aca="false">IF($F325=0,0,INDEX(Aux_HH!$D$4:$D$18,MATCH($B325&amp;"|"&amp;$E325,Aux_HH!$A$4:$A$18,0)))</f>
        <v>0</v>
      </c>
      <c r="H325" s="0" t="n">
        <f aca="false">IF($F325=0,0,INDEX(Aux_HH!$E$4:$E$18,MATCH($B325&amp;"|"&amp;$E325,Aux_HH!$A$4:$A$18,0)))</f>
        <v>0</v>
      </c>
      <c r="I325" s="0" t="n">
        <f aca="false">IF($F325=0,0,INDEX(Aux_HH!$F$4:$F$18,MATCH($B325&amp;"|"&amp;$E325,Aux_HH!$A$4:$A$18,0)))</f>
        <v>0</v>
      </c>
      <c r="J325" s="0" t="n">
        <f aca="false">IF($F325=0,0,INDEX(Aux_HH!$G$4:$G$18,MATCH($B325&amp;"|"&amp;$E325,Aux_HH!$A$4:$A$18,0)))</f>
        <v>0</v>
      </c>
      <c r="K325" s="0" t="n">
        <f aca="false">IF($F325=0,0,INDEX(Aux_HH!$H$4:$H$18,MATCH($B325&amp;"|"&amp;$E325,Aux_HH!$A$4:$A$18,0)))</f>
        <v>0</v>
      </c>
      <c r="L325" s="0" t="n">
        <f aca="false">IF($F325=0,0,INDEX(Aux_HH!$I$4:$I$18,MATCH($B325&amp;"|"&amp;$E325,Aux_HH!$A$4:$A$18,0)))</f>
        <v>0</v>
      </c>
    </row>
    <row r="326" customFormat="false" ht="15" hidden="false" customHeight="false" outlineLevel="0" collapsed="false">
      <c r="A326" s="0" t="str">
        <f aca="false">IF(Frota!$A11="","",Frota!$A11)</f>
        <v>Trator Case Puma 175 — 403</v>
      </c>
      <c r="B326" s="0" t="str">
        <f aca="false">IF(Frota!$A11="","",Frota!$B11)</f>
        <v>Trator</v>
      </c>
      <c r="C326" s="0" t="n">
        <v>11</v>
      </c>
      <c r="D326" s="0" t="n">
        <f aca="false">INDEX(Semanas!$E$3:$E$54,11)</f>
        <v>6</v>
      </c>
      <c r="E326" s="0" t="str">
        <f aca="false">IF(Frota!$A11="","",Cronograma!L11)</f>
        <v/>
      </c>
      <c r="F326" s="0" t="n">
        <f aca="false">IF(OR($E326="",$E326=0),0,1)</f>
        <v>0</v>
      </c>
      <c r="G326" s="0" t="n">
        <f aca="false">IF($F326=0,0,INDEX(Aux_HH!$D$4:$D$18,MATCH($B326&amp;"|"&amp;$E326,Aux_HH!$A$4:$A$18,0)))</f>
        <v>0</v>
      </c>
      <c r="H326" s="0" t="n">
        <f aca="false">IF($F326=0,0,INDEX(Aux_HH!$E$4:$E$18,MATCH($B326&amp;"|"&amp;$E326,Aux_HH!$A$4:$A$18,0)))</f>
        <v>0</v>
      </c>
      <c r="I326" s="0" t="n">
        <f aca="false">IF($F326=0,0,INDEX(Aux_HH!$F$4:$F$18,MATCH($B326&amp;"|"&amp;$E326,Aux_HH!$A$4:$A$18,0)))</f>
        <v>0</v>
      </c>
      <c r="J326" s="0" t="n">
        <f aca="false">IF($F326=0,0,INDEX(Aux_HH!$G$4:$G$18,MATCH($B326&amp;"|"&amp;$E326,Aux_HH!$A$4:$A$18,0)))</f>
        <v>0</v>
      </c>
      <c r="K326" s="0" t="n">
        <f aca="false">IF($F326=0,0,INDEX(Aux_HH!$H$4:$H$18,MATCH($B326&amp;"|"&amp;$E326,Aux_HH!$A$4:$A$18,0)))</f>
        <v>0</v>
      </c>
      <c r="L326" s="0" t="n">
        <f aca="false">IF($F326=0,0,INDEX(Aux_HH!$I$4:$I$18,MATCH($B326&amp;"|"&amp;$E326,Aux_HH!$A$4:$A$18,0)))</f>
        <v>0</v>
      </c>
    </row>
    <row r="327" customFormat="false" ht="15" hidden="false" customHeight="false" outlineLevel="0" collapsed="false">
      <c r="A327" s="0" t="str">
        <f aca="false">IF(Frota!$A11="","",Frota!$A11)</f>
        <v>Trator Case Puma 175 — 403</v>
      </c>
      <c r="B327" s="0" t="str">
        <f aca="false">IF(Frota!$A11="","",Frota!$B11)</f>
        <v>Trator</v>
      </c>
      <c r="C327" s="0" t="n">
        <v>12</v>
      </c>
      <c r="D327" s="0" t="n">
        <f aca="false">INDEX(Semanas!$E$3:$E$54,12)</f>
        <v>6</v>
      </c>
      <c r="E327" s="0" t="str">
        <f aca="false">IF(Frota!$A11="","",Cronograma!M11)</f>
        <v/>
      </c>
      <c r="F327" s="0" t="n">
        <f aca="false">IF(OR($E327="",$E327=0),0,1)</f>
        <v>0</v>
      </c>
      <c r="G327" s="0" t="n">
        <f aca="false">IF($F327=0,0,INDEX(Aux_HH!$D$4:$D$18,MATCH($B327&amp;"|"&amp;$E327,Aux_HH!$A$4:$A$18,0)))</f>
        <v>0</v>
      </c>
      <c r="H327" s="0" t="n">
        <f aca="false">IF($F327=0,0,INDEX(Aux_HH!$E$4:$E$18,MATCH($B327&amp;"|"&amp;$E327,Aux_HH!$A$4:$A$18,0)))</f>
        <v>0</v>
      </c>
      <c r="I327" s="0" t="n">
        <f aca="false">IF($F327=0,0,INDEX(Aux_HH!$F$4:$F$18,MATCH($B327&amp;"|"&amp;$E327,Aux_HH!$A$4:$A$18,0)))</f>
        <v>0</v>
      </c>
      <c r="J327" s="0" t="n">
        <f aca="false">IF($F327=0,0,INDEX(Aux_HH!$G$4:$G$18,MATCH($B327&amp;"|"&amp;$E327,Aux_HH!$A$4:$A$18,0)))</f>
        <v>0</v>
      </c>
      <c r="K327" s="0" t="n">
        <f aca="false">IF($F327=0,0,INDEX(Aux_HH!$H$4:$H$18,MATCH($B327&amp;"|"&amp;$E327,Aux_HH!$A$4:$A$18,0)))</f>
        <v>0</v>
      </c>
      <c r="L327" s="0" t="n">
        <f aca="false">IF($F327=0,0,INDEX(Aux_HH!$I$4:$I$18,MATCH($B327&amp;"|"&amp;$E327,Aux_HH!$A$4:$A$18,0)))</f>
        <v>0</v>
      </c>
    </row>
    <row r="328" customFormat="false" ht="15" hidden="false" customHeight="false" outlineLevel="0" collapsed="false">
      <c r="A328" s="0" t="str">
        <f aca="false">IF(Frota!$A11="","",Frota!$A11)</f>
        <v>Trator Case Puma 175 — 403</v>
      </c>
      <c r="B328" s="0" t="str">
        <f aca="false">IF(Frota!$A11="","",Frota!$B11)</f>
        <v>Trator</v>
      </c>
      <c r="C328" s="0" t="n">
        <v>13</v>
      </c>
      <c r="D328" s="0" t="n">
        <f aca="false">INDEX(Semanas!$E$3:$E$54,13)</f>
        <v>6</v>
      </c>
      <c r="E328" s="0" t="str">
        <f aca="false">IF(Frota!$A11="","",Cronograma!N11)</f>
        <v/>
      </c>
      <c r="F328" s="0" t="n">
        <f aca="false">IF(OR($E328="",$E328=0),0,1)</f>
        <v>0</v>
      </c>
      <c r="G328" s="0" t="n">
        <f aca="false">IF($F328=0,0,INDEX(Aux_HH!$D$4:$D$18,MATCH($B328&amp;"|"&amp;$E328,Aux_HH!$A$4:$A$18,0)))</f>
        <v>0</v>
      </c>
      <c r="H328" s="0" t="n">
        <f aca="false">IF($F328=0,0,INDEX(Aux_HH!$E$4:$E$18,MATCH($B328&amp;"|"&amp;$E328,Aux_HH!$A$4:$A$18,0)))</f>
        <v>0</v>
      </c>
      <c r="I328" s="0" t="n">
        <f aca="false">IF($F328=0,0,INDEX(Aux_HH!$F$4:$F$18,MATCH($B328&amp;"|"&amp;$E328,Aux_HH!$A$4:$A$18,0)))</f>
        <v>0</v>
      </c>
      <c r="J328" s="0" t="n">
        <f aca="false">IF($F328=0,0,INDEX(Aux_HH!$G$4:$G$18,MATCH($B328&amp;"|"&amp;$E328,Aux_HH!$A$4:$A$18,0)))</f>
        <v>0</v>
      </c>
      <c r="K328" s="0" t="n">
        <f aca="false">IF($F328=0,0,INDEX(Aux_HH!$H$4:$H$18,MATCH($B328&amp;"|"&amp;$E328,Aux_HH!$A$4:$A$18,0)))</f>
        <v>0</v>
      </c>
      <c r="L328" s="0" t="n">
        <f aca="false">IF($F328=0,0,INDEX(Aux_HH!$I$4:$I$18,MATCH($B328&amp;"|"&amp;$E328,Aux_HH!$A$4:$A$18,0)))</f>
        <v>0</v>
      </c>
    </row>
    <row r="329" customFormat="false" ht="15" hidden="false" customHeight="false" outlineLevel="0" collapsed="false">
      <c r="A329" s="0" t="str">
        <f aca="false">IF(Frota!$A11="","",Frota!$A11)</f>
        <v>Trator Case Puma 175 — 403</v>
      </c>
      <c r="B329" s="0" t="str">
        <f aca="false">IF(Frota!$A11="","",Frota!$B11)</f>
        <v>Trator</v>
      </c>
      <c r="C329" s="0" t="n">
        <v>14</v>
      </c>
      <c r="D329" s="0" t="n">
        <f aca="false">INDEX(Semanas!$E$3:$E$54,14)</f>
        <v>7</v>
      </c>
      <c r="E329" s="0" t="str">
        <f aca="false">IF(Frota!$A11="","",Cronograma!O11)</f>
        <v/>
      </c>
      <c r="F329" s="0" t="n">
        <f aca="false">IF(OR($E329="",$E329=0),0,1)</f>
        <v>0</v>
      </c>
      <c r="G329" s="0" t="n">
        <f aca="false">IF($F329=0,0,INDEX(Aux_HH!$D$4:$D$18,MATCH($B329&amp;"|"&amp;$E329,Aux_HH!$A$4:$A$18,0)))</f>
        <v>0</v>
      </c>
      <c r="H329" s="0" t="n">
        <f aca="false">IF($F329=0,0,INDEX(Aux_HH!$E$4:$E$18,MATCH($B329&amp;"|"&amp;$E329,Aux_HH!$A$4:$A$18,0)))</f>
        <v>0</v>
      </c>
      <c r="I329" s="0" t="n">
        <f aca="false">IF($F329=0,0,INDEX(Aux_HH!$F$4:$F$18,MATCH($B329&amp;"|"&amp;$E329,Aux_HH!$A$4:$A$18,0)))</f>
        <v>0</v>
      </c>
      <c r="J329" s="0" t="n">
        <f aca="false">IF($F329=0,0,INDEX(Aux_HH!$G$4:$G$18,MATCH($B329&amp;"|"&amp;$E329,Aux_HH!$A$4:$A$18,0)))</f>
        <v>0</v>
      </c>
      <c r="K329" s="0" t="n">
        <f aca="false">IF($F329=0,0,INDEX(Aux_HH!$H$4:$H$18,MATCH($B329&amp;"|"&amp;$E329,Aux_HH!$A$4:$A$18,0)))</f>
        <v>0</v>
      </c>
      <c r="L329" s="0" t="n">
        <f aca="false">IF($F329=0,0,INDEX(Aux_HH!$I$4:$I$18,MATCH($B329&amp;"|"&amp;$E329,Aux_HH!$A$4:$A$18,0)))</f>
        <v>0</v>
      </c>
    </row>
    <row r="330" customFormat="false" ht="15" hidden="false" customHeight="false" outlineLevel="0" collapsed="false">
      <c r="A330" s="0" t="str">
        <f aca="false">IF(Frota!$A11="","",Frota!$A11)</f>
        <v>Trator Case Puma 175 — 403</v>
      </c>
      <c r="B330" s="0" t="str">
        <f aca="false">IF(Frota!$A11="","",Frota!$B11)</f>
        <v>Trator</v>
      </c>
      <c r="C330" s="0" t="n">
        <v>15</v>
      </c>
      <c r="D330" s="0" t="n">
        <f aca="false">INDEX(Semanas!$E$3:$E$54,15)</f>
        <v>7</v>
      </c>
      <c r="E330" s="0" t="str">
        <f aca="false">IF(Frota!$A11="","",Cronograma!P11)</f>
        <v>S</v>
      </c>
      <c r="F330" s="0" t="n">
        <f aca="false">IF(OR($E330="",$E330=0),0,1)</f>
        <v>1</v>
      </c>
      <c r="G330" s="0" t="n">
        <f aca="false">IF($F330=0,0,INDEX(Aux_HH!$D$4:$D$18,MATCH($B330&amp;"|"&amp;$E330,Aux_HH!$A$4:$A$18,0)))</f>
        <v>1.5</v>
      </c>
      <c r="H330" s="0" t="n">
        <f aca="false">IF($F330=0,0,INDEX(Aux_HH!$E$4:$E$18,MATCH($B330&amp;"|"&amp;$E330,Aux_HH!$A$4:$A$18,0)))</f>
        <v>0</v>
      </c>
      <c r="I330" s="0" t="n">
        <f aca="false">IF($F330=0,0,INDEX(Aux_HH!$F$4:$F$18,MATCH($B330&amp;"|"&amp;$E330,Aux_HH!$A$4:$A$18,0)))</f>
        <v>0</v>
      </c>
      <c r="J330" s="0" t="n">
        <f aca="false">IF($F330=0,0,INDEX(Aux_HH!$G$4:$G$18,MATCH($B330&amp;"|"&amp;$E330,Aux_HH!$A$4:$A$18,0)))</f>
        <v>0.5</v>
      </c>
      <c r="K330" s="0" t="n">
        <f aca="false">IF($F330=0,0,INDEX(Aux_HH!$H$4:$H$18,MATCH($B330&amp;"|"&amp;$E330,Aux_HH!$A$4:$A$18,0)))</f>
        <v>0</v>
      </c>
      <c r="L330" s="0" t="n">
        <f aca="false">IF($F330=0,0,INDEX(Aux_HH!$I$4:$I$18,MATCH($B330&amp;"|"&amp;$E330,Aux_HH!$A$4:$A$18,0)))</f>
        <v>0</v>
      </c>
    </row>
    <row r="331" customFormat="false" ht="15" hidden="false" customHeight="false" outlineLevel="0" collapsed="false">
      <c r="A331" s="0" t="str">
        <f aca="false">IF(Frota!$A11="","",Frota!$A11)</f>
        <v>Trator Case Puma 175 — 403</v>
      </c>
      <c r="B331" s="0" t="str">
        <f aca="false">IF(Frota!$A11="","",Frota!$B11)</f>
        <v>Trator</v>
      </c>
      <c r="C331" s="0" t="n">
        <v>16</v>
      </c>
      <c r="D331" s="0" t="n">
        <f aca="false">INDEX(Semanas!$E$3:$E$54,16)</f>
        <v>7</v>
      </c>
      <c r="E331" s="0" t="str">
        <f aca="false">IF(Frota!$A11="","",Cronograma!Q11)</f>
        <v/>
      </c>
      <c r="F331" s="0" t="n">
        <f aca="false">IF(OR($E331="",$E331=0),0,1)</f>
        <v>0</v>
      </c>
      <c r="G331" s="0" t="n">
        <f aca="false">IF($F331=0,0,INDEX(Aux_HH!$D$4:$D$18,MATCH($B331&amp;"|"&amp;$E331,Aux_HH!$A$4:$A$18,0)))</f>
        <v>0</v>
      </c>
      <c r="H331" s="0" t="n">
        <f aca="false">IF($F331=0,0,INDEX(Aux_HH!$E$4:$E$18,MATCH($B331&amp;"|"&amp;$E331,Aux_HH!$A$4:$A$18,0)))</f>
        <v>0</v>
      </c>
      <c r="I331" s="0" t="n">
        <f aca="false">IF($F331=0,0,INDEX(Aux_HH!$F$4:$F$18,MATCH($B331&amp;"|"&amp;$E331,Aux_HH!$A$4:$A$18,0)))</f>
        <v>0</v>
      </c>
      <c r="J331" s="0" t="n">
        <f aca="false">IF($F331=0,0,INDEX(Aux_HH!$G$4:$G$18,MATCH($B331&amp;"|"&amp;$E331,Aux_HH!$A$4:$A$18,0)))</f>
        <v>0</v>
      </c>
      <c r="K331" s="0" t="n">
        <f aca="false">IF($F331=0,0,INDEX(Aux_HH!$H$4:$H$18,MATCH($B331&amp;"|"&amp;$E331,Aux_HH!$A$4:$A$18,0)))</f>
        <v>0</v>
      </c>
      <c r="L331" s="0" t="n">
        <f aca="false">IF($F331=0,0,INDEX(Aux_HH!$I$4:$I$18,MATCH($B331&amp;"|"&amp;$E331,Aux_HH!$A$4:$A$18,0)))</f>
        <v>0</v>
      </c>
    </row>
    <row r="332" customFormat="false" ht="15" hidden="false" customHeight="false" outlineLevel="0" collapsed="false">
      <c r="A332" s="0" t="str">
        <f aca="false">IF(Frota!$A11="","",Frota!$A11)</f>
        <v>Trator Case Puma 175 — 403</v>
      </c>
      <c r="B332" s="0" t="str">
        <f aca="false">IF(Frota!$A11="","",Frota!$B11)</f>
        <v>Trator</v>
      </c>
      <c r="C332" s="0" t="n">
        <v>17</v>
      </c>
      <c r="D332" s="0" t="n">
        <f aca="false">INDEX(Semanas!$E$3:$E$54,17)</f>
        <v>7</v>
      </c>
      <c r="E332" s="0" t="str">
        <f aca="false">IF(Frota!$A11="","",Cronograma!R11)</f>
        <v/>
      </c>
      <c r="F332" s="0" t="n">
        <f aca="false">IF(OR($E332="",$E332=0),0,1)</f>
        <v>0</v>
      </c>
      <c r="G332" s="0" t="n">
        <f aca="false">IF($F332=0,0,INDEX(Aux_HH!$D$4:$D$18,MATCH($B332&amp;"|"&amp;$E332,Aux_HH!$A$4:$A$18,0)))</f>
        <v>0</v>
      </c>
      <c r="H332" s="0" t="n">
        <f aca="false">IF($F332=0,0,INDEX(Aux_HH!$E$4:$E$18,MATCH($B332&amp;"|"&amp;$E332,Aux_HH!$A$4:$A$18,0)))</f>
        <v>0</v>
      </c>
      <c r="I332" s="0" t="n">
        <f aca="false">IF($F332=0,0,INDEX(Aux_HH!$F$4:$F$18,MATCH($B332&amp;"|"&amp;$E332,Aux_HH!$A$4:$A$18,0)))</f>
        <v>0</v>
      </c>
      <c r="J332" s="0" t="n">
        <f aca="false">IF($F332=0,0,INDEX(Aux_HH!$G$4:$G$18,MATCH($B332&amp;"|"&amp;$E332,Aux_HH!$A$4:$A$18,0)))</f>
        <v>0</v>
      </c>
      <c r="K332" s="0" t="n">
        <f aca="false">IF($F332=0,0,INDEX(Aux_HH!$H$4:$H$18,MATCH($B332&amp;"|"&amp;$E332,Aux_HH!$A$4:$A$18,0)))</f>
        <v>0</v>
      </c>
      <c r="L332" s="0" t="n">
        <f aca="false">IF($F332=0,0,INDEX(Aux_HH!$I$4:$I$18,MATCH($B332&amp;"|"&amp;$E332,Aux_HH!$A$4:$A$18,0)))</f>
        <v>0</v>
      </c>
    </row>
    <row r="333" customFormat="false" ht="15" hidden="false" customHeight="false" outlineLevel="0" collapsed="false">
      <c r="A333" s="0" t="str">
        <f aca="false">IF(Frota!$A11="","",Frota!$A11)</f>
        <v>Trator Case Puma 175 — 403</v>
      </c>
      <c r="B333" s="0" t="str">
        <f aca="false">IF(Frota!$A11="","",Frota!$B11)</f>
        <v>Trator</v>
      </c>
      <c r="C333" s="0" t="n">
        <v>18</v>
      </c>
      <c r="D333" s="0" t="n">
        <f aca="false">INDEX(Semanas!$E$3:$E$54,18)</f>
        <v>7</v>
      </c>
      <c r="E333" s="0" t="str">
        <f aca="false">IF(Frota!$A11="","",Cronograma!S11)</f>
        <v/>
      </c>
      <c r="F333" s="0" t="n">
        <f aca="false">IF(OR($E333="",$E333=0),0,1)</f>
        <v>0</v>
      </c>
      <c r="G333" s="0" t="n">
        <f aca="false">IF($F333=0,0,INDEX(Aux_HH!$D$4:$D$18,MATCH($B333&amp;"|"&amp;$E333,Aux_HH!$A$4:$A$18,0)))</f>
        <v>0</v>
      </c>
      <c r="H333" s="0" t="n">
        <f aca="false">IF($F333=0,0,INDEX(Aux_HH!$E$4:$E$18,MATCH($B333&amp;"|"&amp;$E333,Aux_HH!$A$4:$A$18,0)))</f>
        <v>0</v>
      </c>
      <c r="I333" s="0" t="n">
        <f aca="false">IF($F333=0,0,INDEX(Aux_HH!$F$4:$F$18,MATCH($B333&amp;"|"&amp;$E333,Aux_HH!$A$4:$A$18,0)))</f>
        <v>0</v>
      </c>
      <c r="J333" s="0" t="n">
        <f aca="false">IF($F333=0,0,INDEX(Aux_HH!$G$4:$G$18,MATCH($B333&amp;"|"&amp;$E333,Aux_HH!$A$4:$A$18,0)))</f>
        <v>0</v>
      </c>
      <c r="K333" s="0" t="n">
        <f aca="false">IF($F333=0,0,INDEX(Aux_HH!$H$4:$H$18,MATCH($B333&amp;"|"&amp;$E333,Aux_HH!$A$4:$A$18,0)))</f>
        <v>0</v>
      </c>
      <c r="L333" s="0" t="n">
        <f aca="false">IF($F333=0,0,INDEX(Aux_HH!$I$4:$I$18,MATCH($B333&amp;"|"&amp;$E333,Aux_HH!$A$4:$A$18,0)))</f>
        <v>0</v>
      </c>
    </row>
    <row r="334" customFormat="false" ht="15" hidden="false" customHeight="false" outlineLevel="0" collapsed="false">
      <c r="A334" s="0" t="str">
        <f aca="false">IF(Frota!$A11="","",Frota!$A11)</f>
        <v>Trator Case Puma 175 — 403</v>
      </c>
      <c r="B334" s="0" t="str">
        <f aca="false">IF(Frota!$A11="","",Frota!$B11)</f>
        <v>Trator</v>
      </c>
      <c r="C334" s="0" t="n">
        <v>19</v>
      </c>
      <c r="D334" s="0" t="n">
        <f aca="false">INDEX(Semanas!$E$3:$E$54,19)</f>
        <v>8</v>
      </c>
      <c r="E334" s="0" t="str">
        <f aca="false">IF(Frota!$A11="","",Cronograma!T11)</f>
        <v/>
      </c>
      <c r="F334" s="0" t="n">
        <f aca="false">IF(OR($E334="",$E334=0),0,1)</f>
        <v>0</v>
      </c>
      <c r="G334" s="0" t="n">
        <f aca="false">IF($F334=0,0,INDEX(Aux_HH!$D$4:$D$18,MATCH($B334&amp;"|"&amp;$E334,Aux_HH!$A$4:$A$18,0)))</f>
        <v>0</v>
      </c>
      <c r="H334" s="0" t="n">
        <f aca="false">IF($F334=0,0,INDEX(Aux_HH!$E$4:$E$18,MATCH($B334&amp;"|"&amp;$E334,Aux_HH!$A$4:$A$18,0)))</f>
        <v>0</v>
      </c>
      <c r="I334" s="0" t="n">
        <f aca="false">IF($F334=0,0,INDEX(Aux_HH!$F$4:$F$18,MATCH($B334&amp;"|"&amp;$E334,Aux_HH!$A$4:$A$18,0)))</f>
        <v>0</v>
      </c>
      <c r="J334" s="0" t="n">
        <f aca="false">IF($F334=0,0,INDEX(Aux_HH!$G$4:$G$18,MATCH($B334&amp;"|"&amp;$E334,Aux_HH!$A$4:$A$18,0)))</f>
        <v>0</v>
      </c>
      <c r="K334" s="0" t="n">
        <f aca="false">IF($F334=0,0,INDEX(Aux_HH!$H$4:$H$18,MATCH($B334&amp;"|"&amp;$E334,Aux_HH!$A$4:$A$18,0)))</f>
        <v>0</v>
      </c>
      <c r="L334" s="0" t="n">
        <f aca="false">IF($F334=0,0,INDEX(Aux_HH!$I$4:$I$18,MATCH($B334&amp;"|"&amp;$E334,Aux_HH!$A$4:$A$18,0)))</f>
        <v>0</v>
      </c>
    </row>
    <row r="335" customFormat="false" ht="15" hidden="false" customHeight="false" outlineLevel="0" collapsed="false">
      <c r="A335" s="0" t="str">
        <f aca="false">IF(Frota!$A11="","",Frota!$A11)</f>
        <v>Trator Case Puma 175 — 403</v>
      </c>
      <c r="B335" s="0" t="str">
        <f aca="false">IF(Frota!$A11="","",Frota!$B11)</f>
        <v>Trator</v>
      </c>
      <c r="C335" s="0" t="n">
        <v>20</v>
      </c>
      <c r="D335" s="0" t="n">
        <f aca="false">INDEX(Semanas!$E$3:$E$54,20)</f>
        <v>8</v>
      </c>
      <c r="E335" s="0" t="str">
        <f aca="false">IF(Frota!$A11="","",Cronograma!U11)</f>
        <v>B</v>
      </c>
      <c r="F335" s="0" t="n">
        <f aca="false">IF(OR($E335="",$E335=0),0,1)</f>
        <v>1</v>
      </c>
      <c r="G335" s="0" t="n">
        <f aca="false">IF($F335=0,0,INDEX(Aux_HH!$D$4:$D$18,MATCH($B335&amp;"|"&amp;$E335,Aux_HH!$A$4:$A$18,0)))</f>
        <v>1.5</v>
      </c>
      <c r="H335" s="0" t="n">
        <f aca="false">IF($F335=0,0,INDEX(Aux_HH!$E$4:$E$18,MATCH($B335&amp;"|"&amp;$E335,Aux_HH!$A$4:$A$18,0)))</f>
        <v>0</v>
      </c>
      <c r="I335" s="0" t="n">
        <f aca="false">IF($F335=0,0,INDEX(Aux_HH!$F$4:$F$18,MATCH($B335&amp;"|"&amp;$E335,Aux_HH!$A$4:$A$18,0)))</f>
        <v>0</v>
      </c>
      <c r="J335" s="0" t="n">
        <f aca="false">IF($F335=0,0,INDEX(Aux_HH!$G$4:$G$18,MATCH($B335&amp;"|"&amp;$E335,Aux_HH!$A$4:$A$18,0)))</f>
        <v>0.5</v>
      </c>
      <c r="K335" s="0" t="n">
        <f aca="false">IF($F335=0,0,INDEX(Aux_HH!$H$4:$H$18,MATCH($B335&amp;"|"&amp;$E335,Aux_HH!$A$4:$A$18,0)))</f>
        <v>0</v>
      </c>
      <c r="L335" s="0" t="n">
        <f aca="false">IF($F335=0,0,INDEX(Aux_HH!$I$4:$I$18,MATCH($B335&amp;"|"&amp;$E335,Aux_HH!$A$4:$A$18,0)))</f>
        <v>0</v>
      </c>
    </row>
    <row r="336" customFormat="false" ht="15" hidden="false" customHeight="false" outlineLevel="0" collapsed="false">
      <c r="A336" s="0" t="str">
        <f aca="false">IF(Frota!$A11="","",Frota!$A11)</f>
        <v>Trator Case Puma 175 — 403</v>
      </c>
      <c r="B336" s="0" t="str">
        <f aca="false">IF(Frota!$A11="","",Frota!$B11)</f>
        <v>Trator</v>
      </c>
      <c r="C336" s="0" t="n">
        <v>21</v>
      </c>
      <c r="D336" s="0" t="n">
        <f aca="false">INDEX(Semanas!$E$3:$E$54,21)</f>
        <v>8</v>
      </c>
      <c r="E336" s="0" t="str">
        <f aca="false">IF(Frota!$A11="","",Cronograma!V11)</f>
        <v/>
      </c>
      <c r="F336" s="0" t="n">
        <f aca="false">IF(OR($E336="",$E336=0),0,1)</f>
        <v>0</v>
      </c>
      <c r="G336" s="0" t="n">
        <f aca="false">IF($F336=0,0,INDEX(Aux_HH!$D$4:$D$18,MATCH($B336&amp;"|"&amp;$E336,Aux_HH!$A$4:$A$18,0)))</f>
        <v>0</v>
      </c>
      <c r="H336" s="0" t="n">
        <f aca="false">IF($F336=0,0,INDEX(Aux_HH!$E$4:$E$18,MATCH($B336&amp;"|"&amp;$E336,Aux_HH!$A$4:$A$18,0)))</f>
        <v>0</v>
      </c>
      <c r="I336" s="0" t="n">
        <f aca="false">IF($F336=0,0,INDEX(Aux_HH!$F$4:$F$18,MATCH($B336&amp;"|"&amp;$E336,Aux_HH!$A$4:$A$18,0)))</f>
        <v>0</v>
      </c>
      <c r="J336" s="0" t="n">
        <f aca="false">IF($F336=0,0,INDEX(Aux_HH!$G$4:$G$18,MATCH($B336&amp;"|"&amp;$E336,Aux_HH!$A$4:$A$18,0)))</f>
        <v>0</v>
      </c>
      <c r="K336" s="0" t="n">
        <f aca="false">IF($F336=0,0,INDEX(Aux_HH!$H$4:$H$18,MATCH($B336&amp;"|"&amp;$E336,Aux_HH!$A$4:$A$18,0)))</f>
        <v>0</v>
      </c>
      <c r="L336" s="0" t="n">
        <f aca="false">IF($F336=0,0,INDEX(Aux_HH!$I$4:$I$18,MATCH($B336&amp;"|"&amp;$E336,Aux_HH!$A$4:$A$18,0)))</f>
        <v>0</v>
      </c>
    </row>
    <row r="337" customFormat="false" ht="15" hidden="false" customHeight="false" outlineLevel="0" collapsed="false">
      <c r="A337" s="0" t="str">
        <f aca="false">IF(Frota!$A11="","",Frota!$A11)</f>
        <v>Trator Case Puma 175 — 403</v>
      </c>
      <c r="B337" s="0" t="str">
        <f aca="false">IF(Frota!$A11="","",Frota!$B11)</f>
        <v>Trator</v>
      </c>
      <c r="C337" s="0" t="n">
        <v>22</v>
      </c>
      <c r="D337" s="0" t="n">
        <f aca="false">INDEX(Semanas!$E$3:$E$54,22)</f>
        <v>8</v>
      </c>
      <c r="E337" s="0" t="str">
        <f aca="false">IF(Frota!$A11="","",Cronograma!W11)</f>
        <v/>
      </c>
      <c r="F337" s="0" t="n">
        <f aca="false">IF(OR($E337="",$E337=0),0,1)</f>
        <v>0</v>
      </c>
      <c r="G337" s="0" t="n">
        <f aca="false">IF($F337=0,0,INDEX(Aux_HH!$D$4:$D$18,MATCH($B337&amp;"|"&amp;$E337,Aux_HH!$A$4:$A$18,0)))</f>
        <v>0</v>
      </c>
      <c r="H337" s="0" t="n">
        <f aca="false">IF($F337=0,0,INDEX(Aux_HH!$E$4:$E$18,MATCH($B337&amp;"|"&amp;$E337,Aux_HH!$A$4:$A$18,0)))</f>
        <v>0</v>
      </c>
      <c r="I337" s="0" t="n">
        <f aca="false">IF($F337=0,0,INDEX(Aux_HH!$F$4:$F$18,MATCH($B337&amp;"|"&amp;$E337,Aux_HH!$A$4:$A$18,0)))</f>
        <v>0</v>
      </c>
      <c r="J337" s="0" t="n">
        <f aca="false">IF($F337=0,0,INDEX(Aux_HH!$G$4:$G$18,MATCH($B337&amp;"|"&amp;$E337,Aux_HH!$A$4:$A$18,0)))</f>
        <v>0</v>
      </c>
      <c r="K337" s="0" t="n">
        <f aca="false">IF($F337=0,0,INDEX(Aux_HH!$H$4:$H$18,MATCH($B337&amp;"|"&amp;$E337,Aux_HH!$A$4:$A$18,0)))</f>
        <v>0</v>
      </c>
      <c r="L337" s="0" t="n">
        <f aca="false">IF($F337=0,0,INDEX(Aux_HH!$I$4:$I$18,MATCH($B337&amp;"|"&amp;$E337,Aux_HH!$A$4:$A$18,0)))</f>
        <v>0</v>
      </c>
    </row>
    <row r="338" customFormat="false" ht="15" hidden="false" customHeight="false" outlineLevel="0" collapsed="false">
      <c r="A338" s="0" t="str">
        <f aca="false">IF(Frota!$A11="","",Frota!$A11)</f>
        <v>Trator Case Puma 175 — 403</v>
      </c>
      <c r="B338" s="0" t="str">
        <f aca="false">IF(Frota!$A11="","",Frota!$B11)</f>
        <v>Trator</v>
      </c>
      <c r="C338" s="0" t="n">
        <v>23</v>
      </c>
      <c r="D338" s="0" t="n">
        <f aca="false">INDEX(Semanas!$E$3:$E$54,23)</f>
        <v>9</v>
      </c>
      <c r="E338" s="0" t="str">
        <f aca="false">IF(Frota!$A11="","",Cronograma!X11)</f>
        <v/>
      </c>
      <c r="F338" s="0" t="n">
        <f aca="false">IF(OR($E338="",$E338=0),0,1)</f>
        <v>0</v>
      </c>
      <c r="G338" s="0" t="n">
        <f aca="false">IF($F338=0,0,INDEX(Aux_HH!$D$4:$D$18,MATCH($B338&amp;"|"&amp;$E338,Aux_HH!$A$4:$A$18,0)))</f>
        <v>0</v>
      </c>
      <c r="H338" s="0" t="n">
        <f aca="false">IF($F338=0,0,INDEX(Aux_HH!$E$4:$E$18,MATCH($B338&amp;"|"&amp;$E338,Aux_HH!$A$4:$A$18,0)))</f>
        <v>0</v>
      </c>
      <c r="I338" s="0" t="n">
        <f aca="false">IF($F338=0,0,INDEX(Aux_HH!$F$4:$F$18,MATCH($B338&amp;"|"&amp;$E338,Aux_HH!$A$4:$A$18,0)))</f>
        <v>0</v>
      </c>
      <c r="J338" s="0" t="n">
        <f aca="false">IF($F338=0,0,INDEX(Aux_HH!$G$4:$G$18,MATCH($B338&amp;"|"&amp;$E338,Aux_HH!$A$4:$A$18,0)))</f>
        <v>0</v>
      </c>
      <c r="K338" s="0" t="n">
        <f aca="false">IF($F338=0,0,INDEX(Aux_HH!$H$4:$H$18,MATCH($B338&amp;"|"&amp;$E338,Aux_HH!$A$4:$A$18,0)))</f>
        <v>0</v>
      </c>
      <c r="L338" s="0" t="n">
        <f aca="false">IF($F338=0,0,INDEX(Aux_HH!$I$4:$I$18,MATCH($B338&amp;"|"&amp;$E338,Aux_HH!$A$4:$A$18,0)))</f>
        <v>0</v>
      </c>
    </row>
    <row r="339" customFormat="false" ht="15" hidden="false" customHeight="false" outlineLevel="0" collapsed="false">
      <c r="A339" s="0" t="str">
        <f aca="false">IF(Frota!$A11="","",Frota!$A11)</f>
        <v>Trator Case Puma 175 — 403</v>
      </c>
      <c r="B339" s="0" t="str">
        <f aca="false">IF(Frota!$A11="","",Frota!$B11)</f>
        <v>Trator</v>
      </c>
      <c r="C339" s="0" t="n">
        <v>24</v>
      </c>
      <c r="D339" s="0" t="n">
        <f aca="false">INDEX(Semanas!$E$3:$E$54,24)</f>
        <v>9</v>
      </c>
      <c r="E339" s="0" t="str">
        <f aca="false">IF(Frota!$A11="","",Cronograma!Y11)</f>
        <v/>
      </c>
      <c r="F339" s="0" t="n">
        <f aca="false">IF(OR($E339="",$E339=0),0,1)</f>
        <v>0</v>
      </c>
      <c r="G339" s="0" t="n">
        <f aca="false">IF($F339=0,0,INDEX(Aux_HH!$D$4:$D$18,MATCH($B339&amp;"|"&amp;$E339,Aux_HH!$A$4:$A$18,0)))</f>
        <v>0</v>
      </c>
      <c r="H339" s="0" t="n">
        <f aca="false">IF($F339=0,0,INDEX(Aux_HH!$E$4:$E$18,MATCH($B339&amp;"|"&amp;$E339,Aux_HH!$A$4:$A$18,0)))</f>
        <v>0</v>
      </c>
      <c r="I339" s="0" t="n">
        <f aca="false">IF($F339=0,0,INDEX(Aux_HH!$F$4:$F$18,MATCH($B339&amp;"|"&amp;$E339,Aux_HH!$A$4:$A$18,0)))</f>
        <v>0</v>
      </c>
      <c r="J339" s="0" t="n">
        <f aca="false">IF($F339=0,0,INDEX(Aux_HH!$G$4:$G$18,MATCH($B339&amp;"|"&amp;$E339,Aux_HH!$A$4:$A$18,0)))</f>
        <v>0</v>
      </c>
      <c r="K339" s="0" t="n">
        <f aca="false">IF($F339=0,0,INDEX(Aux_HH!$H$4:$H$18,MATCH($B339&amp;"|"&amp;$E339,Aux_HH!$A$4:$A$18,0)))</f>
        <v>0</v>
      </c>
      <c r="L339" s="0" t="n">
        <f aca="false">IF($F339=0,0,INDEX(Aux_HH!$I$4:$I$18,MATCH($B339&amp;"|"&amp;$E339,Aux_HH!$A$4:$A$18,0)))</f>
        <v>0</v>
      </c>
    </row>
    <row r="340" customFormat="false" ht="15" hidden="false" customHeight="false" outlineLevel="0" collapsed="false">
      <c r="A340" s="0" t="str">
        <f aca="false">IF(Frota!$A11="","",Frota!$A11)</f>
        <v>Trator Case Puma 175 — 403</v>
      </c>
      <c r="B340" s="0" t="str">
        <f aca="false">IF(Frota!$A11="","",Frota!$B11)</f>
        <v>Trator</v>
      </c>
      <c r="C340" s="0" t="n">
        <v>25</v>
      </c>
      <c r="D340" s="0" t="n">
        <f aca="false">INDEX(Semanas!$E$3:$E$54,25)</f>
        <v>9</v>
      </c>
      <c r="E340" s="0" t="str">
        <f aca="false">IF(Frota!$A11="","",Cronograma!Z11)</f>
        <v>S</v>
      </c>
      <c r="F340" s="0" t="n">
        <f aca="false">IF(OR($E340="",$E340=0),0,1)</f>
        <v>1</v>
      </c>
      <c r="G340" s="0" t="n">
        <f aca="false">IF($F340=0,0,INDEX(Aux_HH!$D$4:$D$18,MATCH($B340&amp;"|"&amp;$E340,Aux_HH!$A$4:$A$18,0)))</f>
        <v>1.5</v>
      </c>
      <c r="H340" s="0" t="n">
        <f aca="false">IF($F340=0,0,INDEX(Aux_HH!$E$4:$E$18,MATCH($B340&amp;"|"&amp;$E340,Aux_HH!$A$4:$A$18,0)))</f>
        <v>0</v>
      </c>
      <c r="I340" s="0" t="n">
        <f aca="false">IF($F340=0,0,INDEX(Aux_HH!$F$4:$F$18,MATCH($B340&amp;"|"&amp;$E340,Aux_HH!$A$4:$A$18,0)))</f>
        <v>0</v>
      </c>
      <c r="J340" s="0" t="n">
        <f aca="false">IF($F340=0,0,INDEX(Aux_HH!$G$4:$G$18,MATCH($B340&amp;"|"&amp;$E340,Aux_HH!$A$4:$A$18,0)))</f>
        <v>0.5</v>
      </c>
      <c r="K340" s="0" t="n">
        <f aca="false">IF($F340=0,0,INDEX(Aux_HH!$H$4:$H$18,MATCH($B340&amp;"|"&amp;$E340,Aux_HH!$A$4:$A$18,0)))</f>
        <v>0</v>
      </c>
      <c r="L340" s="0" t="n">
        <f aca="false">IF($F340=0,0,INDEX(Aux_HH!$I$4:$I$18,MATCH($B340&amp;"|"&amp;$E340,Aux_HH!$A$4:$A$18,0)))</f>
        <v>0</v>
      </c>
    </row>
    <row r="341" customFormat="false" ht="15" hidden="false" customHeight="false" outlineLevel="0" collapsed="false">
      <c r="A341" s="0" t="str">
        <f aca="false">IF(Frota!$A11="","",Frota!$A11)</f>
        <v>Trator Case Puma 175 — 403</v>
      </c>
      <c r="B341" s="0" t="str">
        <f aca="false">IF(Frota!$A11="","",Frota!$B11)</f>
        <v>Trator</v>
      </c>
      <c r="C341" s="0" t="n">
        <v>26</v>
      </c>
      <c r="D341" s="0" t="n">
        <f aca="false">INDEX(Semanas!$E$3:$E$54,26)</f>
        <v>9</v>
      </c>
      <c r="E341" s="0" t="str">
        <f aca="false">IF(Frota!$A11="","",Cronograma!AA11)</f>
        <v/>
      </c>
      <c r="F341" s="0" t="n">
        <f aca="false">IF(OR($E341="",$E341=0),0,1)</f>
        <v>0</v>
      </c>
      <c r="G341" s="0" t="n">
        <f aca="false">IF($F341=0,0,INDEX(Aux_HH!$D$4:$D$18,MATCH($B341&amp;"|"&amp;$E341,Aux_HH!$A$4:$A$18,0)))</f>
        <v>0</v>
      </c>
      <c r="H341" s="0" t="n">
        <f aca="false">IF($F341=0,0,INDEX(Aux_HH!$E$4:$E$18,MATCH($B341&amp;"|"&amp;$E341,Aux_HH!$A$4:$A$18,0)))</f>
        <v>0</v>
      </c>
      <c r="I341" s="0" t="n">
        <f aca="false">IF($F341=0,0,INDEX(Aux_HH!$F$4:$F$18,MATCH($B341&amp;"|"&amp;$E341,Aux_HH!$A$4:$A$18,0)))</f>
        <v>0</v>
      </c>
      <c r="J341" s="0" t="n">
        <f aca="false">IF($F341=0,0,INDEX(Aux_HH!$G$4:$G$18,MATCH($B341&amp;"|"&amp;$E341,Aux_HH!$A$4:$A$18,0)))</f>
        <v>0</v>
      </c>
      <c r="K341" s="0" t="n">
        <f aca="false">IF($F341=0,0,INDEX(Aux_HH!$H$4:$H$18,MATCH($B341&amp;"|"&amp;$E341,Aux_HH!$A$4:$A$18,0)))</f>
        <v>0</v>
      </c>
      <c r="L341" s="0" t="n">
        <f aca="false">IF($F341=0,0,INDEX(Aux_HH!$I$4:$I$18,MATCH($B341&amp;"|"&amp;$E341,Aux_HH!$A$4:$A$18,0)))</f>
        <v>0</v>
      </c>
    </row>
    <row r="342" customFormat="false" ht="15" hidden="false" customHeight="false" outlineLevel="0" collapsed="false">
      <c r="A342" s="0" t="str">
        <f aca="false">IF(Frota!$A11="","",Frota!$A11)</f>
        <v>Trator Case Puma 175 — 403</v>
      </c>
      <c r="B342" s="0" t="str">
        <f aca="false">IF(Frota!$A11="","",Frota!$B11)</f>
        <v>Trator</v>
      </c>
      <c r="C342" s="0" t="n">
        <v>27</v>
      </c>
      <c r="D342" s="0" t="n">
        <f aca="false">INDEX(Semanas!$E$3:$E$54,27)</f>
        <v>9</v>
      </c>
      <c r="E342" s="0" t="str">
        <f aca="false">IF(Frota!$A11="","",Cronograma!AB11)</f>
        <v/>
      </c>
      <c r="F342" s="0" t="n">
        <f aca="false">IF(OR($E342="",$E342=0),0,1)</f>
        <v>0</v>
      </c>
      <c r="G342" s="0" t="n">
        <f aca="false">IF($F342=0,0,INDEX(Aux_HH!$D$4:$D$18,MATCH($B342&amp;"|"&amp;$E342,Aux_HH!$A$4:$A$18,0)))</f>
        <v>0</v>
      </c>
      <c r="H342" s="0" t="n">
        <f aca="false">IF($F342=0,0,INDEX(Aux_HH!$E$4:$E$18,MATCH($B342&amp;"|"&amp;$E342,Aux_HH!$A$4:$A$18,0)))</f>
        <v>0</v>
      </c>
      <c r="I342" s="0" t="n">
        <f aca="false">IF($F342=0,0,INDEX(Aux_HH!$F$4:$F$18,MATCH($B342&amp;"|"&amp;$E342,Aux_HH!$A$4:$A$18,0)))</f>
        <v>0</v>
      </c>
      <c r="J342" s="0" t="n">
        <f aca="false">IF($F342=0,0,INDEX(Aux_HH!$G$4:$G$18,MATCH($B342&amp;"|"&amp;$E342,Aux_HH!$A$4:$A$18,0)))</f>
        <v>0</v>
      </c>
      <c r="K342" s="0" t="n">
        <f aca="false">IF($F342=0,0,INDEX(Aux_HH!$H$4:$H$18,MATCH($B342&amp;"|"&amp;$E342,Aux_HH!$A$4:$A$18,0)))</f>
        <v>0</v>
      </c>
      <c r="L342" s="0" t="n">
        <f aca="false">IF($F342=0,0,INDEX(Aux_HH!$I$4:$I$18,MATCH($B342&amp;"|"&amp;$E342,Aux_HH!$A$4:$A$18,0)))</f>
        <v>0</v>
      </c>
    </row>
    <row r="343" customFormat="false" ht="15" hidden="false" customHeight="false" outlineLevel="0" collapsed="false">
      <c r="A343" s="0" t="str">
        <f aca="false">IF(Frota!$A11="","",Frota!$A11)</f>
        <v>Trator Case Puma 175 — 403</v>
      </c>
      <c r="B343" s="0" t="str">
        <f aca="false">IF(Frota!$A11="","",Frota!$B11)</f>
        <v>Trator</v>
      </c>
      <c r="C343" s="0" t="n">
        <v>28</v>
      </c>
      <c r="D343" s="0" t="n">
        <f aca="false">INDEX(Semanas!$E$3:$E$54,28)</f>
        <v>10</v>
      </c>
      <c r="E343" s="0" t="str">
        <f aca="false">IF(Frota!$A11="","",Cronograma!AC11)</f>
        <v/>
      </c>
      <c r="F343" s="0" t="n">
        <f aca="false">IF(OR($E343="",$E343=0),0,1)</f>
        <v>0</v>
      </c>
      <c r="G343" s="0" t="n">
        <f aca="false">IF($F343=0,0,INDEX(Aux_HH!$D$4:$D$18,MATCH($B343&amp;"|"&amp;$E343,Aux_HH!$A$4:$A$18,0)))</f>
        <v>0</v>
      </c>
      <c r="H343" s="0" t="n">
        <f aca="false">IF($F343=0,0,INDEX(Aux_HH!$E$4:$E$18,MATCH($B343&amp;"|"&amp;$E343,Aux_HH!$A$4:$A$18,0)))</f>
        <v>0</v>
      </c>
      <c r="I343" s="0" t="n">
        <f aca="false">IF($F343=0,0,INDEX(Aux_HH!$F$4:$F$18,MATCH($B343&amp;"|"&amp;$E343,Aux_HH!$A$4:$A$18,0)))</f>
        <v>0</v>
      </c>
      <c r="J343" s="0" t="n">
        <f aca="false">IF($F343=0,0,INDEX(Aux_HH!$G$4:$G$18,MATCH($B343&amp;"|"&amp;$E343,Aux_HH!$A$4:$A$18,0)))</f>
        <v>0</v>
      </c>
      <c r="K343" s="0" t="n">
        <f aca="false">IF($F343=0,0,INDEX(Aux_HH!$H$4:$H$18,MATCH($B343&amp;"|"&amp;$E343,Aux_HH!$A$4:$A$18,0)))</f>
        <v>0</v>
      </c>
      <c r="L343" s="0" t="n">
        <f aca="false">IF($F343=0,0,INDEX(Aux_HH!$I$4:$I$18,MATCH($B343&amp;"|"&amp;$E343,Aux_HH!$A$4:$A$18,0)))</f>
        <v>0</v>
      </c>
    </row>
    <row r="344" customFormat="false" ht="15" hidden="false" customHeight="false" outlineLevel="0" collapsed="false">
      <c r="A344" s="0" t="str">
        <f aca="false">IF(Frota!$A11="","",Frota!$A11)</f>
        <v>Trator Case Puma 175 — 403</v>
      </c>
      <c r="B344" s="0" t="str">
        <f aca="false">IF(Frota!$A11="","",Frota!$B11)</f>
        <v>Trator</v>
      </c>
      <c r="C344" s="0" t="n">
        <v>29</v>
      </c>
      <c r="D344" s="0" t="n">
        <f aca="false">INDEX(Semanas!$E$3:$E$54,29)</f>
        <v>10</v>
      </c>
      <c r="E344" s="0" t="str">
        <f aca="false">IF(Frota!$A11="","",Cronograma!AD11)</f>
        <v/>
      </c>
      <c r="F344" s="0" t="n">
        <f aca="false">IF(OR($E344="",$E344=0),0,1)</f>
        <v>0</v>
      </c>
      <c r="G344" s="0" t="n">
        <f aca="false">IF($F344=0,0,INDEX(Aux_HH!$D$4:$D$18,MATCH($B344&amp;"|"&amp;$E344,Aux_HH!$A$4:$A$18,0)))</f>
        <v>0</v>
      </c>
      <c r="H344" s="0" t="n">
        <f aca="false">IF($F344=0,0,INDEX(Aux_HH!$E$4:$E$18,MATCH($B344&amp;"|"&amp;$E344,Aux_HH!$A$4:$A$18,0)))</f>
        <v>0</v>
      </c>
      <c r="I344" s="0" t="n">
        <f aca="false">IF($F344=0,0,INDEX(Aux_HH!$F$4:$F$18,MATCH($B344&amp;"|"&amp;$E344,Aux_HH!$A$4:$A$18,0)))</f>
        <v>0</v>
      </c>
      <c r="J344" s="0" t="n">
        <f aca="false">IF($F344=0,0,INDEX(Aux_HH!$G$4:$G$18,MATCH($B344&amp;"|"&amp;$E344,Aux_HH!$A$4:$A$18,0)))</f>
        <v>0</v>
      </c>
      <c r="K344" s="0" t="n">
        <f aca="false">IF($F344=0,0,INDEX(Aux_HH!$H$4:$H$18,MATCH($B344&amp;"|"&amp;$E344,Aux_HH!$A$4:$A$18,0)))</f>
        <v>0</v>
      </c>
      <c r="L344" s="0" t="n">
        <f aca="false">IF($F344=0,0,INDEX(Aux_HH!$I$4:$I$18,MATCH($B344&amp;"|"&amp;$E344,Aux_HH!$A$4:$A$18,0)))</f>
        <v>0</v>
      </c>
    </row>
    <row r="345" customFormat="false" ht="15" hidden="false" customHeight="false" outlineLevel="0" collapsed="false">
      <c r="A345" s="0" t="str">
        <f aca="false">IF(Frota!$A11="","",Frota!$A11)</f>
        <v>Trator Case Puma 175 — 403</v>
      </c>
      <c r="B345" s="0" t="str">
        <f aca="false">IF(Frota!$A11="","",Frota!$B11)</f>
        <v>Trator</v>
      </c>
      <c r="C345" s="0" t="n">
        <v>30</v>
      </c>
      <c r="D345" s="0" t="n">
        <f aca="false">INDEX(Semanas!$E$3:$E$54,30)</f>
        <v>10</v>
      </c>
      <c r="E345" s="0" t="str">
        <f aca="false">IF(Frota!$A11="","",Cronograma!AE11)</f>
        <v/>
      </c>
      <c r="F345" s="0" t="n">
        <f aca="false">IF(OR($E345="",$E345=0),0,1)</f>
        <v>0</v>
      </c>
      <c r="G345" s="0" t="n">
        <f aca="false">IF($F345=0,0,INDEX(Aux_HH!$D$4:$D$18,MATCH($B345&amp;"|"&amp;$E345,Aux_HH!$A$4:$A$18,0)))</f>
        <v>0</v>
      </c>
      <c r="H345" s="0" t="n">
        <f aca="false">IF($F345=0,0,INDEX(Aux_HH!$E$4:$E$18,MATCH($B345&amp;"|"&amp;$E345,Aux_HH!$A$4:$A$18,0)))</f>
        <v>0</v>
      </c>
      <c r="I345" s="0" t="n">
        <f aca="false">IF($F345=0,0,INDEX(Aux_HH!$F$4:$F$18,MATCH($B345&amp;"|"&amp;$E345,Aux_HH!$A$4:$A$18,0)))</f>
        <v>0</v>
      </c>
      <c r="J345" s="0" t="n">
        <f aca="false">IF($F345=0,0,INDEX(Aux_HH!$G$4:$G$18,MATCH($B345&amp;"|"&amp;$E345,Aux_HH!$A$4:$A$18,0)))</f>
        <v>0</v>
      </c>
      <c r="K345" s="0" t="n">
        <f aca="false">IF($F345=0,0,INDEX(Aux_HH!$H$4:$H$18,MATCH($B345&amp;"|"&amp;$E345,Aux_HH!$A$4:$A$18,0)))</f>
        <v>0</v>
      </c>
      <c r="L345" s="0" t="n">
        <f aca="false">IF($F345=0,0,INDEX(Aux_HH!$I$4:$I$18,MATCH($B345&amp;"|"&amp;$E345,Aux_HH!$A$4:$A$18,0)))</f>
        <v>0</v>
      </c>
    </row>
    <row r="346" customFormat="false" ht="15" hidden="false" customHeight="false" outlineLevel="0" collapsed="false">
      <c r="A346" s="0" t="str">
        <f aca="false">IF(Frota!$A11="","",Frota!$A11)</f>
        <v>Trator Case Puma 175 — 403</v>
      </c>
      <c r="B346" s="0" t="str">
        <f aca="false">IF(Frota!$A11="","",Frota!$B11)</f>
        <v>Trator</v>
      </c>
      <c r="C346" s="0" t="n">
        <v>31</v>
      </c>
      <c r="D346" s="0" t="n">
        <f aca="false">INDEX(Semanas!$E$3:$E$54,31)</f>
        <v>10</v>
      </c>
      <c r="E346" s="0" t="str">
        <f aca="false">IF(Frota!$A11="","",Cronograma!AF11)</f>
        <v>A</v>
      </c>
      <c r="F346" s="0" t="n">
        <f aca="false">IF(OR($E346="",$E346=0),0,1)</f>
        <v>1</v>
      </c>
      <c r="G346" s="0" t="n">
        <f aca="false">IF($F346=0,0,INDEX(Aux_HH!$D$4:$D$18,MATCH($B346&amp;"|"&amp;$E346,Aux_HH!$A$4:$A$18,0)))</f>
        <v>1.5</v>
      </c>
      <c r="H346" s="0" t="n">
        <f aca="false">IF($F346=0,0,INDEX(Aux_HH!$E$4:$E$18,MATCH($B346&amp;"|"&amp;$E346,Aux_HH!$A$4:$A$18,0)))</f>
        <v>0</v>
      </c>
      <c r="I346" s="0" t="n">
        <f aca="false">IF($F346=0,0,INDEX(Aux_HH!$F$4:$F$18,MATCH($B346&amp;"|"&amp;$E346,Aux_HH!$A$4:$A$18,0)))</f>
        <v>0</v>
      </c>
      <c r="J346" s="0" t="n">
        <f aca="false">IF($F346=0,0,INDEX(Aux_HH!$G$4:$G$18,MATCH($B346&amp;"|"&amp;$E346,Aux_HH!$A$4:$A$18,0)))</f>
        <v>0.5</v>
      </c>
      <c r="K346" s="0" t="n">
        <f aca="false">IF($F346=0,0,INDEX(Aux_HH!$H$4:$H$18,MATCH($B346&amp;"|"&amp;$E346,Aux_HH!$A$4:$A$18,0)))</f>
        <v>0</v>
      </c>
      <c r="L346" s="0" t="n">
        <f aca="false">IF($F346=0,0,INDEX(Aux_HH!$I$4:$I$18,MATCH($B346&amp;"|"&amp;$E346,Aux_HH!$A$4:$A$18,0)))</f>
        <v>0</v>
      </c>
    </row>
    <row r="347" customFormat="false" ht="15" hidden="false" customHeight="false" outlineLevel="0" collapsed="false">
      <c r="A347" s="0" t="str">
        <f aca="false">IF(Frota!$A11="","",Frota!$A11)</f>
        <v>Trator Case Puma 175 — 403</v>
      </c>
      <c r="B347" s="0" t="str">
        <f aca="false">IF(Frota!$A11="","",Frota!$B11)</f>
        <v>Trator</v>
      </c>
      <c r="C347" s="0" t="n">
        <v>32</v>
      </c>
      <c r="D347" s="0" t="n">
        <f aca="false">INDEX(Semanas!$E$3:$E$54,32)</f>
        <v>11</v>
      </c>
      <c r="E347" s="0" t="str">
        <f aca="false">IF(Frota!$A11="","",Cronograma!AG11)</f>
        <v/>
      </c>
      <c r="F347" s="0" t="n">
        <f aca="false">IF(OR($E347="",$E347=0),0,1)</f>
        <v>0</v>
      </c>
      <c r="G347" s="0" t="n">
        <f aca="false">IF($F347=0,0,INDEX(Aux_HH!$D$4:$D$18,MATCH($B347&amp;"|"&amp;$E347,Aux_HH!$A$4:$A$18,0)))</f>
        <v>0</v>
      </c>
      <c r="H347" s="0" t="n">
        <f aca="false">IF($F347=0,0,INDEX(Aux_HH!$E$4:$E$18,MATCH($B347&amp;"|"&amp;$E347,Aux_HH!$A$4:$A$18,0)))</f>
        <v>0</v>
      </c>
      <c r="I347" s="0" t="n">
        <f aca="false">IF($F347=0,0,INDEX(Aux_HH!$F$4:$F$18,MATCH($B347&amp;"|"&amp;$E347,Aux_HH!$A$4:$A$18,0)))</f>
        <v>0</v>
      </c>
      <c r="J347" s="0" t="n">
        <f aca="false">IF($F347=0,0,INDEX(Aux_HH!$G$4:$G$18,MATCH($B347&amp;"|"&amp;$E347,Aux_HH!$A$4:$A$18,0)))</f>
        <v>0</v>
      </c>
      <c r="K347" s="0" t="n">
        <f aca="false">IF($F347=0,0,INDEX(Aux_HH!$H$4:$H$18,MATCH($B347&amp;"|"&amp;$E347,Aux_HH!$A$4:$A$18,0)))</f>
        <v>0</v>
      </c>
      <c r="L347" s="0" t="n">
        <f aca="false">IF($F347=0,0,INDEX(Aux_HH!$I$4:$I$18,MATCH($B347&amp;"|"&amp;$E347,Aux_HH!$A$4:$A$18,0)))</f>
        <v>0</v>
      </c>
    </row>
    <row r="348" customFormat="false" ht="15" hidden="false" customHeight="false" outlineLevel="0" collapsed="false">
      <c r="A348" s="0" t="str">
        <f aca="false">IF(Frota!$A11="","",Frota!$A11)</f>
        <v>Trator Case Puma 175 — 403</v>
      </c>
      <c r="B348" s="0" t="str">
        <f aca="false">IF(Frota!$A11="","",Frota!$B11)</f>
        <v>Trator</v>
      </c>
      <c r="C348" s="0" t="n">
        <v>33</v>
      </c>
      <c r="D348" s="0" t="n">
        <f aca="false">INDEX(Semanas!$E$3:$E$54,33)</f>
        <v>11</v>
      </c>
      <c r="E348" s="0" t="str">
        <f aca="false">IF(Frota!$A11="","",Cronograma!AH11)</f>
        <v/>
      </c>
      <c r="F348" s="0" t="n">
        <f aca="false">IF(OR($E348="",$E348=0),0,1)</f>
        <v>0</v>
      </c>
      <c r="G348" s="0" t="n">
        <f aca="false">IF($F348=0,0,INDEX(Aux_HH!$D$4:$D$18,MATCH($B348&amp;"|"&amp;$E348,Aux_HH!$A$4:$A$18,0)))</f>
        <v>0</v>
      </c>
      <c r="H348" s="0" t="n">
        <f aca="false">IF($F348=0,0,INDEX(Aux_HH!$E$4:$E$18,MATCH($B348&amp;"|"&amp;$E348,Aux_HH!$A$4:$A$18,0)))</f>
        <v>0</v>
      </c>
      <c r="I348" s="0" t="n">
        <f aca="false">IF($F348=0,0,INDEX(Aux_HH!$F$4:$F$18,MATCH($B348&amp;"|"&amp;$E348,Aux_HH!$A$4:$A$18,0)))</f>
        <v>0</v>
      </c>
      <c r="J348" s="0" t="n">
        <f aca="false">IF($F348=0,0,INDEX(Aux_HH!$G$4:$G$18,MATCH($B348&amp;"|"&amp;$E348,Aux_HH!$A$4:$A$18,0)))</f>
        <v>0</v>
      </c>
      <c r="K348" s="0" t="n">
        <f aca="false">IF($F348=0,0,INDEX(Aux_HH!$H$4:$H$18,MATCH($B348&amp;"|"&amp;$E348,Aux_HH!$A$4:$A$18,0)))</f>
        <v>0</v>
      </c>
      <c r="L348" s="0" t="n">
        <f aca="false">IF($F348=0,0,INDEX(Aux_HH!$I$4:$I$18,MATCH($B348&amp;"|"&amp;$E348,Aux_HH!$A$4:$A$18,0)))</f>
        <v>0</v>
      </c>
    </row>
    <row r="349" customFormat="false" ht="15" hidden="false" customHeight="false" outlineLevel="0" collapsed="false">
      <c r="A349" s="0" t="str">
        <f aca="false">IF(Frota!$A11="","",Frota!$A11)</f>
        <v>Trator Case Puma 175 — 403</v>
      </c>
      <c r="B349" s="0" t="str">
        <f aca="false">IF(Frota!$A11="","",Frota!$B11)</f>
        <v>Trator</v>
      </c>
      <c r="C349" s="0" t="n">
        <v>34</v>
      </c>
      <c r="D349" s="0" t="n">
        <f aca="false">INDEX(Semanas!$E$3:$E$54,34)</f>
        <v>11</v>
      </c>
      <c r="E349" s="0" t="str">
        <f aca="false">IF(Frota!$A11="","",Cronograma!AI11)</f>
        <v/>
      </c>
      <c r="F349" s="0" t="n">
        <f aca="false">IF(OR($E349="",$E349=0),0,1)</f>
        <v>0</v>
      </c>
      <c r="G349" s="0" t="n">
        <f aca="false">IF($F349=0,0,INDEX(Aux_HH!$D$4:$D$18,MATCH($B349&amp;"|"&amp;$E349,Aux_HH!$A$4:$A$18,0)))</f>
        <v>0</v>
      </c>
      <c r="H349" s="0" t="n">
        <f aca="false">IF($F349=0,0,INDEX(Aux_HH!$E$4:$E$18,MATCH($B349&amp;"|"&amp;$E349,Aux_HH!$A$4:$A$18,0)))</f>
        <v>0</v>
      </c>
      <c r="I349" s="0" t="n">
        <f aca="false">IF($F349=0,0,INDEX(Aux_HH!$F$4:$F$18,MATCH($B349&amp;"|"&amp;$E349,Aux_HH!$A$4:$A$18,0)))</f>
        <v>0</v>
      </c>
      <c r="J349" s="0" t="n">
        <f aca="false">IF($F349=0,0,INDEX(Aux_HH!$G$4:$G$18,MATCH($B349&amp;"|"&amp;$E349,Aux_HH!$A$4:$A$18,0)))</f>
        <v>0</v>
      </c>
      <c r="K349" s="0" t="n">
        <f aca="false">IF($F349=0,0,INDEX(Aux_HH!$H$4:$H$18,MATCH($B349&amp;"|"&amp;$E349,Aux_HH!$A$4:$A$18,0)))</f>
        <v>0</v>
      </c>
      <c r="L349" s="0" t="n">
        <f aca="false">IF($F349=0,0,INDEX(Aux_HH!$I$4:$I$18,MATCH($B349&amp;"|"&amp;$E349,Aux_HH!$A$4:$A$18,0)))</f>
        <v>0</v>
      </c>
    </row>
    <row r="350" customFormat="false" ht="15" hidden="false" customHeight="false" outlineLevel="0" collapsed="false">
      <c r="A350" s="0" t="str">
        <f aca="false">IF(Frota!$A11="","",Frota!$A11)</f>
        <v>Trator Case Puma 175 — 403</v>
      </c>
      <c r="B350" s="0" t="str">
        <f aca="false">IF(Frota!$A11="","",Frota!$B11)</f>
        <v>Trator</v>
      </c>
      <c r="C350" s="0" t="n">
        <v>35</v>
      </c>
      <c r="D350" s="0" t="n">
        <f aca="false">INDEX(Semanas!$E$3:$E$54,35)</f>
        <v>11</v>
      </c>
      <c r="E350" s="0" t="str">
        <f aca="false">IF(Frota!$A11="","",Cronograma!AJ11)</f>
        <v/>
      </c>
      <c r="F350" s="0" t="n">
        <f aca="false">IF(OR($E350="",$E350=0),0,1)</f>
        <v>0</v>
      </c>
      <c r="G350" s="0" t="n">
        <f aca="false">IF($F350=0,0,INDEX(Aux_HH!$D$4:$D$18,MATCH($B350&amp;"|"&amp;$E350,Aux_HH!$A$4:$A$18,0)))</f>
        <v>0</v>
      </c>
      <c r="H350" s="0" t="n">
        <f aca="false">IF($F350=0,0,INDEX(Aux_HH!$E$4:$E$18,MATCH($B350&amp;"|"&amp;$E350,Aux_HH!$A$4:$A$18,0)))</f>
        <v>0</v>
      </c>
      <c r="I350" s="0" t="n">
        <f aca="false">IF($F350=0,0,INDEX(Aux_HH!$F$4:$F$18,MATCH($B350&amp;"|"&amp;$E350,Aux_HH!$A$4:$A$18,0)))</f>
        <v>0</v>
      </c>
      <c r="J350" s="0" t="n">
        <f aca="false">IF($F350=0,0,INDEX(Aux_HH!$G$4:$G$18,MATCH($B350&amp;"|"&amp;$E350,Aux_HH!$A$4:$A$18,0)))</f>
        <v>0</v>
      </c>
      <c r="K350" s="0" t="n">
        <f aca="false">IF($F350=0,0,INDEX(Aux_HH!$H$4:$H$18,MATCH($B350&amp;"|"&amp;$E350,Aux_HH!$A$4:$A$18,0)))</f>
        <v>0</v>
      </c>
      <c r="L350" s="0" t="n">
        <f aca="false">IF($F350=0,0,INDEX(Aux_HH!$I$4:$I$18,MATCH($B350&amp;"|"&amp;$E350,Aux_HH!$A$4:$A$18,0)))</f>
        <v>0</v>
      </c>
    </row>
    <row r="351" customFormat="false" ht="15" hidden="false" customHeight="false" outlineLevel="0" collapsed="false">
      <c r="A351" s="0" t="str">
        <f aca="false">IF(Frota!$A11="","",Frota!$A11)</f>
        <v>Trator Case Puma 175 — 403</v>
      </c>
      <c r="B351" s="0" t="str">
        <f aca="false">IF(Frota!$A11="","",Frota!$B11)</f>
        <v>Trator</v>
      </c>
      <c r="C351" s="0" t="n">
        <v>36</v>
      </c>
      <c r="D351" s="0" t="n">
        <f aca="false">INDEX(Semanas!$E$3:$E$54,36)</f>
        <v>12</v>
      </c>
      <c r="E351" s="0" t="str">
        <f aca="false">IF(Frota!$A11="","",Cronograma!AK11)</f>
        <v/>
      </c>
      <c r="F351" s="0" t="n">
        <f aca="false">IF(OR($E351="",$E351=0),0,1)</f>
        <v>0</v>
      </c>
      <c r="G351" s="0" t="n">
        <f aca="false">IF($F351=0,0,INDEX(Aux_HH!$D$4:$D$18,MATCH($B351&amp;"|"&amp;$E351,Aux_HH!$A$4:$A$18,0)))</f>
        <v>0</v>
      </c>
      <c r="H351" s="0" t="n">
        <f aca="false">IF($F351=0,0,INDEX(Aux_HH!$E$4:$E$18,MATCH($B351&amp;"|"&amp;$E351,Aux_HH!$A$4:$A$18,0)))</f>
        <v>0</v>
      </c>
      <c r="I351" s="0" t="n">
        <f aca="false">IF($F351=0,0,INDEX(Aux_HH!$F$4:$F$18,MATCH($B351&amp;"|"&amp;$E351,Aux_HH!$A$4:$A$18,0)))</f>
        <v>0</v>
      </c>
      <c r="J351" s="0" t="n">
        <f aca="false">IF($F351=0,0,INDEX(Aux_HH!$G$4:$G$18,MATCH($B351&amp;"|"&amp;$E351,Aux_HH!$A$4:$A$18,0)))</f>
        <v>0</v>
      </c>
      <c r="K351" s="0" t="n">
        <f aca="false">IF($F351=0,0,INDEX(Aux_HH!$H$4:$H$18,MATCH($B351&amp;"|"&amp;$E351,Aux_HH!$A$4:$A$18,0)))</f>
        <v>0</v>
      </c>
      <c r="L351" s="0" t="n">
        <f aca="false">IF($F351=0,0,INDEX(Aux_HH!$I$4:$I$18,MATCH($B351&amp;"|"&amp;$E351,Aux_HH!$A$4:$A$18,0)))</f>
        <v>0</v>
      </c>
    </row>
    <row r="352" customFormat="false" ht="15" hidden="false" customHeight="false" outlineLevel="0" collapsed="false">
      <c r="A352" s="0" t="str">
        <f aca="false">IF(Frota!$A11="","",Frota!$A11)</f>
        <v>Trator Case Puma 175 — 403</v>
      </c>
      <c r="B352" s="0" t="str">
        <f aca="false">IF(Frota!$A11="","",Frota!$B11)</f>
        <v>Trator</v>
      </c>
      <c r="C352" s="0" t="n">
        <v>37</v>
      </c>
      <c r="D352" s="0" t="n">
        <f aca="false">INDEX(Semanas!$E$3:$E$54,37)</f>
        <v>12</v>
      </c>
      <c r="E352" s="0" t="str">
        <f aca="false">IF(Frota!$A11="","",Cronograma!AL11)</f>
        <v/>
      </c>
      <c r="F352" s="0" t="n">
        <f aca="false">IF(OR($E352="",$E352=0),0,1)</f>
        <v>0</v>
      </c>
      <c r="G352" s="0" t="n">
        <f aca="false">IF($F352=0,0,INDEX(Aux_HH!$D$4:$D$18,MATCH($B352&amp;"|"&amp;$E352,Aux_HH!$A$4:$A$18,0)))</f>
        <v>0</v>
      </c>
      <c r="H352" s="0" t="n">
        <f aca="false">IF($F352=0,0,INDEX(Aux_HH!$E$4:$E$18,MATCH($B352&amp;"|"&amp;$E352,Aux_HH!$A$4:$A$18,0)))</f>
        <v>0</v>
      </c>
      <c r="I352" s="0" t="n">
        <f aca="false">IF($F352=0,0,INDEX(Aux_HH!$F$4:$F$18,MATCH($B352&amp;"|"&amp;$E352,Aux_HH!$A$4:$A$18,0)))</f>
        <v>0</v>
      </c>
      <c r="J352" s="0" t="n">
        <f aca="false">IF($F352=0,0,INDEX(Aux_HH!$G$4:$G$18,MATCH($B352&amp;"|"&amp;$E352,Aux_HH!$A$4:$A$18,0)))</f>
        <v>0</v>
      </c>
      <c r="K352" s="0" t="n">
        <f aca="false">IF($F352=0,0,INDEX(Aux_HH!$H$4:$H$18,MATCH($B352&amp;"|"&amp;$E352,Aux_HH!$A$4:$A$18,0)))</f>
        <v>0</v>
      </c>
      <c r="L352" s="0" t="n">
        <f aca="false">IF($F352=0,0,INDEX(Aux_HH!$I$4:$I$18,MATCH($B352&amp;"|"&amp;$E352,Aux_HH!$A$4:$A$18,0)))</f>
        <v>0</v>
      </c>
    </row>
    <row r="353" customFormat="false" ht="15" hidden="false" customHeight="false" outlineLevel="0" collapsed="false">
      <c r="A353" s="0" t="str">
        <f aca="false">IF(Frota!$A11="","",Frota!$A11)</f>
        <v>Trator Case Puma 175 — 403</v>
      </c>
      <c r="B353" s="0" t="str">
        <f aca="false">IF(Frota!$A11="","",Frota!$B11)</f>
        <v>Trator</v>
      </c>
      <c r="C353" s="0" t="n">
        <v>38</v>
      </c>
      <c r="D353" s="0" t="n">
        <f aca="false">INDEX(Semanas!$E$3:$E$54,38)</f>
        <v>12</v>
      </c>
      <c r="E353" s="0" t="str">
        <f aca="false">IF(Frota!$A11="","",Cronograma!AM11)</f>
        <v/>
      </c>
      <c r="F353" s="0" t="n">
        <f aca="false">IF(OR($E353="",$E353=0),0,1)</f>
        <v>0</v>
      </c>
      <c r="G353" s="0" t="n">
        <f aca="false">IF($F353=0,0,INDEX(Aux_HH!$D$4:$D$18,MATCH($B353&amp;"|"&amp;$E353,Aux_HH!$A$4:$A$18,0)))</f>
        <v>0</v>
      </c>
      <c r="H353" s="0" t="n">
        <f aca="false">IF($F353=0,0,INDEX(Aux_HH!$E$4:$E$18,MATCH($B353&amp;"|"&amp;$E353,Aux_HH!$A$4:$A$18,0)))</f>
        <v>0</v>
      </c>
      <c r="I353" s="0" t="n">
        <f aca="false">IF($F353=0,0,INDEX(Aux_HH!$F$4:$F$18,MATCH($B353&amp;"|"&amp;$E353,Aux_HH!$A$4:$A$18,0)))</f>
        <v>0</v>
      </c>
      <c r="J353" s="0" t="n">
        <f aca="false">IF($F353=0,0,INDEX(Aux_HH!$G$4:$G$18,MATCH($B353&amp;"|"&amp;$E353,Aux_HH!$A$4:$A$18,0)))</f>
        <v>0</v>
      </c>
      <c r="K353" s="0" t="n">
        <f aca="false">IF($F353=0,0,INDEX(Aux_HH!$H$4:$H$18,MATCH($B353&amp;"|"&amp;$E353,Aux_HH!$A$4:$A$18,0)))</f>
        <v>0</v>
      </c>
      <c r="L353" s="0" t="n">
        <f aca="false">IF($F353=0,0,INDEX(Aux_HH!$I$4:$I$18,MATCH($B353&amp;"|"&amp;$E353,Aux_HH!$A$4:$A$18,0)))</f>
        <v>0</v>
      </c>
    </row>
    <row r="354" customFormat="false" ht="15" hidden="false" customHeight="false" outlineLevel="0" collapsed="false">
      <c r="A354" s="0" t="str">
        <f aca="false">IF(Frota!$A11="","",Frota!$A11)</f>
        <v>Trator Case Puma 175 — 403</v>
      </c>
      <c r="B354" s="0" t="str">
        <f aca="false">IF(Frota!$A11="","",Frota!$B11)</f>
        <v>Trator</v>
      </c>
      <c r="C354" s="0" t="n">
        <v>39</v>
      </c>
      <c r="D354" s="0" t="n">
        <f aca="false">INDEX(Semanas!$E$3:$E$54,39)</f>
        <v>12</v>
      </c>
      <c r="E354" s="0" t="str">
        <f aca="false">IF(Frota!$A11="","",Cronograma!AN11)</f>
        <v>S</v>
      </c>
      <c r="F354" s="0" t="n">
        <f aca="false">IF(OR($E354="",$E354=0),0,1)</f>
        <v>1</v>
      </c>
      <c r="G354" s="0" t="n">
        <f aca="false">IF($F354=0,0,INDEX(Aux_HH!$D$4:$D$18,MATCH($B354&amp;"|"&amp;$E354,Aux_HH!$A$4:$A$18,0)))</f>
        <v>1.5</v>
      </c>
      <c r="H354" s="0" t="n">
        <f aca="false">IF($F354=0,0,INDEX(Aux_HH!$E$4:$E$18,MATCH($B354&amp;"|"&amp;$E354,Aux_HH!$A$4:$A$18,0)))</f>
        <v>0</v>
      </c>
      <c r="I354" s="0" t="n">
        <f aca="false">IF($F354=0,0,INDEX(Aux_HH!$F$4:$F$18,MATCH($B354&amp;"|"&amp;$E354,Aux_HH!$A$4:$A$18,0)))</f>
        <v>0</v>
      </c>
      <c r="J354" s="0" t="n">
        <f aca="false">IF($F354=0,0,INDEX(Aux_HH!$G$4:$G$18,MATCH($B354&amp;"|"&amp;$E354,Aux_HH!$A$4:$A$18,0)))</f>
        <v>0.5</v>
      </c>
      <c r="K354" s="0" t="n">
        <f aca="false">IF($F354=0,0,INDEX(Aux_HH!$H$4:$H$18,MATCH($B354&amp;"|"&amp;$E354,Aux_HH!$A$4:$A$18,0)))</f>
        <v>0</v>
      </c>
      <c r="L354" s="0" t="n">
        <f aca="false">IF($F354=0,0,INDEX(Aux_HH!$I$4:$I$18,MATCH($B354&amp;"|"&amp;$E354,Aux_HH!$A$4:$A$18,0)))</f>
        <v>0</v>
      </c>
    </row>
    <row r="355" customFormat="false" ht="15" hidden="false" customHeight="false" outlineLevel="0" collapsed="false">
      <c r="A355" s="0" t="str">
        <f aca="false">IF(Frota!$A11="","",Frota!$A11)</f>
        <v>Trator Case Puma 175 — 403</v>
      </c>
      <c r="B355" s="0" t="str">
        <f aca="false">IF(Frota!$A11="","",Frota!$B11)</f>
        <v>Trator</v>
      </c>
      <c r="C355" s="0" t="n">
        <v>40</v>
      </c>
      <c r="D355" s="0" t="n">
        <f aca="false">INDEX(Semanas!$E$3:$E$54,40)</f>
        <v>12</v>
      </c>
      <c r="E355" s="0" t="str">
        <f aca="false">IF(Frota!$A11="","",Cronograma!AO11)</f>
        <v/>
      </c>
      <c r="F355" s="0" t="n">
        <f aca="false">IF(OR($E355="",$E355=0),0,1)</f>
        <v>0</v>
      </c>
      <c r="G355" s="0" t="n">
        <f aca="false">IF($F355=0,0,INDEX(Aux_HH!$D$4:$D$18,MATCH($B355&amp;"|"&amp;$E355,Aux_HH!$A$4:$A$18,0)))</f>
        <v>0</v>
      </c>
      <c r="H355" s="0" t="n">
        <f aca="false">IF($F355=0,0,INDEX(Aux_HH!$E$4:$E$18,MATCH($B355&amp;"|"&amp;$E355,Aux_HH!$A$4:$A$18,0)))</f>
        <v>0</v>
      </c>
      <c r="I355" s="0" t="n">
        <f aca="false">IF($F355=0,0,INDEX(Aux_HH!$F$4:$F$18,MATCH($B355&amp;"|"&amp;$E355,Aux_HH!$A$4:$A$18,0)))</f>
        <v>0</v>
      </c>
      <c r="J355" s="0" t="n">
        <f aca="false">IF($F355=0,0,INDEX(Aux_HH!$G$4:$G$18,MATCH($B355&amp;"|"&amp;$E355,Aux_HH!$A$4:$A$18,0)))</f>
        <v>0</v>
      </c>
      <c r="K355" s="0" t="n">
        <f aca="false">IF($F355=0,0,INDEX(Aux_HH!$H$4:$H$18,MATCH($B355&amp;"|"&amp;$E355,Aux_HH!$A$4:$A$18,0)))</f>
        <v>0</v>
      </c>
      <c r="L355" s="0" t="n">
        <f aca="false">IF($F355=0,0,INDEX(Aux_HH!$I$4:$I$18,MATCH($B355&amp;"|"&amp;$E355,Aux_HH!$A$4:$A$18,0)))</f>
        <v>0</v>
      </c>
    </row>
    <row r="356" customFormat="false" ht="15" hidden="false" customHeight="false" outlineLevel="0" collapsed="false">
      <c r="A356" s="0" t="str">
        <f aca="false">IF(Frota!$A11="","",Frota!$A11)</f>
        <v>Trator Case Puma 175 — 403</v>
      </c>
      <c r="B356" s="0" t="str">
        <f aca="false">IF(Frota!$A11="","",Frota!$B11)</f>
        <v>Trator</v>
      </c>
      <c r="C356" s="0" t="n">
        <v>41</v>
      </c>
      <c r="D356" s="0" t="n">
        <f aca="false">INDEX(Semanas!$E$3:$E$54,41)</f>
        <v>1</v>
      </c>
      <c r="E356" s="0" t="str">
        <f aca="false">IF(Frota!$A11="","",Cronograma!AP11)</f>
        <v/>
      </c>
      <c r="F356" s="0" t="n">
        <f aca="false">IF(OR($E356="",$E356=0),0,1)</f>
        <v>0</v>
      </c>
      <c r="G356" s="0" t="n">
        <f aca="false">IF($F356=0,0,INDEX(Aux_HH!$D$4:$D$18,MATCH($B356&amp;"|"&amp;$E356,Aux_HH!$A$4:$A$18,0)))</f>
        <v>0</v>
      </c>
      <c r="H356" s="0" t="n">
        <f aca="false">IF($F356=0,0,INDEX(Aux_HH!$E$4:$E$18,MATCH($B356&amp;"|"&amp;$E356,Aux_HH!$A$4:$A$18,0)))</f>
        <v>0</v>
      </c>
      <c r="I356" s="0" t="n">
        <f aca="false">IF($F356=0,0,INDEX(Aux_HH!$F$4:$F$18,MATCH($B356&amp;"|"&amp;$E356,Aux_HH!$A$4:$A$18,0)))</f>
        <v>0</v>
      </c>
      <c r="J356" s="0" t="n">
        <f aca="false">IF($F356=0,0,INDEX(Aux_HH!$G$4:$G$18,MATCH($B356&amp;"|"&amp;$E356,Aux_HH!$A$4:$A$18,0)))</f>
        <v>0</v>
      </c>
      <c r="K356" s="0" t="n">
        <f aca="false">IF($F356=0,0,INDEX(Aux_HH!$H$4:$H$18,MATCH($B356&amp;"|"&amp;$E356,Aux_HH!$A$4:$A$18,0)))</f>
        <v>0</v>
      </c>
      <c r="L356" s="0" t="n">
        <f aca="false">IF($F356=0,0,INDEX(Aux_HH!$I$4:$I$18,MATCH($B356&amp;"|"&amp;$E356,Aux_HH!$A$4:$A$18,0)))</f>
        <v>0</v>
      </c>
    </row>
    <row r="357" customFormat="false" ht="15" hidden="false" customHeight="false" outlineLevel="0" collapsed="false">
      <c r="A357" s="0" t="str">
        <f aca="false">IF(Frota!$A11="","",Frota!$A11)</f>
        <v>Trator Case Puma 175 — 403</v>
      </c>
      <c r="B357" s="0" t="str">
        <f aca="false">IF(Frota!$A11="","",Frota!$B11)</f>
        <v>Trator</v>
      </c>
      <c r="C357" s="0" t="n">
        <v>42</v>
      </c>
      <c r="D357" s="0" t="n">
        <f aca="false">INDEX(Semanas!$E$3:$E$54,42)</f>
        <v>1</v>
      </c>
      <c r="E357" s="0" t="str">
        <f aca="false">IF(Frota!$A11="","",Cronograma!AQ11)</f>
        <v/>
      </c>
      <c r="F357" s="0" t="n">
        <f aca="false">IF(OR($E357="",$E357=0),0,1)</f>
        <v>0</v>
      </c>
      <c r="G357" s="0" t="n">
        <f aca="false">IF($F357=0,0,INDEX(Aux_HH!$D$4:$D$18,MATCH($B357&amp;"|"&amp;$E357,Aux_HH!$A$4:$A$18,0)))</f>
        <v>0</v>
      </c>
      <c r="H357" s="0" t="n">
        <f aca="false">IF($F357=0,0,INDEX(Aux_HH!$E$4:$E$18,MATCH($B357&amp;"|"&amp;$E357,Aux_HH!$A$4:$A$18,0)))</f>
        <v>0</v>
      </c>
      <c r="I357" s="0" t="n">
        <f aca="false">IF($F357=0,0,INDEX(Aux_HH!$F$4:$F$18,MATCH($B357&amp;"|"&amp;$E357,Aux_HH!$A$4:$A$18,0)))</f>
        <v>0</v>
      </c>
      <c r="J357" s="0" t="n">
        <f aca="false">IF($F357=0,0,INDEX(Aux_HH!$G$4:$G$18,MATCH($B357&amp;"|"&amp;$E357,Aux_HH!$A$4:$A$18,0)))</f>
        <v>0</v>
      </c>
      <c r="K357" s="0" t="n">
        <f aca="false">IF($F357=0,0,INDEX(Aux_HH!$H$4:$H$18,MATCH($B357&amp;"|"&amp;$E357,Aux_HH!$A$4:$A$18,0)))</f>
        <v>0</v>
      </c>
      <c r="L357" s="0" t="n">
        <f aca="false">IF($F357=0,0,INDEX(Aux_HH!$I$4:$I$18,MATCH($B357&amp;"|"&amp;$E357,Aux_HH!$A$4:$A$18,0)))</f>
        <v>0</v>
      </c>
    </row>
    <row r="358" customFormat="false" ht="15" hidden="false" customHeight="false" outlineLevel="0" collapsed="false">
      <c r="A358" s="0" t="str">
        <f aca="false">IF(Frota!$A11="","",Frota!$A11)</f>
        <v>Trator Case Puma 175 — 403</v>
      </c>
      <c r="B358" s="0" t="str">
        <f aca="false">IF(Frota!$A11="","",Frota!$B11)</f>
        <v>Trator</v>
      </c>
      <c r="C358" s="0" t="n">
        <v>43</v>
      </c>
      <c r="D358" s="0" t="n">
        <f aca="false">INDEX(Semanas!$E$3:$E$54,43)</f>
        <v>1</v>
      </c>
      <c r="E358" s="0" t="str">
        <f aca="false">IF(Frota!$A11="","",Cronograma!AR11)</f>
        <v/>
      </c>
      <c r="F358" s="0" t="n">
        <f aca="false">IF(OR($E358="",$E358=0),0,1)</f>
        <v>0</v>
      </c>
      <c r="G358" s="0" t="n">
        <f aca="false">IF($F358=0,0,INDEX(Aux_HH!$D$4:$D$18,MATCH($B358&amp;"|"&amp;$E358,Aux_HH!$A$4:$A$18,0)))</f>
        <v>0</v>
      </c>
      <c r="H358" s="0" t="n">
        <f aca="false">IF($F358=0,0,INDEX(Aux_HH!$E$4:$E$18,MATCH($B358&amp;"|"&amp;$E358,Aux_HH!$A$4:$A$18,0)))</f>
        <v>0</v>
      </c>
      <c r="I358" s="0" t="n">
        <f aca="false">IF($F358=0,0,INDEX(Aux_HH!$F$4:$F$18,MATCH($B358&amp;"|"&amp;$E358,Aux_HH!$A$4:$A$18,0)))</f>
        <v>0</v>
      </c>
      <c r="J358" s="0" t="n">
        <f aca="false">IF($F358=0,0,INDEX(Aux_HH!$G$4:$G$18,MATCH($B358&amp;"|"&amp;$E358,Aux_HH!$A$4:$A$18,0)))</f>
        <v>0</v>
      </c>
      <c r="K358" s="0" t="n">
        <f aca="false">IF($F358=0,0,INDEX(Aux_HH!$H$4:$H$18,MATCH($B358&amp;"|"&amp;$E358,Aux_HH!$A$4:$A$18,0)))</f>
        <v>0</v>
      </c>
      <c r="L358" s="0" t="n">
        <f aca="false">IF($F358=0,0,INDEX(Aux_HH!$I$4:$I$18,MATCH($B358&amp;"|"&amp;$E358,Aux_HH!$A$4:$A$18,0)))</f>
        <v>0</v>
      </c>
    </row>
    <row r="359" customFormat="false" ht="15" hidden="false" customHeight="false" outlineLevel="0" collapsed="false">
      <c r="A359" s="0" t="str">
        <f aca="false">IF(Frota!$A11="","",Frota!$A11)</f>
        <v>Trator Case Puma 175 — 403</v>
      </c>
      <c r="B359" s="0" t="str">
        <f aca="false">IF(Frota!$A11="","",Frota!$B11)</f>
        <v>Trator</v>
      </c>
      <c r="C359" s="0" t="n">
        <v>44</v>
      </c>
      <c r="D359" s="0" t="n">
        <f aca="false">INDEX(Semanas!$E$3:$E$54,44)</f>
        <v>1</v>
      </c>
      <c r="E359" s="0" t="str">
        <f aca="false">IF(Frota!$A11="","",Cronograma!AS11)</f>
        <v/>
      </c>
      <c r="F359" s="0" t="n">
        <f aca="false">IF(OR($E359="",$E359=0),0,1)</f>
        <v>0</v>
      </c>
      <c r="G359" s="0" t="n">
        <f aca="false">IF($F359=0,0,INDEX(Aux_HH!$D$4:$D$18,MATCH($B359&amp;"|"&amp;$E359,Aux_HH!$A$4:$A$18,0)))</f>
        <v>0</v>
      </c>
      <c r="H359" s="0" t="n">
        <f aca="false">IF($F359=0,0,INDEX(Aux_HH!$E$4:$E$18,MATCH($B359&amp;"|"&amp;$E359,Aux_HH!$A$4:$A$18,0)))</f>
        <v>0</v>
      </c>
      <c r="I359" s="0" t="n">
        <f aca="false">IF($F359=0,0,INDEX(Aux_HH!$F$4:$F$18,MATCH($B359&amp;"|"&amp;$E359,Aux_HH!$A$4:$A$18,0)))</f>
        <v>0</v>
      </c>
      <c r="J359" s="0" t="n">
        <f aca="false">IF($F359=0,0,INDEX(Aux_HH!$G$4:$G$18,MATCH($B359&amp;"|"&amp;$E359,Aux_HH!$A$4:$A$18,0)))</f>
        <v>0</v>
      </c>
      <c r="K359" s="0" t="n">
        <f aca="false">IF($F359=0,0,INDEX(Aux_HH!$H$4:$H$18,MATCH($B359&amp;"|"&amp;$E359,Aux_HH!$A$4:$A$18,0)))</f>
        <v>0</v>
      </c>
      <c r="L359" s="0" t="n">
        <f aca="false">IF($F359=0,0,INDEX(Aux_HH!$I$4:$I$18,MATCH($B359&amp;"|"&amp;$E359,Aux_HH!$A$4:$A$18,0)))</f>
        <v>0</v>
      </c>
    </row>
    <row r="360" customFormat="false" ht="15" hidden="false" customHeight="false" outlineLevel="0" collapsed="false">
      <c r="A360" s="0" t="str">
        <f aca="false">IF(Frota!$A11="","",Frota!$A11)</f>
        <v>Trator Case Puma 175 — 403</v>
      </c>
      <c r="B360" s="0" t="str">
        <f aca="false">IF(Frota!$A11="","",Frota!$B11)</f>
        <v>Trator</v>
      </c>
      <c r="C360" s="0" t="n">
        <v>45</v>
      </c>
      <c r="D360" s="0" t="n">
        <f aca="false">INDEX(Semanas!$E$3:$E$54,45)</f>
        <v>2</v>
      </c>
      <c r="E360" s="0" t="str">
        <f aca="false">IF(Frota!$A11="","",Cronograma!AT11)</f>
        <v/>
      </c>
      <c r="F360" s="0" t="n">
        <f aca="false">IF(OR($E360="",$E360=0),0,1)</f>
        <v>0</v>
      </c>
      <c r="G360" s="0" t="n">
        <f aca="false">IF($F360=0,0,INDEX(Aux_HH!$D$4:$D$18,MATCH($B360&amp;"|"&amp;$E360,Aux_HH!$A$4:$A$18,0)))</f>
        <v>0</v>
      </c>
      <c r="H360" s="0" t="n">
        <f aca="false">IF($F360=0,0,INDEX(Aux_HH!$E$4:$E$18,MATCH($B360&amp;"|"&amp;$E360,Aux_HH!$A$4:$A$18,0)))</f>
        <v>0</v>
      </c>
      <c r="I360" s="0" t="n">
        <f aca="false">IF($F360=0,0,INDEX(Aux_HH!$F$4:$F$18,MATCH($B360&amp;"|"&amp;$E360,Aux_HH!$A$4:$A$18,0)))</f>
        <v>0</v>
      </c>
      <c r="J360" s="0" t="n">
        <f aca="false">IF($F360=0,0,INDEX(Aux_HH!$G$4:$G$18,MATCH($B360&amp;"|"&amp;$E360,Aux_HH!$A$4:$A$18,0)))</f>
        <v>0</v>
      </c>
      <c r="K360" s="0" t="n">
        <f aca="false">IF($F360=0,0,INDEX(Aux_HH!$H$4:$H$18,MATCH($B360&amp;"|"&amp;$E360,Aux_HH!$A$4:$A$18,0)))</f>
        <v>0</v>
      </c>
      <c r="L360" s="0" t="n">
        <f aca="false">IF($F360=0,0,INDEX(Aux_HH!$I$4:$I$18,MATCH($B360&amp;"|"&amp;$E360,Aux_HH!$A$4:$A$18,0)))</f>
        <v>0</v>
      </c>
    </row>
    <row r="361" customFormat="false" ht="15" hidden="false" customHeight="false" outlineLevel="0" collapsed="false">
      <c r="A361" s="0" t="str">
        <f aca="false">IF(Frota!$A11="","",Frota!$A11)</f>
        <v>Trator Case Puma 175 — 403</v>
      </c>
      <c r="B361" s="0" t="str">
        <f aca="false">IF(Frota!$A11="","",Frota!$B11)</f>
        <v>Trator</v>
      </c>
      <c r="C361" s="0" t="n">
        <v>46</v>
      </c>
      <c r="D361" s="0" t="n">
        <f aca="false">INDEX(Semanas!$E$3:$E$54,46)</f>
        <v>2</v>
      </c>
      <c r="E361" s="0" t="str">
        <f aca="false">IF(Frota!$A11="","",Cronograma!AU11)</f>
        <v/>
      </c>
      <c r="F361" s="0" t="n">
        <f aca="false">IF(OR($E361="",$E361=0),0,1)</f>
        <v>0</v>
      </c>
      <c r="G361" s="0" t="n">
        <f aca="false">IF($F361=0,0,INDEX(Aux_HH!$D$4:$D$18,MATCH($B361&amp;"|"&amp;$E361,Aux_HH!$A$4:$A$18,0)))</f>
        <v>0</v>
      </c>
      <c r="H361" s="0" t="n">
        <f aca="false">IF($F361=0,0,INDEX(Aux_HH!$E$4:$E$18,MATCH($B361&amp;"|"&amp;$E361,Aux_HH!$A$4:$A$18,0)))</f>
        <v>0</v>
      </c>
      <c r="I361" s="0" t="n">
        <f aca="false">IF($F361=0,0,INDEX(Aux_HH!$F$4:$F$18,MATCH($B361&amp;"|"&amp;$E361,Aux_HH!$A$4:$A$18,0)))</f>
        <v>0</v>
      </c>
      <c r="J361" s="0" t="n">
        <f aca="false">IF($F361=0,0,INDEX(Aux_HH!$G$4:$G$18,MATCH($B361&amp;"|"&amp;$E361,Aux_HH!$A$4:$A$18,0)))</f>
        <v>0</v>
      </c>
      <c r="K361" s="0" t="n">
        <f aca="false">IF($F361=0,0,INDEX(Aux_HH!$H$4:$H$18,MATCH($B361&amp;"|"&amp;$E361,Aux_HH!$A$4:$A$18,0)))</f>
        <v>0</v>
      </c>
      <c r="L361" s="0" t="n">
        <f aca="false">IF($F361=0,0,INDEX(Aux_HH!$I$4:$I$18,MATCH($B361&amp;"|"&amp;$E361,Aux_HH!$A$4:$A$18,0)))</f>
        <v>0</v>
      </c>
    </row>
    <row r="362" customFormat="false" ht="15" hidden="false" customHeight="false" outlineLevel="0" collapsed="false">
      <c r="A362" s="0" t="str">
        <f aca="false">IF(Frota!$A11="","",Frota!$A11)</f>
        <v>Trator Case Puma 175 — 403</v>
      </c>
      <c r="B362" s="0" t="str">
        <f aca="false">IF(Frota!$A11="","",Frota!$B11)</f>
        <v>Trator</v>
      </c>
      <c r="C362" s="0" t="n">
        <v>47</v>
      </c>
      <c r="D362" s="0" t="n">
        <f aca="false">INDEX(Semanas!$E$3:$E$54,47)</f>
        <v>2</v>
      </c>
      <c r="E362" s="0" t="str">
        <f aca="false">IF(Frota!$A11="","",Cronograma!AV11)</f>
        <v/>
      </c>
      <c r="F362" s="0" t="n">
        <f aca="false">IF(OR($E362="",$E362=0),0,1)</f>
        <v>0</v>
      </c>
      <c r="G362" s="0" t="n">
        <f aca="false">IF($F362=0,0,INDEX(Aux_HH!$D$4:$D$18,MATCH($B362&amp;"|"&amp;$E362,Aux_HH!$A$4:$A$18,0)))</f>
        <v>0</v>
      </c>
      <c r="H362" s="0" t="n">
        <f aca="false">IF($F362=0,0,INDEX(Aux_HH!$E$4:$E$18,MATCH($B362&amp;"|"&amp;$E362,Aux_HH!$A$4:$A$18,0)))</f>
        <v>0</v>
      </c>
      <c r="I362" s="0" t="n">
        <f aca="false">IF($F362=0,0,INDEX(Aux_HH!$F$4:$F$18,MATCH($B362&amp;"|"&amp;$E362,Aux_HH!$A$4:$A$18,0)))</f>
        <v>0</v>
      </c>
      <c r="J362" s="0" t="n">
        <f aca="false">IF($F362=0,0,INDEX(Aux_HH!$G$4:$G$18,MATCH($B362&amp;"|"&amp;$E362,Aux_HH!$A$4:$A$18,0)))</f>
        <v>0</v>
      </c>
      <c r="K362" s="0" t="n">
        <f aca="false">IF($F362=0,0,INDEX(Aux_HH!$H$4:$H$18,MATCH($B362&amp;"|"&amp;$E362,Aux_HH!$A$4:$A$18,0)))</f>
        <v>0</v>
      </c>
      <c r="L362" s="0" t="n">
        <f aca="false">IF($F362=0,0,INDEX(Aux_HH!$I$4:$I$18,MATCH($B362&amp;"|"&amp;$E362,Aux_HH!$A$4:$A$18,0)))</f>
        <v>0</v>
      </c>
    </row>
    <row r="363" customFormat="false" ht="15" hidden="false" customHeight="false" outlineLevel="0" collapsed="false">
      <c r="A363" s="0" t="str">
        <f aca="false">IF(Frota!$A11="","",Frota!$A11)</f>
        <v>Trator Case Puma 175 — 403</v>
      </c>
      <c r="B363" s="0" t="str">
        <f aca="false">IF(Frota!$A11="","",Frota!$B11)</f>
        <v>Trator</v>
      </c>
      <c r="C363" s="0" t="n">
        <v>48</v>
      </c>
      <c r="D363" s="0" t="n">
        <f aca="false">INDEX(Semanas!$E$3:$E$54,48)</f>
        <v>2</v>
      </c>
      <c r="E363" s="0" t="str">
        <f aca="false">IF(Frota!$A11="","",Cronograma!AW11)</f>
        <v/>
      </c>
      <c r="F363" s="0" t="n">
        <f aca="false">IF(OR($E363="",$E363=0),0,1)</f>
        <v>0</v>
      </c>
      <c r="G363" s="0" t="n">
        <f aca="false">IF($F363=0,0,INDEX(Aux_HH!$D$4:$D$18,MATCH($B363&amp;"|"&amp;$E363,Aux_HH!$A$4:$A$18,0)))</f>
        <v>0</v>
      </c>
      <c r="H363" s="0" t="n">
        <f aca="false">IF($F363=0,0,INDEX(Aux_HH!$E$4:$E$18,MATCH($B363&amp;"|"&amp;$E363,Aux_HH!$A$4:$A$18,0)))</f>
        <v>0</v>
      </c>
      <c r="I363" s="0" t="n">
        <f aca="false">IF($F363=0,0,INDEX(Aux_HH!$F$4:$F$18,MATCH($B363&amp;"|"&amp;$E363,Aux_HH!$A$4:$A$18,0)))</f>
        <v>0</v>
      </c>
      <c r="J363" s="0" t="n">
        <f aca="false">IF($F363=0,0,INDEX(Aux_HH!$G$4:$G$18,MATCH($B363&amp;"|"&amp;$E363,Aux_HH!$A$4:$A$18,0)))</f>
        <v>0</v>
      </c>
      <c r="K363" s="0" t="n">
        <f aca="false">IF($F363=0,0,INDEX(Aux_HH!$H$4:$H$18,MATCH($B363&amp;"|"&amp;$E363,Aux_HH!$A$4:$A$18,0)))</f>
        <v>0</v>
      </c>
      <c r="L363" s="0" t="n">
        <f aca="false">IF($F363=0,0,INDEX(Aux_HH!$I$4:$I$18,MATCH($B363&amp;"|"&amp;$E363,Aux_HH!$A$4:$A$18,0)))</f>
        <v>0</v>
      </c>
    </row>
    <row r="364" customFormat="false" ht="15" hidden="false" customHeight="false" outlineLevel="0" collapsed="false">
      <c r="A364" s="0" t="str">
        <f aca="false">IF(Frota!$A11="","",Frota!$A11)</f>
        <v>Trator Case Puma 175 — 403</v>
      </c>
      <c r="B364" s="0" t="str">
        <f aca="false">IF(Frota!$A11="","",Frota!$B11)</f>
        <v>Trator</v>
      </c>
      <c r="C364" s="0" t="n">
        <v>49</v>
      </c>
      <c r="D364" s="0" t="n">
        <f aca="false">INDEX(Semanas!$E$3:$E$54,49)</f>
        <v>3</v>
      </c>
      <c r="E364" s="0" t="str">
        <f aca="false">IF(Frota!$A11="","",Cronograma!AX11)</f>
        <v/>
      </c>
      <c r="F364" s="0" t="n">
        <f aca="false">IF(OR($E364="",$E364=0),0,1)</f>
        <v>0</v>
      </c>
      <c r="G364" s="0" t="n">
        <f aca="false">IF($F364=0,0,INDEX(Aux_HH!$D$4:$D$18,MATCH($B364&amp;"|"&amp;$E364,Aux_HH!$A$4:$A$18,0)))</f>
        <v>0</v>
      </c>
      <c r="H364" s="0" t="n">
        <f aca="false">IF($F364=0,0,INDEX(Aux_HH!$E$4:$E$18,MATCH($B364&amp;"|"&amp;$E364,Aux_HH!$A$4:$A$18,0)))</f>
        <v>0</v>
      </c>
      <c r="I364" s="0" t="n">
        <f aca="false">IF($F364=0,0,INDEX(Aux_HH!$F$4:$F$18,MATCH($B364&amp;"|"&amp;$E364,Aux_HH!$A$4:$A$18,0)))</f>
        <v>0</v>
      </c>
      <c r="J364" s="0" t="n">
        <f aca="false">IF($F364=0,0,INDEX(Aux_HH!$G$4:$G$18,MATCH($B364&amp;"|"&amp;$E364,Aux_HH!$A$4:$A$18,0)))</f>
        <v>0</v>
      </c>
      <c r="K364" s="0" t="n">
        <f aca="false">IF($F364=0,0,INDEX(Aux_HH!$H$4:$H$18,MATCH($B364&amp;"|"&amp;$E364,Aux_HH!$A$4:$A$18,0)))</f>
        <v>0</v>
      </c>
      <c r="L364" s="0" t="n">
        <f aca="false">IF($F364=0,0,INDEX(Aux_HH!$I$4:$I$18,MATCH($B364&amp;"|"&amp;$E364,Aux_HH!$A$4:$A$18,0)))</f>
        <v>0</v>
      </c>
    </row>
    <row r="365" customFormat="false" ht="15" hidden="false" customHeight="false" outlineLevel="0" collapsed="false">
      <c r="A365" s="0" t="str">
        <f aca="false">IF(Frota!$A11="","",Frota!$A11)</f>
        <v>Trator Case Puma 175 — 403</v>
      </c>
      <c r="B365" s="0" t="str">
        <f aca="false">IF(Frota!$A11="","",Frota!$B11)</f>
        <v>Trator</v>
      </c>
      <c r="C365" s="0" t="n">
        <v>50</v>
      </c>
      <c r="D365" s="0" t="n">
        <f aca="false">INDEX(Semanas!$E$3:$E$54,50)</f>
        <v>3</v>
      </c>
      <c r="E365" s="0" t="str">
        <f aca="false">IF(Frota!$A11="","",Cronograma!AY11)</f>
        <v/>
      </c>
      <c r="F365" s="0" t="n">
        <f aca="false">IF(OR($E365="",$E365=0),0,1)</f>
        <v>0</v>
      </c>
      <c r="G365" s="0" t="n">
        <f aca="false">IF($F365=0,0,INDEX(Aux_HH!$D$4:$D$18,MATCH($B365&amp;"|"&amp;$E365,Aux_HH!$A$4:$A$18,0)))</f>
        <v>0</v>
      </c>
      <c r="H365" s="0" t="n">
        <f aca="false">IF($F365=0,0,INDEX(Aux_HH!$E$4:$E$18,MATCH($B365&amp;"|"&amp;$E365,Aux_HH!$A$4:$A$18,0)))</f>
        <v>0</v>
      </c>
      <c r="I365" s="0" t="n">
        <f aca="false">IF($F365=0,0,INDEX(Aux_HH!$F$4:$F$18,MATCH($B365&amp;"|"&amp;$E365,Aux_HH!$A$4:$A$18,0)))</f>
        <v>0</v>
      </c>
      <c r="J365" s="0" t="n">
        <f aca="false">IF($F365=0,0,INDEX(Aux_HH!$G$4:$G$18,MATCH($B365&amp;"|"&amp;$E365,Aux_HH!$A$4:$A$18,0)))</f>
        <v>0</v>
      </c>
      <c r="K365" s="0" t="n">
        <f aca="false">IF($F365=0,0,INDEX(Aux_HH!$H$4:$H$18,MATCH($B365&amp;"|"&amp;$E365,Aux_HH!$A$4:$A$18,0)))</f>
        <v>0</v>
      </c>
      <c r="L365" s="0" t="n">
        <f aca="false">IF($F365=0,0,INDEX(Aux_HH!$I$4:$I$18,MATCH($B365&amp;"|"&amp;$E365,Aux_HH!$A$4:$A$18,0)))</f>
        <v>0</v>
      </c>
    </row>
    <row r="366" customFormat="false" ht="15" hidden="false" customHeight="false" outlineLevel="0" collapsed="false">
      <c r="A366" s="0" t="str">
        <f aca="false">IF(Frota!$A11="","",Frota!$A11)</f>
        <v>Trator Case Puma 175 — 403</v>
      </c>
      <c r="B366" s="0" t="str">
        <f aca="false">IF(Frota!$A11="","",Frota!$B11)</f>
        <v>Trator</v>
      </c>
      <c r="C366" s="0" t="n">
        <v>51</v>
      </c>
      <c r="D366" s="0" t="n">
        <f aca="false">INDEX(Semanas!$E$3:$E$54,51)</f>
        <v>3</v>
      </c>
      <c r="E366" s="0" t="str">
        <f aca="false">IF(Frota!$A11="","",Cronograma!AZ11)</f>
        <v/>
      </c>
      <c r="F366" s="0" t="n">
        <f aca="false">IF(OR($E366="",$E366=0),0,1)</f>
        <v>0</v>
      </c>
      <c r="G366" s="0" t="n">
        <f aca="false">IF($F366=0,0,INDEX(Aux_HH!$D$4:$D$18,MATCH($B366&amp;"|"&amp;$E366,Aux_HH!$A$4:$A$18,0)))</f>
        <v>0</v>
      </c>
      <c r="H366" s="0" t="n">
        <f aca="false">IF($F366=0,0,INDEX(Aux_HH!$E$4:$E$18,MATCH($B366&amp;"|"&amp;$E366,Aux_HH!$A$4:$A$18,0)))</f>
        <v>0</v>
      </c>
      <c r="I366" s="0" t="n">
        <f aca="false">IF($F366=0,0,INDEX(Aux_HH!$F$4:$F$18,MATCH($B366&amp;"|"&amp;$E366,Aux_HH!$A$4:$A$18,0)))</f>
        <v>0</v>
      </c>
      <c r="J366" s="0" t="n">
        <f aca="false">IF($F366=0,0,INDEX(Aux_HH!$G$4:$G$18,MATCH($B366&amp;"|"&amp;$E366,Aux_HH!$A$4:$A$18,0)))</f>
        <v>0</v>
      </c>
      <c r="K366" s="0" t="n">
        <f aca="false">IF($F366=0,0,INDEX(Aux_HH!$H$4:$H$18,MATCH($B366&amp;"|"&amp;$E366,Aux_HH!$A$4:$A$18,0)))</f>
        <v>0</v>
      </c>
      <c r="L366" s="0" t="n">
        <f aca="false">IF($F366=0,0,INDEX(Aux_HH!$I$4:$I$18,MATCH($B366&amp;"|"&amp;$E366,Aux_HH!$A$4:$A$18,0)))</f>
        <v>0</v>
      </c>
    </row>
    <row r="367" customFormat="false" ht="15" hidden="false" customHeight="false" outlineLevel="0" collapsed="false">
      <c r="A367" s="0" t="str">
        <f aca="false">IF(Frota!$A11="","",Frota!$A11)</f>
        <v>Trator Case Puma 175 — 403</v>
      </c>
      <c r="B367" s="0" t="str">
        <f aca="false">IF(Frota!$A11="","",Frota!$B11)</f>
        <v>Trator</v>
      </c>
      <c r="C367" s="0" t="n">
        <v>52</v>
      </c>
      <c r="D367" s="0" t="n">
        <f aca="false">INDEX(Semanas!$E$3:$E$54,52)</f>
        <v>3</v>
      </c>
      <c r="E367" s="0" t="str">
        <f aca="false">IF(Frota!$A11="","",Cronograma!BA11)</f>
        <v/>
      </c>
      <c r="F367" s="0" t="n">
        <f aca="false">IF(OR($E367="",$E367=0),0,1)</f>
        <v>0</v>
      </c>
      <c r="G367" s="0" t="n">
        <f aca="false">IF($F367=0,0,INDEX(Aux_HH!$D$4:$D$18,MATCH($B367&amp;"|"&amp;$E367,Aux_HH!$A$4:$A$18,0)))</f>
        <v>0</v>
      </c>
      <c r="H367" s="0" t="n">
        <f aca="false">IF($F367=0,0,INDEX(Aux_HH!$E$4:$E$18,MATCH($B367&amp;"|"&amp;$E367,Aux_HH!$A$4:$A$18,0)))</f>
        <v>0</v>
      </c>
      <c r="I367" s="0" t="n">
        <f aca="false">IF($F367=0,0,INDEX(Aux_HH!$F$4:$F$18,MATCH($B367&amp;"|"&amp;$E367,Aux_HH!$A$4:$A$18,0)))</f>
        <v>0</v>
      </c>
      <c r="J367" s="0" t="n">
        <f aca="false">IF($F367=0,0,INDEX(Aux_HH!$G$4:$G$18,MATCH($B367&amp;"|"&amp;$E367,Aux_HH!$A$4:$A$18,0)))</f>
        <v>0</v>
      </c>
      <c r="K367" s="0" t="n">
        <f aca="false">IF($F367=0,0,INDEX(Aux_HH!$H$4:$H$18,MATCH($B367&amp;"|"&amp;$E367,Aux_HH!$A$4:$A$18,0)))</f>
        <v>0</v>
      </c>
      <c r="L367" s="0" t="n">
        <f aca="false">IF($F367=0,0,INDEX(Aux_HH!$I$4:$I$18,MATCH($B367&amp;"|"&amp;$E367,Aux_HH!$A$4:$A$18,0)))</f>
        <v>0</v>
      </c>
    </row>
    <row r="368" customFormat="false" ht="15" hidden="false" customHeight="false" outlineLevel="0" collapsed="false">
      <c r="A368" s="0" t="str">
        <f aca="false">IF(Frota!$A12="","",Frota!$A12)</f>
        <v>Caminhão Scania G480 — 2748</v>
      </c>
      <c r="B368" s="0" t="str">
        <f aca="false">IF(Frota!$A12="","",Frota!$B12)</f>
        <v>Caminhão</v>
      </c>
      <c r="C368" s="0" t="n">
        <v>1</v>
      </c>
      <c r="D368" s="0" t="n">
        <f aca="false">INDEX(Semanas!$E$3:$E$54,1)</f>
        <v>4</v>
      </c>
      <c r="E368" s="0" t="str">
        <f aca="false">IF(Frota!$A12="","",Cronograma!B12)</f>
        <v/>
      </c>
      <c r="F368" s="0" t="n">
        <f aca="false">IF(OR($E368="",$E368=0),0,1)</f>
        <v>0</v>
      </c>
      <c r="G368" s="0" t="n">
        <f aca="false">IF($F368=0,0,INDEX(Aux_HH!$D$4:$D$18,MATCH($B368&amp;"|"&amp;$E368,Aux_HH!$A$4:$A$18,0)))</f>
        <v>0</v>
      </c>
      <c r="H368" s="0" t="n">
        <f aca="false">IF($F368=0,0,INDEX(Aux_HH!$E$4:$E$18,MATCH($B368&amp;"|"&amp;$E368,Aux_HH!$A$4:$A$18,0)))</f>
        <v>0</v>
      </c>
      <c r="I368" s="0" t="n">
        <f aca="false">IF($F368=0,0,INDEX(Aux_HH!$F$4:$F$18,MATCH($B368&amp;"|"&amp;$E368,Aux_HH!$A$4:$A$18,0)))</f>
        <v>0</v>
      </c>
      <c r="J368" s="0" t="n">
        <f aca="false">IF($F368=0,0,INDEX(Aux_HH!$G$4:$G$18,MATCH($B368&amp;"|"&amp;$E368,Aux_HH!$A$4:$A$18,0)))</f>
        <v>0</v>
      </c>
      <c r="K368" s="0" t="n">
        <f aca="false">IF($F368=0,0,INDEX(Aux_HH!$H$4:$H$18,MATCH($B368&amp;"|"&amp;$E368,Aux_HH!$A$4:$A$18,0)))</f>
        <v>0</v>
      </c>
      <c r="L368" s="0" t="n">
        <f aca="false">IF($F368=0,0,INDEX(Aux_HH!$I$4:$I$18,MATCH($B368&amp;"|"&amp;$E368,Aux_HH!$A$4:$A$18,0)))</f>
        <v>0</v>
      </c>
    </row>
    <row r="369" customFormat="false" ht="15" hidden="false" customHeight="false" outlineLevel="0" collapsed="false">
      <c r="A369" s="0" t="str">
        <f aca="false">IF(Frota!$A12="","",Frota!$A12)</f>
        <v>Caminhão Scania G480 — 2748</v>
      </c>
      <c r="B369" s="0" t="str">
        <f aca="false">IF(Frota!$A12="","",Frota!$B12)</f>
        <v>Caminhão</v>
      </c>
      <c r="C369" s="0" t="n">
        <v>2</v>
      </c>
      <c r="D369" s="0" t="n">
        <f aca="false">INDEX(Semanas!$E$3:$E$54,2)</f>
        <v>4</v>
      </c>
      <c r="E369" s="0" t="str">
        <f aca="false">IF(Frota!$A12="","",Cronograma!C12)</f>
        <v/>
      </c>
      <c r="F369" s="0" t="n">
        <f aca="false">IF(OR($E369="",$E369=0),0,1)</f>
        <v>0</v>
      </c>
      <c r="G369" s="0" t="n">
        <f aca="false">IF($F369=0,0,INDEX(Aux_HH!$D$4:$D$18,MATCH($B369&amp;"|"&amp;$E369,Aux_HH!$A$4:$A$18,0)))</f>
        <v>0</v>
      </c>
      <c r="H369" s="0" t="n">
        <f aca="false">IF($F369=0,0,INDEX(Aux_HH!$E$4:$E$18,MATCH($B369&amp;"|"&amp;$E369,Aux_HH!$A$4:$A$18,0)))</f>
        <v>0</v>
      </c>
      <c r="I369" s="0" t="n">
        <f aca="false">IF($F369=0,0,INDEX(Aux_HH!$F$4:$F$18,MATCH($B369&amp;"|"&amp;$E369,Aux_HH!$A$4:$A$18,0)))</f>
        <v>0</v>
      </c>
      <c r="J369" s="0" t="n">
        <f aca="false">IF($F369=0,0,INDEX(Aux_HH!$G$4:$G$18,MATCH($B369&amp;"|"&amp;$E369,Aux_HH!$A$4:$A$18,0)))</f>
        <v>0</v>
      </c>
      <c r="K369" s="0" t="n">
        <f aca="false">IF($F369=0,0,INDEX(Aux_HH!$H$4:$H$18,MATCH($B369&amp;"|"&amp;$E369,Aux_HH!$A$4:$A$18,0)))</f>
        <v>0</v>
      </c>
      <c r="L369" s="0" t="n">
        <f aca="false">IF($F369=0,0,INDEX(Aux_HH!$I$4:$I$18,MATCH($B369&amp;"|"&amp;$E369,Aux_HH!$A$4:$A$18,0)))</f>
        <v>0</v>
      </c>
    </row>
    <row r="370" customFormat="false" ht="15" hidden="false" customHeight="false" outlineLevel="0" collapsed="false">
      <c r="A370" s="0" t="str">
        <f aca="false">IF(Frota!$A12="","",Frota!$A12)</f>
        <v>Caminhão Scania G480 — 2748</v>
      </c>
      <c r="B370" s="0" t="str">
        <f aca="false">IF(Frota!$A12="","",Frota!$B12)</f>
        <v>Caminhão</v>
      </c>
      <c r="C370" s="0" t="n">
        <v>3</v>
      </c>
      <c r="D370" s="0" t="n">
        <f aca="false">INDEX(Semanas!$E$3:$E$54,3)</f>
        <v>4</v>
      </c>
      <c r="E370" s="0" t="str">
        <f aca="false">IF(Frota!$A12="","",Cronograma!D12)</f>
        <v/>
      </c>
      <c r="F370" s="0" t="n">
        <f aca="false">IF(OR($E370="",$E370=0),0,1)</f>
        <v>0</v>
      </c>
      <c r="G370" s="0" t="n">
        <f aca="false">IF($F370=0,0,INDEX(Aux_HH!$D$4:$D$18,MATCH($B370&amp;"|"&amp;$E370,Aux_HH!$A$4:$A$18,0)))</f>
        <v>0</v>
      </c>
      <c r="H370" s="0" t="n">
        <f aca="false">IF($F370=0,0,INDEX(Aux_HH!$E$4:$E$18,MATCH($B370&amp;"|"&amp;$E370,Aux_HH!$A$4:$A$18,0)))</f>
        <v>0</v>
      </c>
      <c r="I370" s="0" t="n">
        <f aca="false">IF($F370=0,0,INDEX(Aux_HH!$F$4:$F$18,MATCH($B370&amp;"|"&amp;$E370,Aux_HH!$A$4:$A$18,0)))</f>
        <v>0</v>
      </c>
      <c r="J370" s="0" t="n">
        <f aca="false">IF($F370=0,0,INDEX(Aux_HH!$G$4:$G$18,MATCH($B370&amp;"|"&amp;$E370,Aux_HH!$A$4:$A$18,0)))</f>
        <v>0</v>
      </c>
      <c r="K370" s="0" t="n">
        <f aca="false">IF($F370=0,0,INDEX(Aux_HH!$H$4:$H$18,MATCH($B370&amp;"|"&amp;$E370,Aux_HH!$A$4:$A$18,0)))</f>
        <v>0</v>
      </c>
      <c r="L370" s="0" t="n">
        <f aca="false">IF($F370=0,0,INDEX(Aux_HH!$I$4:$I$18,MATCH($B370&amp;"|"&amp;$E370,Aux_HH!$A$4:$A$18,0)))</f>
        <v>0</v>
      </c>
    </row>
    <row r="371" customFormat="false" ht="15" hidden="false" customHeight="false" outlineLevel="0" collapsed="false">
      <c r="A371" s="0" t="str">
        <f aca="false">IF(Frota!$A12="","",Frota!$A12)</f>
        <v>Caminhão Scania G480 — 2748</v>
      </c>
      <c r="B371" s="0" t="str">
        <f aca="false">IF(Frota!$A12="","",Frota!$B12)</f>
        <v>Caminhão</v>
      </c>
      <c r="C371" s="0" t="n">
        <v>4</v>
      </c>
      <c r="D371" s="0" t="n">
        <f aca="false">INDEX(Semanas!$E$3:$E$54,4)</f>
        <v>4</v>
      </c>
      <c r="E371" s="0" t="str">
        <f aca="false">IF(Frota!$A12="","",Cronograma!E12)</f>
        <v/>
      </c>
      <c r="F371" s="0" t="n">
        <f aca="false">IF(OR($E371="",$E371=0),0,1)</f>
        <v>0</v>
      </c>
      <c r="G371" s="0" t="n">
        <f aca="false">IF($F371=0,0,INDEX(Aux_HH!$D$4:$D$18,MATCH($B371&amp;"|"&amp;$E371,Aux_HH!$A$4:$A$18,0)))</f>
        <v>0</v>
      </c>
      <c r="H371" s="0" t="n">
        <f aca="false">IF($F371=0,0,INDEX(Aux_HH!$E$4:$E$18,MATCH($B371&amp;"|"&amp;$E371,Aux_HH!$A$4:$A$18,0)))</f>
        <v>0</v>
      </c>
      <c r="I371" s="0" t="n">
        <f aca="false">IF($F371=0,0,INDEX(Aux_HH!$F$4:$F$18,MATCH($B371&amp;"|"&amp;$E371,Aux_HH!$A$4:$A$18,0)))</f>
        <v>0</v>
      </c>
      <c r="J371" s="0" t="n">
        <f aca="false">IF($F371=0,0,INDEX(Aux_HH!$G$4:$G$18,MATCH($B371&amp;"|"&amp;$E371,Aux_HH!$A$4:$A$18,0)))</f>
        <v>0</v>
      </c>
      <c r="K371" s="0" t="n">
        <f aca="false">IF($F371=0,0,INDEX(Aux_HH!$H$4:$H$18,MATCH($B371&amp;"|"&amp;$E371,Aux_HH!$A$4:$A$18,0)))</f>
        <v>0</v>
      </c>
      <c r="L371" s="0" t="n">
        <f aca="false">IF($F371=0,0,INDEX(Aux_HH!$I$4:$I$18,MATCH($B371&amp;"|"&amp;$E371,Aux_HH!$A$4:$A$18,0)))</f>
        <v>0</v>
      </c>
    </row>
    <row r="372" customFormat="false" ht="15" hidden="false" customHeight="false" outlineLevel="0" collapsed="false">
      <c r="A372" s="0" t="str">
        <f aca="false">IF(Frota!$A12="","",Frota!$A12)</f>
        <v>Caminhão Scania G480 — 2748</v>
      </c>
      <c r="B372" s="0" t="str">
        <f aca="false">IF(Frota!$A12="","",Frota!$B12)</f>
        <v>Caminhão</v>
      </c>
      <c r="C372" s="0" t="n">
        <v>5</v>
      </c>
      <c r="D372" s="0" t="n">
        <f aca="false">INDEX(Semanas!$E$3:$E$54,5)</f>
        <v>4</v>
      </c>
      <c r="E372" s="0" t="str">
        <f aca="false">IF(Frota!$A12="","",Cronograma!F12)</f>
        <v>S</v>
      </c>
      <c r="F372" s="0" t="n">
        <f aca="false">IF(OR($E372="",$E372=0),0,1)</f>
        <v>1</v>
      </c>
      <c r="G372" s="0" t="n">
        <f aca="false">IF($F372=0,0,INDEX(Aux_HH!$D$4:$D$18,MATCH($B372&amp;"|"&amp;$E372,Aux_HH!$A$4:$A$18,0)))</f>
        <v>2.25</v>
      </c>
      <c r="H372" s="0" t="n">
        <f aca="false">IF($F372=0,0,INDEX(Aux_HH!$E$4:$E$18,MATCH($B372&amp;"|"&amp;$E372,Aux_HH!$A$4:$A$18,0)))</f>
        <v>0</v>
      </c>
      <c r="I372" s="0" t="n">
        <f aca="false">IF($F372=0,0,INDEX(Aux_HH!$F$4:$F$18,MATCH($B372&amp;"|"&amp;$E372,Aux_HH!$A$4:$A$18,0)))</f>
        <v>0</v>
      </c>
      <c r="J372" s="0" t="n">
        <f aca="false">IF($F372=0,0,INDEX(Aux_HH!$G$4:$G$18,MATCH($B372&amp;"|"&amp;$E372,Aux_HH!$A$4:$A$18,0)))</f>
        <v>0.5</v>
      </c>
      <c r="K372" s="0" t="n">
        <f aca="false">IF($F372=0,0,INDEX(Aux_HH!$H$4:$H$18,MATCH($B372&amp;"|"&amp;$E372,Aux_HH!$A$4:$A$18,0)))</f>
        <v>0.5</v>
      </c>
      <c r="L372" s="0" t="n">
        <f aca="false">IF($F372=0,0,INDEX(Aux_HH!$I$4:$I$18,MATCH($B372&amp;"|"&amp;$E372,Aux_HH!$A$4:$A$18,0)))</f>
        <v>0</v>
      </c>
    </row>
    <row r="373" customFormat="false" ht="15" hidden="false" customHeight="false" outlineLevel="0" collapsed="false">
      <c r="A373" s="0" t="str">
        <f aca="false">IF(Frota!$A12="","",Frota!$A12)</f>
        <v>Caminhão Scania G480 — 2748</v>
      </c>
      <c r="B373" s="0" t="str">
        <f aca="false">IF(Frota!$A12="","",Frota!$B12)</f>
        <v>Caminhão</v>
      </c>
      <c r="C373" s="0" t="n">
        <v>6</v>
      </c>
      <c r="D373" s="0" t="n">
        <f aca="false">INDEX(Semanas!$E$3:$E$54,6)</f>
        <v>5</v>
      </c>
      <c r="E373" s="0" t="str">
        <f aca="false">IF(Frota!$A12="","",Cronograma!G12)</f>
        <v/>
      </c>
      <c r="F373" s="0" t="n">
        <f aca="false">IF(OR($E373="",$E373=0),0,1)</f>
        <v>0</v>
      </c>
      <c r="G373" s="0" t="n">
        <f aca="false">IF($F373=0,0,INDEX(Aux_HH!$D$4:$D$18,MATCH($B373&amp;"|"&amp;$E373,Aux_HH!$A$4:$A$18,0)))</f>
        <v>0</v>
      </c>
      <c r="H373" s="0" t="n">
        <f aca="false">IF($F373=0,0,INDEX(Aux_HH!$E$4:$E$18,MATCH($B373&amp;"|"&amp;$E373,Aux_HH!$A$4:$A$18,0)))</f>
        <v>0</v>
      </c>
      <c r="I373" s="0" t="n">
        <f aca="false">IF($F373=0,0,INDEX(Aux_HH!$F$4:$F$18,MATCH($B373&amp;"|"&amp;$E373,Aux_HH!$A$4:$A$18,0)))</f>
        <v>0</v>
      </c>
      <c r="J373" s="0" t="n">
        <f aca="false">IF($F373=0,0,INDEX(Aux_HH!$G$4:$G$18,MATCH($B373&amp;"|"&amp;$E373,Aux_HH!$A$4:$A$18,0)))</f>
        <v>0</v>
      </c>
      <c r="K373" s="0" t="n">
        <f aca="false">IF($F373=0,0,INDEX(Aux_HH!$H$4:$H$18,MATCH($B373&amp;"|"&amp;$E373,Aux_HH!$A$4:$A$18,0)))</f>
        <v>0</v>
      </c>
      <c r="L373" s="0" t="n">
        <f aca="false">IF($F373=0,0,INDEX(Aux_HH!$I$4:$I$18,MATCH($B373&amp;"|"&amp;$E373,Aux_HH!$A$4:$A$18,0)))</f>
        <v>0</v>
      </c>
    </row>
    <row r="374" customFormat="false" ht="15" hidden="false" customHeight="false" outlineLevel="0" collapsed="false">
      <c r="A374" s="0" t="str">
        <f aca="false">IF(Frota!$A12="","",Frota!$A12)</f>
        <v>Caminhão Scania G480 — 2748</v>
      </c>
      <c r="B374" s="0" t="str">
        <f aca="false">IF(Frota!$A12="","",Frota!$B12)</f>
        <v>Caminhão</v>
      </c>
      <c r="C374" s="0" t="n">
        <v>7</v>
      </c>
      <c r="D374" s="0" t="n">
        <f aca="false">INDEX(Semanas!$E$3:$E$54,7)</f>
        <v>5</v>
      </c>
      <c r="E374" s="0" t="str">
        <f aca="false">IF(Frota!$A12="","",Cronograma!H12)</f>
        <v/>
      </c>
      <c r="F374" s="0" t="n">
        <f aca="false">IF(OR($E374="",$E374=0),0,1)</f>
        <v>0</v>
      </c>
      <c r="G374" s="0" t="n">
        <f aca="false">IF($F374=0,0,INDEX(Aux_HH!$D$4:$D$18,MATCH($B374&amp;"|"&amp;$E374,Aux_HH!$A$4:$A$18,0)))</f>
        <v>0</v>
      </c>
      <c r="H374" s="0" t="n">
        <f aca="false">IF($F374=0,0,INDEX(Aux_HH!$E$4:$E$18,MATCH($B374&amp;"|"&amp;$E374,Aux_HH!$A$4:$A$18,0)))</f>
        <v>0</v>
      </c>
      <c r="I374" s="0" t="n">
        <f aca="false">IF($F374=0,0,INDEX(Aux_HH!$F$4:$F$18,MATCH($B374&amp;"|"&amp;$E374,Aux_HH!$A$4:$A$18,0)))</f>
        <v>0</v>
      </c>
      <c r="J374" s="0" t="n">
        <f aca="false">IF($F374=0,0,INDEX(Aux_HH!$G$4:$G$18,MATCH($B374&amp;"|"&amp;$E374,Aux_HH!$A$4:$A$18,0)))</f>
        <v>0</v>
      </c>
      <c r="K374" s="0" t="n">
        <f aca="false">IF($F374=0,0,INDEX(Aux_HH!$H$4:$H$18,MATCH($B374&amp;"|"&amp;$E374,Aux_HH!$A$4:$A$18,0)))</f>
        <v>0</v>
      </c>
      <c r="L374" s="0" t="n">
        <f aca="false">IF($F374=0,0,INDEX(Aux_HH!$I$4:$I$18,MATCH($B374&amp;"|"&amp;$E374,Aux_HH!$A$4:$A$18,0)))</f>
        <v>0</v>
      </c>
    </row>
    <row r="375" customFormat="false" ht="15" hidden="false" customHeight="false" outlineLevel="0" collapsed="false">
      <c r="A375" s="0" t="str">
        <f aca="false">IF(Frota!$A12="","",Frota!$A12)</f>
        <v>Caminhão Scania G480 — 2748</v>
      </c>
      <c r="B375" s="0" t="str">
        <f aca="false">IF(Frota!$A12="","",Frota!$B12)</f>
        <v>Caminhão</v>
      </c>
      <c r="C375" s="0" t="n">
        <v>8</v>
      </c>
      <c r="D375" s="0" t="n">
        <f aca="false">INDEX(Semanas!$E$3:$E$54,8)</f>
        <v>5</v>
      </c>
      <c r="E375" s="0" t="str">
        <f aca="false">IF(Frota!$A12="","",Cronograma!I12)</f>
        <v/>
      </c>
      <c r="F375" s="0" t="n">
        <f aca="false">IF(OR($E375="",$E375=0),0,1)</f>
        <v>0</v>
      </c>
      <c r="G375" s="0" t="n">
        <f aca="false">IF($F375=0,0,INDEX(Aux_HH!$D$4:$D$18,MATCH($B375&amp;"|"&amp;$E375,Aux_HH!$A$4:$A$18,0)))</f>
        <v>0</v>
      </c>
      <c r="H375" s="0" t="n">
        <f aca="false">IF($F375=0,0,INDEX(Aux_HH!$E$4:$E$18,MATCH($B375&amp;"|"&amp;$E375,Aux_HH!$A$4:$A$18,0)))</f>
        <v>0</v>
      </c>
      <c r="I375" s="0" t="n">
        <f aca="false">IF($F375=0,0,INDEX(Aux_HH!$F$4:$F$18,MATCH($B375&amp;"|"&amp;$E375,Aux_HH!$A$4:$A$18,0)))</f>
        <v>0</v>
      </c>
      <c r="J375" s="0" t="n">
        <f aca="false">IF($F375=0,0,INDEX(Aux_HH!$G$4:$G$18,MATCH($B375&amp;"|"&amp;$E375,Aux_HH!$A$4:$A$18,0)))</f>
        <v>0</v>
      </c>
      <c r="K375" s="0" t="n">
        <f aca="false">IF($F375=0,0,INDEX(Aux_HH!$H$4:$H$18,MATCH($B375&amp;"|"&amp;$E375,Aux_HH!$A$4:$A$18,0)))</f>
        <v>0</v>
      </c>
      <c r="L375" s="0" t="n">
        <f aca="false">IF($F375=0,0,INDEX(Aux_HH!$I$4:$I$18,MATCH($B375&amp;"|"&amp;$E375,Aux_HH!$A$4:$A$18,0)))</f>
        <v>0</v>
      </c>
    </row>
    <row r="376" customFormat="false" ht="15" hidden="false" customHeight="false" outlineLevel="0" collapsed="false">
      <c r="A376" s="0" t="str">
        <f aca="false">IF(Frota!$A12="","",Frota!$A12)</f>
        <v>Caminhão Scania G480 — 2748</v>
      </c>
      <c r="B376" s="0" t="str">
        <f aca="false">IF(Frota!$A12="","",Frota!$B12)</f>
        <v>Caminhão</v>
      </c>
      <c r="C376" s="0" t="n">
        <v>9</v>
      </c>
      <c r="D376" s="0" t="n">
        <f aca="false">INDEX(Semanas!$E$3:$E$54,9)</f>
        <v>5</v>
      </c>
      <c r="E376" s="0" t="str">
        <f aca="false">IF(Frota!$A12="","",Cronograma!J12)</f>
        <v/>
      </c>
      <c r="F376" s="0" t="n">
        <f aca="false">IF(OR($E376="",$E376=0),0,1)</f>
        <v>0</v>
      </c>
      <c r="G376" s="0" t="n">
        <f aca="false">IF($F376=0,0,INDEX(Aux_HH!$D$4:$D$18,MATCH($B376&amp;"|"&amp;$E376,Aux_HH!$A$4:$A$18,0)))</f>
        <v>0</v>
      </c>
      <c r="H376" s="0" t="n">
        <f aca="false">IF($F376=0,0,INDEX(Aux_HH!$E$4:$E$18,MATCH($B376&amp;"|"&amp;$E376,Aux_HH!$A$4:$A$18,0)))</f>
        <v>0</v>
      </c>
      <c r="I376" s="0" t="n">
        <f aca="false">IF($F376=0,0,INDEX(Aux_HH!$F$4:$F$18,MATCH($B376&amp;"|"&amp;$E376,Aux_HH!$A$4:$A$18,0)))</f>
        <v>0</v>
      </c>
      <c r="J376" s="0" t="n">
        <f aca="false">IF($F376=0,0,INDEX(Aux_HH!$G$4:$G$18,MATCH($B376&amp;"|"&amp;$E376,Aux_HH!$A$4:$A$18,0)))</f>
        <v>0</v>
      </c>
      <c r="K376" s="0" t="n">
        <f aca="false">IF($F376=0,0,INDEX(Aux_HH!$H$4:$H$18,MATCH($B376&amp;"|"&amp;$E376,Aux_HH!$A$4:$A$18,0)))</f>
        <v>0</v>
      </c>
      <c r="L376" s="0" t="n">
        <f aca="false">IF($F376=0,0,INDEX(Aux_HH!$I$4:$I$18,MATCH($B376&amp;"|"&amp;$E376,Aux_HH!$A$4:$A$18,0)))</f>
        <v>0</v>
      </c>
    </row>
    <row r="377" customFormat="false" ht="15" hidden="false" customHeight="false" outlineLevel="0" collapsed="false">
      <c r="A377" s="0" t="str">
        <f aca="false">IF(Frota!$A12="","",Frota!$A12)</f>
        <v>Caminhão Scania G480 — 2748</v>
      </c>
      <c r="B377" s="0" t="str">
        <f aca="false">IF(Frota!$A12="","",Frota!$B12)</f>
        <v>Caminhão</v>
      </c>
      <c r="C377" s="0" t="n">
        <v>10</v>
      </c>
      <c r="D377" s="0" t="n">
        <f aca="false">INDEX(Semanas!$E$3:$E$54,10)</f>
        <v>6</v>
      </c>
      <c r="E377" s="0" t="str">
        <f aca="false">IF(Frota!$A12="","",Cronograma!K12)</f>
        <v/>
      </c>
      <c r="F377" s="0" t="n">
        <f aca="false">IF(OR($E377="",$E377=0),0,1)</f>
        <v>0</v>
      </c>
      <c r="G377" s="0" t="n">
        <f aca="false">IF($F377=0,0,INDEX(Aux_HH!$D$4:$D$18,MATCH($B377&amp;"|"&amp;$E377,Aux_HH!$A$4:$A$18,0)))</f>
        <v>0</v>
      </c>
      <c r="H377" s="0" t="n">
        <f aca="false">IF($F377=0,0,INDEX(Aux_HH!$E$4:$E$18,MATCH($B377&amp;"|"&amp;$E377,Aux_HH!$A$4:$A$18,0)))</f>
        <v>0</v>
      </c>
      <c r="I377" s="0" t="n">
        <f aca="false">IF($F377=0,0,INDEX(Aux_HH!$F$4:$F$18,MATCH($B377&amp;"|"&amp;$E377,Aux_HH!$A$4:$A$18,0)))</f>
        <v>0</v>
      </c>
      <c r="J377" s="0" t="n">
        <f aca="false">IF($F377=0,0,INDEX(Aux_HH!$G$4:$G$18,MATCH($B377&amp;"|"&amp;$E377,Aux_HH!$A$4:$A$18,0)))</f>
        <v>0</v>
      </c>
      <c r="K377" s="0" t="n">
        <f aca="false">IF($F377=0,0,INDEX(Aux_HH!$H$4:$H$18,MATCH($B377&amp;"|"&amp;$E377,Aux_HH!$A$4:$A$18,0)))</f>
        <v>0</v>
      </c>
      <c r="L377" s="0" t="n">
        <f aca="false">IF($F377=0,0,INDEX(Aux_HH!$I$4:$I$18,MATCH($B377&amp;"|"&amp;$E377,Aux_HH!$A$4:$A$18,0)))</f>
        <v>0</v>
      </c>
    </row>
    <row r="378" customFormat="false" ht="15" hidden="false" customHeight="false" outlineLevel="0" collapsed="false">
      <c r="A378" s="0" t="str">
        <f aca="false">IF(Frota!$A12="","",Frota!$A12)</f>
        <v>Caminhão Scania G480 — 2748</v>
      </c>
      <c r="B378" s="0" t="str">
        <f aca="false">IF(Frota!$A12="","",Frota!$B12)</f>
        <v>Caminhão</v>
      </c>
      <c r="C378" s="0" t="n">
        <v>11</v>
      </c>
      <c r="D378" s="0" t="n">
        <f aca="false">INDEX(Semanas!$E$3:$E$54,11)</f>
        <v>6</v>
      </c>
      <c r="E378" s="0" t="str">
        <f aca="false">IF(Frota!$A12="","",Cronograma!L12)</f>
        <v/>
      </c>
      <c r="F378" s="0" t="n">
        <f aca="false">IF(OR($E378="",$E378=0),0,1)</f>
        <v>0</v>
      </c>
      <c r="G378" s="0" t="n">
        <f aca="false">IF($F378=0,0,INDEX(Aux_HH!$D$4:$D$18,MATCH($B378&amp;"|"&amp;$E378,Aux_HH!$A$4:$A$18,0)))</f>
        <v>0</v>
      </c>
      <c r="H378" s="0" t="n">
        <f aca="false">IF($F378=0,0,INDEX(Aux_HH!$E$4:$E$18,MATCH($B378&amp;"|"&amp;$E378,Aux_HH!$A$4:$A$18,0)))</f>
        <v>0</v>
      </c>
      <c r="I378" s="0" t="n">
        <f aca="false">IF($F378=0,0,INDEX(Aux_HH!$F$4:$F$18,MATCH($B378&amp;"|"&amp;$E378,Aux_HH!$A$4:$A$18,0)))</f>
        <v>0</v>
      </c>
      <c r="J378" s="0" t="n">
        <f aca="false">IF($F378=0,0,INDEX(Aux_HH!$G$4:$G$18,MATCH($B378&amp;"|"&amp;$E378,Aux_HH!$A$4:$A$18,0)))</f>
        <v>0</v>
      </c>
      <c r="K378" s="0" t="n">
        <f aca="false">IF($F378=0,0,INDEX(Aux_HH!$H$4:$H$18,MATCH($B378&amp;"|"&amp;$E378,Aux_HH!$A$4:$A$18,0)))</f>
        <v>0</v>
      </c>
      <c r="L378" s="0" t="n">
        <f aca="false">IF($F378=0,0,INDEX(Aux_HH!$I$4:$I$18,MATCH($B378&amp;"|"&amp;$E378,Aux_HH!$A$4:$A$18,0)))</f>
        <v>0</v>
      </c>
    </row>
    <row r="379" customFormat="false" ht="15" hidden="false" customHeight="false" outlineLevel="0" collapsed="false">
      <c r="A379" s="0" t="str">
        <f aca="false">IF(Frota!$A12="","",Frota!$A12)</f>
        <v>Caminhão Scania G480 — 2748</v>
      </c>
      <c r="B379" s="0" t="str">
        <f aca="false">IF(Frota!$A12="","",Frota!$B12)</f>
        <v>Caminhão</v>
      </c>
      <c r="C379" s="0" t="n">
        <v>12</v>
      </c>
      <c r="D379" s="0" t="n">
        <f aca="false">INDEX(Semanas!$E$3:$E$54,12)</f>
        <v>6</v>
      </c>
      <c r="E379" s="0" t="str">
        <f aca="false">IF(Frota!$A12="","",Cronograma!M12)</f>
        <v>B</v>
      </c>
      <c r="F379" s="0" t="n">
        <f aca="false">IF(OR($E379="",$E379=0),0,1)</f>
        <v>1</v>
      </c>
      <c r="G379" s="0" t="n">
        <f aca="false">IF($F379=0,0,INDEX(Aux_HH!$D$4:$D$18,MATCH($B379&amp;"|"&amp;$E379,Aux_HH!$A$4:$A$18,0)))</f>
        <v>6.25</v>
      </c>
      <c r="H379" s="0" t="n">
        <f aca="false">IF($F379=0,0,INDEX(Aux_HH!$E$4:$E$18,MATCH($B379&amp;"|"&amp;$E379,Aux_HH!$A$4:$A$18,0)))</f>
        <v>0</v>
      </c>
      <c r="I379" s="0" t="n">
        <f aca="false">IF($F379=0,0,INDEX(Aux_HH!$F$4:$F$18,MATCH($B379&amp;"|"&amp;$E379,Aux_HH!$A$4:$A$18,0)))</f>
        <v>1</v>
      </c>
      <c r="J379" s="0" t="n">
        <f aca="false">IF($F379=0,0,INDEX(Aux_HH!$G$4:$G$18,MATCH($B379&amp;"|"&amp;$E379,Aux_HH!$A$4:$A$18,0)))</f>
        <v>0.5</v>
      </c>
      <c r="K379" s="0" t="n">
        <f aca="false">IF($F379=0,0,INDEX(Aux_HH!$H$4:$H$18,MATCH($B379&amp;"|"&amp;$E379,Aux_HH!$A$4:$A$18,0)))</f>
        <v>0.5</v>
      </c>
      <c r="L379" s="0" t="n">
        <f aca="false">IF($F379=0,0,INDEX(Aux_HH!$I$4:$I$18,MATCH($B379&amp;"|"&amp;$E379,Aux_HH!$A$4:$A$18,0)))</f>
        <v>0</v>
      </c>
    </row>
    <row r="380" customFormat="false" ht="15" hidden="false" customHeight="false" outlineLevel="0" collapsed="false">
      <c r="A380" s="0" t="str">
        <f aca="false">IF(Frota!$A12="","",Frota!$A12)</f>
        <v>Caminhão Scania G480 — 2748</v>
      </c>
      <c r="B380" s="0" t="str">
        <f aca="false">IF(Frota!$A12="","",Frota!$B12)</f>
        <v>Caminhão</v>
      </c>
      <c r="C380" s="0" t="n">
        <v>13</v>
      </c>
      <c r="D380" s="0" t="n">
        <f aca="false">INDEX(Semanas!$E$3:$E$54,13)</f>
        <v>6</v>
      </c>
      <c r="E380" s="0" t="str">
        <f aca="false">IF(Frota!$A12="","",Cronograma!N12)</f>
        <v/>
      </c>
      <c r="F380" s="0" t="n">
        <f aca="false">IF(OR($E380="",$E380=0),0,1)</f>
        <v>0</v>
      </c>
      <c r="G380" s="0" t="n">
        <f aca="false">IF($F380=0,0,INDEX(Aux_HH!$D$4:$D$18,MATCH($B380&amp;"|"&amp;$E380,Aux_HH!$A$4:$A$18,0)))</f>
        <v>0</v>
      </c>
      <c r="H380" s="0" t="n">
        <f aca="false">IF($F380=0,0,INDEX(Aux_HH!$E$4:$E$18,MATCH($B380&amp;"|"&amp;$E380,Aux_HH!$A$4:$A$18,0)))</f>
        <v>0</v>
      </c>
      <c r="I380" s="0" t="n">
        <f aca="false">IF($F380=0,0,INDEX(Aux_HH!$F$4:$F$18,MATCH($B380&amp;"|"&amp;$E380,Aux_HH!$A$4:$A$18,0)))</f>
        <v>0</v>
      </c>
      <c r="J380" s="0" t="n">
        <f aca="false">IF($F380=0,0,INDEX(Aux_HH!$G$4:$G$18,MATCH($B380&amp;"|"&amp;$E380,Aux_HH!$A$4:$A$18,0)))</f>
        <v>0</v>
      </c>
      <c r="K380" s="0" t="n">
        <f aca="false">IF($F380=0,0,INDEX(Aux_HH!$H$4:$H$18,MATCH($B380&amp;"|"&amp;$E380,Aux_HH!$A$4:$A$18,0)))</f>
        <v>0</v>
      </c>
      <c r="L380" s="0" t="n">
        <f aca="false">IF($F380=0,0,INDEX(Aux_HH!$I$4:$I$18,MATCH($B380&amp;"|"&amp;$E380,Aux_HH!$A$4:$A$18,0)))</f>
        <v>0</v>
      </c>
    </row>
    <row r="381" customFormat="false" ht="15" hidden="false" customHeight="false" outlineLevel="0" collapsed="false">
      <c r="A381" s="0" t="str">
        <f aca="false">IF(Frota!$A12="","",Frota!$A12)</f>
        <v>Caminhão Scania G480 — 2748</v>
      </c>
      <c r="B381" s="0" t="str">
        <f aca="false">IF(Frota!$A12="","",Frota!$B12)</f>
        <v>Caminhão</v>
      </c>
      <c r="C381" s="0" t="n">
        <v>14</v>
      </c>
      <c r="D381" s="0" t="n">
        <f aca="false">INDEX(Semanas!$E$3:$E$54,14)</f>
        <v>7</v>
      </c>
      <c r="E381" s="0" t="str">
        <f aca="false">IF(Frota!$A12="","",Cronograma!O12)</f>
        <v/>
      </c>
      <c r="F381" s="0" t="n">
        <f aca="false">IF(OR($E381="",$E381=0),0,1)</f>
        <v>0</v>
      </c>
      <c r="G381" s="0" t="n">
        <f aca="false">IF($F381=0,0,INDEX(Aux_HH!$D$4:$D$18,MATCH($B381&amp;"|"&amp;$E381,Aux_HH!$A$4:$A$18,0)))</f>
        <v>0</v>
      </c>
      <c r="H381" s="0" t="n">
        <f aca="false">IF($F381=0,0,INDEX(Aux_HH!$E$4:$E$18,MATCH($B381&amp;"|"&amp;$E381,Aux_HH!$A$4:$A$18,0)))</f>
        <v>0</v>
      </c>
      <c r="I381" s="0" t="n">
        <f aca="false">IF($F381=0,0,INDEX(Aux_HH!$F$4:$F$18,MATCH($B381&amp;"|"&amp;$E381,Aux_HH!$A$4:$A$18,0)))</f>
        <v>0</v>
      </c>
      <c r="J381" s="0" t="n">
        <f aca="false">IF($F381=0,0,INDEX(Aux_HH!$G$4:$G$18,MATCH($B381&amp;"|"&amp;$E381,Aux_HH!$A$4:$A$18,0)))</f>
        <v>0</v>
      </c>
      <c r="K381" s="0" t="n">
        <f aca="false">IF($F381=0,0,INDEX(Aux_HH!$H$4:$H$18,MATCH($B381&amp;"|"&amp;$E381,Aux_HH!$A$4:$A$18,0)))</f>
        <v>0</v>
      </c>
      <c r="L381" s="0" t="n">
        <f aca="false">IF($F381=0,0,INDEX(Aux_HH!$I$4:$I$18,MATCH($B381&amp;"|"&amp;$E381,Aux_HH!$A$4:$A$18,0)))</f>
        <v>0</v>
      </c>
    </row>
    <row r="382" customFormat="false" ht="15" hidden="false" customHeight="false" outlineLevel="0" collapsed="false">
      <c r="A382" s="0" t="str">
        <f aca="false">IF(Frota!$A12="","",Frota!$A12)</f>
        <v>Caminhão Scania G480 — 2748</v>
      </c>
      <c r="B382" s="0" t="str">
        <f aca="false">IF(Frota!$A12="","",Frota!$B12)</f>
        <v>Caminhão</v>
      </c>
      <c r="C382" s="0" t="n">
        <v>15</v>
      </c>
      <c r="D382" s="0" t="n">
        <f aca="false">INDEX(Semanas!$E$3:$E$54,15)</f>
        <v>7</v>
      </c>
      <c r="E382" s="0" t="str">
        <f aca="false">IF(Frota!$A12="","",Cronograma!P12)</f>
        <v/>
      </c>
      <c r="F382" s="0" t="n">
        <f aca="false">IF(OR($E382="",$E382=0),0,1)</f>
        <v>0</v>
      </c>
      <c r="G382" s="0" t="n">
        <f aca="false">IF($F382=0,0,INDEX(Aux_HH!$D$4:$D$18,MATCH($B382&amp;"|"&amp;$E382,Aux_HH!$A$4:$A$18,0)))</f>
        <v>0</v>
      </c>
      <c r="H382" s="0" t="n">
        <f aca="false">IF($F382=0,0,INDEX(Aux_HH!$E$4:$E$18,MATCH($B382&amp;"|"&amp;$E382,Aux_HH!$A$4:$A$18,0)))</f>
        <v>0</v>
      </c>
      <c r="I382" s="0" t="n">
        <f aca="false">IF($F382=0,0,INDEX(Aux_HH!$F$4:$F$18,MATCH($B382&amp;"|"&amp;$E382,Aux_HH!$A$4:$A$18,0)))</f>
        <v>0</v>
      </c>
      <c r="J382" s="0" t="n">
        <f aca="false">IF($F382=0,0,INDEX(Aux_HH!$G$4:$G$18,MATCH($B382&amp;"|"&amp;$E382,Aux_HH!$A$4:$A$18,0)))</f>
        <v>0</v>
      </c>
      <c r="K382" s="0" t="n">
        <f aca="false">IF($F382=0,0,INDEX(Aux_HH!$H$4:$H$18,MATCH($B382&amp;"|"&amp;$E382,Aux_HH!$A$4:$A$18,0)))</f>
        <v>0</v>
      </c>
      <c r="L382" s="0" t="n">
        <f aca="false">IF($F382=0,0,INDEX(Aux_HH!$I$4:$I$18,MATCH($B382&amp;"|"&amp;$E382,Aux_HH!$A$4:$A$18,0)))</f>
        <v>0</v>
      </c>
    </row>
    <row r="383" customFormat="false" ht="15" hidden="false" customHeight="false" outlineLevel="0" collapsed="false">
      <c r="A383" s="0" t="str">
        <f aca="false">IF(Frota!$A12="","",Frota!$A12)</f>
        <v>Caminhão Scania G480 — 2748</v>
      </c>
      <c r="B383" s="0" t="str">
        <f aca="false">IF(Frota!$A12="","",Frota!$B12)</f>
        <v>Caminhão</v>
      </c>
      <c r="C383" s="0" t="n">
        <v>16</v>
      </c>
      <c r="D383" s="0" t="n">
        <f aca="false">INDEX(Semanas!$E$3:$E$54,16)</f>
        <v>7</v>
      </c>
      <c r="E383" s="0" t="str">
        <f aca="false">IF(Frota!$A12="","",Cronograma!Q12)</f>
        <v/>
      </c>
      <c r="F383" s="0" t="n">
        <f aca="false">IF(OR($E383="",$E383=0),0,1)</f>
        <v>0</v>
      </c>
      <c r="G383" s="0" t="n">
        <f aca="false">IF($F383=0,0,INDEX(Aux_HH!$D$4:$D$18,MATCH($B383&amp;"|"&amp;$E383,Aux_HH!$A$4:$A$18,0)))</f>
        <v>0</v>
      </c>
      <c r="H383" s="0" t="n">
        <f aca="false">IF($F383=0,0,INDEX(Aux_HH!$E$4:$E$18,MATCH($B383&amp;"|"&amp;$E383,Aux_HH!$A$4:$A$18,0)))</f>
        <v>0</v>
      </c>
      <c r="I383" s="0" t="n">
        <f aca="false">IF($F383=0,0,INDEX(Aux_HH!$F$4:$F$18,MATCH($B383&amp;"|"&amp;$E383,Aux_HH!$A$4:$A$18,0)))</f>
        <v>0</v>
      </c>
      <c r="J383" s="0" t="n">
        <f aca="false">IF($F383=0,0,INDEX(Aux_HH!$G$4:$G$18,MATCH($B383&amp;"|"&amp;$E383,Aux_HH!$A$4:$A$18,0)))</f>
        <v>0</v>
      </c>
      <c r="K383" s="0" t="n">
        <f aca="false">IF($F383=0,0,INDEX(Aux_HH!$H$4:$H$18,MATCH($B383&amp;"|"&amp;$E383,Aux_HH!$A$4:$A$18,0)))</f>
        <v>0</v>
      </c>
      <c r="L383" s="0" t="n">
        <f aca="false">IF($F383=0,0,INDEX(Aux_HH!$I$4:$I$18,MATCH($B383&amp;"|"&amp;$E383,Aux_HH!$A$4:$A$18,0)))</f>
        <v>0</v>
      </c>
    </row>
    <row r="384" customFormat="false" ht="15" hidden="false" customHeight="false" outlineLevel="0" collapsed="false">
      <c r="A384" s="0" t="str">
        <f aca="false">IF(Frota!$A12="","",Frota!$A12)</f>
        <v>Caminhão Scania G480 — 2748</v>
      </c>
      <c r="B384" s="0" t="str">
        <f aca="false">IF(Frota!$A12="","",Frota!$B12)</f>
        <v>Caminhão</v>
      </c>
      <c r="C384" s="0" t="n">
        <v>17</v>
      </c>
      <c r="D384" s="0" t="n">
        <f aca="false">INDEX(Semanas!$E$3:$E$54,17)</f>
        <v>7</v>
      </c>
      <c r="E384" s="0" t="str">
        <f aca="false">IF(Frota!$A12="","",Cronograma!R12)</f>
        <v/>
      </c>
      <c r="F384" s="0" t="n">
        <f aca="false">IF(OR($E384="",$E384=0),0,1)</f>
        <v>0</v>
      </c>
      <c r="G384" s="0" t="n">
        <f aca="false">IF($F384=0,0,INDEX(Aux_HH!$D$4:$D$18,MATCH($B384&amp;"|"&amp;$E384,Aux_HH!$A$4:$A$18,0)))</f>
        <v>0</v>
      </c>
      <c r="H384" s="0" t="n">
        <f aca="false">IF($F384=0,0,INDEX(Aux_HH!$E$4:$E$18,MATCH($B384&amp;"|"&amp;$E384,Aux_HH!$A$4:$A$18,0)))</f>
        <v>0</v>
      </c>
      <c r="I384" s="0" t="n">
        <f aca="false">IF($F384=0,0,INDEX(Aux_HH!$F$4:$F$18,MATCH($B384&amp;"|"&amp;$E384,Aux_HH!$A$4:$A$18,0)))</f>
        <v>0</v>
      </c>
      <c r="J384" s="0" t="n">
        <f aca="false">IF($F384=0,0,INDEX(Aux_HH!$G$4:$G$18,MATCH($B384&amp;"|"&amp;$E384,Aux_HH!$A$4:$A$18,0)))</f>
        <v>0</v>
      </c>
      <c r="K384" s="0" t="n">
        <f aca="false">IF($F384=0,0,INDEX(Aux_HH!$H$4:$H$18,MATCH($B384&amp;"|"&amp;$E384,Aux_HH!$A$4:$A$18,0)))</f>
        <v>0</v>
      </c>
      <c r="L384" s="0" t="n">
        <f aca="false">IF($F384=0,0,INDEX(Aux_HH!$I$4:$I$18,MATCH($B384&amp;"|"&amp;$E384,Aux_HH!$A$4:$A$18,0)))</f>
        <v>0</v>
      </c>
    </row>
    <row r="385" customFormat="false" ht="15" hidden="false" customHeight="false" outlineLevel="0" collapsed="false">
      <c r="A385" s="0" t="str">
        <f aca="false">IF(Frota!$A12="","",Frota!$A12)</f>
        <v>Caminhão Scania G480 — 2748</v>
      </c>
      <c r="B385" s="0" t="str">
        <f aca="false">IF(Frota!$A12="","",Frota!$B12)</f>
        <v>Caminhão</v>
      </c>
      <c r="C385" s="0" t="n">
        <v>18</v>
      </c>
      <c r="D385" s="0" t="n">
        <f aca="false">INDEX(Semanas!$E$3:$E$54,18)</f>
        <v>7</v>
      </c>
      <c r="E385" s="0" t="str">
        <f aca="false">IF(Frota!$A12="","",Cronograma!S12)</f>
        <v/>
      </c>
      <c r="F385" s="0" t="n">
        <f aca="false">IF(OR($E385="",$E385=0),0,1)</f>
        <v>0</v>
      </c>
      <c r="G385" s="0" t="n">
        <f aca="false">IF($F385=0,0,INDEX(Aux_HH!$D$4:$D$18,MATCH($B385&amp;"|"&amp;$E385,Aux_HH!$A$4:$A$18,0)))</f>
        <v>0</v>
      </c>
      <c r="H385" s="0" t="n">
        <f aca="false">IF($F385=0,0,INDEX(Aux_HH!$E$4:$E$18,MATCH($B385&amp;"|"&amp;$E385,Aux_HH!$A$4:$A$18,0)))</f>
        <v>0</v>
      </c>
      <c r="I385" s="0" t="n">
        <f aca="false">IF($F385=0,0,INDEX(Aux_HH!$F$4:$F$18,MATCH($B385&amp;"|"&amp;$E385,Aux_HH!$A$4:$A$18,0)))</f>
        <v>0</v>
      </c>
      <c r="J385" s="0" t="n">
        <f aca="false">IF($F385=0,0,INDEX(Aux_HH!$G$4:$G$18,MATCH($B385&amp;"|"&amp;$E385,Aux_HH!$A$4:$A$18,0)))</f>
        <v>0</v>
      </c>
      <c r="K385" s="0" t="n">
        <f aca="false">IF($F385=0,0,INDEX(Aux_HH!$H$4:$H$18,MATCH($B385&amp;"|"&amp;$E385,Aux_HH!$A$4:$A$18,0)))</f>
        <v>0</v>
      </c>
      <c r="L385" s="0" t="n">
        <f aca="false">IF($F385=0,0,INDEX(Aux_HH!$I$4:$I$18,MATCH($B385&amp;"|"&amp;$E385,Aux_HH!$A$4:$A$18,0)))</f>
        <v>0</v>
      </c>
    </row>
    <row r="386" customFormat="false" ht="15" hidden="false" customHeight="false" outlineLevel="0" collapsed="false">
      <c r="A386" s="0" t="str">
        <f aca="false">IF(Frota!$A12="","",Frota!$A12)</f>
        <v>Caminhão Scania G480 — 2748</v>
      </c>
      <c r="B386" s="0" t="str">
        <f aca="false">IF(Frota!$A12="","",Frota!$B12)</f>
        <v>Caminhão</v>
      </c>
      <c r="C386" s="0" t="n">
        <v>19</v>
      </c>
      <c r="D386" s="0" t="n">
        <f aca="false">INDEX(Semanas!$E$3:$E$54,19)</f>
        <v>8</v>
      </c>
      <c r="E386" s="0" t="str">
        <f aca="false">IF(Frota!$A12="","",Cronograma!T12)</f>
        <v>S</v>
      </c>
      <c r="F386" s="0" t="n">
        <f aca="false">IF(OR($E386="",$E386=0),0,1)</f>
        <v>1</v>
      </c>
      <c r="G386" s="0" t="n">
        <f aca="false">IF($F386=0,0,INDEX(Aux_HH!$D$4:$D$18,MATCH($B386&amp;"|"&amp;$E386,Aux_HH!$A$4:$A$18,0)))</f>
        <v>2.25</v>
      </c>
      <c r="H386" s="0" t="n">
        <f aca="false">IF($F386=0,0,INDEX(Aux_HH!$E$4:$E$18,MATCH($B386&amp;"|"&amp;$E386,Aux_HH!$A$4:$A$18,0)))</f>
        <v>0</v>
      </c>
      <c r="I386" s="0" t="n">
        <f aca="false">IF($F386=0,0,INDEX(Aux_HH!$F$4:$F$18,MATCH($B386&amp;"|"&amp;$E386,Aux_HH!$A$4:$A$18,0)))</f>
        <v>0</v>
      </c>
      <c r="J386" s="0" t="n">
        <f aca="false">IF($F386=0,0,INDEX(Aux_HH!$G$4:$G$18,MATCH($B386&amp;"|"&amp;$E386,Aux_HH!$A$4:$A$18,0)))</f>
        <v>0.5</v>
      </c>
      <c r="K386" s="0" t="n">
        <f aca="false">IF($F386=0,0,INDEX(Aux_HH!$H$4:$H$18,MATCH($B386&amp;"|"&amp;$E386,Aux_HH!$A$4:$A$18,0)))</f>
        <v>0.5</v>
      </c>
      <c r="L386" s="0" t="n">
        <f aca="false">IF($F386=0,0,INDEX(Aux_HH!$I$4:$I$18,MATCH($B386&amp;"|"&amp;$E386,Aux_HH!$A$4:$A$18,0)))</f>
        <v>0</v>
      </c>
    </row>
    <row r="387" customFormat="false" ht="15" hidden="false" customHeight="false" outlineLevel="0" collapsed="false">
      <c r="A387" s="0" t="str">
        <f aca="false">IF(Frota!$A12="","",Frota!$A12)</f>
        <v>Caminhão Scania G480 — 2748</v>
      </c>
      <c r="B387" s="0" t="str">
        <f aca="false">IF(Frota!$A12="","",Frota!$B12)</f>
        <v>Caminhão</v>
      </c>
      <c r="C387" s="0" t="n">
        <v>20</v>
      </c>
      <c r="D387" s="0" t="n">
        <f aca="false">INDEX(Semanas!$E$3:$E$54,20)</f>
        <v>8</v>
      </c>
      <c r="E387" s="0" t="str">
        <f aca="false">IF(Frota!$A12="","",Cronograma!U12)</f>
        <v/>
      </c>
      <c r="F387" s="0" t="n">
        <f aca="false">IF(OR($E387="",$E387=0),0,1)</f>
        <v>0</v>
      </c>
      <c r="G387" s="0" t="n">
        <f aca="false">IF($F387=0,0,INDEX(Aux_HH!$D$4:$D$18,MATCH($B387&amp;"|"&amp;$E387,Aux_HH!$A$4:$A$18,0)))</f>
        <v>0</v>
      </c>
      <c r="H387" s="0" t="n">
        <f aca="false">IF($F387=0,0,INDEX(Aux_HH!$E$4:$E$18,MATCH($B387&amp;"|"&amp;$E387,Aux_HH!$A$4:$A$18,0)))</f>
        <v>0</v>
      </c>
      <c r="I387" s="0" t="n">
        <f aca="false">IF($F387=0,0,INDEX(Aux_HH!$F$4:$F$18,MATCH($B387&amp;"|"&amp;$E387,Aux_HH!$A$4:$A$18,0)))</f>
        <v>0</v>
      </c>
      <c r="J387" s="0" t="n">
        <f aca="false">IF($F387=0,0,INDEX(Aux_HH!$G$4:$G$18,MATCH($B387&amp;"|"&amp;$E387,Aux_HH!$A$4:$A$18,0)))</f>
        <v>0</v>
      </c>
      <c r="K387" s="0" t="n">
        <f aca="false">IF($F387=0,0,INDEX(Aux_HH!$H$4:$H$18,MATCH($B387&amp;"|"&amp;$E387,Aux_HH!$A$4:$A$18,0)))</f>
        <v>0</v>
      </c>
      <c r="L387" s="0" t="n">
        <f aca="false">IF($F387=0,0,INDEX(Aux_HH!$I$4:$I$18,MATCH($B387&amp;"|"&amp;$E387,Aux_HH!$A$4:$A$18,0)))</f>
        <v>0</v>
      </c>
    </row>
    <row r="388" customFormat="false" ht="15" hidden="false" customHeight="false" outlineLevel="0" collapsed="false">
      <c r="A388" s="0" t="str">
        <f aca="false">IF(Frota!$A12="","",Frota!$A12)</f>
        <v>Caminhão Scania G480 — 2748</v>
      </c>
      <c r="B388" s="0" t="str">
        <f aca="false">IF(Frota!$A12="","",Frota!$B12)</f>
        <v>Caminhão</v>
      </c>
      <c r="C388" s="0" t="n">
        <v>21</v>
      </c>
      <c r="D388" s="0" t="n">
        <f aca="false">INDEX(Semanas!$E$3:$E$54,21)</f>
        <v>8</v>
      </c>
      <c r="E388" s="0" t="str">
        <f aca="false">IF(Frota!$A12="","",Cronograma!V12)</f>
        <v/>
      </c>
      <c r="F388" s="0" t="n">
        <f aca="false">IF(OR($E388="",$E388=0),0,1)</f>
        <v>0</v>
      </c>
      <c r="G388" s="0" t="n">
        <f aca="false">IF($F388=0,0,INDEX(Aux_HH!$D$4:$D$18,MATCH($B388&amp;"|"&amp;$E388,Aux_HH!$A$4:$A$18,0)))</f>
        <v>0</v>
      </c>
      <c r="H388" s="0" t="n">
        <f aca="false">IF($F388=0,0,INDEX(Aux_HH!$E$4:$E$18,MATCH($B388&amp;"|"&amp;$E388,Aux_HH!$A$4:$A$18,0)))</f>
        <v>0</v>
      </c>
      <c r="I388" s="0" t="n">
        <f aca="false">IF($F388=0,0,INDEX(Aux_HH!$F$4:$F$18,MATCH($B388&amp;"|"&amp;$E388,Aux_HH!$A$4:$A$18,0)))</f>
        <v>0</v>
      </c>
      <c r="J388" s="0" t="n">
        <f aca="false">IF($F388=0,0,INDEX(Aux_HH!$G$4:$G$18,MATCH($B388&amp;"|"&amp;$E388,Aux_HH!$A$4:$A$18,0)))</f>
        <v>0</v>
      </c>
      <c r="K388" s="0" t="n">
        <f aca="false">IF($F388=0,0,INDEX(Aux_HH!$H$4:$H$18,MATCH($B388&amp;"|"&amp;$E388,Aux_HH!$A$4:$A$18,0)))</f>
        <v>0</v>
      </c>
      <c r="L388" s="0" t="n">
        <f aca="false">IF($F388=0,0,INDEX(Aux_HH!$I$4:$I$18,MATCH($B388&amp;"|"&amp;$E388,Aux_HH!$A$4:$A$18,0)))</f>
        <v>0</v>
      </c>
    </row>
    <row r="389" customFormat="false" ht="15" hidden="false" customHeight="false" outlineLevel="0" collapsed="false">
      <c r="A389" s="0" t="str">
        <f aca="false">IF(Frota!$A12="","",Frota!$A12)</f>
        <v>Caminhão Scania G480 — 2748</v>
      </c>
      <c r="B389" s="0" t="str">
        <f aca="false">IF(Frota!$A12="","",Frota!$B12)</f>
        <v>Caminhão</v>
      </c>
      <c r="C389" s="0" t="n">
        <v>22</v>
      </c>
      <c r="D389" s="0" t="n">
        <f aca="false">INDEX(Semanas!$E$3:$E$54,22)</f>
        <v>8</v>
      </c>
      <c r="E389" s="0" t="str">
        <f aca="false">IF(Frota!$A12="","",Cronograma!W12)</f>
        <v/>
      </c>
      <c r="F389" s="0" t="n">
        <f aca="false">IF(OR($E389="",$E389=0),0,1)</f>
        <v>0</v>
      </c>
      <c r="G389" s="0" t="n">
        <f aca="false">IF($F389=0,0,INDEX(Aux_HH!$D$4:$D$18,MATCH($B389&amp;"|"&amp;$E389,Aux_HH!$A$4:$A$18,0)))</f>
        <v>0</v>
      </c>
      <c r="H389" s="0" t="n">
        <f aca="false">IF($F389=0,0,INDEX(Aux_HH!$E$4:$E$18,MATCH($B389&amp;"|"&amp;$E389,Aux_HH!$A$4:$A$18,0)))</f>
        <v>0</v>
      </c>
      <c r="I389" s="0" t="n">
        <f aca="false">IF($F389=0,0,INDEX(Aux_HH!$F$4:$F$18,MATCH($B389&amp;"|"&amp;$E389,Aux_HH!$A$4:$A$18,0)))</f>
        <v>0</v>
      </c>
      <c r="J389" s="0" t="n">
        <f aca="false">IF($F389=0,0,INDEX(Aux_HH!$G$4:$G$18,MATCH($B389&amp;"|"&amp;$E389,Aux_HH!$A$4:$A$18,0)))</f>
        <v>0</v>
      </c>
      <c r="K389" s="0" t="n">
        <f aca="false">IF($F389=0,0,INDEX(Aux_HH!$H$4:$H$18,MATCH($B389&amp;"|"&amp;$E389,Aux_HH!$A$4:$A$18,0)))</f>
        <v>0</v>
      </c>
      <c r="L389" s="0" t="n">
        <f aca="false">IF($F389=0,0,INDEX(Aux_HH!$I$4:$I$18,MATCH($B389&amp;"|"&amp;$E389,Aux_HH!$A$4:$A$18,0)))</f>
        <v>0</v>
      </c>
    </row>
    <row r="390" customFormat="false" ht="15" hidden="false" customHeight="false" outlineLevel="0" collapsed="false">
      <c r="A390" s="0" t="str">
        <f aca="false">IF(Frota!$A12="","",Frota!$A12)</f>
        <v>Caminhão Scania G480 — 2748</v>
      </c>
      <c r="B390" s="0" t="str">
        <f aca="false">IF(Frota!$A12="","",Frota!$B12)</f>
        <v>Caminhão</v>
      </c>
      <c r="C390" s="0" t="n">
        <v>23</v>
      </c>
      <c r="D390" s="0" t="n">
        <f aca="false">INDEX(Semanas!$E$3:$E$54,23)</f>
        <v>9</v>
      </c>
      <c r="E390" s="0" t="str">
        <f aca="false">IF(Frota!$A12="","",Cronograma!X12)</f>
        <v/>
      </c>
      <c r="F390" s="0" t="n">
        <f aca="false">IF(OR($E390="",$E390=0),0,1)</f>
        <v>0</v>
      </c>
      <c r="G390" s="0" t="n">
        <f aca="false">IF($F390=0,0,INDEX(Aux_HH!$D$4:$D$18,MATCH($B390&amp;"|"&amp;$E390,Aux_HH!$A$4:$A$18,0)))</f>
        <v>0</v>
      </c>
      <c r="H390" s="0" t="n">
        <f aca="false">IF($F390=0,0,INDEX(Aux_HH!$E$4:$E$18,MATCH($B390&amp;"|"&amp;$E390,Aux_HH!$A$4:$A$18,0)))</f>
        <v>0</v>
      </c>
      <c r="I390" s="0" t="n">
        <f aca="false">IF($F390=0,0,INDEX(Aux_HH!$F$4:$F$18,MATCH($B390&amp;"|"&amp;$E390,Aux_HH!$A$4:$A$18,0)))</f>
        <v>0</v>
      </c>
      <c r="J390" s="0" t="n">
        <f aca="false">IF($F390=0,0,INDEX(Aux_HH!$G$4:$G$18,MATCH($B390&amp;"|"&amp;$E390,Aux_HH!$A$4:$A$18,0)))</f>
        <v>0</v>
      </c>
      <c r="K390" s="0" t="n">
        <f aca="false">IF($F390=0,0,INDEX(Aux_HH!$H$4:$H$18,MATCH($B390&amp;"|"&amp;$E390,Aux_HH!$A$4:$A$18,0)))</f>
        <v>0</v>
      </c>
      <c r="L390" s="0" t="n">
        <f aca="false">IF($F390=0,0,INDEX(Aux_HH!$I$4:$I$18,MATCH($B390&amp;"|"&amp;$E390,Aux_HH!$A$4:$A$18,0)))</f>
        <v>0</v>
      </c>
    </row>
    <row r="391" customFormat="false" ht="15" hidden="false" customHeight="false" outlineLevel="0" collapsed="false">
      <c r="A391" s="0" t="str">
        <f aca="false">IF(Frota!$A12="","",Frota!$A12)</f>
        <v>Caminhão Scania G480 — 2748</v>
      </c>
      <c r="B391" s="0" t="str">
        <f aca="false">IF(Frota!$A12="","",Frota!$B12)</f>
        <v>Caminhão</v>
      </c>
      <c r="C391" s="0" t="n">
        <v>24</v>
      </c>
      <c r="D391" s="0" t="n">
        <f aca="false">INDEX(Semanas!$E$3:$E$54,24)</f>
        <v>9</v>
      </c>
      <c r="E391" s="0" t="str">
        <f aca="false">IF(Frota!$A12="","",Cronograma!Y12)</f>
        <v/>
      </c>
      <c r="F391" s="0" t="n">
        <f aca="false">IF(OR($E391="",$E391=0),0,1)</f>
        <v>0</v>
      </c>
      <c r="G391" s="0" t="n">
        <f aca="false">IF($F391=0,0,INDEX(Aux_HH!$D$4:$D$18,MATCH($B391&amp;"|"&amp;$E391,Aux_HH!$A$4:$A$18,0)))</f>
        <v>0</v>
      </c>
      <c r="H391" s="0" t="n">
        <f aca="false">IF($F391=0,0,INDEX(Aux_HH!$E$4:$E$18,MATCH($B391&amp;"|"&amp;$E391,Aux_HH!$A$4:$A$18,0)))</f>
        <v>0</v>
      </c>
      <c r="I391" s="0" t="n">
        <f aca="false">IF($F391=0,0,INDEX(Aux_HH!$F$4:$F$18,MATCH($B391&amp;"|"&amp;$E391,Aux_HH!$A$4:$A$18,0)))</f>
        <v>0</v>
      </c>
      <c r="J391" s="0" t="n">
        <f aca="false">IF($F391=0,0,INDEX(Aux_HH!$G$4:$G$18,MATCH($B391&amp;"|"&amp;$E391,Aux_HH!$A$4:$A$18,0)))</f>
        <v>0</v>
      </c>
      <c r="K391" s="0" t="n">
        <f aca="false">IF($F391=0,0,INDEX(Aux_HH!$H$4:$H$18,MATCH($B391&amp;"|"&amp;$E391,Aux_HH!$A$4:$A$18,0)))</f>
        <v>0</v>
      </c>
      <c r="L391" s="0" t="n">
        <f aca="false">IF($F391=0,0,INDEX(Aux_HH!$I$4:$I$18,MATCH($B391&amp;"|"&amp;$E391,Aux_HH!$A$4:$A$18,0)))</f>
        <v>0</v>
      </c>
    </row>
    <row r="392" customFormat="false" ht="15" hidden="false" customHeight="false" outlineLevel="0" collapsed="false">
      <c r="A392" s="0" t="str">
        <f aca="false">IF(Frota!$A12="","",Frota!$A12)</f>
        <v>Caminhão Scania G480 — 2748</v>
      </c>
      <c r="B392" s="0" t="str">
        <f aca="false">IF(Frota!$A12="","",Frota!$B12)</f>
        <v>Caminhão</v>
      </c>
      <c r="C392" s="0" t="n">
        <v>25</v>
      </c>
      <c r="D392" s="0" t="n">
        <f aca="false">INDEX(Semanas!$E$3:$E$54,25)</f>
        <v>9</v>
      </c>
      <c r="E392" s="0" t="str">
        <f aca="false">IF(Frota!$A12="","",Cronograma!Z12)</f>
        <v/>
      </c>
      <c r="F392" s="0" t="n">
        <f aca="false">IF(OR($E392="",$E392=0),0,1)</f>
        <v>0</v>
      </c>
      <c r="G392" s="0" t="n">
        <f aca="false">IF($F392=0,0,INDEX(Aux_HH!$D$4:$D$18,MATCH($B392&amp;"|"&amp;$E392,Aux_HH!$A$4:$A$18,0)))</f>
        <v>0</v>
      </c>
      <c r="H392" s="0" t="n">
        <f aca="false">IF($F392=0,0,INDEX(Aux_HH!$E$4:$E$18,MATCH($B392&amp;"|"&amp;$E392,Aux_HH!$A$4:$A$18,0)))</f>
        <v>0</v>
      </c>
      <c r="I392" s="0" t="n">
        <f aca="false">IF($F392=0,0,INDEX(Aux_HH!$F$4:$F$18,MATCH($B392&amp;"|"&amp;$E392,Aux_HH!$A$4:$A$18,0)))</f>
        <v>0</v>
      </c>
      <c r="J392" s="0" t="n">
        <f aca="false">IF($F392=0,0,INDEX(Aux_HH!$G$4:$G$18,MATCH($B392&amp;"|"&amp;$E392,Aux_HH!$A$4:$A$18,0)))</f>
        <v>0</v>
      </c>
      <c r="K392" s="0" t="n">
        <f aca="false">IF($F392=0,0,INDEX(Aux_HH!$H$4:$H$18,MATCH($B392&amp;"|"&amp;$E392,Aux_HH!$A$4:$A$18,0)))</f>
        <v>0</v>
      </c>
      <c r="L392" s="0" t="n">
        <f aca="false">IF($F392=0,0,INDEX(Aux_HH!$I$4:$I$18,MATCH($B392&amp;"|"&amp;$E392,Aux_HH!$A$4:$A$18,0)))</f>
        <v>0</v>
      </c>
    </row>
    <row r="393" customFormat="false" ht="15" hidden="false" customHeight="false" outlineLevel="0" collapsed="false">
      <c r="A393" s="0" t="str">
        <f aca="false">IF(Frota!$A12="","",Frota!$A12)</f>
        <v>Caminhão Scania G480 — 2748</v>
      </c>
      <c r="B393" s="0" t="str">
        <f aca="false">IF(Frota!$A12="","",Frota!$B12)</f>
        <v>Caminhão</v>
      </c>
      <c r="C393" s="0" t="n">
        <v>26</v>
      </c>
      <c r="D393" s="0" t="n">
        <f aca="false">INDEX(Semanas!$E$3:$E$54,26)</f>
        <v>9</v>
      </c>
      <c r="E393" s="0" t="str">
        <f aca="false">IF(Frota!$A12="","",Cronograma!AA12)</f>
        <v>A</v>
      </c>
      <c r="F393" s="0" t="n">
        <f aca="false">IF(OR($E393="",$E393=0),0,1)</f>
        <v>1</v>
      </c>
      <c r="G393" s="0" t="n">
        <f aca="false">IF($F393=0,0,INDEX(Aux_HH!$D$4:$D$18,MATCH($B393&amp;"|"&amp;$E393,Aux_HH!$A$4:$A$18,0)))</f>
        <v>6.25</v>
      </c>
      <c r="H393" s="0" t="n">
        <f aca="false">IF($F393=0,0,INDEX(Aux_HH!$E$4:$E$18,MATCH($B393&amp;"|"&amp;$E393,Aux_HH!$A$4:$A$18,0)))</f>
        <v>0</v>
      </c>
      <c r="I393" s="0" t="n">
        <f aca="false">IF($F393=0,0,INDEX(Aux_HH!$F$4:$F$18,MATCH($B393&amp;"|"&amp;$E393,Aux_HH!$A$4:$A$18,0)))</f>
        <v>1</v>
      </c>
      <c r="J393" s="0" t="n">
        <f aca="false">IF($F393=0,0,INDEX(Aux_HH!$G$4:$G$18,MATCH($B393&amp;"|"&amp;$E393,Aux_HH!$A$4:$A$18,0)))</f>
        <v>0.5</v>
      </c>
      <c r="K393" s="0" t="n">
        <f aca="false">IF($F393=0,0,INDEX(Aux_HH!$H$4:$H$18,MATCH($B393&amp;"|"&amp;$E393,Aux_HH!$A$4:$A$18,0)))</f>
        <v>0.5</v>
      </c>
      <c r="L393" s="0" t="n">
        <f aca="false">IF($F393=0,0,INDEX(Aux_HH!$I$4:$I$18,MATCH($B393&amp;"|"&amp;$E393,Aux_HH!$A$4:$A$18,0)))</f>
        <v>0</v>
      </c>
    </row>
    <row r="394" customFormat="false" ht="15" hidden="false" customHeight="false" outlineLevel="0" collapsed="false">
      <c r="A394" s="0" t="str">
        <f aca="false">IF(Frota!$A12="","",Frota!$A12)</f>
        <v>Caminhão Scania G480 — 2748</v>
      </c>
      <c r="B394" s="0" t="str">
        <f aca="false">IF(Frota!$A12="","",Frota!$B12)</f>
        <v>Caminhão</v>
      </c>
      <c r="C394" s="0" t="n">
        <v>27</v>
      </c>
      <c r="D394" s="0" t="n">
        <f aca="false">INDEX(Semanas!$E$3:$E$54,27)</f>
        <v>9</v>
      </c>
      <c r="E394" s="0" t="str">
        <f aca="false">IF(Frota!$A12="","",Cronograma!AB12)</f>
        <v/>
      </c>
      <c r="F394" s="0" t="n">
        <f aca="false">IF(OR($E394="",$E394=0),0,1)</f>
        <v>0</v>
      </c>
      <c r="G394" s="0" t="n">
        <f aca="false">IF($F394=0,0,INDEX(Aux_HH!$D$4:$D$18,MATCH($B394&amp;"|"&amp;$E394,Aux_HH!$A$4:$A$18,0)))</f>
        <v>0</v>
      </c>
      <c r="H394" s="0" t="n">
        <f aca="false">IF($F394=0,0,INDEX(Aux_HH!$E$4:$E$18,MATCH($B394&amp;"|"&amp;$E394,Aux_HH!$A$4:$A$18,0)))</f>
        <v>0</v>
      </c>
      <c r="I394" s="0" t="n">
        <f aca="false">IF($F394=0,0,INDEX(Aux_HH!$F$4:$F$18,MATCH($B394&amp;"|"&amp;$E394,Aux_HH!$A$4:$A$18,0)))</f>
        <v>0</v>
      </c>
      <c r="J394" s="0" t="n">
        <f aca="false">IF($F394=0,0,INDEX(Aux_HH!$G$4:$G$18,MATCH($B394&amp;"|"&amp;$E394,Aux_HH!$A$4:$A$18,0)))</f>
        <v>0</v>
      </c>
      <c r="K394" s="0" t="n">
        <f aca="false">IF($F394=0,0,INDEX(Aux_HH!$H$4:$H$18,MATCH($B394&amp;"|"&amp;$E394,Aux_HH!$A$4:$A$18,0)))</f>
        <v>0</v>
      </c>
      <c r="L394" s="0" t="n">
        <f aca="false">IF($F394=0,0,INDEX(Aux_HH!$I$4:$I$18,MATCH($B394&amp;"|"&amp;$E394,Aux_HH!$A$4:$A$18,0)))</f>
        <v>0</v>
      </c>
    </row>
    <row r="395" customFormat="false" ht="15" hidden="false" customHeight="false" outlineLevel="0" collapsed="false">
      <c r="A395" s="0" t="str">
        <f aca="false">IF(Frota!$A12="","",Frota!$A12)</f>
        <v>Caminhão Scania G480 — 2748</v>
      </c>
      <c r="B395" s="0" t="str">
        <f aca="false">IF(Frota!$A12="","",Frota!$B12)</f>
        <v>Caminhão</v>
      </c>
      <c r="C395" s="0" t="n">
        <v>28</v>
      </c>
      <c r="D395" s="0" t="n">
        <f aca="false">INDEX(Semanas!$E$3:$E$54,28)</f>
        <v>10</v>
      </c>
      <c r="E395" s="0" t="str">
        <f aca="false">IF(Frota!$A12="","",Cronograma!AC12)</f>
        <v/>
      </c>
      <c r="F395" s="0" t="n">
        <f aca="false">IF(OR($E395="",$E395=0),0,1)</f>
        <v>0</v>
      </c>
      <c r="G395" s="0" t="n">
        <f aca="false">IF($F395=0,0,INDEX(Aux_HH!$D$4:$D$18,MATCH($B395&amp;"|"&amp;$E395,Aux_HH!$A$4:$A$18,0)))</f>
        <v>0</v>
      </c>
      <c r="H395" s="0" t="n">
        <f aca="false">IF($F395=0,0,INDEX(Aux_HH!$E$4:$E$18,MATCH($B395&amp;"|"&amp;$E395,Aux_HH!$A$4:$A$18,0)))</f>
        <v>0</v>
      </c>
      <c r="I395" s="0" t="n">
        <f aca="false">IF($F395=0,0,INDEX(Aux_HH!$F$4:$F$18,MATCH($B395&amp;"|"&amp;$E395,Aux_HH!$A$4:$A$18,0)))</f>
        <v>0</v>
      </c>
      <c r="J395" s="0" t="n">
        <f aca="false">IF($F395=0,0,INDEX(Aux_HH!$G$4:$G$18,MATCH($B395&amp;"|"&amp;$E395,Aux_HH!$A$4:$A$18,0)))</f>
        <v>0</v>
      </c>
      <c r="K395" s="0" t="n">
        <f aca="false">IF($F395=0,0,INDEX(Aux_HH!$H$4:$H$18,MATCH($B395&amp;"|"&amp;$E395,Aux_HH!$A$4:$A$18,0)))</f>
        <v>0</v>
      </c>
      <c r="L395" s="0" t="n">
        <f aca="false">IF($F395=0,0,INDEX(Aux_HH!$I$4:$I$18,MATCH($B395&amp;"|"&amp;$E395,Aux_HH!$A$4:$A$18,0)))</f>
        <v>0</v>
      </c>
    </row>
    <row r="396" customFormat="false" ht="15" hidden="false" customHeight="false" outlineLevel="0" collapsed="false">
      <c r="A396" s="0" t="str">
        <f aca="false">IF(Frota!$A12="","",Frota!$A12)</f>
        <v>Caminhão Scania G480 — 2748</v>
      </c>
      <c r="B396" s="0" t="str">
        <f aca="false">IF(Frota!$A12="","",Frota!$B12)</f>
        <v>Caminhão</v>
      </c>
      <c r="C396" s="0" t="n">
        <v>29</v>
      </c>
      <c r="D396" s="0" t="n">
        <f aca="false">INDEX(Semanas!$E$3:$E$54,29)</f>
        <v>10</v>
      </c>
      <c r="E396" s="0" t="str">
        <f aca="false">IF(Frota!$A12="","",Cronograma!AD12)</f>
        <v/>
      </c>
      <c r="F396" s="0" t="n">
        <f aca="false">IF(OR($E396="",$E396=0),0,1)</f>
        <v>0</v>
      </c>
      <c r="G396" s="0" t="n">
        <f aca="false">IF($F396=0,0,INDEX(Aux_HH!$D$4:$D$18,MATCH($B396&amp;"|"&amp;$E396,Aux_HH!$A$4:$A$18,0)))</f>
        <v>0</v>
      </c>
      <c r="H396" s="0" t="n">
        <f aca="false">IF($F396=0,0,INDEX(Aux_HH!$E$4:$E$18,MATCH($B396&amp;"|"&amp;$E396,Aux_HH!$A$4:$A$18,0)))</f>
        <v>0</v>
      </c>
      <c r="I396" s="0" t="n">
        <f aca="false">IF($F396=0,0,INDEX(Aux_HH!$F$4:$F$18,MATCH($B396&amp;"|"&amp;$E396,Aux_HH!$A$4:$A$18,0)))</f>
        <v>0</v>
      </c>
      <c r="J396" s="0" t="n">
        <f aca="false">IF($F396=0,0,INDEX(Aux_HH!$G$4:$G$18,MATCH($B396&amp;"|"&amp;$E396,Aux_HH!$A$4:$A$18,0)))</f>
        <v>0</v>
      </c>
      <c r="K396" s="0" t="n">
        <f aca="false">IF($F396=0,0,INDEX(Aux_HH!$H$4:$H$18,MATCH($B396&amp;"|"&amp;$E396,Aux_HH!$A$4:$A$18,0)))</f>
        <v>0</v>
      </c>
      <c r="L396" s="0" t="n">
        <f aca="false">IF($F396=0,0,INDEX(Aux_HH!$I$4:$I$18,MATCH($B396&amp;"|"&amp;$E396,Aux_HH!$A$4:$A$18,0)))</f>
        <v>0</v>
      </c>
    </row>
    <row r="397" customFormat="false" ht="15" hidden="false" customHeight="false" outlineLevel="0" collapsed="false">
      <c r="A397" s="0" t="str">
        <f aca="false">IF(Frota!$A12="","",Frota!$A12)</f>
        <v>Caminhão Scania G480 — 2748</v>
      </c>
      <c r="B397" s="0" t="str">
        <f aca="false">IF(Frota!$A12="","",Frota!$B12)</f>
        <v>Caminhão</v>
      </c>
      <c r="C397" s="0" t="n">
        <v>30</v>
      </c>
      <c r="D397" s="0" t="n">
        <f aca="false">INDEX(Semanas!$E$3:$E$54,30)</f>
        <v>10</v>
      </c>
      <c r="E397" s="0" t="str">
        <f aca="false">IF(Frota!$A12="","",Cronograma!AE12)</f>
        <v/>
      </c>
      <c r="F397" s="0" t="n">
        <f aca="false">IF(OR($E397="",$E397=0),0,1)</f>
        <v>0</v>
      </c>
      <c r="G397" s="0" t="n">
        <f aca="false">IF($F397=0,0,INDEX(Aux_HH!$D$4:$D$18,MATCH($B397&amp;"|"&amp;$E397,Aux_HH!$A$4:$A$18,0)))</f>
        <v>0</v>
      </c>
      <c r="H397" s="0" t="n">
        <f aca="false">IF($F397=0,0,INDEX(Aux_HH!$E$4:$E$18,MATCH($B397&amp;"|"&amp;$E397,Aux_HH!$A$4:$A$18,0)))</f>
        <v>0</v>
      </c>
      <c r="I397" s="0" t="n">
        <f aca="false">IF($F397=0,0,INDEX(Aux_HH!$F$4:$F$18,MATCH($B397&amp;"|"&amp;$E397,Aux_HH!$A$4:$A$18,0)))</f>
        <v>0</v>
      </c>
      <c r="J397" s="0" t="n">
        <f aca="false">IF($F397=0,0,INDEX(Aux_HH!$G$4:$G$18,MATCH($B397&amp;"|"&amp;$E397,Aux_HH!$A$4:$A$18,0)))</f>
        <v>0</v>
      </c>
      <c r="K397" s="0" t="n">
        <f aca="false">IF($F397=0,0,INDEX(Aux_HH!$H$4:$H$18,MATCH($B397&amp;"|"&amp;$E397,Aux_HH!$A$4:$A$18,0)))</f>
        <v>0</v>
      </c>
      <c r="L397" s="0" t="n">
        <f aca="false">IF($F397=0,0,INDEX(Aux_HH!$I$4:$I$18,MATCH($B397&amp;"|"&amp;$E397,Aux_HH!$A$4:$A$18,0)))</f>
        <v>0</v>
      </c>
    </row>
    <row r="398" customFormat="false" ht="15" hidden="false" customHeight="false" outlineLevel="0" collapsed="false">
      <c r="A398" s="0" t="str">
        <f aca="false">IF(Frota!$A12="","",Frota!$A12)</f>
        <v>Caminhão Scania G480 — 2748</v>
      </c>
      <c r="B398" s="0" t="str">
        <f aca="false">IF(Frota!$A12="","",Frota!$B12)</f>
        <v>Caminhão</v>
      </c>
      <c r="C398" s="0" t="n">
        <v>31</v>
      </c>
      <c r="D398" s="0" t="n">
        <f aca="false">INDEX(Semanas!$E$3:$E$54,31)</f>
        <v>10</v>
      </c>
      <c r="E398" s="0" t="str">
        <f aca="false">IF(Frota!$A12="","",Cronograma!AF12)</f>
        <v/>
      </c>
      <c r="F398" s="0" t="n">
        <f aca="false">IF(OR($E398="",$E398=0),0,1)</f>
        <v>0</v>
      </c>
      <c r="G398" s="0" t="n">
        <f aca="false">IF($F398=0,0,INDEX(Aux_HH!$D$4:$D$18,MATCH($B398&amp;"|"&amp;$E398,Aux_HH!$A$4:$A$18,0)))</f>
        <v>0</v>
      </c>
      <c r="H398" s="0" t="n">
        <f aca="false">IF($F398=0,0,INDEX(Aux_HH!$E$4:$E$18,MATCH($B398&amp;"|"&amp;$E398,Aux_HH!$A$4:$A$18,0)))</f>
        <v>0</v>
      </c>
      <c r="I398" s="0" t="n">
        <f aca="false">IF($F398=0,0,INDEX(Aux_HH!$F$4:$F$18,MATCH($B398&amp;"|"&amp;$E398,Aux_HH!$A$4:$A$18,0)))</f>
        <v>0</v>
      </c>
      <c r="J398" s="0" t="n">
        <f aca="false">IF($F398=0,0,INDEX(Aux_HH!$G$4:$G$18,MATCH($B398&amp;"|"&amp;$E398,Aux_HH!$A$4:$A$18,0)))</f>
        <v>0</v>
      </c>
      <c r="K398" s="0" t="n">
        <f aca="false">IF($F398=0,0,INDEX(Aux_HH!$H$4:$H$18,MATCH($B398&amp;"|"&amp;$E398,Aux_HH!$A$4:$A$18,0)))</f>
        <v>0</v>
      </c>
      <c r="L398" s="0" t="n">
        <f aca="false">IF($F398=0,0,INDEX(Aux_HH!$I$4:$I$18,MATCH($B398&amp;"|"&amp;$E398,Aux_HH!$A$4:$A$18,0)))</f>
        <v>0</v>
      </c>
    </row>
    <row r="399" customFormat="false" ht="15" hidden="false" customHeight="false" outlineLevel="0" collapsed="false">
      <c r="A399" s="0" t="str">
        <f aca="false">IF(Frota!$A12="","",Frota!$A12)</f>
        <v>Caminhão Scania G480 — 2748</v>
      </c>
      <c r="B399" s="0" t="str">
        <f aca="false">IF(Frota!$A12="","",Frota!$B12)</f>
        <v>Caminhão</v>
      </c>
      <c r="C399" s="0" t="n">
        <v>32</v>
      </c>
      <c r="D399" s="0" t="n">
        <f aca="false">INDEX(Semanas!$E$3:$E$54,32)</f>
        <v>11</v>
      </c>
      <c r="E399" s="0" t="str">
        <f aca="false">IF(Frota!$A12="","",Cronograma!AG12)</f>
        <v/>
      </c>
      <c r="F399" s="0" t="n">
        <f aca="false">IF(OR($E399="",$E399=0),0,1)</f>
        <v>0</v>
      </c>
      <c r="G399" s="0" t="n">
        <f aca="false">IF($F399=0,0,INDEX(Aux_HH!$D$4:$D$18,MATCH($B399&amp;"|"&amp;$E399,Aux_HH!$A$4:$A$18,0)))</f>
        <v>0</v>
      </c>
      <c r="H399" s="0" t="n">
        <f aca="false">IF($F399=0,0,INDEX(Aux_HH!$E$4:$E$18,MATCH($B399&amp;"|"&amp;$E399,Aux_HH!$A$4:$A$18,0)))</f>
        <v>0</v>
      </c>
      <c r="I399" s="0" t="n">
        <f aca="false">IF($F399=0,0,INDEX(Aux_HH!$F$4:$F$18,MATCH($B399&amp;"|"&amp;$E399,Aux_HH!$A$4:$A$18,0)))</f>
        <v>0</v>
      </c>
      <c r="J399" s="0" t="n">
        <f aca="false">IF($F399=0,0,INDEX(Aux_HH!$G$4:$G$18,MATCH($B399&amp;"|"&amp;$E399,Aux_HH!$A$4:$A$18,0)))</f>
        <v>0</v>
      </c>
      <c r="K399" s="0" t="n">
        <f aca="false">IF($F399=0,0,INDEX(Aux_HH!$H$4:$H$18,MATCH($B399&amp;"|"&amp;$E399,Aux_HH!$A$4:$A$18,0)))</f>
        <v>0</v>
      </c>
      <c r="L399" s="0" t="n">
        <f aca="false">IF($F399=0,0,INDEX(Aux_HH!$I$4:$I$18,MATCH($B399&amp;"|"&amp;$E399,Aux_HH!$A$4:$A$18,0)))</f>
        <v>0</v>
      </c>
    </row>
    <row r="400" customFormat="false" ht="15" hidden="false" customHeight="false" outlineLevel="0" collapsed="false">
      <c r="A400" s="0" t="str">
        <f aca="false">IF(Frota!$A12="","",Frota!$A12)</f>
        <v>Caminhão Scania G480 — 2748</v>
      </c>
      <c r="B400" s="0" t="str">
        <f aca="false">IF(Frota!$A12="","",Frota!$B12)</f>
        <v>Caminhão</v>
      </c>
      <c r="C400" s="0" t="n">
        <v>33</v>
      </c>
      <c r="D400" s="0" t="n">
        <f aca="false">INDEX(Semanas!$E$3:$E$54,33)</f>
        <v>11</v>
      </c>
      <c r="E400" s="0" t="str">
        <f aca="false">IF(Frota!$A12="","",Cronograma!AH12)</f>
        <v>S</v>
      </c>
      <c r="F400" s="0" t="n">
        <f aca="false">IF(OR($E400="",$E400=0),0,1)</f>
        <v>1</v>
      </c>
      <c r="G400" s="0" t="n">
        <f aca="false">IF($F400=0,0,INDEX(Aux_HH!$D$4:$D$18,MATCH($B400&amp;"|"&amp;$E400,Aux_HH!$A$4:$A$18,0)))</f>
        <v>2.25</v>
      </c>
      <c r="H400" s="0" t="n">
        <f aca="false">IF($F400=0,0,INDEX(Aux_HH!$E$4:$E$18,MATCH($B400&amp;"|"&amp;$E400,Aux_HH!$A$4:$A$18,0)))</f>
        <v>0</v>
      </c>
      <c r="I400" s="0" t="n">
        <f aca="false">IF($F400=0,0,INDEX(Aux_HH!$F$4:$F$18,MATCH($B400&amp;"|"&amp;$E400,Aux_HH!$A$4:$A$18,0)))</f>
        <v>0</v>
      </c>
      <c r="J400" s="0" t="n">
        <f aca="false">IF($F400=0,0,INDEX(Aux_HH!$G$4:$G$18,MATCH($B400&amp;"|"&amp;$E400,Aux_HH!$A$4:$A$18,0)))</f>
        <v>0.5</v>
      </c>
      <c r="K400" s="0" t="n">
        <f aca="false">IF($F400=0,0,INDEX(Aux_HH!$H$4:$H$18,MATCH($B400&amp;"|"&amp;$E400,Aux_HH!$A$4:$A$18,0)))</f>
        <v>0.5</v>
      </c>
      <c r="L400" s="0" t="n">
        <f aca="false">IF($F400=0,0,INDEX(Aux_HH!$I$4:$I$18,MATCH($B400&amp;"|"&amp;$E400,Aux_HH!$A$4:$A$18,0)))</f>
        <v>0</v>
      </c>
    </row>
    <row r="401" customFormat="false" ht="15" hidden="false" customHeight="false" outlineLevel="0" collapsed="false">
      <c r="A401" s="0" t="str">
        <f aca="false">IF(Frota!$A12="","",Frota!$A12)</f>
        <v>Caminhão Scania G480 — 2748</v>
      </c>
      <c r="B401" s="0" t="str">
        <f aca="false">IF(Frota!$A12="","",Frota!$B12)</f>
        <v>Caminhão</v>
      </c>
      <c r="C401" s="0" t="n">
        <v>34</v>
      </c>
      <c r="D401" s="0" t="n">
        <f aca="false">INDEX(Semanas!$E$3:$E$54,34)</f>
        <v>11</v>
      </c>
      <c r="E401" s="0" t="str">
        <f aca="false">IF(Frota!$A12="","",Cronograma!AI12)</f>
        <v/>
      </c>
      <c r="F401" s="0" t="n">
        <f aca="false">IF(OR($E401="",$E401=0),0,1)</f>
        <v>0</v>
      </c>
      <c r="G401" s="0" t="n">
        <f aca="false">IF($F401=0,0,INDEX(Aux_HH!$D$4:$D$18,MATCH($B401&amp;"|"&amp;$E401,Aux_HH!$A$4:$A$18,0)))</f>
        <v>0</v>
      </c>
      <c r="H401" s="0" t="n">
        <f aca="false">IF($F401=0,0,INDEX(Aux_HH!$E$4:$E$18,MATCH($B401&amp;"|"&amp;$E401,Aux_HH!$A$4:$A$18,0)))</f>
        <v>0</v>
      </c>
      <c r="I401" s="0" t="n">
        <f aca="false">IF($F401=0,0,INDEX(Aux_HH!$F$4:$F$18,MATCH($B401&amp;"|"&amp;$E401,Aux_HH!$A$4:$A$18,0)))</f>
        <v>0</v>
      </c>
      <c r="J401" s="0" t="n">
        <f aca="false">IF($F401=0,0,INDEX(Aux_HH!$G$4:$G$18,MATCH($B401&amp;"|"&amp;$E401,Aux_HH!$A$4:$A$18,0)))</f>
        <v>0</v>
      </c>
      <c r="K401" s="0" t="n">
        <f aca="false">IF($F401=0,0,INDEX(Aux_HH!$H$4:$H$18,MATCH($B401&amp;"|"&amp;$E401,Aux_HH!$A$4:$A$18,0)))</f>
        <v>0</v>
      </c>
      <c r="L401" s="0" t="n">
        <f aca="false">IF($F401=0,0,INDEX(Aux_HH!$I$4:$I$18,MATCH($B401&amp;"|"&amp;$E401,Aux_HH!$A$4:$A$18,0)))</f>
        <v>0</v>
      </c>
    </row>
    <row r="402" customFormat="false" ht="15" hidden="false" customHeight="false" outlineLevel="0" collapsed="false">
      <c r="A402" s="0" t="str">
        <f aca="false">IF(Frota!$A12="","",Frota!$A12)</f>
        <v>Caminhão Scania G480 — 2748</v>
      </c>
      <c r="B402" s="0" t="str">
        <f aca="false">IF(Frota!$A12="","",Frota!$B12)</f>
        <v>Caminhão</v>
      </c>
      <c r="C402" s="0" t="n">
        <v>35</v>
      </c>
      <c r="D402" s="0" t="n">
        <f aca="false">INDEX(Semanas!$E$3:$E$54,35)</f>
        <v>11</v>
      </c>
      <c r="E402" s="0" t="str">
        <f aca="false">IF(Frota!$A12="","",Cronograma!AJ12)</f>
        <v/>
      </c>
      <c r="F402" s="0" t="n">
        <f aca="false">IF(OR($E402="",$E402=0),0,1)</f>
        <v>0</v>
      </c>
      <c r="G402" s="0" t="n">
        <f aca="false">IF($F402=0,0,INDEX(Aux_HH!$D$4:$D$18,MATCH($B402&amp;"|"&amp;$E402,Aux_HH!$A$4:$A$18,0)))</f>
        <v>0</v>
      </c>
      <c r="H402" s="0" t="n">
        <f aca="false">IF($F402=0,0,INDEX(Aux_HH!$E$4:$E$18,MATCH($B402&amp;"|"&amp;$E402,Aux_HH!$A$4:$A$18,0)))</f>
        <v>0</v>
      </c>
      <c r="I402" s="0" t="n">
        <f aca="false">IF($F402=0,0,INDEX(Aux_HH!$F$4:$F$18,MATCH($B402&amp;"|"&amp;$E402,Aux_HH!$A$4:$A$18,0)))</f>
        <v>0</v>
      </c>
      <c r="J402" s="0" t="n">
        <f aca="false">IF($F402=0,0,INDEX(Aux_HH!$G$4:$G$18,MATCH($B402&amp;"|"&amp;$E402,Aux_HH!$A$4:$A$18,0)))</f>
        <v>0</v>
      </c>
      <c r="K402" s="0" t="n">
        <f aca="false">IF($F402=0,0,INDEX(Aux_HH!$H$4:$H$18,MATCH($B402&amp;"|"&amp;$E402,Aux_HH!$A$4:$A$18,0)))</f>
        <v>0</v>
      </c>
      <c r="L402" s="0" t="n">
        <f aca="false">IF($F402=0,0,INDEX(Aux_HH!$I$4:$I$18,MATCH($B402&amp;"|"&amp;$E402,Aux_HH!$A$4:$A$18,0)))</f>
        <v>0</v>
      </c>
    </row>
    <row r="403" customFormat="false" ht="15" hidden="false" customHeight="false" outlineLevel="0" collapsed="false">
      <c r="A403" s="0" t="str">
        <f aca="false">IF(Frota!$A12="","",Frota!$A12)</f>
        <v>Caminhão Scania G480 — 2748</v>
      </c>
      <c r="B403" s="0" t="str">
        <f aca="false">IF(Frota!$A12="","",Frota!$B12)</f>
        <v>Caminhão</v>
      </c>
      <c r="C403" s="0" t="n">
        <v>36</v>
      </c>
      <c r="D403" s="0" t="n">
        <f aca="false">INDEX(Semanas!$E$3:$E$54,36)</f>
        <v>12</v>
      </c>
      <c r="E403" s="0" t="str">
        <f aca="false">IF(Frota!$A12="","",Cronograma!AK12)</f>
        <v/>
      </c>
      <c r="F403" s="0" t="n">
        <f aca="false">IF(OR($E403="",$E403=0),0,1)</f>
        <v>0</v>
      </c>
      <c r="G403" s="0" t="n">
        <f aca="false">IF($F403=0,0,INDEX(Aux_HH!$D$4:$D$18,MATCH($B403&amp;"|"&amp;$E403,Aux_HH!$A$4:$A$18,0)))</f>
        <v>0</v>
      </c>
      <c r="H403" s="0" t="n">
        <f aca="false">IF($F403=0,0,INDEX(Aux_HH!$E$4:$E$18,MATCH($B403&amp;"|"&amp;$E403,Aux_HH!$A$4:$A$18,0)))</f>
        <v>0</v>
      </c>
      <c r="I403" s="0" t="n">
        <f aca="false">IF($F403=0,0,INDEX(Aux_HH!$F$4:$F$18,MATCH($B403&amp;"|"&amp;$E403,Aux_HH!$A$4:$A$18,0)))</f>
        <v>0</v>
      </c>
      <c r="J403" s="0" t="n">
        <f aca="false">IF($F403=0,0,INDEX(Aux_HH!$G$4:$G$18,MATCH($B403&amp;"|"&amp;$E403,Aux_HH!$A$4:$A$18,0)))</f>
        <v>0</v>
      </c>
      <c r="K403" s="0" t="n">
        <f aca="false">IF($F403=0,0,INDEX(Aux_HH!$H$4:$H$18,MATCH($B403&amp;"|"&amp;$E403,Aux_HH!$A$4:$A$18,0)))</f>
        <v>0</v>
      </c>
      <c r="L403" s="0" t="n">
        <f aca="false">IF($F403=0,0,INDEX(Aux_HH!$I$4:$I$18,MATCH($B403&amp;"|"&amp;$E403,Aux_HH!$A$4:$A$18,0)))</f>
        <v>0</v>
      </c>
    </row>
    <row r="404" customFormat="false" ht="15" hidden="false" customHeight="false" outlineLevel="0" collapsed="false">
      <c r="A404" s="0" t="str">
        <f aca="false">IF(Frota!$A12="","",Frota!$A12)</f>
        <v>Caminhão Scania G480 — 2748</v>
      </c>
      <c r="B404" s="0" t="str">
        <f aca="false">IF(Frota!$A12="","",Frota!$B12)</f>
        <v>Caminhão</v>
      </c>
      <c r="C404" s="0" t="n">
        <v>37</v>
      </c>
      <c r="D404" s="0" t="n">
        <f aca="false">INDEX(Semanas!$E$3:$E$54,37)</f>
        <v>12</v>
      </c>
      <c r="E404" s="0" t="str">
        <f aca="false">IF(Frota!$A12="","",Cronograma!AL12)</f>
        <v/>
      </c>
      <c r="F404" s="0" t="n">
        <f aca="false">IF(OR($E404="",$E404=0),0,1)</f>
        <v>0</v>
      </c>
      <c r="G404" s="0" t="n">
        <f aca="false">IF($F404=0,0,INDEX(Aux_HH!$D$4:$D$18,MATCH($B404&amp;"|"&amp;$E404,Aux_HH!$A$4:$A$18,0)))</f>
        <v>0</v>
      </c>
      <c r="H404" s="0" t="n">
        <f aca="false">IF($F404=0,0,INDEX(Aux_HH!$E$4:$E$18,MATCH($B404&amp;"|"&amp;$E404,Aux_HH!$A$4:$A$18,0)))</f>
        <v>0</v>
      </c>
      <c r="I404" s="0" t="n">
        <f aca="false">IF($F404=0,0,INDEX(Aux_HH!$F$4:$F$18,MATCH($B404&amp;"|"&amp;$E404,Aux_HH!$A$4:$A$18,0)))</f>
        <v>0</v>
      </c>
      <c r="J404" s="0" t="n">
        <f aca="false">IF($F404=0,0,INDEX(Aux_HH!$G$4:$G$18,MATCH($B404&amp;"|"&amp;$E404,Aux_HH!$A$4:$A$18,0)))</f>
        <v>0</v>
      </c>
      <c r="K404" s="0" t="n">
        <f aca="false">IF($F404=0,0,INDEX(Aux_HH!$H$4:$H$18,MATCH($B404&amp;"|"&amp;$E404,Aux_HH!$A$4:$A$18,0)))</f>
        <v>0</v>
      </c>
      <c r="L404" s="0" t="n">
        <f aca="false">IF($F404=0,0,INDEX(Aux_HH!$I$4:$I$18,MATCH($B404&amp;"|"&amp;$E404,Aux_HH!$A$4:$A$18,0)))</f>
        <v>0</v>
      </c>
    </row>
    <row r="405" customFormat="false" ht="15" hidden="false" customHeight="false" outlineLevel="0" collapsed="false">
      <c r="A405" s="0" t="str">
        <f aca="false">IF(Frota!$A12="","",Frota!$A12)</f>
        <v>Caminhão Scania G480 — 2748</v>
      </c>
      <c r="B405" s="0" t="str">
        <f aca="false">IF(Frota!$A12="","",Frota!$B12)</f>
        <v>Caminhão</v>
      </c>
      <c r="C405" s="0" t="n">
        <v>38</v>
      </c>
      <c r="D405" s="0" t="n">
        <f aca="false">INDEX(Semanas!$E$3:$E$54,38)</f>
        <v>12</v>
      </c>
      <c r="E405" s="0" t="str">
        <f aca="false">IF(Frota!$A12="","",Cronograma!AM12)</f>
        <v/>
      </c>
      <c r="F405" s="0" t="n">
        <f aca="false">IF(OR($E405="",$E405=0),0,1)</f>
        <v>0</v>
      </c>
      <c r="G405" s="0" t="n">
        <f aca="false">IF($F405=0,0,INDEX(Aux_HH!$D$4:$D$18,MATCH($B405&amp;"|"&amp;$E405,Aux_HH!$A$4:$A$18,0)))</f>
        <v>0</v>
      </c>
      <c r="H405" s="0" t="n">
        <f aca="false">IF($F405=0,0,INDEX(Aux_HH!$E$4:$E$18,MATCH($B405&amp;"|"&amp;$E405,Aux_HH!$A$4:$A$18,0)))</f>
        <v>0</v>
      </c>
      <c r="I405" s="0" t="n">
        <f aca="false">IF($F405=0,0,INDEX(Aux_HH!$F$4:$F$18,MATCH($B405&amp;"|"&amp;$E405,Aux_HH!$A$4:$A$18,0)))</f>
        <v>0</v>
      </c>
      <c r="J405" s="0" t="n">
        <f aca="false">IF($F405=0,0,INDEX(Aux_HH!$G$4:$G$18,MATCH($B405&amp;"|"&amp;$E405,Aux_HH!$A$4:$A$18,0)))</f>
        <v>0</v>
      </c>
      <c r="K405" s="0" t="n">
        <f aca="false">IF($F405=0,0,INDEX(Aux_HH!$H$4:$H$18,MATCH($B405&amp;"|"&amp;$E405,Aux_HH!$A$4:$A$18,0)))</f>
        <v>0</v>
      </c>
      <c r="L405" s="0" t="n">
        <f aca="false">IF($F405=0,0,INDEX(Aux_HH!$I$4:$I$18,MATCH($B405&amp;"|"&amp;$E405,Aux_HH!$A$4:$A$18,0)))</f>
        <v>0</v>
      </c>
    </row>
    <row r="406" customFormat="false" ht="15" hidden="false" customHeight="false" outlineLevel="0" collapsed="false">
      <c r="A406" s="0" t="str">
        <f aca="false">IF(Frota!$A12="","",Frota!$A12)</f>
        <v>Caminhão Scania G480 — 2748</v>
      </c>
      <c r="B406" s="0" t="str">
        <f aca="false">IF(Frota!$A12="","",Frota!$B12)</f>
        <v>Caminhão</v>
      </c>
      <c r="C406" s="0" t="n">
        <v>39</v>
      </c>
      <c r="D406" s="0" t="n">
        <f aca="false">INDEX(Semanas!$E$3:$E$54,39)</f>
        <v>12</v>
      </c>
      <c r="E406" s="0" t="str">
        <f aca="false">IF(Frota!$A12="","",Cronograma!AN12)</f>
        <v/>
      </c>
      <c r="F406" s="0" t="n">
        <f aca="false">IF(OR($E406="",$E406=0),0,1)</f>
        <v>0</v>
      </c>
      <c r="G406" s="0" t="n">
        <f aca="false">IF($F406=0,0,INDEX(Aux_HH!$D$4:$D$18,MATCH($B406&amp;"|"&amp;$E406,Aux_HH!$A$4:$A$18,0)))</f>
        <v>0</v>
      </c>
      <c r="H406" s="0" t="n">
        <f aca="false">IF($F406=0,0,INDEX(Aux_HH!$E$4:$E$18,MATCH($B406&amp;"|"&amp;$E406,Aux_HH!$A$4:$A$18,0)))</f>
        <v>0</v>
      </c>
      <c r="I406" s="0" t="n">
        <f aca="false">IF($F406=0,0,INDEX(Aux_HH!$F$4:$F$18,MATCH($B406&amp;"|"&amp;$E406,Aux_HH!$A$4:$A$18,0)))</f>
        <v>0</v>
      </c>
      <c r="J406" s="0" t="n">
        <f aca="false">IF($F406=0,0,INDEX(Aux_HH!$G$4:$G$18,MATCH($B406&amp;"|"&amp;$E406,Aux_HH!$A$4:$A$18,0)))</f>
        <v>0</v>
      </c>
      <c r="K406" s="0" t="n">
        <f aca="false">IF($F406=0,0,INDEX(Aux_HH!$H$4:$H$18,MATCH($B406&amp;"|"&amp;$E406,Aux_HH!$A$4:$A$18,0)))</f>
        <v>0</v>
      </c>
      <c r="L406" s="0" t="n">
        <f aca="false">IF($F406=0,0,INDEX(Aux_HH!$I$4:$I$18,MATCH($B406&amp;"|"&amp;$E406,Aux_HH!$A$4:$A$18,0)))</f>
        <v>0</v>
      </c>
    </row>
    <row r="407" customFormat="false" ht="15" hidden="false" customHeight="false" outlineLevel="0" collapsed="false">
      <c r="A407" s="0" t="str">
        <f aca="false">IF(Frota!$A12="","",Frota!$A12)</f>
        <v>Caminhão Scania G480 — 2748</v>
      </c>
      <c r="B407" s="0" t="str">
        <f aca="false">IF(Frota!$A12="","",Frota!$B12)</f>
        <v>Caminhão</v>
      </c>
      <c r="C407" s="0" t="n">
        <v>40</v>
      </c>
      <c r="D407" s="0" t="n">
        <f aca="false">INDEX(Semanas!$E$3:$E$54,40)</f>
        <v>12</v>
      </c>
      <c r="E407" s="0" t="str">
        <f aca="false">IF(Frota!$A12="","",Cronograma!AO12)</f>
        <v/>
      </c>
      <c r="F407" s="0" t="n">
        <f aca="false">IF(OR($E407="",$E407=0),0,1)</f>
        <v>0</v>
      </c>
      <c r="G407" s="0" t="n">
        <f aca="false">IF($F407=0,0,INDEX(Aux_HH!$D$4:$D$18,MATCH($B407&amp;"|"&amp;$E407,Aux_HH!$A$4:$A$18,0)))</f>
        <v>0</v>
      </c>
      <c r="H407" s="0" t="n">
        <f aca="false">IF($F407=0,0,INDEX(Aux_HH!$E$4:$E$18,MATCH($B407&amp;"|"&amp;$E407,Aux_HH!$A$4:$A$18,0)))</f>
        <v>0</v>
      </c>
      <c r="I407" s="0" t="n">
        <f aca="false">IF($F407=0,0,INDEX(Aux_HH!$F$4:$F$18,MATCH($B407&amp;"|"&amp;$E407,Aux_HH!$A$4:$A$18,0)))</f>
        <v>0</v>
      </c>
      <c r="J407" s="0" t="n">
        <f aca="false">IF($F407=0,0,INDEX(Aux_HH!$G$4:$G$18,MATCH($B407&amp;"|"&amp;$E407,Aux_HH!$A$4:$A$18,0)))</f>
        <v>0</v>
      </c>
      <c r="K407" s="0" t="n">
        <f aca="false">IF($F407=0,0,INDEX(Aux_HH!$H$4:$H$18,MATCH($B407&amp;"|"&amp;$E407,Aux_HH!$A$4:$A$18,0)))</f>
        <v>0</v>
      </c>
      <c r="L407" s="0" t="n">
        <f aca="false">IF($F407=0,0,INDEX(Aux_HH!$I$4:$I$18,MATCH($B407&amp;"|"&amp;$E407,Aux_HH!$A$4:$A$18,0)))</f>
        <v>0</v>
      </c>
    </row>
    <row r="408" customFormat="false" ht="15" hidden="false" customHeight="false" outlineLevel="0" collapsed="false">
      <c r="A408" s="0" t="str">
        <f aca="false">IF(Frota!$A12="","",Frota!$A12)</f>
        <v>Caminhão Scania G480 — 2748</v>
      </c>
      <c r="B408" s="0" t="str">
        <f aca="false">IF(Frota!$A12="","",Frota!$B12)</f>
        <v>Caminhão</v>
      </c>
      <c r="C408" s="0" t="n">
        <v>41</v>
      </c>
      <c r="D408" s="0" t="n">
        <f aca="false">INDEX(Semanas!$E$3:$E$54,41)</f>
        <v>1</v>
      </c>
      <c r="E408" s="0" t="str">
        <f aca="false">IF(Frota!$A12="","",Cronograma!AP12)</f>
        <v/>
      </c>
      <c r="F408" s="0" t="n">
        <f aca="false">IF(OR($E408="",$E408=0),0,1)</f>
        <v>0</v>
      </c>
      <c r="G408" s="0" t="n">
        <f aca="false">IF($F408=0,0,INDEX(Aux_HH!$D$4:$D$18,MATCH($B408&amp;"|"&amp;$E408,Aux_HH!$A$4:$A$18,0)))</f>
        <v>0</v>
      </c>
      <c r="H408" s="0" t="n">
        <f aca="false">IF($F408=0,0,INDEX(Aux_HH!$E$4:$E$18,MATCH($B408&amp;"|"&amp;$E408,Aux_HH!$A$4:$A$18,0)))</f>
        <v>0</v>
      </c>
      <c r="I408" s="0" t="n">
        <f aca="false">IF($F408=0,0,INDEX(Aux_HH!$F$4:$F$18,MATCH($B408&amp;"|"&amp;$E408,Aux_HH!$A$4:$A$18,0)))</f>
        <v>0</v>
      </c>
      <c r="J408" s="0" t="n">
        <f aca="false">IF($F408=0,0,INDEX(Aux_HH!$G$4:$G$18,MATCH($B408&amp;"|"&amp;$E408,Aux_HH!$A$4:$A$18,0)))</f>
        <v>0</v>
      </c>
      <c r="K408" s="0" t="n">
        <f aca="false">IF($F408=0,0,INDEX(Aux_HH!$H$4:$H$18,MATCH($B408&amp;"|"&amp;$E408,Aux_HH!$A$4:$A$18,0)))</f>
        <v>0</v>
      </c>
      <c r="L408" s="0" t="n">
        <f aca="false">IF($F408=0,0,INDEX(Aux_HH!$I$4:$I$18,MATCH($B408&amp;"|"&amp;$E408,Aux_HH!$A$4:$A$18,0)))</f>
        <v>0</v>
      </c>
    </row>
    <row r="409" customFormat="false" ht="15" hidden="false" customHeight="false" outlineLevel="0" collapsed="false">
      <c r="A409" s="0" t="str">
        <f aca="false">IF(Frota!$A12="","",Frota!$A12)</f>
        <v>Caminhão Scania G480 — 2748</v>
      </c>
      <c r="B409" s="0" t="str">
        <f aca="false">IF(Frota!$A12="","",Frota!$B12)</f>
        <v>Caminhão</v>
      </c>
      <c r="C409" s="0" t="n">
        <v>42</v>
      </c>
      <c r="D409" s="0" t="n">
        <f aca="false">INDEX(Semanas!$E$3:$E$54,42)</f>
        <v>1</v>
      </c>
      <c r="E409" s="0" t="str">
        <f aca="false">IF(Frota!$A12="","",Cronograma!AQ12)</f>
        <v/>
      </c>
      <c r="F409" s="0" t="n">
        <f aca="false">IF(OR($E409="",$E409=0),0,1)</f>
        <v>0</v>
      </c>
      <c r="G409" s="0" t="n">
        <f aca="false">IF($F409=0,0,INDEX(Aux_HH!$D$4:$D$18,MATCH($B409&amp;"|"&amp;$E409,Aux_HH!$A$4:$A$18,0)))</f>
        <v>0</v>
      </c>
      <c r="H409" s="0" t="n">
        <f aca="false">IF($F409=0,0,INDEX(Aux_HH!$E$4:$E$18,MATCH($B409&amp;"|"&amp;$E409,Aux_HH!$A$4:$A$18,0)))</f>
        <v>0</v>
      </c>
      <c r="I409" s="0" t="n">
        <f aca="false">IF($F409=0,0,INDEX(Aux_HH!$F$4:$F$18,MATCH($B409&amp;"|"&amp;$E409,Aux_HH!$A$4:$A$18,0)))</f>
        <v>0</v>
      </c>
      <c r="J409" s="0" t="n">
        <f aca="false">IF($F409=0,0,INDEX(Aux_HH!$G$4:$G$18,MATCH($B409&amp;"|"&amp;$E409,Aux_HH!$A$4:$A$18,0)))</f>
        <v>0</v>
      </c>
      <c r="K409" s="0" t="n">
        <f aca="false">IF($F409=0,0,INDEX(Aux_HH!$H$4:$H$18,MATCH($B409&amp;"|"&amp;$E409,Aux_HH!$A$4:$A$18,0)))</f>
        <v>0</v>
      </c>
      <c r="L409" s="0" t="n">
        <f aca="false">IF($F409=0,0,INDEX(Aux_HH!$I$4:$I$18,MATCH($B409&amp;"|"&amp;$E409,Aux_HH!$A$4:$A$18,0)))</f>
        <v>0</v>
      </c>
    </row>
    <row r="410" customFormat="false" ht="15" hidden="false" customHeight="false" outlineLevel="0" collapsed="false">
      <c r="A410" s="0" t="str">
        <f aca="false">IF(Frota!$A12="","",Frota!$A12)</f>
        <v>Caminhão Scania G480 — 2748</v>
      </c>
      <c r="B410" s="0" t="str">
        <f aca="false">IF(Frota!$A12="","",Frota!$B12)</f>
        <v>Caminhão</v>
      </c>
      <c r="C410" s="0" t="n">
        <v>43</v>
      </c>
      <c r="D410" s="0" t="n">
        <f aca="false">INDEX(Semanas!$E$3:$E$54,43)</f>
        <v>1</v>
      </c>
      <c r="E410" s="0" t="str">
        <f aca="false">IF(Frota!$A12="","",Cronograma!AR12)</f>
        <v/>
      </c>
      <c r="F410" s="0" t="n">
        <f aca="false">IF(OR($E410="",$E410=0),0,1)</f>
        <v>0</v>
      </c>
      <c r="G410" s="0" t="n">
        <f aca="false">IF($F410=0,0,INDEX(Aux_HH!$D$4:$D$18,MATCH($B410&amp;"|"&amp;$E410,Aux_HH!$A$4:$A$18,0)))</f>
        <v>0</v>
      </c>
      <c r="H410" s="0" t="n">
        <f aca="false">IF($F410=0,0,INDEX(Aux_HH!$E$4:$E$18,MATCH($B410&amp;"|"&amp;$E410,Aux_HH!$A$4:$A$18,0)))</f>
        <v>0</v>
      </c>
      <c r="I410" s="0" t="n">
        <f aca="false">IF($F410=0,0,INDEX(Aux_HH!$F$4:$F$18,MATCH($B410&amp;"|"&amp;$E410,Aux_HH!$A$4:$A$18,0)))</f>
        <v>0</v>
      </c>
      <c r="J410" s="0" t="n">
        <f aca="false">IF($F410=0,0,INDEX(Aux_HH!$G$4:$G$18,MATCH($B410&amp;"|"&amp;$E410,Aux_HH!$A$4:$A$18,0)))</f>
        <v>0</v>
      </c>
      <c r="K410" s="0" t="n">
        <f aca="false">IF($F410=0,0,INDEX(Aux_HH!$H$4:$H$18,MATCH($B410&amp;"|"&amp;$E410,Aux_HH!$A$4:$A$18,0)))</f>
        <v>0</v>
      </c>
      <c r="L410" s="0" t="n">
        <f aca="false">IF($F410=0,0,INDEX(Aux_HH!$I$4:$I$18,MATCH($B410&amp;"|"&amp;$E410,Aux_HH!$A$4:$A$18,0)))</f>
        <v>0</v>
      </c>
    </row>
    <row r="411" customFormat="false" ht="15" hidden="false" customHeight="false" outlineLevel="0" collapsed="false">
      <c r="A411" s="0" t="str">
        <f aca="false">IF(Frota!$A12="","",Frota!$A12)</f>
        <v>Caminhão Scania G480 — 2748</v>
      </c>
      <c r="B411" s="0" t="str">
        <f aca="false">IF(Frota!$A12="","",Frota!$B12)</f>
        <v>Caminhão</v>
      </c>
      <c r="C411" s="0" t="n">
        <v>44</v>
      </c>
      <c r="D411" s="0" t="n">
        <f aca="false">INDEX(Semanas!$E$3:$E$54,44)</f>
        <v>1</v>
      </c>
      <c r="E411" s="0" t="str">
        <f aca="false">IF(Frota!$A12="","",Cronograma!AS12)</f>
        <v/>
      </c>
      <c r="F411" s="0" t="n">
        <f aca="false">IF(OR($E411="",$E411=0),0,1)</f>
        <v>0</v>
      </c>
      <c r="G411" s="0" t="n">
        <f aca="false">IF($F411=0,0,INDEX(Aux_HH!$D$4:$D$18,MATCH($B411&amp;"|"&amp;$E411,Aux_HH!$A$4:$A$18,0)))</f>
        <v>0</v>
      </c>
      <c r="H411" s="0" t="n">
        <f aca="false">IF($F411=0,0,INDEX(Aux_HH!$E$4:$E$18,MATCH($B411&amp;"|"&amp;$E411,Aux_HH!$A$4:$A$18,0)))</f>
        <v>0</v>
      </c>
      <c r="I411" s="0" t="n">
        <f aca="false">IF($F411=0,0,INDEX(Aux_HH!$F$4:$F$18,MATCH($B411&amp;"|"&amp;$E411,Aux_HH!$A$4:$A$18,0)))</f>
        <v>0</v>
      </c>
      <c r="J411" s="0" t="n">
        <f aca="false">IF($F411=0,0,INDEX(Aux_HH!$G$4:$G$18,MATCH($B411&amp;"|"&amp;$E411,Aux_HH!$A$4:$A$18,0)))</f>
        <v>0</v>
      </c>
      <c r="K411" s="0" t="n">
        <f aca="false">IF($F411=0,0,INDEX(Aux_HH!$H$4:$H$18,MATCH($B411&amp;"|"&amp;$E411,Aux_HH!$A$4:$A$18,0)))</f>
        <v>0</v>
      </c>
      <c r="L411" s="0" t="n">
        <f aca="false">IF($F411=0,0,INDEX(Aux_HH!$I$4:$I$18,MATCH($B411&amp;"|"&amp;$E411,Aux_HH!$A$4:$A$18,0)))</f>
        <v>0</v>
      </c>
    </row>
    <row r="412" customFormat="false" ht="15" hidden="false" customHeight="false" outlineLevel="0" collapsed="false">
      <c r="A412" s="0" t="str">
        <f aca="false">IF(Frota!$A12="","",Frota!$A12)</f>
        <v>Caminhão Scania G480 — 2748</v>
      </c>
      <c r="B412" s="0" t="str">
        <f aca="false">IF(Frota!$A12="","",Frota!$B12)</f>
        <v>Caminhão</v>
      </c>
      <c r="C412" s="0" t="n">
        <v>45</v>
      </c>
      <c r="D412" s="0" t="n">
        <f aca="false">INDEX(Semanas!$E$3:$E$54,45)</f>
        <v>2</v>
      </c>
      <c r="E412" s="0" t="str">
        <f aca="false">IF(Frota!$A12="","",Cronograma!AT12)</f>
        <v/>
      </c>
      <c r="F412" s="0" t="n">
        <f aca="false">IF(OR($E412="",$E412=0),0,1)</f>
        <v>0</v>
      </c>
      <c r="G412" s="0" t="n">
        <f aca="false">IF($F412=0,0,INDEX(Aux_HH!$D$4:$D$18,MATCH($B412&amp;"|"&amp;$E412,Aux_HH!$A$4:$A$18,0)))</f>
        <v>0</v>
      </c>
      <c r="H412" s="0" t="n">
        <f aca="false">IF($F412=0,0,INDEX(Aux_HH!$E$4:$E$18,MATCH($B412&amp;"|"&amp;$E412,Aux_HH!$A$4:$A$18,0)))</f>
        <v>0</v>
      </c>
      <c r="I412" s="0" t="n">
        <f aca="false">IF($F412=0,0,INDEX(Aux_HH!$F$4:$F$18,MATCH($B412&amp;"|"&amp;$E412,Aux_HH!$A$4:$A$18,0)))</f>
        <v>0</v>
      </c>
      <c r="J412" s="0" t="n">
        <f aca="false">IF($F412=0,0,INDEX(Aux_HH!$G$4:$G$18,MATCH($B412&amp;"|"&amp;$E412,Aux_HH!$A$4:$A$18,0)))</f>
        <v>0</v>
      </c>
      <c r="K412" s="0" t="n">
        <f aca="false">IF($F412=0,0,INDEX(Aux_HH!$H$4:$H$18,MATCH($B412&amp;"|"&amp;$E412,Aux_HH!$A$4:$A$18,0)))</f>
        <v>0</v>
      </c>
      <c r="L412" s="0" t="n">
        <f aca="false">IF($F412=0,0,INDEX(Aux_HH!$I$4:$I$18,MATCH($B412&amp;"|"&amp;$E412,Aux_HH!$A$4:$A$18,0)))</f>
        <v>0</v>
      </c>
    </row>
    <row r="413" customFormat="false" ht="15" hidden="false" customHeight="false" outlineLevel="0" collapsed="false">
      <c r="A413" s="0" t="str">
        <f aca="false">IF(Frota!$A12="","",Frota!$A12)</f>
        <v>Caminhão Scania G480 — 2748</v>
      </c>
      <c r="B413" s="0" t="str">
        <f aca="false">IF(Frota!$A12="","",Frota!$B12)</f>
        <v>Caminhão</v>
      </c>
      <c r="C413" s="0" t="n">
        <v>46</v>
      </c>
      <c r="D413" s="0" t="n">
        <f aca="false">INDEX(Semanas!$E$3:$E$54,46)</f>
        <v>2</v>
      </c>
      <c r="E413" s="0" t="str">
        <f aca="false">IF(Frota!$A12="","",Cronograma!AU12)</f>
        <v/>
      </c>
      <c r="F413" s="0" t="n">
        <f aca="false">IF(OR($E413="",$E413=0),0,1)</f>
        <v>0</v>
      </c>
      <c r="G413" s="0" t="n">
        <f aca="false">IF($F413=0,0,INDEX(Aux_HH!$D$4:$D$18,MATCH($B413&amp;"|"&amp;$E413,Aux_HH!$A$4:$A$18,0)))</f>
        <v>0</v>
      </c>
      <c r="H413" s="0" t="n">
        <f aca="false">IF($F413=0,0,INDEX(Aux_HH!$E$4:$E$18,MATCH($B413&amp;"|"&amp;$E413,Aux_HH!$A$4:$A$18,0)))</f>
        <v>0</v>
      </c>
      <c r="I413" s="0" t="n">
        <f aca="false">IF($F413=0,0,INDEX(Aux_HH!$F$4:$F$18,MATCH($B413&amp;"|"&amp;$E413,Aux_HH!$A$4:$A$18,0)))</f>
        <v>0</v>
      </c>
      <c r="J413" s="0" t="n">
        <f aca="false">IF($F413=0,0,INDEX(Aux_HH!$G$4:$G$18,MATCH($B413&amp;"|"&amp;$E413,Aux_HH!$A$4:$A$18,0)))</f>
        <v>0</v>
      </c>
      <c r="K413" s="0" t="n">
        <f aca="false">IF($F413=0,0,INDEX(Aux_HH!$H$4:$H$18,MATCH($B413&amp;"|"&amp;$E413,Aux_HH!$A$4:$A$18,0)))</f>
        <v>0</v>
      </c>
      <c r="L413" s="0" t="n">
        <f aca="false">IF($F413=0,0,INDEX(Aux_HH!$I$4:$I$18,MATCH($B413&amp;"|"&amp;$E413,Aux_HH!$A$4:$A$18,0)))</f>
        <v>0</v>
      </c>
    </row>
    <row r="414" customFormat="false" ht="15" hidden="false" customHeight="false" outlineLevel="0" collapsed="false">
      <c r="A414" s="0" t="str">
        <f aca="false">IF(Frota!$A12="","",Frota!$A12)</f>
        <v>Caminhão Scania G480 — 2748</v>
      </c>
      <c r="B414" s="0" t="str">
        <f aca="false">IF(Frota!$A12="","",Frota!$B12)</f>
        <v>Caminhão</v>
      </c>
      <c r="C414" s="0" t="n">
        <v>47</v>
      </c>
      <c r="D414" s="0" t="n">
        <f aca="false">INDEX(Semanas!$E$3:$E$54,47)</f>
        <v>2</v>
      </c>
      <c r="E414" s="0" t="str">
        <f aca="false">IF(Frota!$A12="","",Cronograma!AV12)</f>
        <v/>
      </c>
      <c r="F414" s="0" t="n">
        <f aca="false">IF(OR($E414="",$E414=0),0,1)</f>
        <v>0</v>
      </c>
      <c r="G414" s="0" t="n">
        <f aca="false">IF($F414=0,0,INDEX(Aux_HH!$D$4:$D$18,MATCH($B414&amp;"|"&amp;$E414,Aux_HH!$A$4:$A$18,0)))</f>
        <v>0</v>
      </c>
      <c r="H414" s="0" t="n">
        <f aca="false">IF($F414=0,0,INDEX(Aux_HH!$E$4:$E$18,MATCH($B414&amp;"|"&amp;$E414,Aux_HH!$A$4:$A$18,0)))</f>
        <v>0</v>
      </c>
      <c r="I414" s="0" t="n">
        <f aca="false">IF($F414=0,0,INDEX(Aux_HH!$F$4:$F$18,MATCH($B414&amp;"|"&amp;$E414,Aux_HH!$A$4:$A$18,0)))</f>
        <v>0</v>
      </c>
      <c r="J414" s="0" t="n">
        <f aca="false">IF($F414=0,0,INDEX(Aux_HH!$G$4:$G$18,MATCH($B414&amp;"|"&amp;$E414,Aux_HH!$A$4:$A$18,0)))</f>
        <v>0</v>
      </c>
      <c r="K414" s="0" t="n">
        <f aca="false">IF($F414=0,0,INDEX(Aux_HH!$H$4:$H$18,MATCH($B414&amp;"|"&amp;$E414,Aux_HH!$A$4:$A$18,0)))</f>
        <v>0</v>
      </c>
      <c r="L414" s="0" t="n">
        <f aca="false">IF($F414=0,0,INDEX(Aux_HH!$I$4:$I$18,MATCH($B414&amp;"|"&amp;$E414,Aux_HH!$A$4:$A$18,0)))</f>
        <v>0</v>
      </c>
    </row>
    <row r="415" customFormat="false" ht="15" hidden="false" customHeight="false" outlineLevel="0" collapsed="false">
      <c r="A415" s="0" t="str">
        <f aca="false">IF(Frota!$A12="","",Frota!$A12)</f>
        <v>Caminhão Scania G480 — 2748</v>
      </c>
      <c r="B415" s="0" t="str">
        <f aca="false">IF(Frota!$A12="","",Frota!$B12)</f>
        <v>Caminhão</v>
      </c>
      <c r="C415" s="0" t="n">
        <v>48</v>
      </c>
      <c r="D415" s="0" t="n">
        <f aca="false">INDEX(Semanas!$E$3:$E$54,48)</f>
        <v>2</v>
      </c>
      <c r="E415" s="0" t="str">
        <f aca="false">IF(Frota!$A12="","",Cronograma!AW12)</f>
        <v/>
      </c>
      <c r="F415" s="0" t="n">
        <f aca="false">IF(OR($E415="",$E415=0),0,1)</f>
        <v>0</v>
      </c>
      <c r="G415" s="0" t="n">
        <f aca="false">IF($F415=0,0,INDEX(Aux_HH!$D$4:$D$18,MATCH($B415&amp;"|"&amp;$E415,Aux_HH!$A$4:$A$18,0)))</f>
        <v>0</v>
      </c>
      <c r="H415" s="0" t="n">
        <f aca="false">IF($F415=0,0,INDEX(Aux_HH!$E$4:$E$18,MATCH($B415&amp;"|"&amp;$E415,Aux_HH!$A$4:$A$18,0)))</f>
        <v>0</v>
      </c>
      <c r="I415" s="0" t="n">
        <f aca="false">IF($F415=0,0,INDEX(Aux_HH!$F$4:$F$18,MATCH($B415&amp;"|"&amp;$E415,Aux_HH!$A$4:$A$18,0)))</f>
        <v>0</v>
      </c>
      <c r="J415" s="0" t="n">
        <f aca="false">IF($F415=0,0,INDEX(Aux_HH!$G$4:$G$18,MATCH($B415&amp;"|"&amp;$E415,Aux_HH!$A$4:$A$18,0)))</f>
        <v>0</v>
      </c>
      <c r="K415" s="0" t="n">
        <f aca="false">IF($F415=0,0,INDEX(Aux_HH!$H$4:$H$18,MATCH($B415&amp;"|"&amp;$E415,Aux_HH!$A$4:$A$18,0)))</f>
        <v>0</v>
      </c>
      <c r="L415" s="0" t="n">
        <f aca="false">IF($F415=0,0,INDEX(Aux_HH!$I$4:$I$18,MATCH($B415&amp;"|"&amp;$E415,Aux_HH!$A$4:$A$18,0)))</f>
        <v>0</v>
      </c>
    </row>
    <row r="416" customFormat="false" ht="15" hidden="false" customHeight="false" outlineLevel="0" collapsed="false">
      <c r="A416" s="0" t="str">
        <f aca="false">IF(Frota!$A12="","",Frota!$A12)</f>
        <v>Caminhão Scania G480 — 2748</v>
      </c>
      <c r="B416" s="0" t="str">
        <f aca="false">IF(Frota!$A12="","",Frota!$B12)</f>
        <v>Caminhão</v>
      </c>
      <c r="C416" s="0" t="n">
        <v>49</v>
      </c>
      <c r="D416" s="0" t="n">
        <f aca="false">INDEX(Semanas!$E$3:$E$54,49)</f>
        <v>3</v>
      </c>
      <c r="E416" s="0" t="str">
        <f aca="false">IF(Frota!$A12="","",Cronograma!AX12)</f>
        <v>B</v>
      </c>
      <c r="F416" s="0" t="n">
        <f aca="false">IF(OR($E416="",$E416=0),0,1)</f>
        <v>1</v>
      </c>
      <c r="G416" s="0" t="n">
        <f aca="false">IF($F416=0,0,INDEX(Aux_HH!$D$4:$D$18,MATCH($B416&amp;"|"&amp;$E416,Aux_HH!$A$4:$A$18,0)))</f>
        <v>6.25</v>
      </c>
      <c r="H416" s="0" t="n">
        <f aca="false">IF($F416=0,0,INDEX(Aux_HH!$E$4:$E$18,MATCH($B416&amp;"|"&amp;$E416,Aux_HH!$A$4:$A$18,0)))</f>
        <v>0</v>
      </c>
      <c r="I416" s="0" t="n">
        <f aca="false">IF($F416=0,0,INDEX(Aux_HH!$F$4:$F$18,MATCH($B416&amp;"|"&amp;$E416,Aux_HH!$A$4:$A$18,0)))</f>
        <v>1</v>
      </c>
      <c r="J416" s="0" t="n">
        <f aca="false">IF($F416=0,0,INDEX(Aux_HH!$G$4:$G$18,MATCH($B416&amp;"|"&amp;$E416,Aux_HH!$A$4:$A$18,0)))</f>
        <v>0.5</v>
      </c>
      <c r="K416" s="0" t="n">
        <f aca="false">IF($F416=0,0,INDEX(Aux_HH!$H$4:$H$18,MATCH($B416&amp;"|"&amp;$E416,Aux_HH!$A$4:$A$18,0)))</f>
        <v>0.5</v>
      </c>
      <c r="L416" s="0" t="n">
        <f aca="false">IF($F416=0,0,INDEX(Aux_HH!$I$4:$I$18,MATCH($B416&amp;"|"&amp;$E416,Aux_HH!$A$4:$A$18,0)))</f>
        <v>0</v>
      </c>
    </row>
    <row r="417" customFormat="false" ht="15" hidden="false" customHeight="false" outlineLevel="0" collapsed="false">
      <c r="A417" s="0" t="str">
        <f aca="false">IF(Frota!$A12="","",Frota!$A12)</f>
        <v>Caminhão Scania G480 — 2748</v>
      </c>
      <c r="B417" s="0" t="str">
        <f aca="false">IF(Frota!$A12="","",Frota!$B12)</f>
        <v>Caminhão</v>
      </c>
      <c r="C417" s="0" t="n">
        <v>50</v>
      </c>
      <c r="D417" s="0" t="n">
        <f aca="false">INDEX(Semanas!$E$3:$E$54,50)</f>
        <v>3</v>
      </c>
      <c r="E417" s="0" t="str">
        <f aca="false">IF(Frota!$A12="","",Cronograma!AY12)</f>
        <v/>
      </c>
      <c r="F417" s="0" t="n">
        <f aca="false">IF(OR($E417="",$E417=0),0,1)</f>
        <v>0</v>
      </c>
      <c r="G417" s="0" t="n">
        <f aca="false">IF($F417=0,0,INDEX(Aux_HH!$D$4:$D$18,MATCH($B417&amp;"|"&amp;$E417,Aux_HH!$A$4:$A$18,0)))</f>
        <v>0</v>
      </c>
      <c r="H417" s="0" t="n">
        <f aca="false">IF($F417=0,0,INDEX(Aux_HH!$E$4:$E$18,MATCH($B417&amp;"|"&amp;$E417,Aux_HH!$A$4:$A$18,0)))</f>
        <v>0</v>
      </c>
      <c r="I417" s="0" t="n">
        <f aca="false">IF($F417=0,0,INDEX(Aux_HH!$F$4:$F$18,MATCH($B417&amp;"|"&amp;$E417,Aux_HH!$A$4:$A$18,0)))</f>
        <v>0</v>
      </c>
      <c r="J417" s="0" t="n">
        <f aca="false">IF($F417=0,0,INDEX(Aux_HH!$G$4:$G$18,MATCH($B417&amp;"|"&amp;$E417,Aux_HH!$A$4:$A$18,0)))</f>
        <v>0</v>
      </c>
      <c r="K417" s="0" t="n">
        <f aca="false">IF($F417=0,0,INDEX(Aux_HH!$H$4:$H$18,MATCH($B417&amp;"|"&amp;$E417,Aux_HH!$A$4:$A$18,0)))</f>
        <v>0</v>
      </c>
      <c r="L417" s="0" t="n">
        <f aca="false">IF($F417=0,0,INDEX(Aux_HH!$I$4:$I$18,MATCH($B417&amp;"|"&amp;$E417,Aux_HH!$A$4:$A$18,0)))</f>
        <v>0</v>
      </c>
    </row>
    <row r="418" customFormat="false" ht="15" hidden="false" customHeight="false" outlineLevel="0" collapsed="false">
      <c r="A418" s="0" t="str">
        <f aca="false">IF(Frota!$A12="","",Frota!$A12)</f>
        <v>Caminhão Scania G480 — 2748</v>
      </c>
      <c r="B418" s="0" t="str">
        <f aca="false">IF(Frota!$A12="","",Frota!$B12)</f>
        <v>Caminhão</v>
      </c>
      <c r="C418" s="0" t="n">
        <v>51</v>
      </c>
      <c r="D418" s="0" t="n">
        <f aca="false">INDEX(Semanas!$E$3:$E$54,51)</f>
        <v>3</v>
      </c>
      <c r="E418" s="0" t="str">
        <f aca="false">IF(Frota!$A12="","",Cronograma!AZ12)</f>
        <v/>
      </c>
      <c r="F418" s="0" t="n">
        <f aca="false">IF(OR($E418="",$E418=0),0,1)</f>
        <v>0</v>
      </c>
      <c r="G418" s="0" t="n">
        <f aca="false">IF($F418=0,0,INDEX(Aux_HH!$D$4:$D$18,MATCH($B418&amp;"|"&amp;$E418,Aux_HH!$A$4:$A$18,0)))</f>
        <v>0</v>
      </c>
      <c r="H418" s="0" t="n">
        <f aca="false">IF($F418=0,0,INDEX(Aux_HH!$E$4:$E$18,MATCH($B418&amp;"|"&amp;$E418,Aux_HH!$A$4:$A$18,0)))</f>
        <v>0</v>
      </c>
      <c r="I418" s="0" t="n">
        <f aca="false">IF($F418=0,0,INDEX(Aux_HH!$F$4:$F$18,MATCH($B418&amp;"|"&amp;$E418,Aux_HH!$A$4:$A$18,0)))</f>
        <v>0</v>
      </c>
      <c r="J418" s="0" t="n">
        <f aca="false">IF($F418=0,0,INDEX(Aux_HH!$G$4:$G$18,MATCH($B418&amp;"|"&amp;$E418,Aux_HH!$A$4:$A$18,0)))</f>
        <v>0</v>
      </c>
      <c r="K418" s="0" t="n">
        <f aca="false">IF($F418=0,0,INDEX(Aux_HH!$H$4:$H$18,MATCH($B418&amp;"|"&amp;$E418,Aux_HH!$A$4:$A$18,0)))</f>
        <v>0</v>
      </c>
      <c r="L418" s="0" t="n">
        <f aca="false">IF($F418=0,0,INDEX(Aux_HH!$I$4:$I$18,MATCH($B418&amp;"|"&amp;$E418,Aux_HH!$A$4:$A$18,0)))</f>
        <v>0</v>
      </c>
    </row>
    <row r="419" customFormat="false" ht="15" hidden="false" customHeight="false" outlineLevel="0" collapsed="false">
      <c r="A419" s="0" t="str">
        <f aca="false">IF(Frota!$A12="","",Frota!$A12)</f>
        <v>Caminhão Scania G480 — 2748</v>
      </c>
      <c r="B419" s="0" t="str">
        <f aca="false">IF(Frota!$A12="","",Frota!$B12)</f>
        <v>Caminhão</v>
      </c>
      <c r="C419" s="0" t="n">
        <v>52</v>
      </c>
      <c r="D419" s="0" t="n">
        <f aca="false">INDEX(Semanas!$E$3:$E$54,52)</f>
        <v>3</v>
      </c>
      <c r="E419" s="0" t="str">
        <f aca="false">IF(Frota!$A12="","",Cronograma!BA12)</f>
        <v/>
      </c>
      <c r="F419" s="0" t="n">
        <f aca="false">IF(OR($E419="",$E419=0),0,1)</f>
        <v>0</v>
      </c>
      <c r="G419" s="0" t="n">
        <f aca="false">IF($F419=0,0,INDEX(Aux_HH!$D$4:$D$18,MATCH($B419&amp;"|"&amp;$E419,Aux_HH!$A$4:$A$18,0)))</f>
        <v>0</v>
      </c>
      <c r="H419" s="0" t="n">
        <f aca="false">IF($F419=0,0,INDEX(Aux_HH!$E$4:$E$18,MATCH($B419&amp;"|"&amp;$E419,Aux_HH!$A$4:$A$18,0)))</f>
        <v>0</v>
      </c>
      <c r="I419" s="0" t="n">
        <f aca="false">IF($F419=0,0,INDEX(Aux_HH!$F$4:$F$18,MATCH($B419&amp;"|"&amp;$E419,Aux_HH!$A$4:$A$18,0)))</f>
        <v>0</v>
      </c>
      <c r="J419" s="0" t="n">
        <f aca="false">IF($F419=0,0,INDEX(Aux_HH!$G$4:$G$18,MATCH($B419&amp;"|"&amp;$E419,Aux_HH!$A$4:$A$18,0)))</f>
        <v>0</v>
      </c>
      <c r="K419" s="0" t="n">
        <f aca="false">IF($F419=0,0,INDEX(Aux_HH!$H$4:$H$18,MATCH($B419&amp;"|"&amp;$E419,Aux_HH!$A$4:$A$18,0)))</f>
        <v>0</v>
      </c>
      <c r="L419" s="0" t="n">
        <f aca="false">IF($F419=0,0,INDEX(Aux_HH!$I$4:$I$18,MATCH($B419&amp;"|"&amp;$E419,Aux_HH!$A$4:$A$18,0)))</f>
        <v>0</v>
      </c>
    </row>
    <row r="420" customFormat="false" ht="15" hidden="false" customHeight="false" outlineLevel="0" collapsed="false">
      <c r="A420" s="0" t="str">
        <f aca="false">IF(Frota!$A13="","",Frota!$A13)</f>
        <v>Caminhão Scania G540 — 2763</v>
      </c>
      <c r="B420" s="0" t="str">
        <f aca="false">IF(Frota!$A13="","",Frota!$B13)</f>
        <v>Caminhão</v>
      </c>
      <c r="C420" s="0" t="n">
        <v>1</v>
      </c>
      <c r="D420" s="0" t="n">
        <f aca="false">INDEX(Semanas!$E$3:$E$54,1)</f>
        <v>4</v>
      </c>
      <c r="E420" s="0" t="str">
        <f aca="false">IF(Frota!$A13="","",Cronograma!B13)</f>
        <v/>
      </c>
      <c r="F420" s="0" t="n">
        <f aca="false">IF(OR($E420="",$E420=0),0,1)</f>
        <v>0</v>
      </c>
      <c r="G420" s="0" t="n">
        <f aca="false">IF($F420=0,0,INDEX(Aux_HH!$D$4:$D$18,MATCH($B420&amp;"|"&amp;$E420,Aux_HH!$A$4:$A$18,0)))</f>
        <v>0</v>
      </c>
      <c r="H420" s="0" t="n">
        <f aca="false">IF($F420=0,0,INDEX(Aux_HH!$E$4:$E$18,MATCH($B420&amp;"|"&amp;$E420,Aux_HH!$A$4:$A$18,0)))</f>
        <v>0</v>
      </c>
      <c r="I420" s="0" t="n">
        <f aca="false">IF($F420=0,0,INDEX(Aux_HH!$F$4:$F$18,MATCH($B420&amp;"|"&amp;$E420,Aux_HH!$A$4:$A$18,0)))</f>
        <v>0</v>
      </c>
      <c r="J420" s="0" t="n">
        <f aca="false">IF($F420=0,0,INDEX(Aux_HH!$G$4:$G$18,MATCH($B420&amp;"|"&amp;$E420,Aux_HH!$A$4:$A$18,0)))</f>
        <v>0</v>
      </c>
      <c r="K420" s="0" t="n">
        <f aca="false">IF($F420=0,0,INDEX(Aux_HH!$H$4:$H$18,MATCH($B420&amp;"|"&amp;$E420,Aux_HH!$A$4:$A$18,0)))</f>
        <v>0</v>
      </c>
      <c r="L420" s="0" t="n">
        <f aca="false">IF($F420=0,0,INDEX(Aux_HH!$I$4:$I$18,MATCH($B420&amp;"|"&amp;$E420,Aux_HH!$A$4:$A$18,0)))</f>
        <v>0</v>
      </c>
    </row>
    <row r="421" customFormat="false" ht="15" hidden="false" customHeight="false" outlineLevel="0" collapsed="false">
      <c r="A421" s="0" t="str">
        <f aca="false">IF(Frota!$A13="","",Frota!$A13)</f>
        <v>Caminhão Scania G540 — 2763</v>
      </c>
      <c r="B421" s="0" t="str">
        <f aca="false">IF(Frota!$A13="","",Frota!$B13)</f>
        <v>Caminhão</v>
      </c>
      <c r="C421" s="0" t="n">
        <v>2</v>
      </c>
      <c r="D421" s="0" t="n">
        <f aca="false">INDEX(Semanas!$E$3:$E$54,2)</f>
        <v>4</v>
      </c>
      <c r="E421" s="0" t="str">
        <f aca="false">IF(Frota!$A13="","",Cronograma!C13)</f>
        <v/>
      </c>
      <c r="F421" s="0" t="n">
        <f aca="false">IF(OR($E421="",$E421=0),0,1)</f>
        <v>0</v>
      </c>
      <c r="G421" s="0" t="n">
        <f aca="false">IF($F421=0,0,INDEX(Aux_HH!$D$4:$D$18,MATCH($B421&amp;"|"&amp;$E421,Aux_HH!$A$4:$A$18,0)))</f>
        <v>0</v>
      </c>
      <c r="H421" s="0" t="n">
        <f aca="false">IF($F421=0,0,INDEX(Aux_HH!$E$4:$E$18,MATCH($B421&amp;"|"&amp;$E421,Aux_HH!$A$4:$A$18,0)))</f>
        <v>0</v>
      </c>
      <c r="I421" s="0" t="n">
        <f aca="false">IF($F421=0,0,INDEX(Aux_HH!$F$4:$F$18,MATCH($B421&amp;"|"&amp;$E421,Aux_HH!$A$4:$A$18,0)))</f>
        <v>0</v>
      </c>
      <c r="J421" s="0" t="n">
        <f aca="false">IF($F421=0,0,INDEX(Aux_HH!$G$4:$G$18,MATCH($B421&amp;"|"&amp;$E421,Aux_HH!$A$4:$A$18,0)))</f>
        <v>0</v>
      </c>
      <c r="K421" s="0" t="n">
        <f aca="false">IF($F421=0,0,INDEX(Aux_HH!$H$4:$H$18,MATCH($B421&amp;"|"&amp;$E421,Aux_HH!$A$4:$A$18,0)))</f>
        <v>0</v>
      </c>
      <c r="L421" s="0" t="n">
        <f aca="false">IF($F421=0,0,INDEX(Aux_HH!$I$4:$I$18,MATCH($B421&amp;"|"&amp;$E421,Aux_HH!$A$4:$A$18,0)))</f>
        <v>0</v>
      </c>
    </row>
    <row r="422" customFormat="false" ht="15" hidden="false" customHeight="false" outlineLevel="0" collapsed="false">
      <c r="A422" s="0" t="str">
        <f aca="false">IF(Frota!$A13="","",Frota!$A13)</f>
        <v>Caminhão Scania G540 — 2763</v>
      </c>
      <c r="B422" s="0" t="str">
        <f aca="false">IF(Frota!$A13="","",Frota!$B13)</f>
        <v>Caminhão</v>
      </c>
      <c r="C422" s="0" t="n">
        <v>3</v>
      </c>
      <c r="D422" s="0" t="n">
        <f aca="false">INDEX(Semanas!$E$3:$E$54,3)</f>
        <v>4</v>
      </c>
      <c r="E422" s="0" t="str">
        <f aca="false">IF(Frota!$A13="","",Cronograma!D13)</f>
        <v/>
      </c>
      <c r="F422" s="0" t="n">
        <f aca="false">IF(OR($E422="",$E422=0),0,1)</f>
        <v>0</v>
      </c>
      <c r="G422" s="0" t="n">
        <f aca="false">IF($F422=0,0,INDEX(Aux_HH!$D$4:$D$18,MATCH($B422&amp;"|"&amp;$E422,Aux_HH!$A$4:$A$18,0)))</f>
        <v>0</v>
      </c>
      <c r="H422" s="0" t="n">
        <f aca="false">IF($F422=0,0,INDEX(Aux_HH!$E$4:$E$18,MATCH($B422&amp;"|"&amp;$E422,Aux_HH!$A$4:$A$18,0)))</f>
        <v>0</v>
      </c>
      <c r="I422" s="0" t="n">
        <f aca="false">IF($F422=0,0,INDEX(Aux_HH!$F$4:$F$18,MATCH($B422&amp;"|"&amp;$E422,Aux_HH!$A$4:$A$18,0)))</f>
        <v>0</v>
      </c>
      <c r="J422" s="0" t="n">
        <f aca="false">IF($F422=0,0,INDEX(Aux_HH!$G$4:$G$18,MATCH($B422&amp;"|"&amp;$E422,Aux_HH!$A$4:$A$18,0)))</f>
        <v>0</v>
      </c>
      <c r="K422" s="0" t="n">
        <f aca="false">IF($F422=0,0,INDEX(Aux_HH!$H$4:$H$18,MATCH($B422&amp;"|"&amp;$E422,Aux_HH!$A$4:$A$18,0)))</f>
        <v>0</v>
      </c>
      <c r="L422" s="0" t="n">
        <f aca="false">IF($F422=0,0,INDEX(Aux_HH!$I$4:$I$18,MATCH($B422&amp;"|"&amp;$E422,Aux_HH!$A$4:$A$18,0)))</f>
        <v>0</v>
      </c>
    </row>
    <row r="423" customFormat="false" ht="15" hidden="false" customHeight="false" outlineLevel="0" collapsed="false">
      <c r="A423" s="0" t="str">
        <f aca="false">IF(Frota!$A13="","",Frota!$A13)</f>
        <v>Caminhão Scania G540 — 2763</v>
      </c>
      <c r="B423" s="0" t="str">
        <f aca="false">IF(Frota!$A13="","",Frota!$B13)</f>
        <v>Caminhão</v>
      </c>
      <c r="C423" s="0" t="n">
        <v>4</v>
      </c>
      <c r="D423" s="0" t="n">
        <f aca="false">INDEX(Semanas!$E$3:$E$54,4)</f>
        <v>4</v>
      </c>
      <c r="E423" s="0" t="str">
        <f aca="false">IF(Frota!$A13="","",Cronograma!E13)</f>
        <v>S</v>
      </c>
      <c r="F423" s="0" t="n">
        <f aca="false">IF(OR($E423="",$E423=0),0,1)</f>
        <v>1</v>
      </c>
      <c r="G423" s="0" t="n">
        <f aca="false">IF($F423=0,0,INDEX(Aux_HH!$D$4:$D$18,MATCH($B423&amp;"|"&amp;$E423,Aux_HH!$A$4:$A$18,0)))</f>
        <v>2.25</v>
      </c>
      <c r="H423" s="0" t="n">
        <f aca="false">IF($F423=0,0,INDEX(Aux_HH!$E$4:$E$18,MATCH($B423&amp;"|"&amp;$E423,Aux_HH!$A$4:$A$18,0)))</f>
        <v>0</v>
      </c>
      <c r="I423" s="0" t="n">
        <f aca="false">IF($F423=0,0,INDEX(Aux_HH!$F$4:$F$18,MATCH($B423&amp;"|"&amp;$E423,Aux_HH!$A$4:$A$18,0)))</f>
        <v>0</v>
      </c>
      <c r="J423" s="0" t="n">
        <f aca="false">IF($F423=0,0,INDEX(Aux_HH!$G$4:$G$18,MATCH($B423&amp;"|"&amp;$E423,Aux_HH!$A$4:$A$18,0)))</f>
        <v>0.5</v>
      </c>
      <c r="K423" s="0" t="n">
        <f aca="false">IF($F423=0,0,INDEX(Aux_HH!$H$4:$H$18,MATCH($B423&amp;"|"&amp;$E423,Aux_HH!$A$4:$A$18,0)))</f>
        <v>0.5</v>
      </c>
      <c r="L423" s="0" t="n">
        <f aca="false">IF($F423=0,0,INDEX(Aux_HH!$I$4:$I$18,MATCH($B423&amp;"|"&amp;$E423,Aux_HH!$A$4:$A$18,0)))</f>
        <v>0</v>
      </c>
    </row>
    <row r="424" customFormat="false" ht="15" hidden="false" customHeight="false" outlineLevel="0" collapsed="false">
      <c r="A424" s="0" t="str">
        <f aca="false">IF(Frota!$A13="","",Frota!$A13)</f>
        <v>Caminhão Scania G540 — 2763</v>
      </c>
      <c r="B424" s="0" t="str">
        <f aca="false">IF(Frota!$A13="","",Frota!$B13)</f>
        <v>Caminhão</v>
      </c>
      <c r="C424" s="0" t="n">
        <v>5</v>
      </c>
      <c r="D424" s="0" t="n">
        <f aca="false">INDEX(Semanas!$E$3:$E$54,5)</f>
        <v>4</v>
      </c>
      <c r="E424" s="0" t="str">
        <f aca="false">IF(Frota!$A13="","",Cronograma!F13)</f>
        <v/>
      </c>
      <c r="F424" s="0" t="n">
        <f aca="false">IF(OR($E424="",$E424=0),0,1)</f>
        <v>0</v>
      </c>
      <c r="G424" s="0" t="n">
        <f aca="false">IF($F424=0,0,INDEX(Aux_HH!$D$4:$D$18,MATCH($B424&amp;"|"&amp;$E424,Aux_HH!$A$4:$A$18,0)))</f>
        <v>0</v>
      </c>
      <c r="H424" s="0" t="n">
        <f aca="false">IF($F424=0,0,INDEX(Aux_HH!$E$4:$E$18,MATCH($B424&amp;"|"&amp;$E424,Aux_HH!$A$4:$A$18,0)))</f>
        <v>0</v>
      </c>
      <c r="I424" s="0" t="n">
        <f aca="false">IF($F424=0,0,INDEX(Aux_HH!$F$4:$F$18,MATCH($B424&amp;"|"&amp;$E424,Aux_HH!$A$4:$A$18,0)))</f>
        <v>0</v>
      </c>
      <c r="J424" s="0" t="n">
        <f aca="false">IF($F424=0,0,INDEX(Aux_HH!$G$4:$G$18,MATCH($B424&amp;"|"&amp;$E424,Aux_HH!$A$4:$A$18,0)))</f>
        <v>0</v>
      </c>
      <c r="K424" s="0" t="n">
        <f aca="false">IF($F424=0,0,INDEX(Aux_HH!$H$4:$H$18,MATCH($B424&amp;"|"&amp;$E424,Aux_HH!$A$4:$A$18,0)))</f>
        <v>0</v>
      </c>
      <c r="L424" s="0" t="n">
        <f aca="false">IF($F424=0,0,INDEX(Aux_HH!$I$4:$I$18,MATCH($B424&amp;"|"&amp;$E424,Aux_HH!$A$4:$A$18,0)))</f>
        <v>0</v>
      </c>
    </row>
    <row r="425" customFormat="false" ht="15" hidden="false" customHeight="false" outlineLevel="0" collapsed="false">
      <c r="A425" s="0" t="str">
        <f aca="false">IF(Frota!$A13="","",Frota!$A13)</f>
        <v>Caminhão Scania G540 — 2763</v>
      </c>
      <c r="B425" s="0" t="str">
        <f aca="false">IF(Frota!$A13="","",Frota!$B13)</f>
        <v>Caminhão</v>
      </c>
      <c r="C425" s="0" t="n">
        <v>6</v>
      </c>
      <c r="D425" s="0" t="n">
        <f aca="false">INDEX(Semanas!$E$3:$E$54,6)</f>
        <v>5</v>
      </c>
      <c r="E425" s="0" t="str">
        <f aca="false">IF(Frota!$A13="","",Cronograma!G13)</f>
        <v/>
      </c>
      <c r="F425" s="0" t="n">
        <f aca="false">IF(OR($E425="",$E425=0),0,1)</f>
        <v>0</v>
      </c>
      <c r="G425" s="0" t="n">
        <f aca="false">IF($F425=0,0,INDEX(Aux_HH!$D$4:$D$18,MATCH($B425&amp;"|"&amp;$E425,Aux_HH!$A$4:$A$18,0)))</f>
        <v>0</v>
      </c>
      <c r="H425" s="0" t="n">
        <f aca="false">IF($F425=0,0,INDEX(Aux_HH!$E$4:$E$18,MATCH($B425&amp;"|"&amp;$E425,Aux_HH!$A$4:$A$18,0)))</f>
        <v>0</v>
      </c>
      <c r="I425" s="0" t="n">
        <f aca="false">IF($F425=0,0,INDEX(Aux_HH!$F$4:$F$18,MATCH($B425&amp;"|"&amp;$E425,Aux_HH!$A$4:$A$18,0)))</f>
        <v>0</v>
      </c>
      <c r="J425" s="0" t="n">
        <f aca="false">IF($F425=0,0,INDEX(Aux_HH!$G$4:$G$18,MATCH($B425&amp;"|"&amp;$E425,Aux_HH!$A$4:$A$18,0)))</f>
        <v>0</v>
      </c>
      <c r="K425" s="0" t="n">
        <f aca="false">IF($F425=0,0,INDEX(Aux_HH!$H$4:$H$18,MATCH($B425&amp;"|"&amp;$E425,Aux_HH!$A$4:$A$18,0)))</f>
        <v>0</v>
      </c>
      <c r="L425" s="0" t="n">
        <f aca="false">IF($F425=0,0,INDEX(Aux_HH!$I$4:$I$18,MATCH($B425&amp;"|"&amp;$E425,Aux_HH!$A$4:$A$18,0)))</f>
        <v>0</v>
      </c>
    </row>
    <row r="426" customFormat="false" ht="15" hidden="false" customHeight="false" outlineLevel="0" collapsed="false">
      <c r="A426" s="0" t="str">
        <f aca="false">IF(Frota!$A13="","",Frota!$A13)</f>
        <v>Caminhão Scania G540 — 2763</v>
      </c>
      <c r="B426" s="0" t="str">
        <f aca="false">IF(Frota!$A13="","",Frota!$B13)</f>
        <v>Caminhão</v>
      </c>
      <c r="C426" s="0" t="n">
        <v>7</v>
      </c>
      <c r="D426" s="0" t="n">
        <f aca="false">INDEX(Semanas!$E$3:$E$54,7)</f>
        <v>5</v>
      </c>
      <c r="E426" s="0" t="str">
        <f aca="false">IF(Frota!$A13="","",Cronograma!H13)</f>
        <v/>
      </c>
      <c r="F426" s="0" t="n">
        <f aca="false">IF(OR($E426="",$E426=0),0,1)</f>
        <v>0</v>
      </c>
      <c r="G426" s="0" t="n">
        <f aca="false">IF($F426=0,0,INDEX(Aux_HH!$D$4:$D$18,MATCH($B426&amp;"|"&amp;$E426,Aux_HH!$A$4:$A$18,0)))</f>
        <v>0</v>
      </c>
      <c r="H426" s="0" t="n">
        <f aca="false">IF($F426=0,0,INDEX(Aux_HH!$E$4:$E$18,MATCH($B426&amp;"|"&amp;$E426,Aux_HH!$A$4:$A$18,0)))</f>
        <v>0</v>
      </c>
      <c r="I426" s="0" t="n">
        <f aca="false">IF($F426=0,0,INDEX(Aux_HH!$F$4:$F$18,MATCH($B426&amp;"|"&amp;$E426,Aux_HH!$A$4:$A$18,0)))</f>
        <v>0</v>
      </c>
      <c r="J426" s="0" t="n">
        <f aca="false">IF($F426=0,0,INDEX(Aux_HH!$G$4:$G$18,MATCH($B426&amp;"|"&amp;$E426,Aux_HH!$A$4:$A$18,0)))</f>
        <v>0</v>
      </c>
      <c r="K426" s="0" t="n">
        <f aca="false">IF($F426=0,0,INDEX(Aux_HH!$H$4:$H$18,MATCH($B426&amp;"|"&amp;$E426,Aux_HH!$A$4:$A$18,0)))</f>
        <v>0</v>
      </c>
      <c r="L426" s="0" t="n">
        <f aca="false">IF($F426=0,0,INDEX(Aux_HH!$I$4:$I$18,MATCH($B426&amp;"|"&amp;$E426,Aux_HH!$A$4:$A$18,0)))</f>
        <v>0</v>
      </c>
    </row>
    <row r="427" customFormat="false" ht="15" hidden="false" customHeight="false" outlineLevel="0" collapsed="false">
      <c r="A427" s="0" t="str">
        <f aca="false">IF(Frota!$A13="","",Frota!$A13)</f>
        <v>Caminhão Scania G540 — 2763</v>
      </c>
      <c r="B427" s="0" t="str">
        <f aca="false">IF(Frota!$A13="","",Frota!$B13)</f>
        <v>Caminhão</v>
      </c>
      <c r="C427" s="0" t="n">
        <v>8</v>
      </c>
      <c r="D427" s="0" t="n">
        <f aca="false">INDEX(Semanas!$E$3:$E$54,8)</f>
        <v>5</v>
      </c>
      <c r="E427" s="0" t="str">
        <f aca="false">IF(Frota!$A13="","",Cronograma!I13)</f>
        <v/>
      </c>
      <c r="F427" s="0" t="n">
        <f aca="false">IF(OR($E427="",$E427=0),0,1)</f>
        <v>0</v>
      </c>
      <c r="G427" s="0" t="n">
        <f aca="false">IF($F427=0,0,INDEX(Aux_HH!$D$4:$D$18,MATCH($B427&amp;"|"&amp;$E427,Aux_HH!$A$4:$A$18,0)))</f>
        <v>0</v>
      </c>
      <c r="H427" s="0" t="n">
        <f aca="false">IF($F427=0,0,INDEX(Aux_HH!$E$4:$E$18,MATCH($B427&amp;"|"&amp;$E427,Aux_HH!$A$4:$A$18,0)))</f>
        <v>0</v>
      </c>
      <c r="I427" s="0" t="n">
        <f aca="false">IF($F427=0,0,INDEX(Aux_HH!$F$4:$F$18,MATCH($B427&amp;"|"&amp;$E427,Aux_HH!$A$4:$A$18,0)))</f>
        <v>0</v>
      </c>
      <c r="J427" s="0" t="n">
        <f aca="false">IF($F427=0,0,INDEX(Aux_HH!$G$4:$G$18,MATCH($B427&amp;"|"&amp;$E427,Aux_HH!$A$4:$A$18,0)))</f>
        <v>0</v>
      </c>
      <c r="K427" s="0" t="n">
        <f aca="false">IF($F427=0,0,INDEX(Aux_HH!$H$4:$H$18,MATCH($B427&amp;"|"&amp;$E427,Aux_HH!$A$4:$A$18,0)))</f>
        <v>0</v>
      </c>
      <c r="L427" s="0" t="n">
        <f aca="false">IF($F427=0,0,INDEX(Aux_HH!$I$4:$I$18,MATCH($B427&amp;"|"&amp;$E427,Aux_HH!$A$4:$A$18,0)))</f>
        <v>0</v>
      </c>
    </row>
    <row r="428" customFormat="false" ht="15" hidden="false" customHeight="false" outlineLevel="0" collapsed="false">
      <c r="A428" s="0" t="str">
        <f aca="false">IF(Frota!$A13="","",Frota!$A13)</f>
        <v>Caminhão Scania G540 — 2763</v>
      </c>
      <c r="B428" s="0" t="str">
        <f aca="false">IF(Frota!$A13="","",Frota!$B13)</f>
        <v>Caminhão</v>
      </c>
      <c r="C428" s="0" t="n">
        <v>9</v>
      </c>
      <c r="D428" s="0" t="n">
        <f aca="false">INDEX(Semanas!$E$3:$E$54,9)</f>
        <v>5</v>
      </c>
      <c r="E428" s="0" t="str">
        <f aca="false">IF(Frota!$A13="","",Cronograma!J13)</f>
        <v/>
      </c>
      <c r="F428" s="0" t="n">
        <f aca="false">IF(OR($E428="",$E428=0),0,1)</f>
        <v>0</v>
      </c>
      <c r="G428" s="0" t="n">
        <f aca="false">IF($F428=0,0,INDEX(Aux_HH!$D$4:$D$18,MATCH($B428&amp;"|"&amp;$E428,Aux_HH!$A$4:$A$18,0)))</f>
        <v>0</v>
      </c>
      <c r="H428" s="0" t="n">
        <f aca="false">IF($F428=0,0,INDEX(Aux_HH!$E$4:$E$18,MATCH($B428&amp;"|"&amp;$E428,Aux_HH!$A$4:$A$18,0)))</f>
        <v>0</v>
      </c>
      <c r="I428" s="0" t="n">
        <f aca="false">IF($F428=0,0,INDEX(Aux_HH!$F$4:$F$18,MATCH($B428&amp;"|"&amp;$E428,Aux_HH!$A$4:$A$18,0)))</f>
        <v>0</v>
      </c>
      <c r="J428" s="0" t="n">
        <f aca="false">IF($F428=0,0,INDEX(Aux_HH!$G$4:$G$18,MATCH($B428&amp;"|"&amp;$E428,Aux_HH!$A$4:$A$18,0)))</f>
        <v>0</v>
      </c>
      <c r="K428" s="0" t="n">
        <f aca="false">IF($F428=0,0,INDEX(Aux_HH!$H$4:$H$18,MATCH($B428&amp;"|"&amp;$E428,Aux_HH!$A$4:$A$18,0)))</f>
        <v>0</v>
      </c>
      <c r="L428" s="0" t="n">
        <f aca="false">IF($F428=0,0,INDEX(Aux_HH!$I$4:$I$18,MATCH($B428&amp;"|"&amp;$E428,Aux_HH!$A$4:$A$18,0)))</f>
        <v>0</v>
      </c>
    </row>
    <row r="429" customFormat="false" ht="15" hidden="false" customHeight="false" outlineLevel="0" collapsed="false">
      <c r="A429" s="0" t="str">
        <f aca="false">IF(Frota!$A13="","",Frota!$A13)</f>
        <v>Caminhão Scania G540 — 2763</v>
      </c>
      <c r="B429" s="0" t="str">
        <f aca="false">IF(Frota!$A13="","",Frota!$B13)</f>
        <v>Caminhão</v>
      </c>
      <c r="C429" s="0" t="n">
        <v>10</v>
      </c>
      <c r="D429" s="0" t="n">
        <f aca="false">INDEX(Semanas!$E$3:$E$54,10)</f>
        <v>6</v>
      </c>
      <c r="E429" s="0" t="str">
        <f aca="false">IF(Frota!$A13="","",Cronograma!K13)</f>
        <v/>
      </c>
      <c r="F429" s="0" t="n">
        <f aca="false">IF(OR($E429="",$E429=0),0,1)</f>
        <v>0</v>
      </c>
      <c r="G429" s="0" t="n">
        <f aca="false">IF($F429=0,0,INDEX(Aux_HH!$D$4:$D$18,MATCH($B429&amp;"|"&amp;$E429,Aux_HH!$A$4:$A$18,0)))</f>
        <v>0</v>
      </c>
      <c r="H429" s="0" t="n">
        <f aca="false">IF($F429=0,0,INDEX(Aux_HH!$E$4:$E$18,MATCH($B429&amp;"|"&amp;$E429,Aux_HH!$A$4:$A$18,0)))</f>
        <v>0</v>
      </c>
      <c r="I429" s="0" t="n">
        <f aca="false">IF($F429=0,0,INDEX(Aux_HH!$F$4:$F$18,MATCH($B429&amp;"|"&amp;$E429,Aux_HH!$A$4:$A$18,0)))</f>
        <v>0</v>
      </c>
      <c r="J429" s="0" t="n">
        <f aca="false">IF($F429=0,0,INDEX(Aux_HH!$G$4:$G$18,MATCH($B429&amp;"|"&amp;$E429,Aux_HH!$A$4:$A$18,0)))</f>
        <v>0</v>
      </c>
      <c r="K429" s="0" t="n">
        <f aca="false">IF($F429=0,0,INDEX(Aux_HH!$H$4:$H$18,MATCH($B429&amp;"|"&amp;$E429,Aux_HH!$A$4:$A$18,0)))</f>
        <v>0</v>
      </c>
      <c r="L429" s="0" t="n">
        <f aca="false">IF($F429=0,0,INDEX(Aux_HH!$I$4:$I$18,MATCH($B429&amp;"|"&amp;$E429,Aux_HH!$A$4:$A$18,0)))</f>
        <v>0</v>
      </c>
    </row>
    <row r="430" customFormat="false" ht="15" hidden="false" customHeight="false" outlineLevel="0" collapsed="false">
      <c r="A430" s="0" t="str">
        <f aca="false">IF(Frota!$A13="","",Frota!$A13)</f>
        <v>Caminhão Scania G540 — 2763</v>
      </c>
      <c r="B430" s="0" t="str">
        <f aca="false">IF(Frota!$A13="","",Frota!$B13)</f>
        <v>Caminhão</v>
      </c>
      <c r="C430" s="0" t="n">
        <v>11</v>
      </c>
      <c r="D430" s="0" t="n">
        <f aca="false">INDEX(Semanas!$E$3:$E$54,11)</f>
        <v>6</v>
      </c>
      <c r="E430" s="0" t="str">
        <f aca="false">IF(Frota!$A13="","",Cronograma!L13)</f>
        <v/>
      </c>
      <c r="F430" s="0" t="n">
        <f aca="false">IF(OR($E430="",$E430=0),0,1)</f>
        <v>0</v>
      </c>
      <c r="G430" s="0" t="n">
        <f aca="false">IF($F430=0,0,INDEX(Aux_HH!$D$4:$D$18,MATCH($B430&amp;"|"&amp;$E430,Aux_HH!$A$4:$A$18,0)))</f>
        <v>0</v>
      </c>
      <c r="H430" s="0" t="n">
        <f aca="false">IF($F430=0,0,INDEX(Aux_HH!$E$4:$E$18,MATCH($B430&amp;"|"&amp;$E430,Aux_HH!$A$4:$A$18,0)))</f>
        <v>0</v>
      </c>
      <c r="I430" s="0" t="n">
        <f aca="false">IF($F430=0,0,INDEX(Aux_HH!$F$4:$F$18,MATCH($B430&amp;"|"&amp;$E430,Aux_HH!$A$4:$A$18,0)))</f>
        <v>0</v>
      </c>
      <c r="J430" s="0" t="n">
        <f aca="false">IF($F430=0,0,INDEX(Aux_HH!$G$4:$G$18,MATCH($B430&amp;"|"&amp;$E430,Aux_HH!$A$4:$A$18,0)))</f>
        <v>0</v>
      </c>
      <c r="K430" s="0" t="n">
        <f aca="false">IF($F430=0,0,INDEX(Aux_HH!$H$4:$H$18,MATCH($B430&amp;"|"&amp;$E430,Aux_HH!$A$4:$A$18,0)))</f>
        <v>0</v>
      </c>
      <c r="L430" s="0" t="n">
        <f aca="false">IF($F430=0,0,INDEX(Aux_HH!$I$4:$I$18,MATCH($B430&amp;"|"&amp;$E430,Aux_HH!$A$4:$A$18,0)))</f>
        <v>0</v>
      </c>
    </row>
    <row r="431" customFormat="false" ht="15" hidden="false" customHeight="false" outlineLevel="0" collapsed="false">
      <c r="A431" s="0" t="str">
        <f aca="false">IF(Frota!$A13="","",Frota!$A13)</f>
        <v>Caminhão Scania G540 — 2763</v>
      </c>
      <c r="B431" s="0" t="str">
        <f aca="false">IF(Frota!$A13="","",Frota!$B13)</f>
        <v>Caminhão</v>
      </c>
      <c r="C431" s="0" t="n">
        <v>12</v>
      </c>
      <c r="D431" s="0" t="n">
        <f aca="false">INDEX(Semanas!$E$3:$E$54,12)</f>
        <v>6</v>
      </c>
      <c r="E431" s="0" t="str">
        <f aca="false">IF(Frota!$A13="","",Cronograma!M13)</f>
        <v>A</v>
      </c>
      <c r="F431" s="0" t="n">
        <f aca="false">IF(OR($E431="",$E431=0),0,1)</f>
        <v>1</v>
      </c>
      <c r="G431" s="0" t="n">
        <f aca="false">IF($F431=0,0,INDEX(Aux_HH!$D$4:$D$18,MATCH($B431&amp;"|"&amp;$E431,Aux_HH!$A$4:$A$18,0)))</f>
        <v>6.25</v>
      </c>
      <c r="H431" s="0" t="n">
        <f aca="false">IF($F431=0,0,INDEX(Aux_HH!$E$4:$E$18,MATCH($B431&amp;"|"&amp;$E431,Aux_HH!$A$4:$A$18,0)))</f>
        <v>0</v>
      </c>
      <c r="I431" s="0" t="n">
        <f aca="false">IF($F431=0,0,INDEX(Aux_HH!$F$4:$F$18,MATCH($B431&amp;"|"&amp;$E431,Aux_HH!$A$4:$A$18,0)))</f>
        <v>1</v>
      </c>
      <c r="J431" s="0" t="n">
        <f aca="false">IF($F431=0,0,INDEX(Aux_HH!$G$4:$G$18,MATCH($B431&amp;"|"&amp;$E431,Aux_HH!$A$4:$A$18,0)))</f>
        <v>0.5</v>
      </c>
      <c r="K431" s="0" t="n">
        <f aca="false">IF($F431=0,0,INDEX(Aux_HH!$H$4:$H$18,MATCH($B431&amp;"|"&amp;$E431,Aux_HH!$A$4:$A$18,0)))</f>
        <v>0.5</v>
      </c>
      <c r="L431" s="0" t="n">
        <f aca="false">IF($F431=0,0,INDEX(Aux_HH!$I$4:$I$18,MATCH($B431&amp;"|"&amp;$E431,Aux_HH!$A$4:$A$18,0)))</f>
        <v>0</v>
      </c>
    </row>
    <row r="432" customFormat="false" ht="15" hidden="false" customHeight="false" outlineLevel="0" collapsed="false">
      <c r="A432" s="0" t="str">
        <f aca="false">IF(Frota!$A13="","",Frota!$A13)</f>
        <v>Caminhão Scania G540 — 2763</v>
      </c>
      <c r="B432" s="0" t="str">
        <f aca="false">IF(Frota!$A13="","",Frota!$B13)</f>
        <v>Caminhão</v>
      </c>
      <c r="C432" s="0" t="n">
        <v>13</v>
      </c>
      <c r="D432" s="0" t="n">
        <f aca="false">INDEX(Semanas!$E$3:$E$54,13)</f>
        <v>6</v>
      </c>
      <c r="E432" s="0" t="str">
        <f aca="false">IF(Frota!$A13="","",Cronograma!N13)</f>
        <v/>
      </c>
      <c r="F432" s="0" t="n">
        <f aca="false">IF(OR($E432="",$E432=0),0,1)</f>
        <v>0</v>
      </c>
      <c r="G432" s="0" t="n">
        <f aca="false">IF($F432=0,0,INDEX(Aux_HH!$D$4:$D$18,MATCH($B432&amp;"|"&amp;$E432,Aux_HH!$A$4:$A$18,0)))</f>
        <v>0</v>
      </c>
      <c r="H432" s="0" t="n">
        <f aca="false">IF($F432=0,0,INDEX(Aux_HH!$E$4:$E$18,MATCH($B432&amp;"|"&amp;$E432,Aux_HH!$A$4:$A$18,0)))</f>
        <v>0</v>
      </c>
      <c r="I432" s="0" t="n">
        <f aca="false">IF($F432=0,0,INDEX(Aux_HH!$F$4:$F$18,MATCH($B432&amp;"|"&amp;$E432,Aux_HH!$A$4:$A$18,0)))</f>
        <v>0</v>
      </c>
      <c r="J432" s="0" t="n">
        <f aca="false">IF($F432=0,0,INDEX(Aux_HH!$G$4:$G$18,MATCH($B432&amp;"|"&amp;$E432,Aux_HH!$A$4:$A$18,0)))</f>
        <v>0</v>
      </c>
      <c r="K432" s="0" t="n">
        <f aca="false">IF($F432=0,0,INDEX(Aux_HH!$H$4:$H$18,MATCH($B432&amp;"|"&amp;$E432,Aux_HH!$A$4:$A$18,0)))</f>
        <v>0</v>
      </c>
      <c r="L432" s="0" t="n">
        <f aca="false">IF($F432=0,0,INDEX(Aux_HH!$I$4:$I$18,MATCH($B432&amp;"|"&amp;$E432,Aux_HH!$A$4:$A$18,0)))</f>
        <v>0</v>
      </c>
    </row>
    <row r="433" customFormat="false" ht="15" hidden="false" customHeight="false" outlineLevel="0" collapsed="false">
      <c r="A433" s="0" t="str">
        <f aca="false">IF(Frota!$A13="","",Frota!$A13)</f>
        <v>Caminhão Scania G540 — 2763</v>
      </c>
      <c r="B433" s="0" t="str">
        <f aca="false">IF(Frota!$A13="","",Frota!$B13)</f>
        <v>Caminhão</v>
      </c>
      <c r="C433" s="0" t="n">
        <v>14</v>
      </c>
      <c r="D433" s="0" t="n">
        <f aca="false">INDEX(Semanas!$E$3:$E$54,14)</f>
        <v>7</v>
      </c>
      <c r="E433" s="0" t="str">
        <f aca="false">IF(Frota!$A13="","",Cronograma!O13)</f>
        <v/>
      </c>
      <c r="F433" s="0" t="n">
        <f aca="false">IF(OR($E433="",$E433=0),0,1)</f>
        <v>0</v>
      </c>
      <c r="G433" s="0" t="n">
        <f aca="false">IF($F433=0,0,INDEX(Aux_HH!$D$4:$D$18,MATCH($B433&amp;"|"&amp;$E433,Aux_HH!$A$4:$A$18,0)))</f>
        <v>0</v>
      </c>
      <c r="H433" s="0" t="n">
        <f aca="false">IF($F433=0,0,INDEX(Aux_HH!$E$4:$E$18,MATCH($B433&amp;"|"&amp;$E433,Aux_HH!$A$4:$A$18,0)))</f>
        <v>0</v>
      </c>
      <c r="I433" s="0" t="n">
        <f aca="false">IF($F433=0,0,INDEX(Aux_HH!$F$4:$F$18,MATCH($B433&amp;"|"&amp;$E433,Aux_HH!$A$4:$A$18,0)))</f>
        <v>0</v>
      </c>
      <c r="J433" s="0" t="n">
        <f aca="false">IF($F433=0,0,INDEX(Aux_HH!$G$4:$G$18,MATCH($B433&amp;"|"&amp;$E433,Aux_HH!$A$4:$A$18,0)))</f>
        <v>0</v>
      </c>
      <c r="K433" s="0" t="n">
        <f aca="false">IF($F433=0,0,INDEX(Aux_HH!$H$4:$H$18,MATCH($B433&amp;"|"&amp;$E433,Aux_HH!$A$4:$A$18,0)))</f>
        <v>0</v>
      </c>
      <c r="L433" s="0" t="n">
        <f aca="false">IF($F433=0,0,INDEX(Aux_HH!$I$4:$I$18,MATCH($B433&amp;"|"&amp;$E433,Aux_HH!$A$4:$A$18,0)))</f>
        <v>0</v>
      </c>
    </row>
    <row r="434" customFormat="false" ht="15" hidden="false" customHeight="false" outlineLevel="0" collapsed="false">
      <c r="A434" s="0" t="str">
        <f aca="false">IF(Frota!$A13="","",Frota!$A13)</f>
        <v>Caminhão Scania G540 — 2763</v>
      </c>
      <c r="B434" s="0" t="str">
        <f aca="false">IF(Frota!$A13="","",Frota!$B13)</f>
        <v>Caminhão</v>
      </c>
      <c r="C434" s="0" t="n">
        <v>15</v>
      </c>
      <c r="D434" s="0" t="n">
        <f aca="false">INDEX(Semanas!$E$3:$E$54,15)</f>
        <v>7</v>
      </c>
      <c r="E434" s="0" t="str">
        <f aca="false">IF(Frota!$A13="","",Cronograma!P13)</f>
        <v/>
      </c>
      <c r="F434" s="0" t="n">
        <f aca="false">IF(OR($E434="",$E434=0),0,1)</f>
        <v>0</v>
      </c>
      <c r="G434" s="0" t="n">
        <f aca="false">IF($F434=0,0,INDEX(Aux_HH!$D$4:$D$18,MATCH($B434&amp;"|"&amp;$E434,Aux_HH!$A$4:$A$18,0)))</f>
        <v>0</v>
      </c>
      <c r="H434" s="0" t="n">
        <f aca="false">IF($F434=0,0,INDEX(Aux_HH!$E$4:$E$18,MATCH($B434&amp;"|"&amp;$E434,Aux_HH!$A$4:$A$18,0)))</f>
        <v>0</v>
      </c>
      <c r="I434" s="0" t="n">
        <f aca="false">IF($F434=0,0,INDEX(Aux_HH!$F$4:$F$18,MATCH($B434&amp;"|"&amp;$E434,Aux_HH!$A$4:$A$18,0)))</f>
        <v>0</v>
      </c>
      <c r="J434" s="0" t="n">
        <f aca="false">IF($F434=0,0,INDEX(Aux_HH!$G$4:$G$18,MATCH($B434&amp;"|"&amp;$E434,Aux_HH!$A$4:$A$18,0)))</f>
        <v>0</v>
      </c>
      <c r="K434" s="0" t="n">
        <f aca="false">IF($F434=0,0,INDEX(Aux_HH!$H$4:$H$18,MATCH($B434&amp;"|"&amp;$E434,Aux_HH!$A$4:$A$18,0)))</f>
        <v>0</v>
      </c>
      <c r="L434" s="0" t="n">
        <f aca="false">IF($F434=0,0,INDEX(Aux_HH!$I$4:$I$18,MATCH($B434&amp;"|"&amp;$E434,Aux_HH!$A$4:$A$18,0)))</f>
        <v>0</v>
      </c>
    </row>
    <row r="435" customFormat="false" ht="15" hidden="false" customHeight="false" outlineLevel="0" collapsed="false">
      <c r="A435" s="0" t="str">
        <f aca="false">IF(Frota!$A13="","",Frota!$A13)</f>
        <v>Caminhão Scania G540 — 2763</v>
      </c>
      <c r="B435" s="0" t="str">
        <f aca="false">IF(Frota!$A13="","",Frota!$B13)</f>
        <v>Caminhão</v>
      </c>
      <c r="C435" s="0" t="n">
        <v>16</v>
      </c>
      <c r="D435" s="0" t="n">
        <f aca="false">INDEX(Semanas!$E$3:$E$54,16)</f>
        <v>7</v>
      </c>
      <c r="E435" s="0" t="str">
        <f aca="false">IF(Frota!$A13="","",Cronograma!Q13)</f>
        <v/>
      </c>
      <c r="F435" s="0" t="n">
        <f aca="false">IF(OR($E435="",$E435=0),0,1)</f>
        <v>0</v>
      </c>
      <c r="G435" s="0" t="n">
        <f aca="false">IF($F435=0,0,INDEX(Aux_HH!$D$4:$D$18,MATCH($B435&amp;"|"&amp;$E435,Aux_HH!$A$4:$A$18,0)))</f>
        <v>0</v>
      </c>
      <c r="H435" s="0" t="n">
        <f aca="false">IF($F435=0,0,INDEX(Aux_HH!$E$4:$E$18,MATCH($B435&amp;"|"&amp;$E435,Aux_HH!$A$4:$A$18,0)))</f>
        <v>0</v>
      </c>
      <c r="I435" s="0" t="n">
        <f aca="false">IF($F435=0,0,INDEX(Aux_HH!$F$4:$F$18,MATCH($B435&amp;"|"&amp;$E435,Aux_HH!$A$4:$A$18,0)))</f>
        <v>0</v>
      </c>
      <c r="J435" s="0" t="n">
        <f aca="false">IF($F435=0,0,INDEX(Aux_HH!$G$4:$G$18,MATCH($B435&amp;"|"&amp;$E435,Aux_HH!$A$4:$A$18,0)))</f>
        <v>0</v>
      </c>
      <c r="K435" s="0" t="n">
        <f aca="false">IF($F435=0,0,INDEX(Aux_HH!$H$4:$H$18,MATCH($B435&amp;"|"&amp;$E435,Aux_HH!$A$4:$A$18,0)))</f>
        <v>0</v>
      </c>
      <c r="L435" s="0" t="n">
        <f aca="false">IF($F435=0,0,INDEX(Aux_HH!$I$4:$I$18,MATCH($B435&amp;"|"&amp;$E435,Aux_HH!$A$4:$A$18,0)))</f>
        <v>0</v>
      </c>
    </row>
    <row r="436" customFormat="false" ht="15" hidden="false" customHeight="false" outlineLevel="0" collapsed="false">
      <c r="A436" s="0" t="str">
        <f aca="false">IF(Frota!$A13="","",Frota!$A13)</f>
        <v>Caminhão Scania G540 — 2763</v>
      </c>
      <c r="B436" s="0" t="str">
        <f aca="false">IF(Frota!$A13="","",Frota!$B13)</f>
        <v>Caminhão</v>
      </c>
      <c r="C436" s="0" t="n">
        <v>17</v>
      </c>
      <c r="D436" s="0" t="n">
        <f aca="false">INDEX(Semanas!$E$3:$E$54,17)</f>
        <v>7</v>
      </c>
      <c r="E436" s="0" t="str">
        <f aca="false">IF(Frota!$A13="","",Cronograma!R13)</f>
        <v/>
      </c>
      <c r="F436" s="0" t="n">
        <f aca="false">IF(OR($E436="",$E436=0),0,1)</f>
        <v>0</v>
      </c>
      <c r="G436" s="0" t="n">
        <f aca="false">IF($F436=0,0,INDEX(Aux_HH!$D$4:$D$18,MATCH($B436&amp;"|"&amp;$E436,Aux_HH!$A$4:$A$18,0)))</f>
        <v>0</v>
      </c>
      <c r="H436" s="0" t="n">
        <f aca="false">IF($F436=0,0,INDEX(Aux_HH!$E$4:$E$18,MATCH($B436&amp;"|"&amp;$E436,Aux_HH!$A$4:$A$18,0)))</f>
        <v>0</v>
      </c>
      <c r="I436" s="0" t="n">
        <f aca="false">IF($F436=0,0,INDEX(Aux_HH!$F$4:$F$18,MATCH($B436&amp;"|"&amp;$E436,Aux_HH!$A$4:$A$18,0)))</f>
        <v>0</v>
      </c>
      <c r="J436" s="0" t="n">
        <f aca="false">IF($F436=0,0,INDEX(Aux_HH!$G$4:$G$18,MATCH($B436&amp;"|"&amp;$E436,Aux_HH!$A$4:$A$18,0)))</f>
        <v>0</v>
      </c>
      <c r="K436" s="0" t="n">
        <f aca="false">IF($F436=0,0,INDEX(Aux_HH!$H$4:$H$18,MATCH($B436&amp;"|"&amp;$E436,Aux_HH!$A$4:$A$18,0)))</f>
        <v>0</v>
      </c>
      <c r="L436" s="0" t="n">
        <f aca="false">IF($F436=0,0,INDEX(Aux_HH!$I$4:$I$18,MATCH($B436&amp;"|"&amp;$E436,Aux_HH!$A$4:$A$18,0)))</f>
        <v>0</v>
      </c>
    </row>
    <row r="437" customFormat="false" ht="15" hidden="false" customHeight="false" outlineLevel="0" collapsed="false">
      <c r="A437" s="0" t="str">
        <f aca="false">IF(Frota!$A13="","",Frota!$A13)</f>
        <v>Caminhão Scania G540 — 2763</v>
      </c>
      <c r="B437" s="0" t="str">
        <f aca="false">IF(Frota!$A13="","",Frota!$B13)</f>
        <v>Caminhão</v>
      </c>
      <c r="C437" s="0" t="n">
        <v>18</v>
      </c>
      <c r="D437" s="0" t="n">
        <f aca="false">INDEX(Semanas!$E$3:$E$54,18)</f>
        <v>7</v>
      </c>
      <c r="E437" s="0" t="str">
        <f aca="false">IF(Frota!$A13="","",Cronograma!S13)</f>
        <v/>
      </c>
      <c r="F437" s="0" t="n">
        <f aca="false">IF(OR($E437="",$E437=0),0,1)</f>
        <v>0</v>
      </c>
      <c r="G437" s="0" t="n">
        <f aca="false">IF($F437=0,0,INDEX(Aux_HH!$D$4:$D$18,MATCH($B437&amp;"|"&amp;$E437,Aux_HH!$A$4:$A$18,0)))</f>
        <v>0</v>
      </c>
      <c r="H437" s="0" t="n">
        <f aca="false">IF($F437=0,0,INDEX(Aux_HH!$E$4:$E$18,MATCH($B437&amp;"|"&amp;$E437,Aux_HH!$A$4:$A$18,0)))</f>
        <v>0</v>
      </c>
      <c r="I437" s="0" t="n">
        <f aca="false">IF($F437=0,0,INDEX(Aux_HH!$F$4:$F$18,MATCH($B437&amp;"|"&amp;$E437,Aux_HH!$A$4:$A$18,0)))</f>
        <v>0</v>
      </c>
      <c r="J437" s="0" t="n">
        <f aca="false">IF($F437=0,0,INDEX(Aux_HH!$G$4:$G$18,MATCH($B437&amp;"|"&amp;$E437,Aux_HH!$A$4:$A$18,0)))</f>
        <v>0</v>
      </c>
      <c r="K437" s="0" t="n">
        <f aca="false">IF($F437=0,0,INDEX(Aux_HH!$H$4:$H$18,MATCH($B437&amp;"|"&amp;$E437,Aux_HH!$A$4:$A$18,0)))</f>
        <v>0</v>
      </c>
      <c r="L437" s="0" t="n">
        <f aca="false">IF($F437=0,0,INDEX(Aux_HH!$I$4:$I$18,MATCH($B437&amp;"|"&amp;$E437,Aux_HH!$A$4:$A$18,0)))</f>
        <v>0</v>
      </c>
    </row>
    <row r="438" customFormat="false" ht="15" hidden="false" customHeight="false" outlineLevel="0" collapsed="false">
      <c r="A438" s="0" t="str">
        <f aca="false">IF(Frota!$A13="","",Frota!$A13)</f>
        <v>Caminhão Scania G540 — 2763</v>
      </c>
      <c r="B438" s="0" t="str">
        <f aca="false">IF(Frota!$A13="","",Frota!$B13)</f>
        <v>Caminhão</v>
      </c>
      <c r="C438" s="0" t="n">
        <v>19</v>
      </c>
      <c r="D438" s="0" t="n">
        <f aca="false">INDEX(Semanas!$E$3:$E$54,19)</f>
        <v>8</v>
      </c>
      <c r="E438" s="0" t="str">
        <f aca="false">IF(Frota!$A13="","",Cronograma!T13)</f>
        <v>S</v>
      </c>
      <c r="F438" s="0" t="n">
        <f aca="false">IF(OR($E438="",$E438=0),0,1)</f>
        <v>1</v>
      </c>
      <c r="G438" s="0" t="n">
        <f aca="false">IF($F438=0,0,INDEX(Aux_HH!$D$4:$D$18,MATCH($B438&amp;"|"&amp;$E438,Aux_HH!$A$4:$A$18,0)))</f>
        <v>2.25</v>
      </c>
      <c r="H438" s="0" t="n">
        <f aca="false">IF($F438=0,0,INDEX(Aux_HH!$E$4:$E$18,MATCH($B438&amp;"|"&amp;$E438,Aux_HH!$A$4:$A$18,0)))</f>
        <v>0</v>
      </c>
      <c r="I438" s="0" t="n">
        <f aca="false">IF($F438=0,0,INDEX(Aux_HH!$F$4:$F$18,MATCH($B438&amp;"|"&amp;$E438,Aux_HH!$A$4:$A$18,0)))</f>
        <v>0</v>
      </c>
      <c r="J438" s="0" t="n">
        <f aca="false">IF($F438=0,0,INDEX(Aux_HH!$G$4:$G$18,MATCH($B438&amp;"|"&amp;$E438,Aux_HH!$A$4:$A$18,0)))</f>
        <v>0.5</v>
      </c>
      <c r="K438" s="0" t="n">
        <f aca="false">IF($F438=0,0,INDEX(Aux_HH!$H$4:$H$18,MATCH($B438&amp;"|"&amp;$E438,Aux_HH!$A$4:$A$18,0)))</f>
        <v>0.5</v>
      </c>
      <c r="L438" s="0" t="n">
        <f aca="false">IF($F438=0,0,INDEX(Aux_HH!$I$4:$I$18,MATCH($B438&amp;"|"&amp;$E438,Aux_HH!$A$4:$A$18,0)))</f>
        <v>0</v>
      </c>
    </row>
    <row r="439" customFormat="false" ht="15" hidden="false" customHeight="false" outlineLevel="0" collapsed="false">
      <c r="A439" s="0" t="str">
        <f aca="false">IF(Frota!$A13="","",Frota!$A13)</f>
        <v>Caminhão Scania G540 — 2763</v>
      </c>
      <c r="B439" s="0" t="str">
        <f aca="false">IF(Frota!$A13="","",Frota!$B13)</f>
        <v>Caminhão</v>
      </c>
      <c r="C439" s="0" t="n">
        <v>20</v>
      </c>
      <c r="D439" s="0" t="n">
        <f aca="false">INDEX(Semanas!$E$3:$E$54,20)</f>
        <v>8</v>
      </c>
      <c r="E439" s="0" t="str">
        <f aca="false">IF(Frota!$A13="","",Cronograma!U13)</f>
        <v/>
      </c>
      <c r="F439" s="0" t="n">
        <f aca="false">IF(OR($E439="",$E439=0),0,1)</f>
        <v>0</v>
      </c>
      <c r="G439" s="0" t="n">
        <f aca="false">IF($F439=0,0,INDEX(Aux_HH!$D$4:$D$18,MATCH($B439&amp;"|"&amp;$E439,Aux_HH!$A$4:$A$18,0)))</f>
        <v>0</v>
      </c>
      <c r="H439" s="0" t="n">
        <f aca="false">IF($F439=0,0,INDEX(Aux_HH!$E$4:$E$18,MATCH($B439&amp;"|"&amp;$E439,Aux_HH!$A$4:$A$18,0)))</f>
        <v>0</v>
      </c>
      <c r="I439" s="0" t="n">
        <f aca="false">IF($F439=0,0,INDEX(Aux_HH!$F$4:$F$18,MATCH($B439&amp;"|"&amp;$E439,Aux_HH!$A$4:$A$18,0)))</f>
        <v>0</v>
      </c>
      <c r="J439" s="0" t="n">
        <f aca="false">IF($F439=0,0,INDEX(Aux_HH!$G$4:$G$18,MATCH($B439&amp;"|"&amp;$E439,Aux_HH!$A$4:$A$18,0)))</f>
        <v>0</v>
      </c>
      <c r="K439" s="0" t="n">
        <f aca="false">IF($F439=0,0,INDEX(Aux_HH!$H$4:$H$18,MATCH($B439&amp;"|"&amp;$E439,Aux_HH!$A$4:$A$18,0)))</f>
        <v>0</v>
      </c>
      <c r="L439" s="0" t="n">
        <f aca="false">IF($F439=0,0,INDEX(Aux_HH!$I$4:$I$18,MATCH($B439&amp;"|"&amp;$E439,Aux_HH!$A$4:$A$18,0)))</f>
        <v>0</v>
      </c>
    </row>
    <row r="440" customFormat="false" ht="15" hidden="false" customHeight="false" outlineLevel="0" collapsed="false">
      <c r="A440" s="0" t="str">
        <f aca="false">IF(Frota!$A13="","",Frota!$A13)</f>
        <v>Caminhão Scania G540 — 2763</v>
      </c>
      <c r="B440" s="0" t="str">
        <f aca="false">IF(Frota!$A13="","",Frota!$B13)</f>
        <v>Caminhão</v>
      </c>
      <c r="C440" s="0" t="n">
        <v>21</v>
      </c>
      <c r="D440" s="0" t="n">
        <f aca="false">INDEX(Semanas!$E$3:$E$54,21)</f>
        <v>8</v>
      </c>
      <c r="E440" s="0" t="str">
        <f aca="false">IF(Frota!$A13="","",Cronograma!V13)</f>
        <v/>
      </c>
      <c r="F440" s="0" t="n">
        <f aca="false">IF(OR($E440="",$E440=0),0,1)</f>
        <v>0</v>
      </c>
      <c r="G440" s="0" t="n">
        <f aca="false">IF($F440=0,0,INDEX(Aux_HH!$D$4:$D$18,MATCH($B440&amp;"|"&amp;$E440,Aux_HH!$A$4:$A$18,0)))</f>
        <v>0</v>
      </c>
      <c r="H440" s="0" t="n">
        <f aca="false">IF($F440=0,0,INDEX(Aux_HH!$E$4:$E$18,MATCH($B440&amp;"|"&amp;$E440,Aux_HH!$A$4:$A$18,0)))</f>
        <v>0</v>
      </c>
      <c r="I440" s="0" t="n">
        <f aca="false">IF($F440=0,0,INDEX(Aux_HH!$F$4:$F$18,MATCH($B440&amp;"|"&amp;$E440,Aux_HH!$A$4:$A$18,0)))</f>
        <v>0</v>
      </c>
      <c r="J440" s="0" t="n">
        <f aca="false">IF($F440=0,0,INDEX(Aux_HH!$G$4:$G$18,MATCH($B440&amp;"|"&amp;$E440,Aux_HH!$A$4:$A$18,0)))</f>
        <v>0</v>
      </c>
      <c r="K440" s="0" t="n">
        <f aca="false">IF($F440=0,0,INDEX(Aux_HH!$H$4:$H$18,MATCH($B440&amp;"|"&amp;$E440,Aux_HH!$A$4:$A$18,0)))</f>
        <v>0</v>
      </c>
      <c r="L440" s="0" t="n">
        <f aca="false">IF($F440=0,0,INDEX(Aux_HH!$I$4:$I$18,MATCH($B440&amp;"|"&amp;$E440,Aux_HH!$A$4:$A$18,0)))</f>
        <v>0</v>
      </c>
    </row>
    <row r="441" customFormat="false" ht="15" hidden="false" customHeight="false" outlineLevel="0" collapsed="false">
      <c r="A441" s="0" t="str">
        <f aca="false">IF(Frota!$A13="","",Frota!$A13)</f>
        <v>Caminhão Scania G540 — 2763</v>
      </c>
      <c r="B441" s="0" t="str">
        <f aca="false">IF(Frota!$A13="","",Frota!$B13)</f>
        <v>Caminhão</v>
      </c>
      <c r="C441" s="0" t="n">
        <v>22</v>
      </c>
      <c r="D441" s="0" t="n">
        <f aca="false">INDEX(Semanas!$E$3:$E$54,22)</f>
        <v>8</v>
      </c>
      <c r="E441" s="0" t="str">
        <f aca="false">IF(Frota!$A13="","",Cronograma!W13)</f>
        <v/>
      </c>
      <c r="F441" s="0" t="n">
        <f aca="false">IF(OR($E441="",$E441=0),0,1)</f>
        <v>0</v>
      </c>
      <c r="G441" s="0" t="n">
        <f aca="false">IF($F441=0,0,INDEX(Aux_HH!$D$4:$D$18,MATCH($B441&amp;"|"&amp;$E441,Aux_HH!$A$4:$A$18,0)))</f>
        <v>0</v>
      </c>
      <c r="H441" s="0" t="n">
        <f aca="false">IF($F441=0,0,INDEX(Aux_HH!$E$4:$E$18,MATCH($B441&amp;"|"&amp;$E441,Aux_HH!$A$4:$A$18,0)))</f>
        <v>0</v>
      </c>
      <c r="I441" s="0" t="n">
        <f aca="false">IF($F441=0,0,INDEX(Aux_HH!$F$4:$F$18,MATCH($B441&amp;"|"&amp;$E441,Aux_HH!$A$4:$A$18,0)))</f>
        <v>0</v>
      </c>
      <c r="J441" s="0" t="n">
        <f aca="false">IF($F441=0,0,INDEX(Aux_HH!$G$4:$G$18,MATCH($B441&amp;"|"&amp;$E441,Aux_HH!$A$4:$A$18,0)))</f>
        <v>0</v>
      </c>
      <c r="K441" s="0" t="n">
        <f aca="false">IF($F441=0,0,INDEX(Aux_HH!$H$4:$H$18,MATCH($B441&amp;"|"&amp;$E441,Aux_HH!$A$4:$A$18,0)))</f>
        <v>0</v>
      </c>
      <c r="L441" s="0" t="n">
        <f aca="false">IF($F441=0,0,INDEX(Aux_HH!$I$4:$I$18,MATCH($B441&amp;"|"&amp;$E441,Aux_HH!$A$4:$A$18,0)))</f>
        <v>0</v>
      </c>
    </row>
    <row r="442" customFormat="false" ht="15" hidden="false" customHeight="false" outlineLevel="0" collapsed="false">
      <c r="A442" s="0" t="str">
        <f aca="false">IF(Frota!$A13="","",Frota!$A13)</f>
        <v>Caminhão Scania G540 — 2763</v>
      </c>
      <c r="B442" s="0" t="str">
        <f aca="false">IF(Frota!$A13="","",Frota!$B13)</f>
        <v>Caminhão</v>
      </c>
      <c r="C442" s="0" t="n">
        <v>23</v>
      </c>
      <c r="D442" s="0" t="n">
        <f aca="false">INDEX(Semanas!$E$3:$E$54,23)</f>
        <v>9</v>
      </c>
      <c r="E442" s="0" t="str">
        <f aca="false">IF(Frota!$A13="","",Cronograma!X13)</f>
        <v/>
      </c>
      <c r="F442" s="0" t="n">
        <f aca="false">IF(OR($E442="",$E442=0),0,1)</f>
        <v>0</v>
      </c>
      <c r="G442" s="0" t="n">
        <f aca="false">IF($F442=0,0,INDEX(Aux_HH!$D$4:$D$18,MATCH($B442&amp;"|"&amp;$E442,Aux_HH!$A$4:$A$18,0)))</f>
        <v>0</v>
      </c>
      <c r="H442" s="0" t="n">
        <f aca="false">IF($F442=0,0,INDEX(Aux_HH!$E$4:$E$18,MATCH($B442&amp;"|"&amp;$E442,Aux_HH!$A$4:$A$18,0)))</f>
        <v>0</v>
      </c>
      <c r="I442" s="0" t="n">
        <f aca="false">IF($F442=0,0,INDEX(Aux_HH!$F$4:$F$18,MATCH($B442&amp;"|"&amp;$E442,Aux_HH!$A$4:$A$18,0)))</f>
        <v>0</v>
      </c>
      <c r="J442" s="0" t="n">
        <f aca="false">IF($F442=0,0,INDEX(Aux_HH!$G$4:$G$18,MATCH($B442&amp;"|"&amp;$E442,Aux_HH!$A$4:$A$18,0)))</f>
        <v>0</v>
      </c>
      <c r="K442" s="0" t="n">
        <f aca="false">IF($F442=0,0,INDEX(Aux_HH!$H$4:$H$18,MATCH($B442&amp;"|"&amp;$E442,Aux_HH!$A$4:$A$18,0)))</f>
        <v>0</v>
      </c>
      <c r="L442" s="0" t="n">
        <f aca="false">IF($F442=0,0,INDEX(Aux_HH!$I$4:$I$18,MATCH($B442&amp;"|"&amp;$E442,Aux_HH!$A$4:$A$18,0)))</f>
        <v>0</v>
      </c>
    </row>
    <row r="443" customFormat="false" ht="15" hidden="false" customHeight="false" outlineLevel="0" collapsed="false">
      <c r="A443" s="0" t="str">
        <f aca="false">IF(Frota!$A13="","",Frota!$A13)</f>
        <v>Caminhão Scania G540 — 2763</v>
      </c>
      <c r="B443" s="0" t="str">
        <f aca="false">IF(Frota!$A13="","",Frota!$B13)</f>
        <v>Caminhão</v>
      </c>
      <c r="C443" s="0" t="n">
        <v>24</v>
      </c>
      <c r="D443" s="0" t="n">
        <f aca="false">INDEX(Semanas!$E$3:$E$54,24)</f>
        <v>9</v>
      </c>
      <c r="E443" s="0" t="str">
        <f aca="false">IF(Frota!$A13="","",Cronograma!Y13)</f>
        <v/>
      </c>
      <c r="F443" s="0" t="n">
        <f aca="false">IF(OR($E443="",$E443=0),0,1)</f>
        <v>0</v>
      </c>
      <c r="G443" s="0" t="n">
        <f aca="false">IF($F443=0,0,INDEX(Aux_HH!$D$4:$D$18,MATCH($B443&amp;"|"&amp;$E443,Aux_HH!$A$4:$A$18,0)))</f>
        <v>0</v>
      </c>
      <c r="H443" s="0" t="n">
        <f aca="false">IF($F443=0,0,INDEX(Aux_HH!$E$4:$E$18,MATCH($B443&amp;"|"&amp;$E443,Aux_HH!$A$4:$A$18,0)))</f>
        <v>0</v>
      </c>
      <c r="I443" s="0" t="n">
        <f aca="false">IF($F443=0,0,INDEX(Aux_HH!$F$4:$F$18,MATCH($B443&amp;"|"&amp;$E443,Aux_HH!$A$4:$A$18,0)))</f>
        <v>0</v>
      </c>
      <c r="J443" s="0" t="n">
        <f aca="false">IF($F443=0,0,INDEX(Aux_HH!$G$4:$G$18,MATCH($B443&amp;"|"&amp;$E443,Aux_HH!$A$4:$A$18,0)))</f>
        <v>0</v>
      </c>
      <c r="K443" s="0" t="n">
        <f aca="false">IF($F443=0,0,INDEX(Aux_HH!$H$4:$H$18,MATCH($B443&amp;"|"&amp;$E443,Aux_HH!$A$4:$A$18,0)))</f>
        <v>0</v>
      </c>
      <c r="L443" s="0" t="n">
        <f aca="false">IF($F443=0,0,INDEX(Aux_HH!$I$4:$I$18,MATCH($B443&amp;"|"&amp;$E443,Aux_HH!$A$4:$A$18,0)))</f>
        <v>0</v>
      </c>
    </row>
    <row r="444" customFormat="false" ht="15" hidden="false" customHeight="false" outlineLevel="0" collapsed="false">
      <c r="A444" s="0" t="str">
        <f aca="false">IF(Frota!$A13="","",Frota!$A13)</f>
        <v>Caminhão Scania G540 — 2763</v>
      </c>
      <c r="B444" s="0" t="str">
        <f aca="false">IF(Frota!$A13="","",Frota!$B13)</f>
        <v>Caminhão</v>
      </c>
      <c r="C444" s="0" t="n">
        <v>25</v>
      </c>
      <c r="D444" s="0" t="n">
        <f aca="false">INDEX(Semanas!$E$3:$E$54,25)</f>
        <v>9</v>
      </c>
      <c r="E444" s="0" t="str">
        <f aca="false">IF(Frota!$A13="","",Cronograma!Z13)</f>
        <v/>
      </c>
      <c r="F444" s="0" t="n">
        <f aca="false">IF(OR($E444="",$E444=0),0,1)</f>
        <v>0</v>
      </c>
      <c r="G444" s="0" t="n">
        <f aca="false">IF($F444=0,0,INDEX(Aux_HH!$D$4:$D$18,MATCH($B444&amp;"|"&amp;$E444,Aux_HH!$A$4:$A$18,0)))</f>
        <v>0</v>
      </c>
      <c r="H444" s="0" t="n">
        <f aca="false">IF($F444=0,0,INDEX(Aux_HH!$E$4:$E$18,MATCH($B444&amp;"|"&amp;$E444,Aux_HH!$A$4:$A$18,0)))</f>
        <v>0</v>
      </c>
      <c r="I444" s="0" t="n">
        <f aca="false">IF($F444=0,0,INDEX(Aux_HH!$F$4:$F$18,MATCH($B444&amp;"|"&amp;$E444,Aux_HH!$A$4:$A$18,0)))</f>
        <v>0</v>
      </c>
      <c r="J444" s="0" t="n">
        <f aca="false">IF($F444=0,0,INDEX(Aux_HH!$G$4:$G$18,MATCH($B444&amp;"|"&amp;$E444,Aux_HH!$A$4:$A$18,0)))</f>
        <v>0</v>
      </c>
      <c r="K444" s="0" t="n">
        <f aca="false">IF($F444=0,0,INDEX(Aux_HH!$H$4:$H$18,MATCH($B444&amp;"|"&amp;$E444,Aux_HH!$A$4:$A$18,0)))</f>
        <v>0</v>
      </c>
      <c r="L444" s="0" t="n">
        <f aca="false">IF($F444=0,0,INDEX(Aux_HH!$I$4:$I$18,MATCH($B444&amp;"|"&amp;$E444,Aux_HH!$A$4:$A$18,0)))</f>
        <v>0</v>
      </c>
    </row>
    <row r="445" customFormat="false" ht="15" hidden="false" customHeight="false" outlineLevel="0" collapsed="false">
      <c r="A445" s="0" t="str">
        <f aca="false">IF(Frota!$A13="","",Frota!$A13)</f>
        <v>Caminhão Scania G540 — 2763</v>
      </c>
      <c r="B445" s="0" t="str">
        <f aca="false">IF(Frota!$A13="","",Frota!$B13)</f>
        <v>Caminhão</v>
      </c>
      <c r="C445" s="0" t="n">
        <v>26</v>
      </c>
      <c r="D445" s="0" t="n">
        <f aca="false">INDEX(Semanas!$E$3:$E$54,26)</f>
        <v>9</v>
      </c>
      <c r="E445" s="0" t="str">
        <f aca="false">IF(Frota!$A13="","",Cronograma!AA13)</f>
        <v>B</v>
      </c>
      <c r="F445" s="0" t="n">
        <f aca="false">IF(OR($E445="",$E445=0),0,1)</f>
        <v>1</v>
      </c>
      <c r="G445" s="0" t="n">
        <f aca="false">IF($F445=0,0,INDEX(Aux_HH!$D$4:$D$18,MATCH($B445&amp;"|"&amp;$E445,Aux_HH!$A$4:$A$18,0)))</f>
        <v>6.25</v>
      </c>
      <c r="H445" s="0" t="n">
        <f aca="false">IF($F445=0,0,INDEX(Aux_HH!$E$4:$E$18,MATCH($B445&amp;"|"&amp;$E445,Aux_HH!$A$4:$A$18,0)))</f>
        <v>0</v>
      </c>
      <c r="I445" s="0" t="n">
        <f aca="false">IF($F445=0,0,INDEX(Aux_HH!$F$4:$F$18,MATCH($B445&amp;"|"&amp;$E445,Aux_HH!$A$4:$A$18,0)))</f>
        <v>1</v>
      </c>
      <c r="J445" s="0" t="n">
        <f aca="false">IF($F445=0,0,INDEX(Aux_HH!$G$4:$G$18,MATCH($B445&amp;"|"&amp;$E445,Aux_HH!$A$4:$A$18,0)))</f>
        <v>0.5</v>
      </c>
      <c r="K445" s="0" t="n">
        <f aca="false">IF($F445=0,0,INDEX(Aux_HH!$H$4:$H$18,MATCH($B445&amp;"|"&amp;$E445,Aux_HH!$A$4:$A$18,0)))</f>
        <v>0.5</v>
      </c>
      <c r="L445" s="0" t="n">
        <f aca="false">IF($F445=0,0,INDEX(Aux_HH!$I$4:$I$18,MATCH($B445&amp;"|"&amp;$E445,Aux_HH!$A$4:$A$18,0)))</f>
        <v>0</v>
      </c>
    </row>
    <row r="446" customFormat="false" ht="15" hidden="false" customHeight="false" outlineLevel="0" collapsed="false">
      <c r="A446" s="0" t="str">
        <f aca="false">IF(Frota!$A13="","",Frota!$A13)</f>
        <v>Caminhão Scania G540 — 2763</v>
      </c>
      <c r="B446" s="0" t="str">
        <f aca="false">IF(Frota!$A13="","",Frota!$B13)</f>
        <v>Caminhão</v>
      </c>
      <c r="C446" s="0" t="n">
        <v>27</v>
      </c>
      <c r="D446" s="0" t="n">
        <f aca="false">INDEX(Semanas!$E$3:$E$54,27)</f>
        <v>9</v>
      </c>
      <c r="E446" s="0" t="str">
        <f aca="false">IF(Frota!$A13="","",Cronograma!AB13)</f>
        <v/>
      </c>
      <c r="F446" s="0" t="n">
        <f aca="false">IF(OR($E446="",$E446=0),0,1)</f>
        <v>0</v>
      </c>
      <c r="G446" s="0" t="n">
        <f aca="false">IF($F446=0,0,INDEX(Aux_HH!$D$4:$D$18,MATCH($B446&amp;"|"&amp;$E446,Aux_HH!$A$4:$A$18,0)))</f>
        <v>0</v>
      </c>
      <c r="H446" s="0" t="n">
        <f aca="false">IF($F446=0,0,INDEX(Aux_HH!$E$4:$E$18,MATCH($B446&amp;"|"&amp;$E446,Aux_HH!$A$4:$A$18,0)))</f>
        <v>0</v>
      </c>
      <c r="I446" s="0" t="n">
        <f aca="false">IF($F446=0,0,INDEX(Aux_HH!$F$4:$F$18,MATCH($B446&amp;"|"&amp;$E446,Aux_HH!$A$4:$A$18,0)))</f>
        <v>0</v>
      </c>
      <c r="J446" s="0" t="n">
        <f aca="false">IF($F446=0,0,INDEX(Aux_HH!$G$4:$G$18,MATCH($B446&amp;"|"&amp;$E446,Aux_HH!$A$4:$A$18,0)))</f>
        <v>0</v>
      </c>
      <c r="K446" s="0" t="n">
        <f aca="false">IF($F446=0,0,INDEX(Aux_HH!$H$4:$H$18,MATCH($B446&amp;"|"&amp;$E446,Aux_HH!$A$4:$A$18,0)))</f>
        <v>0</v>
      </c>
      <c r="L446" s="0" t="n">
        <f aca="false">IF($F446=0,0,INDEX(Aux_HH!$I$4:$I$18,MATCH($B446&amp;"|"&amp;$E446,Aux_HH!$A$4:$A$18,0)))</f>
        <v>0</v>
      </c>
    </row>
    <row r="447" customFormat="false" ht="15" hidden="false" customHeight="false" outlineLevel="0" collapsed="false">
      <c r="A447" s="0" t="str">
        <f aca="false">IF(Frota!$A13="","",Frota!$A13)</f>
        <v>Caminhão Scania G540 — 2763</v>
      </c>
      <c r="B447" s="0" t="str">
        <f aca="false">IF(Frota!$A13="","",Frota!$B13)</f>
        <v>Caminhão</v>
      </c>
      <c r="C447" s="0" t="n">
        <v>28</v>
      </c>
      <c r="D447" s="0" t="n">
        <f aca="false">INDEX(Semanas!$E$3:$E$54,28)</f>
        <v>10</v>
      </c>
      <c r="E447" s="0" t="str">
        <f aca="false">IF(Frota!$A13="","",Cronograma!AC13)</f>
        <v/>
      </c>
      <c r="F447" s="0" t="n">
        <f aca="false">IF(OR($E447="",$E447=0),0,1)</f>
        <v>0</v>
      </c>
      <c r="G447" s="0" t="n">
        <f aca="false">IF($F447=0,0,INDEX(Aux_HH!$D$4:$D$18,MATCH($B447&amp;"|"&amp;$E447,Aux_HH!$A$4:$A$18,0)))</f>
        <v>0</v>
      </c>
      <c r="H447" s="0" t="n">
        <f aca="false">IF($F447=0,0,INDEX(Aux_HH!$E$4:$E$18,MATCH($B447&amp;"|"&amp;$E447,Aux_HH!$A$4:$A$18,0)))</f>
        <v>0</v>
      </c>
      <c r="I447" s="0" t="n">
        <f aca="false">IF($F447=0,0,INDEX(Aux_HH!$F$4:$F$18,MATCH($B447&amp;"|"&amp;$E447,Aux_HH!$A$4:$A$18,0)))</f>
        <v>0</v>
      </c>
      <c r="J447" s="0" t="n">
        <f aca="false">IF($F447=0,0,INDEX(Aux_HH!$G$4:$G$18,MATCH($B447&amp;"|"&amp;$E447,Aux_HH!$A$4:$A$18,0)))</f>
        <v>0</v>
      </c>
      <c r="K447" s="0" t="n">
        <f aca="false">IF($F447=0,0,INDEX(Aux_HH!$H$4:$H$18,MATCH($B447&amp;"|"&amp;$E447,Aux_HH!$A$4:$A$18,0)))</f>
        <v>0</v>
      </c>
      <c r="L447" s="0" t="n">
        <f aca="false">IF($F447=0,0,INDEX(Aux_HH!$I$4:$I$18,MATCH($B447&amp;"|"&amp;$E447,Aux_HH!$A$4:$A$18,0)))</f>
        <v>0</v>
      </c>
    </row>
    <row r="448" customFormat="false" ht="15" hidden="false" customHeight="false" outlineLevel="0" collapsed="false">
      <c r="A448" s="0" t="str">
        <f aca="false">IF(Frota!$A13="","",Frota!$A13)</f>
        <v>Caminhão Scania G540 — 2763</v>
      </c>
      <c r="B448" s="0" t="str">
        <f aca="false">IF(Frota!$A13="","",Frota!$B13)</f>
        <v>Caminhão</v>
      </c>
      <c r="C448" s="0" t="n">
        <v>29</v>
      </c>
      <c r="D448" s="0" t="n">
        <f aca="false">INDEX(Semanas!$E$3:$E$54,29)</f>
        <v>10</v>
      </c>
      <c r="E448" s="0" t="str">
        <f aca="false">IF(Frota!$A13="","",Cronograma!AD13)</f>
        <v/>
      </c>
      <c r="F448" s="0" t="n">
        <f aca="false">IF(OR($E448="",$E448=0),0,1)</f>
        <v>0</v>
      </c>
      <c r="G448" s="0" t="n">
        <f aca="false">IF($F448=0,0,INDEX(Aux_HH!$D$4:$D$18,MATCH($B448&amp;"|"&amp;$E448,Aux_HH!$A$4:$A$18,0)))</f>
        <v>0</v>
      </c>
      <c r="H448" s="0" t="n">
        <f aca="false">IF($F448=0,0,INDEX(Aux_HH!$E$4:$E$18,MATCH($B448&amp;"|"&amp;$E448,Aux_HH!$A$4:$A$18,0)))</f>
        <v>0</v>
      </c>
      <c r="I448" s="0" t="n">
        <f aca="false">IF($F448=0,0,INDEX(Aux_HH!$F$4:$F$18,MATCH($B448&amp;"|"&amp;$E448,Aux_HH!$A$4:$A$18,0)))</f>
        <v>0</v>
      </c>
      <c r="J448" s="0" t="n">
        <f aca="false">IF($F448=0,0,INDEX(Aux_HH!$G$4:$G$18,MATCH($B448&amp;"|"&amp;$E448,Aux_HH!$A$4:$A$18,0)))</f>
        <v>0</v>
      </c>
      <c r="K448" s="0" t="n">
        <f aca="false">IF($F448=0,0,INDEX(Aux_HH!$H$4:$H$18,MATCH($B448&amp;"|"&amp;$E448,Aux_HH!$A$4:$A$18,0)))</f>
        <v>0</v>
      </c>
      <c r="L448" s="0" t="n">
        <f aca="false">IF($F448=0,0,INDEX(Aux_HH!$I$4:$I$18,MATCH($B448&amp;"|"&amp;$E448,Aux_HH!$A$4:$A$18,0)))</f>
        <v>0</v>
      </c>
    </row>
    <row r="449" customFormat="false" ht="15" hidden="false" customHeight="false" outlineLevel="0" collapsed="false">
      <c r="A449" s="0" t="str">
        <f aca="false">IF(Frota!$A13="","",Frota!$A13)</f>
        <v>Caminhão Scania G540 — 2763</v>
      </c>
      <c r="B449" s="0" t="str">
        <f aca="false">IF(Frota!$A13="","",Frota!$B13)</f>
        <v>Caminhão</v>
      </c>
      <c r="C449" s="0" t="n">
        <v>30</v>
      </c>
      <c r="D449" s="0" t="n">
        <f aca="false">INDEX(Semanas!$E$3:$E$54,30)</f>
        <v>10</v>
      </c>
      <c r="E449" s="0" t="str">
        <f aca="false">IF(Frota!$A13="","",Cronograma!AE13)</f>
        <v/>
      </c>
      <c r="F449" s="0" t="n">
        <f aca="false">IF(OR($E449="",$E449=0),0,1)</f>
        <v>0</v>
      </c>
      <c r="G449" s="0" t="n">
        <f aca="false">IF($F449=0,0,INDEX(Aux_HH!$D$4:$D$18,MATCH($B449&amp;"|"&amp;$E449,Aux_HH!$A$4:$A$18,0)))</f>
        <v>0</v>
      </c>
      <c r="H449" s="0" t="n">
        <f aca="false">IF($F449=0,0,INDEX(Aux_HH!$E$4:$E$18,MATCH($B449&amp;"|"&amp;$E449,Aux_HH!$A$4:$A$18,0)))</f>
        <v>0</v>
      </c>
      <c r="I449" s="0" t="n">
        <f aca="false">IF($F449=0,0,INDEX(Aux_HH!$F$4:$F$18,MATCH($B449&amp;"|"&amp;$E449,Aux_HH!$A$4:$A$18,0)))</f>
        <v>0</v>
      </c>
      <c r="J449" s="0" t="n">
        <f aca="false">IF($F449=0,0,INDEX(Aux_HH!$G$4:$G$18,MATCH($B449&amp;"|"&amp;$E449,Aux_HH!$A$4:$A$18,0)))</f>
        <v>0</v>
      </c>
      <c r="K449" s="0" t="n">
        <f aca="false">IF($F449=0,0,INDEX(Aux_HH!$H$4:$H$18,MATCH($B449&amp;"|"&amp;$E449,Aux_HH!$A$4:$A$18,0)))</f>
        <v>0</v>
      </c>
      <c r="L449" s="0" t="n">
        <f aca="false">IF($F449=0,0,INDEX(Aux_HH!$I$4:$I$18,MATCH($B449&amp;"|"&amp;$E449,Aux_HH!$A$4:$A$18,0)))</f>
        <v>0</v>
      </c>
    </row>
    <row r="450" customFormat="false" ht="15" hidden="false" customHeight="false" outlineLevel="0" collapsed="false">
      <c r="A450" s="0" t="str">
        <f aca="false">IF(Frota!$A13="","",Frota!$A13)</f>
        <v>Caminhão Scania G540 — 2763</v>
      </c>
      <c r="B450" s="0" t="str">
        <f aca="false">IF(Frota!$A13="","",Frota!$B13)</f>
        <v>Caminhão</v>
      </c>
      <c r="C450" s="0" t="n">
        <v>31</v>
      </c>
      <c r="D450" s="0" t="n">
        <f aca="false">INDEX(Semanas!$E$3:$E$54,31)</f>
        <v>10</v>
      </c>
      <c r="E450" s="0" t="str">
        <f aca="false">IF(Frota!$A13="","",Cronograma!AF13)</f>
        <v/>
      </c>
      <c r="F450" s="0" t="n">
        <f aca="false">IF(OR($E450="",$E450=0),0,1)</f>
        <v>0</v>
      </c>
      <c r="G450" s="0" t="n">
        <f aca="false">IF($F450=0,0,INDEX(Aux_HH!$D$4:$D$18,MATCH($B450&amp;"|"&amp;$E450,Aux_HH!$A$4:$A$18,0)))</f>
        <v>0</v>
      </c>
      <c r="H450" s="0" t="n">
        <f aca="false">IF($F450=0,0,INDEX(Aux_HH!$E$4:$E$18,MATCH($B450&amp;"|"&amp;$E450,Aux_HH!$A$4:$A$18,0)))</f>
        <v>0</v>
      </c>
      <c r="I450" s="0" t="n">
        <f aca="false">IF($F450=0,0,INDEX(Aux_HH!$F$4:$F$18,MATCH($B450&amp;"|"&amp;$E450,Aux_HH!$A$4:$A$18,0)))</f>
        <v>0</v>
      </c>
      <c r="J450" s="0" t="n">
        <f aca="false">IF($F450=0,0,INDEX(Aux_HH!$G$4:$G$18,MATCH($B450&amp;"|"&amp;$E450,Aux_HH!$A$4:$A$18,0)))</f>
        <v>0</v>
      </c>
      <c r="K450" s="0" t="n">
        <f aca="false">IF($F450=0,0,INDEX(Aux_HH!$H$4:$H$18,MATCH($B450&amp;"|"&amp;$E450,Aux_HH!$A$4:$A$18,0)))</f>
        <v>0</v>
      </c>
      <c r="L450" s="0" t="n">
        <f aca="false">IF($F450=0,0,INDEX(Aux_HH!$I$4:$I$18,MATCH($B450&amp;"|"&amp;$E450,Aux_HH!$A$4:$A$18,0)))</f>
        <v>0</v>
      </c>
    </row>
    <row r="451" customFormat="false" ht="15" hidden="false" customHeight="false" outlineLevel="0" collapsed="false">
      <c r="A451" s="0" t="str">
        <f aca="false">IF(Frota!$A13="","",Frota!$A13)</f>
        <v>Caminhão Scania G540 — 2763</v>
      </c>
      <c r="B451" s="0" t="str">
        <f aca="false">IF(Frota!$A13="","",Frota!$B13)</f>
        <v>Caminhão</v>
      </c>
      <c r="C451" s="0" t="n">
        <v>32</v>
      </c>
      <c r="D451" s="0" t="n">
        <f aca="false">INDEX(Semanas!$E$3:$E$54,32)</f>
        <v>11</v>
      </c>
      <c r="E451" s="0" t="str">
        <f aca="false">IF(Frota!$A13="","",Cronograma!AG13)</f>
        <v/>
      </c>
      <c r="F451" s="0" t="n">
        <f aca="false">IF(OR($E451="",$E451=0),0,1)</f>
        <v>0</v>
      </c>
      <c r="G451" s="0" t="n">
        <f aca="false">IF($F451=0,0,INDEX(Aux_HH!$D$4:$D$18,MATCH($B451&amp;"|"&amp;$E451,Aux_HH!$A$4:$A$18,0)))</f>
        <v>0</v>
      </c>
      <c r="H451" s="0" t="n">
        <f aca="false">IF($F451=0,0,INDEX(Aux_HH!$E$4:$E$18,MATCH($B451&amp;"|"&amp;$E451,Aux_HH!$A$4:$A$18,0)))</f>
        <v>0</v>
      </c>
      <c r="I451" s="0" t="n">
        <f aca="false">IF($F451=0,0,INDEX(Aux_HH!$F$4:$F$18,MATCH($B451&amp;"|"&amp;$E451,Aux_HH!$A$4:$A$18,0)))</f>
        <v>0</v>
      </c>
      <c r="J451" s="0" t="n">
        <f aca="false">IF($F451=0,0,INDEX(Aux_HH!$G$4:$G$18,MATCH($B451&amp;"|"&amp;$E451,Aux_HH!$A$4:$A$18,0)))</f>
        <v>0</v>
      </c>
      <c r="K451" s="0" t="n">
        <f aca="false">IF($F451=0,0,INDEX(Aux_HH!$H$4:$H$18,MATCH($B451&amp;"|"&amp;$E451,Aux_HH!$A$4:$A$18,0)))</f>
        <v>0</v>
      </c>
      <c r="L451" s="0" t="n">
        <f aca="false">IF($F451=0,0,INDEX(Aux_HH!$I$4:$I$18,MATCH($B451&amp;"|"&amp;$E451,Aux_HH!$A$4:$A$18,0)))</f>
        <v>0</v>
      </c>
    </row>
    <row r="452" customFormat="false" ht="15" hidden="false" customHeight="false" outlineLevel="0" collapsed="false">
      <c r="A452" s="0" t="str">
        <f aca="false">IF(Frota!$A13="","",Frota!$A13)</f>
        <v>Caminhão Scania G540 — 2763</v>
      </c>
      <c r="B452" s="0" t="str">
        <f aca="false">IF(Frota!$A13="","",Frota!$B13)</f>
        <v>Caminhão</v>
      </c>
      <c r="C452" s="0" t="n">
        <v>33</v>
      </c>
      <c r="D452" s="0" t="n">
        <f aca="false">INDEX(Semanas!$E$3:$E$54,33)</f>
        <v>11</v>
      </c>
      <c r="E452" s="0" t="str">
        <f aca="false">IF(Frota!$A13="","",Cronograma!AH13)</f>
        <v/>
      </c>
      <c r="F452" s="0" t="n">
        <f aca="false">IF(OR($E452="",$E452=0),0,1)</f>
        <v>0</v>
      </c>
      <c r="G452" s="0" t="n">
        <f aca="false">IF($F452=0,0,INDEX(Aux_HH!$D$4:$D$18,MATCH($B452&amp;"|"&amp;$E452,Aux_HH!$A$4:$A$18,0)))</f>
        <v>0</v>
      </c>
      <c r="H452" s="0" t="n">
        <f aca="false">IF($F452=0,0,INDEX(Aux_HH!$E$4:$E$18,MATCH($B452&amp;"|"&amp;$E452,Aux_HH!$A$4:$A$18,0)))</f>
        <v>0</v>
      </c>
      <c r="I452" s="0" t="n">
        <f aca="false">IF($F452=0,0,INDEX(Aux_HH!$F$4:$F$18,MATCH($B452&amp;"|"&amp;$E452,Aux_HH!$A$4:$A$18,0)))</f>
        <v>0</v>
      </c>
      <c r="J452" s="0" t="n">
        <f aca="false">IF($F452=0,0,INDEX(Aux_HH!$G$4:$G$18,MATCH($B452&amp;"|"&amp;$E452,Aux_HH!$A$4:$A$18,0)))</f>
        <v>0</v>
      </c>
      <c r="K452" s="0" t="n">
        <f aca="false">IF($F452=0,0,INDEX(Aux_HH!$H$4:$H$18,MATCH($B452&amp;"|"&amp;$E452,Aux_HH!$A$4:$A$18,0)))</f>
        <v>0</v>
      </c>
      <c r="L452" s="0" t="n">
        <f aca="false">IF($F452=0,0,INDEX(Aux_HH!$I$4:$I$18,MATCH($B452&amp;"|"&amp;$E452,Aux_HH!$A$4:$A$18,0)))</f>
        <v>0</v>
      </c>
    </row>
    <row r="453" customFormat="false" ht="15" hidden="false" customHeight="false" outlineLevel="0" collapsed="false">
      <c r="A453" s="0" t="str">
        <f aca="false">IF(Frota!$A13="","",Frota!$A13)</f>
        <v>Caminhão Scania G540 — 2763</v>
      </c>
      <c r="B453" s="0" t="str">
        <f aca="false">IF(Frota!$A13="","",Frota!$B13)</f>
        <v>Caminhão</v>
      </c>
      <c r="C453" s="0" t="n">
        <v>34</v>
      </c>
      <c r="D453" s="0" t="n">
        <f aca="false">INDEX(Semanas!$E$3:$E$54,34)</f>
        <v>11</v>
      </c>
      <c r="E453" s="0" t="str">
        <f aca="false">IF(Frota!$A13="","",Cronograma!AI13)</f>
        <v>S</v>
      </c>
      <c r="F453" s="0" t="n">
        <f aca="false">IF(OR($E453="",$E453=0),0,1)</f>
        <v>1</v>
      </c>
      <c r="G453" s="0" t="n">
        <f aca="false">IF($F453=0,0,INDEX(Aux_HH!$D$4:$D$18,MATCH($B453&amp;"|"&amp;$E453,Aux_HH!$A$4:$A$18,0)))</f>
        <v>2.25</v>
      </c>
      <c r="H453" s="0" t="n">
        <f aca="false">IF($F453=0,0,INDEX(Aux_HH!$E$4:$E$18,MATCH($B453&amp;"|"&amp;$E453,Aux_HH!$A$4:$A$18,0)))</f>
        <v>0</v>
      </c>
      <c r="I453" s="0" t="n">
        <f aca="false">IF($F453=0,0,INDEX(Aux_HH!$F$4:$F$18,MATCH($B453&amp;"|"&amp;$E453,Aux_HH!$A$4:$A$18,0)))</f>
        <v>0</v>
      </c>
      <c r="J453" s="0" t="n">
        <f aca="false">IF($F453=0,0,INDEX(Aux_HH!$G$4:$G$18,MATCH($B453&amp;"|"&amp;$E453,Aux_HH!$A$4:$A$18,0)))</f>
        <v>0.5</v>
      </c>
      <c r="K453" s="0" t="n">
        <f aca="false">IF($F453=0,0,INDEX(Aux_HH!$H$4:$H$18,MATCH($B453&amp;"|"&amp;$E453,Aux_HH!$A$4:$A$18,0)))</f>
        <v>0.5</v>
      </c>
      <c r="L453" s="0" t="n">
        <f aca="false">IF($F453=0,0,INDEX(Aux_HH!$I$4:$I$18,MATCH($B453&amp;"|"&amp;$E453,Aux_HH!$A$4:$A$18,0)))</f>
        <v>0</v>
      </c>
    </row>
    <row r="454" customFormat="false" ht="15" hidden="false" customHeight="false" outlineLevel="0" collapsed="false">
      <c r="A454" s="0" t="str">
        <f aca="false">IF(Frota!$A13="","",Frota!$A13)</f>
        <v>Caminhão Scania G540 — 2763</v>
      </c>
      <c r="B454" s="0" t="str">
        <f aca="false">IF(Frota!$A13="","",Frota!$B13)</f>
        <v>Caminhão</v>
      </c>
      <c r="C454" s="0" t="n">
        <v>35</v>
      </c>
      <c r="D454" s="0" t="n">
        <f aca="false">INDEX(Semanas!$E$3:$E$54,35)</f>
        <v>11</v>
      </c>
      <c r="E454" s="0" t="str">
        <f aca="false">IF(Frota!$A13="","",Cronograma!AJ13)</f>
        <v/>
      </c>
      <c r="F454" s="0" t="n">
        <f aca="false">IF(OR($E454="",$E454=0),0,1)</f>
        <v>0</v>
      </c>
      <c r="G454" s="0" t="n">
        <f aca="false">IF($F454=0,0,INDEX(Aux_HH!$D$4:$D$18,MATCH($B454&amp;"|"&amp;$E454,Aux_HH!$A$4:$A$18,0)))</f>
        <v>0</v>
      </c>
      <c r="H454" s="0" t="n">
        <f aca="false">IF($F454=0,0,INDEX(Aux_HH!$E$4:$E$18,MATCH($B454&amp;"|"&amp;$E454,Aux_HH!$A$4:$A$18,0)))</f>
        <v>0</v>
      </c>
      <c r="I454" s="0" t="n">
        <f aca="false">IF($F454=0,0,INDEX(Aux_HH!$F$4:$F$18,MATCH($B454&amp;"|"&amp;$E454,Aux_HH!$A$4:$A$18,0)))</f>
        <v>0</v>
      </c>
      <c r="J454" s="0" t="n">
        <f aca="false">IF($F454=0,0,INDEX(Aux_HH!$G$4:$G$18,MATCH($B454&amp;"|"&amp;$E454,Aux_HH!$A$4:$A$18,0)))</f>
        <v>0</v>
      </c>
      <c r="K454" s="0" t="n">
        <f aca="false">IF($F454=0,0,INDEX(Aux_HH!$H$4:$H$18,MATCH($B454&amp;"|"&amp;$E454,Aux_HH!$A$4:$A$18,0)))</f>
        <v>0</v>
      </c>
      <c r="L454" s="0" t="n">
        <f aca="false">IF($F454=0,0,INDEX(Aux_HH!$I$4:$I$18,MATCH($B454&amp;"|"&amp;$E454,Aux_HH!$A$4:$A$18,0)))</f>
        <v>0</v>
      </c>
    </row>
    <row r="455" customFormat="false" ht="15" hidden="false" customHeight="false" outlineLevel="0" collapsed="false">
      <c r="A455" s="0" t="str">
        <f aca="false">IF(Frota!$A13="","",Frota!$A13)</f>
        <v>Caminhão Scania G540 — 2763</v>
      </c>
      <c r="B455" s="0" t="str">
        <f aca="false">IF(Frota!$A13="","",Frota!$B13)</f>
        <v>Caminhão</v>
      </c>
      <c r="C455" s="0" t="n">
        <v>36</v>
      </c>
      <c r="D455" s="0" t="n">
        <f aca="false">INDEX(Semanas!$E$3:$E$54,36)</f>
        <v>12</v>
      </c>
      <c r="E455" s="0" t="str">
        <f aca="false">IF(Frota!$A13="","",Cronograma!AK13)</f>
        <v/>
      </c>
      <c r="F455" s="0" t="n">
        <f aca="false">IF(OR($E455="",$E455=0),0,1)</f>
        <v>0</v>
      </c>
      <c r="G455" s="0" t="n">
        <f aca="false">IF($F455=0,0,INDEX(Aux_HH!$D$4:$D$18,MATCH($B455&amp;"|"&amp;$E455,Aux_HH!$A$4:$A$18,0)))</f>
        <v>0</v>
      </c>
      <c r="H455" s="0" t="n">
        <f aca="false">IF($F455=0,0,INDEX(Aux_HH!$E$4:$E$18,MATCH($B455&amp;"|"&amp;$E455,Aux_HH!$A$4:$A$18,0)))</f>
        <v>0</v>
      </c>
      <c r="I455" s="0" t="n">
        <f aca="false">IF($F455=0,0,INDEX(Aux_HH!$F$4:$F$18,MATCH($B455&amp;"|"&amp;$E455,Aux_HH!$A$4:$A$18,0)))</f>
        <v>0</v>
      </c>
      <c r="J455" s="0" t="n">
        <f aca="false">IF($F455=0,0,INDEX(Aux_HH!$G$4:$G$18,MATCH($B455&amp;"|"&amp;$E455,Aux_HH!$A$4:$A$18,0)))</f>
        <v>0</v>
      </c>
      <c r="K455" s="0" t="n">
        <f aca="false">IF($F455=0,0,INDEX(Aux_HH!$H$4:$H$18,MATCH($B455&amp;"|"&amp;$E455,Aux_HH!$A$4:$A$18,0)))</f>
        <v>0</v>
      </c>
      <c r="L455" s="0" t="n">
        <f aca="false">IF($F455=0,0,INDEX(Aux_HH!$I$4:$I$18,MATCH($B455&amp;"|"&amp;$E455,Aux_HH!$A$4:$A$18,0)))</f>
        <v>0</v>
      </c>
    </row>
    <row r="456" customFormat="false" ht="15" hidden="false" customHeight="false" outlineLevel="0" collapsed="false">
      <c r="A456" s="0" t="str">
        <f aca="false">IF(Frota!$A13="","",Frota!$A13)</f>
        <v>Caminhão Scania G540 — 2763</v>
      </c>
      <c r="B456" s="0" t="str">
        <f aca="false">IF(Frota!$A13="","",Frota!$B13)</f>
        <v>Caminhão</v>
      </c>
      <c r="C456" s="0" t="n">
        <v>37</v>
      </c>
      <c r="D456" s="0" t="n">
        <f aca="false">INDEX(Semanas!$E$3:$E$54,37)</f>
        <v>12</v>
      </c>
      <c r="E456" s="0" t="str">
        <f aca="false">IF(Frota!$A13="","",Cronograma!AL13)</f>
        <v/>
      </c>
      <c r="F456" s="0" t="n">
        <f aca="false">IF(OR($E456="",$E456=0),0,1)</f>
        <v>0</v>
      </c>
      <c r="G456" s="0" t="n">
        <f aca="false">IF($F456=0,0,INDEX(Aux_HH!$D$4:$D$18,MATCH($B456&amp;"|"&amp;$E456,Aux_HH!$A$4:$A$18,0)))</f>
        <v>0</v>
      </c>
      <c r="H456" s="0" t="n">
        <f aca="false">IF($F456=0,0,INDEX(Aux_HH!$E$4:$E$18,MATCH($B456&amp;"|"&amp;$E456,Aux_HH!$A$4:$A$18,0)))</f>
        <v>0</v>
      </c>
      <c r="I456" s="0" t="n">
        <f aca="false">IF($F456=0,0,INDEX(Aux_HH!$F$4:$F$18,MATCH($B456&amp;"|"&amp;$E456,Aux_HH!$A$4:$A$18,0)))</f>
        <v>0</v>
      </c>
      <c r="J456" s="0" t="n">
        <f aca="false">IF($F456=0,0,INDEX(Aux_HH!$G$4:$G$18,MATCH($B456&amp;"|"&amp;$E456,Aux_HH!$A$4:$A$18,0)))</f>
        <v>0</v>
      </c>
      <c r="K456" s="0" t="n">
        <f aca="false">IF($F456=0,0,INDEX(Aux_HH!$H$4:$H$18,MATCH($B456&amp;"|"&amp;$E456,Aux_HH!$A$4:$A$18,0)))</f>
        <v>0</v>
      </c>
      <c r="L456" s="0" t="n">
        <f aca="false">IF($F456=0,0,INDEX(Aux_HH!$I$4:$I$18,MATCH($B456&amp;"|"&amp;$E456,Aux_HH!$A$4:$A$18,0)))</f>
        <v>0</v>
      </c>
    </row>
    <row r="457" customFormat="false" ht="15" hidden="false" customHeight="false" outlineLevel="0" collapsed="false">
      <c r="A457" s="0" t="str">
        <f aca="false">IF(Frota!$A13="","",Frota!$A13)</f>
        <v>Caminhão Scania G540 — 2763</v>
      </c>
      <c r="B457" s="0" t="str">
        <f aca="false">IF(Frota!$A13="","",Frota!$B13)</f>
        <v>Caminhão</v>
      </c>
      <c r="C457" s="0" t="n">
        <v>38</v>
      </c>
      <c r="D457" s="0" t="n">
        <f aca="false">INDEX(Semanas!$E$3:$E$54,38)</f>
        <v>12</v>
      </c>
      <c r="E457" s="0" t="str">
        <f aca="false">IF(Frota!$A13="","",Cronograma!AM13)</f>
        <v/>
      </c>
      <c r="F457" s="0" t="n">
        <f aca="false">IF(OR($E457="",$E457=0),0,1)</f>
        <v>0</v>
      </c>
      <c r="G457" s="0" t="n">
        <f aca="false">IF($F457=0,0,INDEX(Aux_HH!$D$4:$D$18,MATCH($B457&amp;"|"&amp;$E457,Aux_HH!$A$4:$A$18,0)))</f>
        <v>0</v>
      </c>
      <c r="H457" s="0" t="n">
        <f aca="false">IF($F457=0,0,INDEX(Aux_HH!$E$4:$E$18,MATCH($B457&amp;"|"&amp;$E457,Aux_HH!$A$4:$A$18,0)))</f>
        <v>0</v>
      </c>
      <c r="I457" s="0" t="n">
        <f aca="false">IF($F457=0,0,INDEX(Aux_HH!$F$4:$F$18,MATCH($B457&amp;"|"&amp;$E457,Aux_HH!$A$4:$A$18,0)))</f>
        <v>0</v>
      </c>
      <c r="J457" s="0" t="n">
        <f aca="false">IF($F457=0,0,INDEX(Aux_HH!$G$4:$G$18,MATCH($B457&amp;"|"&amp;$E457,Aux_HH!$A$4:$A$18,0)))</f>
        <v>0</v>
      </c>
      <c r="K457" s="0" t="n">
        <f aca="false">IF($F457=0,0,INDEX(Aux_HH!$H$4:$H$18,MATCH($B457&amp;"|"&amp;$E457,Aux_HH!$A$4:$A$18,0)))</f>
        <v>0</v>
      </c>
      <c r="L457" s="0" t="n">
        <f aca="false">IF($F457=0,0,INDEX(Aux_HH!$I$4:$I$18,MATCH($B457&amp;"|"&amp;$E457,Aux_HH!$A$4:$A$18,0)))</f>
        <v>0</v>
      </c>
    </row>
    <row r="458" customFormat="false" ht="15" hidden="false" customHeight="false" outlineLevel="0" collapsed="false">
      <c r="A458" s="0" t="str">
        <f aca="false">IF(Frota!$A13="","",Frota!$A13)</f>
        <v>Caminhão Scania G540 — 2763</v>
      </c>
      <c r="B458" s="0" t="str">
        <f aca="false">IF(Frota!$A13="","",Frota!$B13)</f>
        <v>Caminhão</v>
      </c>
      <c r="C458" s="0" t="n">
        <v>39</v>
      </c>
      <c r="D458" s="0" t="n">
        <f aca="false">INDEX(Semanas!$E$3:$E$54,39)</f>
        <v>12</v>
      </c>
      <c r="E458" s="0" t="str">
        <f aca="false">IF(Frota!$A13="","",Cronograma!AN13)</f>
        <v/>
      </c>
      <c r="F458" s="0" t="n">
        <f aca="false">IF(OR($E458="",$E458=0),0,1)</f>
        <v>0</v>
      </c>
      <c r="G458" s="0" t="n">
        <f aca="false">IF($F458=0,0,INDEX(Aux_HH!$D$4:$D$18,MATCH($B458&amp;"|"&amp;$E458,Aux_HH!$A$4:$A$18,0)))</f>
        <v>0</v>
      </c>
      <c r="H458" s="0" t="n">
        <f aca="false">IF($F458=0,0,INDEX(Aux_HH!$E$4:$E$18,MATCH($B458&amp;"|"&amp;$E458,Aux_HH!$A$4:$A$18,0)))</f>
        <v>0</v>
      </c>
      <c r="I458" s="0" t="n">
        <f aca="false">IF($F458=0,0,INDEX(Aux_HH!$F$4:$F$18,MATCH($B458&amp;"|"&amp;$E458,Aux_HH!$A$4:$A$18,0)))</f>
        <v>0</v>
      </c>
      <c r="J458" s="0" t="n">
        <f aca="false">IF($F458=0,0,INDEX(Aux_HH!$G$4:$G$18,MATCH($B458&amp;"|"&amp;$E458,Aux_HH!$A$4:$A$18,0)))</f>
        <v>0</v>
      </c>
      <c r="K458" s="0" t="n">
        <f aca="false">IF($F458=0,0,INDEX(Aux_HH!$H$4:$H$18,MATCH($B458&amp;"|"&amp;$E458,Aux_HH!$A$4:$A$18,0)))</f>
        <v>0</v>
      </c>
      <c r="L458" s="0" t="n">
        <f aca="false">IF($F458=0,0,INDEX(Aux_HH!$I$4:$I$18,MATCH($B458&amp;"|"&amp;$E458,Aux_HH!$A$4:$A$18,0)))</f>
        <v>0</v>
      </c>
    </row>
    <row r="459" customFormat="false" ht="15" hidden="false" customHeight="false" outlineLevel="0" collapsed="false">
      <c r="A459" s="0" t="str">
        <f aca="false">IF(Frota!$A13="","",Frota!$A13)</f>
        <v>Caminhão Scania G540 — 2763</v>
      </c>
      <c r="B459" s="0" t="str">
        <f aca="false">IF(Frota!$A13="","",Frota!$B13)</f>
        <v>Caminhão</v>
      </c>
      <c r="C459" s="0" t="n">
        <v>40</v>
      </c>
      <c r="D459" s="0" t="n">
        <f aca="false">INDEX(Semanas!$E$3:$E$54,40)</f>
        <v>12</v>
      </c>
      <c r="E459" s="0" t="str">
        <f aca="false">IF(Frota!$A13="","",Cronograma!AO13)</f>
        <v/>
      </c>
      <c r="F459" s="0" t="n">
        <f aca="false">IF(OR($E459="",$E459=0),0,1)</f>
        <v>0</v>
      </c>
      <c r="G459" s="0" t="n">
        <f aca="false">IF($F459=0,0,INDEX(Aux_HH!$D$4:$D$18,MATCH($B459&amp;"|"&amp;$E459,Aux_HH!$A$4:$A$18,0)))</f>
        <v>0</v>
      </c>
      <c r="H459" s="0" t="n">
        <f aca="false">IF($F459=0,0,INDEX(Aux_HH!$E$4:$E$18,MATCH($B459&amp;"|"&amp;$E459,Aux_HH!$A$4:$A$18,0)))</f>
        <v>0</v>
      </c>
      <c r="I459" s="0" t="n">
        <f aca="false">IF($F459=0,0,INDEX(Aux_HH!$F$4:$F$18,MATCH($B459&amp;"|"&amp;$E459,Aux_HH!$A$4:$A$18,0)))</f>
        <v>0</v>
      </c>
      <c r="J459" s="0" t="n">
        <f aca="false">IF($F459=0,0,INDEX(Aux_HH!$G$4:$G$18,MATCH($B459&amp;"|"&amp;$E459,Aux_HH!$A$4:$A$18,0)))</f>
        <v>0</v>
      </c>
      <c r="K459" s="0" t="n">
        <f aca="false">IF($F459=0,0,INDEX(Aux_HH!$H$4:$H$18,MATCH($B459&amp;"|"&amp;$E459,Aux_HH!$A$4:$A$18,0)))</f>
        <v>0</v>
      </c>
      <c r="L459" s="0" t="n">
        <f aca="false">IF($F459=0,0,INDEX(Aux_HH!$I$4:$I$18,MATCH($B459&amp;"|"&amp;$E459,Aux_HH!$A$4:$A$18,0)))</f>
        <v>0</v>
      </c>
    </row>
    <row r="460" customFormat="false" ht="15" hidden="false" customHeight="false" outlineLevel="0" collapsed="false">
      <c r="A460" s="0" t="str">
        <f aca="false">IF(Frota!$A13="","",Frota!$A13)</f>
        <v>Caminhão Scania G540 — 2763</v>
      </c>
      <c r="B460" s="0" t="str">
        <f aca="false">IF(Frota!$A13="","",Frota!$B13)</f>
        <v>Caminhão</v>
      </c>
      <c r="C460" s="0" t="n">
        <v>41</v>
      </c>
      <c r="D460" s="0" t="n">
        <f aca="false">INDEX(Semanas!$E$3:$E$54,41)</f>
        <v>1</v>
      </c>
      <c r="E460" s="0" t="str">
        <f aca="false">IF(Frota!$A13="","",Cronograma!AP13)</f>
        <v/>
      </c>
      <c r="F460" s="0" t="n">
        <f aca="false">IF(OR($E460="",$E460=0),0,1)</f>
        <v>0</v>
      </c>
      <c r="G460" s="0" t="n">
        <f aca="false">IF($F460=0,0,INDEX(Aux_HH!$D$4:$D$18,MATCH($B460&amp;"|"&amp;$E460,Aux_HH!$A$4:$A$18,0)))</f>
        <v>0</v>
      </c>
      <c r="H460" s="0" t="n">
        <f aca="false">IF($F460=0,0,INDEX(Aux_HH!$E$4:$E$18,MATCH($B460&amp;"|"&amp;$E460,Aux_HH!$A$4:$A$18,0)))</f>
        <v>0</v>
      </c>
      <c r="I460" s="0" t="n">
        <f aca="false">IF($F460=0,0,INDEX(Aux_HH!$F$4:$F$18,MATCH($B460&amp;"|"&amp;$E460,Aux_HH!$A$4:$A$18,0)))</f>
        <v>0</v>
      </c>
      <c r="J460" s="0" t="n">
        <f aca="false">IF($F460=0,0,INDEX(Aux_HH!$G$4:$G$18,MATCH($B460&amp;"|"&amp;$E460,Aux_HH!$A$4:$A$18,0)))</f>
        <v>0</v>
      </c>
      <c r="K460" s="0" t="n">
        <f aca="false">IF($F460=0,0,INDEX(Aux_HH!$H$4:$H$18,MATCH($B460&amp;"|"&amp;$E460,Aux_HH!$A$4:$A$18,0)))</f>
        <v>0</v>
      </c>
      <c r="L460" s="0" t="n">
        <f aca="false">IF($F460=0,0,INDEX(Aux_HH!$I$4:$I$18,MATCH($B460&amp;"|"&amp;$E460,Aux_HH!$A$4:$A$18,0)))</f>
        <v>0</v>
      </c>
    </row>
    <row r="461" customFormat="false" ht="15" hidden="false" customHeight="false" outlineLevel="0" collapsed="false">
      <c r="A461" s="0" t="str">
        <f aca="false">IF(Frota!$A13="","",Frota!$A13)</f>
        <v>Caminhão Scania G540 — 2763</v>
      </c>
      <c r="B461" s="0" t="str">
        <f aca="false">IF(Frota!$A13="","",Frota!$B13)</f>
        <v>Caminhão</v>
      </c>
      <c r="C461" s="0" t="n">
        <v>42</v>
      </c>
      <c r="D461" s="0" t="n">
        <f aca="false">INDEX(Semanas!$E$3:$E$54,42)</f>
        <v>1</v>
      </c>
      <c r="E461" s="0" t="str">
        <f aca="false">IF(Frota!$A13="","",Cronograma!AQ13)</f>
        <v/>
      </c>
      <c r="F461" s="0" t="n">
        <f aca="false">IF(OR($E461="",$E461=0),0,1)</f>
        <v>0</v>
      </c>
      <c r="G461" s="0" t="n">
        <f aca="false">IF($F461=0,0,INDEX(Aux_HH!$D$4:$D$18,MATCH($B461&amp;"|"&amp;$E461,Aux_HH!$A$4:$A$18,0)))</f>
        <v>0</v>
      </c>
      <c r="H461" s="0" t="n">
        <f aca="false">IF($F461=0,0,INDEX(Aux_HH!$E$4:$E$18,MATCH($B461&amp;"|"&amp;$E461,Aux_HH!$A$4:$A$18,0)))</f>
        <v>0</v>
      </c>
      <c r="I461" s="0" t="n">
        <f aca="false">IF($F461=0,0,INDEX(Aux_HH!$F$4:$F$18,MATCH($B461&amp;"|"&amp;$E461,Aux_HH!$A$4:$A$18,0)))</f>
        <v>0</v>
      </c>
      <c r="J461" s="0" t="n">
        <f aca="false">IF($F461=0,0,INDEX(Aux_HH!$G$4:$G$18,MATCH($B461&amp;"|"&amp;$E461,Aux_HH!$A$4:$A$18,0)))</f>
        <v>0</v>
      </c>
      <c r="K461" s="0" t="n">
        <f aca="false">IF($F461=0,0,INDEX(Aux_HH!$H$4:$H$18,MATCH($B461&amp;"|"&amp;$E461,Aux_HH!$A$4:$A$18,0)))</f>
        <v>0</v>
      </c>
      <c r="L461" s="0" t="n">
        <f aca="false">IF($F461=0,0,INDEX(Aux_HH!$I$4:$I$18,MATCH($B461&amp;"|"&amp;$E461,Aux_HH!$A$4:$A$18,0)))</f>
        <v>0</v>
      </c>
    </row>
    <row r="462" customFormat="false" ht="15" hidden="false" customHeight="false" outlineLevel="0" collapsed="false">
      <c r="A462" s="0" t="str">
        <f aca="false">IF(Frota!$A13="","",Frota!$A13)</f>
        <v>Caminhão Scania G540 — 2763</v>
      </c>
      <c r="B462" s="0" t="str">
        <f aca="false">IF(Frota!$A13="","",Frota!$B13)</f>
        <v>Caminhão</v>
      </c>
      <c r="C462" s="0" t="n">
        <v>43</v>
      </c>
      <c r="D462" s="0" t="n">
        <f aca="false">INDEX(Semanas!$E$3:$E$54,43)</f>
        <v>1</v>
      </c>
      <c r="E462" s="0" t="str">
        <f aca="false">IF(Frota!$A13="","",Cronograma!AR13)</f>
        <v/>
      </c>
      <c r="F462" s="0" t="n">
        <f aca="false">IF(OR($E462="",$E462=0),0,1)</f>
        <v>0</v>
      </c>
      <c r="G462" s="0" t="n">
        <f aca="false">IF($F462=0,0,INDEX(Aux_HH!$D$4:$D$18,MATCH($B462&amp;"|"&amp;$E462,Aux_HH!$A$4:$A$18,0)))</f>
        <v>0</v>
      </c>
      <c r="H462" s="0" t="n">
        <f aca="false">IF($F462=0,0,INDEX(Aux_HH!$E$4:$E$18,MATCH($B462&amp;"|"&amp;$E462,Aux_HH!$A$4:$A$18,0)))</f>
        <v>0</v>
      </c>
      <c r="I462" s="0" t="n">
        <f aca="false">IF($F462=0,0,INDEX(Aux_HH!$F$4:$F$18,MATCH($B462&amp;"|"&amp;$E462,Aux_HH!$A$4:$A$18,0)))</f>
        <v>0</v>
      </c>
      <c r="J462" s="0" t="n">
        <f aca="false">IF($F462=0,0,INDEX(Aux_HH!$G$4:$G$18,MATCH($B462&amp;"|"&amp;$E462,Aux_HH!$A$4:$A$18,0)))</f>
        <v>0</v>
      </c>
      <c r="K462" s="0" t="n">
        <f aca="false">IF($F462=0,0,INDEX(Aux_HH!$H$4:$H$18,MATCH($B462&amp;"|"&amp;$E462,Aux_HH!$A$4:$A$18,0)))</f>
        <v>0</v>
      </c>
      <c r="L462" s="0" t="n">
        <f aca="false">IF($F462=0,0,INDEX(Aux_HH!$I$4:$I$18,MATCH($B462&amp;"|"&amp;$E462,Aux_HH!$A$4:$A$18,0)))</f>
        <v>0</v>
      </c>
    </row>
    <row r="463" customFormat="false" ht="15" hidden="false" customHeight="false" outlineLevel="0" collapsed="false">
      <c r="A463" s="0" t="str">
        <f aca="false">IF(Frota!$A13="","",Frota!$A13)</f>
        <v>Caminhão Scania G540 — 2763</v>
      </c>
      <c r="B463" s="0" t="str">
        <f aca="false">IF(Frota!$A13="","",Frota!$B13)</f>
        <v>Caminhão</v>
      </c>
      <c r="C463" s="0" t="n">
        <v>44</v>
      </c>
      <c r="D463" s="0" t="n">
        <f aca="false">INDEX(Semanas!$E$3:$E$54,44)</f>
        <v>1</v>
      </c>
      <c r="E463" s="0" t="str">
        <f aca="false">IF(Frota!$A13="","",Cronograma!AS13)</f>
        <v/>
      </c>
      <c r="F463" s="0" t="n">
        <f aca="false">IF(OR($E463="",$E463=0),0,1)</f>
        <v>0</v>
      </c>
      <c r="G463" s="0" t="n">
        <f aca="false">IF($F463=0,0,INDEX(Aux_HH!$D$4:$D$18,MATCH($B463&amp;"|"&amp;$E463,Aux_HH!$A$4:$A$18,0)))</f>
        <v>0</v>
      </c>
      <c r="H463" s="0" t="n">
        <f aca="false">IF($F463=0,0,INDEX(Aux_HH!$E$4:$E$18,MATCH($B463&amp;"|"&amp;$E463,Aux_HH!$A$4:$A$18,0)))</f>
        <v>0</v>
      </c>
      <c r="I463" s="0" t="n">
        <f aca="false">IF($F463=0,0,INDEX(Aux_HH!$F$4:$F$18,MATCH($B463&amp;"|"&amp;$E463,Aux_HH!$A$4:$A$18,0)))</f>
        <v>0</v>
      </c>
      <c r="J463" s="0" t="n">
        <f aca="false">IF($F463=0,0,INDEX(Aux_HH!$G$4:$G$18,MATCH($B463&amp;"|"&amp;$E463,Aux_HH!$A$4:$A$18,0)))</f>
        <v>0</v>
      </c>
      <c r="K463" s="0" t="n">
        <f aca="false">IF($F463=0,0,INDEX(Aux_HH!$H$4:$H$18,MATCH($B463&amp;"|"&amp;$E463,Aux_HH!$A$4:$A$18,0)))</f>
        <v>0</v>
      </c>
      <c r="L463" s="0" t="n">
        <f aca="false">IF($F463=0,0,INDEX(Aux_HH!$I$4:$I$18,MATCH($B463&amp;"|"&amp;$E463,Aux_HH!$A$4:$A$18,0)))</f>
        <v>0</v>
      </c>
    </row>
    <row r="464" customFormat="false" ht="15" hidden="false" customHeight="false" outlineLevel="0" collapsed="false">
      <c r="A464" s="0" t="str">
        <f aca="false">IF(Frota!$A13="","",Frota!$A13)</f>
        <v>Caminhão Scania G540 — 2763</v>
      </c>
      <c r="B464" s="0" t="str">
        <f aca="false">IF(Frota!$A13="","",Frota!$B13)</f>
        <v>Caminhão</v>
      </c>
      <c r="C464" s="0" t="n">
        <v>45</v>
      </c>
      <c r="D464" s="0" t="n">
        <f aca="false">INDEX(Semanas!$E$3:$E$54,45)</f>
        <v>2</v>
      </c>
      <c r="E464" s="0" t="str">
        <f aca="false">IF(Frota!$A13="","",Cronograma!AT13)</f>
        <v/>
      </c>
      <c r="F464" s="0" t="n">
        <f aca="false">IF(OR($E464="",$E464=0),0,1)</f>
        <v>0</v>
      </c>
      <c r="G464" s="0" t="n">
        <f aca="false">IF($F464=0,0,INDEX(Aux_HH!$D$4:$D$18,MATCH($B464&amp;"|"&amp;$E464,Aux_HH!$A$4:$A$18,0)))</f>
        <v>0</v>
      </c>
      <c r="H464" s="0" t="n">
        <f aca="false">IF($F464=0,0,INDEX(Aux_HH!$E$4:$E$18,MATCH($B464&amp;"|"&amp;$E464,Aux_HH!$A$4:$A$18,0)))</f>
        <v>0</v>
      </c>
      <c r="I464" s="0" t="n">
        <f aca="false">IF($F464=0,0,INDEX(Aux_HH!$F$4:$F$18,MATCH($B464&amp;"|"&amp;$E464,Aux_HH!$A$4:$A$18,0)))</f>
        <v>0</v>
      </c>
      <c r="J464" s="0" t="n">
        <f aca="false">IF($F464=0,0,INDEX(Aux_HH!$G$4:$G$18,MATCH($B464&amp;"|"&amp;$E464,Aux_HH!$A$4:$A$18,0)))</f>
        <v>0</v>
      </c>
      <c r="K464" s="0" t="n">
        <f aca="false">IF($F464=0,0,INDEX(Aux_HH!$H$4:$H$18,MATCH($B464&amp;"|"&amp;$E464,Aux_HH!$A$4:$A$18,0)))</f>
        <v>0</v>
      </c>
      <c r="L464" s="0" t="n">
        <f aca="false">IF($F464=0,0,INDEX(Aux_HH!$I$4:$I$18,MATCH($B464&amp;"|"&amp;$E464,Aux_HH!$A$4:$A$18,0)))</f>
        <v>0</v>
      </c>
    </row>
    <row r="465" customFormat="false" ht="15" hidden="false" customHeight="false" outlineLevel="0" collapsed="false">
      <c r="A465" s="0" t="str">
        <f aca="false">IF(Frota!$A13="","",Frota!$A13)</f>
        <v>Caminhão Scania G540 — 2763</v>
      </c>
      <c r="B465" s="0" t="str">
        <f aca="false">IF(Frota!$A13="","",Frota!$B13)</f>
        <v>Caminhão</v>
      </c>
      <c r="C465" s="0" t="n">
        <v>46</v>
      </c>
      <c r="D465" s="0" t="n">
        <f aca="false">INDEX(Semanas!$E$3:$E$54,46)</f>
        <v>2</v>
      </c>
      <c r="E465" s="0" t="str">
        <f aca="false">IF(Frota!$A13="","",Cronograma!AU13)</f>
        <v/>
      </c>
      <c r="F465" s="0" t="n">
        <f aca="false">IF(OR($E465="",$E465=0),0,1)</f>
        <v>0</v>
      </c>
      <c r="G465" s="0" t="n">
        <f aca="false">IF($F465=0,0,INDEX(Aux_HH!$D$4:$D$18,MATCH($B465&amp;"|"&amp;$E465,Aux_HH!$A$4:$A$18,0)))</f>
        <v>0</v>
      </c>
      <c r="H465" s="0" t="n">
        <f aca="false">IF($F465=0,0,INDEX(Aux_HH!$E$4:$E$18,MATCH($B465&amp;"|"&amp;$E465,Aux_HH!$A$4:$A$18,0)))</f>
        <v>0</v>
      </c>
      <c r="I465" s="0" t="n">
        <f aca="false">IF($F465=0,0,INDEX(Aux_HH!$F$4:$F$18,MATCH($B465&amp;"|"&amp;$E465,Aux_HH!$A$4:$A$18,0)))</f>
        <v>0</v>
      </c>
      <c r="J465" s="0" t="n">
        <f aca="false">IF($F465=0,0,INDEX(Aux_HH!$G$4:$G$18,MATCH($B465&amp;"|"&amp;$E465,Aux_HH!$A$4:$A$18,0)))</f>
        <v>0</v>
      </c>
      <c r="K465" s="0" t="n">
        <f aca="false">IF($F465=0,0,INDEX(Aux_HH!$H$4:$H$18,MATCH($B465&amp;"|"&amp;$E465,Aux_HH!$A$4:$A$18,0)))</f>
        <v>0</v>
      </c>
      <c r="L465" s="0" t="n">
        <f aca="false">IF($F465=0,0,INDEX(Aux_HH!$I$4:$I$18,MATCH($B465&amp;"|"&amp;$E465,Aux_HH!$A$4:$A$18,0)))</f>
        <v>0</v>
      </c>
    </row>
    <row r="466" customFormat="false" ht="15" hidden="false" customHeight="false" outlineLevel="0" collapsed="false">
      <c r="A466" s="0" t="str">
        <f aca="false">IF(Frota!$A13="","",Frota!$A13)</f>
        <v>Caminhão Scania G540 — 2763</v>
      </c>
      <c r="B466" s="0" t="str">
        <f aca="false">IF(Frota!$A13="","",Frota!$B13)</f>
        <v>Caminhão</v>
      </c>
      <c r="C466" s="0" t="n">
        <v>47</v>
      </c>
      <c r="D466" s="0" t="n">
        <f aca="false">INDEX(Semanas!$E$3:$E$54,47)</f>
        <v>2</v>
      </c>
      <c r="E466" s="0" t="str">
        <f aca="false">IF(Frota!$A13="","",Cronograma!AV13)</f>
        <v/>
      </c>
      <c r="F466" s="0" t="n">
        <f aca="false">IF(OR($E466="",$E466=0),0,1)</f>
        <v>0</v>
      </c>
      <c r="G466" s="0" t="n">
        <f aca="false">IF($F466=0,0,INDEX(Aux_HH!$D$4:$D$18,MATCH($B466&amp;"|"&amp;$E466,Aux_HH!$A$4:$A$18,0)))</f>
        <v>0</v>
      </c>
      <c r="H466" s="0" t="n">
        <f aca="false">IF($F466=0,0,INDEX(Aux_HH!$E$4:$E$18,MATCH($B466&amp;"|"&amp;$E466,Aux_HH!$A$4:$A$18,0)))</f>
        <v>0</v>
      </c>
      <c r="I466" s="0" t="n">
        <f aca="false">IF($F466=0,0,INDEX(Aux_HH!$F$4:$F$18,MATCH($B466&amp;"|"&amp;$E466,Aux_HH!$A$4:$A$18,0)))</f>
        <v>0</v>
      </c>
      <c r="J466" s="0" t="n">
        <f aca="false">IF($F466=0,0,INDEX(Aux_HH!$G$4:$G$18,MATCH($B466&amp;"|"&amp;$E466,Aux_HH!$A$4:$A$18,0)))</f>
        <v>0</v>
      </c>
      <c r="K466" s="0" t="n">
        <f aca="false">IF($F466=0,0,INDEX(Aux_HH!$H$4:$H$18,MATCH($B466&amp;"|"&amp;$E466,Aux_HH!$A$4:$A$18,0)))</f>
        <v>0</v>
      </c>
      <c r="L466" s="0" t="n">
        <f aca="false">IF($F466=0,0,INDEX(Aux_HH!$I$4:$I$18,MATCH($B466&amp;"|"&amp;$E466,Aux_HH!$A$4:$A$18,0)))</f>
        <v>0</v>
      </c>
    </row>
    <row r="467" customFormat="false" ht="15" hidden="false" customHeight="false" outlineLevel="0" collapsed="false">
      <c r="A467" s="0" t="str">
        <f aca="false">IF(Frota!$A13="","",Frota!$A13)</f>
        <v>Caminhão Scania G540 — 2763</v>
      </c>
      <c r="B467" s="0" t="str">
        <f aca="false">IF(Frota!$A13="","",Frota!$B13)</f>
        <v>Caminhão</v>
      </c>
      <c r="C467" s="0" t="n">
        <v>48</v>
      </c>
      <c r="D467" s="0" t="n">
        <f aca="false">INDEX(Semanas!$E$3:$E$54,48)</f>
        <v>2</v>
      </c>
      <c r="E467" s="0" t="str">
        <f aca="false">IF(Frota!$A13="","",Cronograma!AW13)</f>
        <v/>
      </c>
      <c r="F467" s="0" t="n">
        <f aca="false">IF(OR($E467="",$E467=0),0,1)</f>
        <v>0</v>
      </c>
      <c r="G467" s="0" t="n">
        <f aca="false">IF($F467=0,0,INDEX(Aux_HH!$D$4:$D$18,MATCH($B467&amp;"|"&amp;$E467,Aux_HH!$A$4:$A$18,0)))</f>
        <v>0</v>
      </c>
      <c r="H467" s="0" t="n">
        <f aca="false">IF($F467=0,0,INDEX(Aux_HH!$E$4:$E$18,MATCH($B467&amp;"|"&amp;$E467,Aux_HH!$A$4:$A$18,0)))</f>
        <v>0</v>
      </c>
      <c r="I467" s="0" t="n">
        <f aca="false">IF($F467=0,0,INDEX(Aux_HH!$F$4:$F$18,MATCH($B467&amp;"|"&amp;$E467,Aux_HH!$A$4:$A$18,0)))</f>
        <v>0</v>
      </c>
      <c r="J467" s="0" t="n">
        <f aca="false">IF($F467=0,0,INDEX(Aux_HH!$G$4:$G$18,MATCH($B467&amp;"|"&amp;$E467,Aux_HH!$A$4:$A$18,0)))</f>
        <v>0</v>
      </c>
      <c r="K467" s="0" t="n">
        <f aca="false">IF($F467=0,0,INDEX(Aux_HH!$H$4:$H$18,MATCH($B467&amp;"|"&amp;$E467,Aux_HH!$A$4:$A$18,0)))</f>
        <v>0</v>
      </c>
      <c r="L467" s="0" t="n">
        <f aca="false">IF($F467=0,0,INDEX(Aux_HH!$I$4:$I$18,MATCH($B467&amp;"|"&amp;$E467,Aux_HH!$A$4:$A$18,0)))</f>
        <v>0</v>
      </c>
    </row>
    <row r="468" customFormat="false" ht="15" hidden="false" customHeight="false" outlineLevel="0" collapsed="false">
      <c r="A468" s="0" t="str">
        <f aca="false">IF(Frota!$A13="","",Frota!$A13)</f>
        <v>Caminhão Scania G540 — 2763</v>
      </c>
      <c r="B468" s="0" t="str">
        <f aca="false">IF(Frota!$A13="","",Frota!$B13)</f>
        <v>Caminhão</v>
      </c>
      <c r="C468" s="0" t="n">
        <v>49</v>
      </c>
      <c r="D468" s="0" t="n">
        <f aca="false">INDEX(Semanas!$E$3:$E$54,49)</f>
        <v>3</v>
      </c>
      <c r="E468" s="0" t="str">
        <f aca="false">IF(Frota!$A13="","",Cronograma!AX13)</f>
        <v/>
      </c>
      <c r="F468" s="0" t="n">
        <f aca="false">IF(OR($E468="",$E468=0),0,1)</f>
        <v>0</v>
      </c>
      <c r="G468" s="0" t="n">
        <f aca="false">IF($F468=0,0,INDEX(Aux_HH!$D$4:$D$18,MATCH($B468&amp;"|"&amp;$E468,Aux_HH!$A$4:$A$18,0)))</f>
        <v>0</v>
      </c>
      <c r="H468" s="0" t="n">
        <f aca="false">IF($F468=0,0,INDEX(Aux_HH!$E$4:$E$18,MATCH($B468&amp;"|"&amp;$E468,Aux_HH!$A$4:$A$18,0)))</f>
        <v>0</v>
      </c>
      <c r="I468" s="0" t="n">
        <f aca="false">IF($F468=0,0,INDEX(Aux_HH!$F$4:$F$18,MATCH($B468&amp;"|"&amp;$E468,Aux_HH!$A$4:$A$18,0)))</f>
        <v>0</v>
      </c>
      <c r="J468" s="0" t="n">
        <f aca="false">IF($F468=0,0,INDEX(Aux_HH!$G$4:$G$18,MATCH($B468&amp;"|"&amp;$E468,Aux_HH!$A$4:$A$18,0)))</f>
        <v>0</v>
      </c>
      <c r="K468" s="0" t="n">
        <f aca="false">IF($F468=0,0,INDEX(Aux_HH!$H$4:$H$18,MATCH($B468&amp;"|"&amp;$E468,Aux_HH!$A$4:$A$18,0)))</f>
        <v>0</v>
      </c>
      <c r="L468" s="0" t="n">
        <f aca="false">IF($F468=0,0,INDEX(Aux_HH!$I$4:$I$18,MATCH($B468&amp;"|"&amp;$E468,Aux_HH!$A$4:$A$18,0)))</f>
        <v>0</v>
      </c>
    </row>
    <row r="469" customFormat="false" ht="15" hidden="false" customHeight="false" outlineLevel="0" collapsed="false">
      <c r="A469" s="0" t="str">
        <f aca="false">IF(Frota!$A13="","",Frota!$A13)</f>
        <v>Caminhão Scania G540 — 2763</v>
      </c>
      <c r="B469" s="0" t="str">
        <f aca="false">IF(Frota!$A13="","",Frota!$B13)</f>
        <v>Caminhão</v>
      </c>
      <c r="C469" s="0" t="n">
        <v>50</v>
      </c>
      <c r="D469" s="0" t="n">
        <f aca="false">INDEX(Semanas!$E$3:$E$54,50)</f>
        <v>3</v>
      </c>
      <c r="E469" s="0" t="str">
        <f aca="false">IF(Frota!$A13="","",Cronograma!AY13)</f>
        <v/>
      </c>
      <c r="F469" s="0" t="n">
        <f aca="false">IF(OR($E469="",$E469=0),0,1)</f>
        <v>0</v>
      </c>
      <c r="G469" s="0" t="n">
        <f aca="false">IF($F469=0,0,INDEX(Aux_HH!$D$4:$D$18,MATCH($B469&amp;"|"&amp;$E469,Aux_HH!$A$4:$A$18,0)))</f>
        <v>0</v>
      </c>
      <c r="H469" s="0" t="n">
        <f aca="false">IF($F469=0,0,INDEX(Aux_HH!$E$4:$E$18,MATCH($B469&amp;"|"&amp;$E469,Aux_HH!$A$4:$A$18,0)))</f>
        <v>0</v>
      </c>
      <c r="I469" s="0" t="n">
        <f aca="false">IF($F469=0,0,INDEX(Aux_HH!$F$4:$F$18,MATCH($B469&amp;"|"&amp;$E469,Aux_HH!$A$4:$A$18,0)))</f>
        <v>0</v>
      </c>
      <c r="J469" s="0" t="n">
        <f aca="false">IF($F469=0,0,INDEX(Aux_HH!$G$4:$G$18,MATCH($B469&amp;"|"&amp;$E469,Aux_HH!$A$4:$A$18,0)))</f>
        <v>0</v>
      </c>
      <c r="K469" s="0" t="n">
        <f aca="false">IF($F469=0,0,INDEX(Aux_HH!$H$4:$H$18,MATCH($B469&amp;"|"&amp;$E469,Aux_HH!$A$4:$A$18,0)))</f>
        <v>0</v>
      </c>
      <c r="L469" s="0" t="n">
        <f aca="false">IF($F469=0,0,INDEX(Aux_HH!$I$4:$I$18,MATCH($B469&amp;"|"&amp;$E469,Aux_HH!$A$4:$A$18,0)))</f>
        <v>0</v>
      </c>
    </row>
    <row r="470" customFormat="false" ht="15" hidden="false" customHeight="false" outlineLevel="0" collapsed="false">
      <c r="A470" s="0" t="str">
        <f aca="false">IF(Frota!$A13="","",Frota!$A13)</f>
        <v>Caminhão Scania G540 — 2763</v>
      </c>
      <c r="B470" s="0" t="str">
        <f aca="false">IF(Frota!$A13="","",Frota!$B13)</f>
        <v>Caminhão</v>
      </c>
      <c r="C470" s="0" t="n">
        <v>51</v>
      </c>
      <c r="D470" s="0" t="n">
        <f aca="false">INDEX(Semanas!$E$3:$E$54,51)</f>
        <v>3</v>
      </c>
      <c r="E470" s="0" t="str">
        <f aca="false">IF(Frota!$A13="","",Cronograma!AZ13)</f>
        <v/>
      </c>
      <c r="F470" s="0" t="n">
        <f aca="false">IF(OR($E470="",$E470=0),0,1)</f>
        <v>0</v>
      </c>
      <c r="G470" s="0" t="n">
        <f aca="false">IF($F470=0,0,INDEX(Aux_HH!$D$4:$D$18,MATCH($B470&amp;"|"&amp;$E470,Aux_HH!$A$4:$A$18,0)))</f>
        <v>0</v>
      </c>
      <c r="H470" s="0" t="n">
        <f aca="false">IF($F470=0,0,INDEX(Aux_HH!$E$4:$E$18,MATCH($B470&amp;"|"&amp;$E470,Aux_HH!$A$4:$A$18,0)))</f>
        <v>0</v>
      </c>
      <c r="I470" s="0" t="n">
        <f aca="false">IF($F470=0,0,INDEX(Aux_HH!$F$4:$F$18,MATCH($B470&amp;"|"&amp;$E470,Aux_HH!$A$4:$A$18,0)))</f>
        <v>0</v>
      </c>
      <c r="J470" s="0" t="n">
        <f aca="false">IF($F470=0,0,INDEX(Aux_HH!$G$4:$G$18,MATCH($B470&amp;"|"&amp;$E470,Aux_HH!$A$4:$A$18,0)))</f>
        <v>0</v>
      </c>
      <c r="K470" s="0" t="n">
        <f aca="false">IF($F470=0,0,INDEX(Aux_HH!$H$4:$H$18,MATCH($B470&amp;"|"&amp;$E470,Aux_HH!$A$4:$A$18,0)))</f>
        <v>0</v>
      </c>
      <c r="L470" s="0" t="n">
        <f aca="false">IF($F470=0,0,INDEX(Aux_HH!$I$4:$I$18,MATCH($B470&amp;"|"&amp;$E470,Aux_HH!$A$4:$A$18,0)))</f>
        <v>0</v>
      </c>
    </row>
    <row r="471" customFormat="false" ht="15" hidden="false" customHeight="false" outlineLevel="0" collapsed="false">
      <c r="A471" s="0" t="str">
        <f aca="false">IF(Frota!$A13="","",Frota!$A13)</f>
        <v>Caminhão Scania G540 — 2763</v>
      </c>
      <c r="B471" s="0" t="str">
        <f aca="false">IF(Frota!$A13="","",Frota!$B13)</f>
        <v>Caminhão</v>
      </c>
      <c r="C471" s="0" t="n">
        <v>52</v>
      </c>
      <c r="D471" s="0" t="n">
        <f aca="false">INDEX(Semanas!$E$3:$E$54,52)</f>
        <v>3</v>
      </c>
      <c r="E471" s="0" t="str">
        <f aca="false">IF(Frota!$A13="","",Cronograma!BA13)</f>
        <v>A</v>
      </c>
      <c r="F471" s="0" t="n">
        <f aca="false">IF(OR($E471="",$E471=0),0,1)</f>
        <v>1</v>
      </c>
      <c r="G471" s="0" t="n">
        <f aca="false">IF($F471=0,0,INDEX(Aux_HH!$D$4:$D$18,MATCH($B471&amp;"|"&amp;$E471,Aux_HH!$A$4:$A$18,0)))</f>
        <v>6.25</v>
      </c>
      <c r="H471" s="0" t="n">
        <f aca="false">IF($F471=0,0,INDEX(Aux_HH!$E$4:$E$18,MATCH($B471&amp;"|"&amp;$E471,Aux_HH!$A$4:$A$18,0)))</f>
        <v>0</v>
      </c>
      <c r="I471" s="0" t="n">
        <f aca="false">IF($F471=0,0,INDEX(Aux_HH!$F$4:$F$18,MATCH($B471&amp;"|"&amp;$E471,Aux_HH!$A$4:$A$18,0)))</f>
        <v>1</v>
      </c>
      <c r="J471" s="0" t="n">
        <f aca="false">IF($F471=0,0,INDEX(Aux_HH!$G$4:$G$18,MATCH($B471&amp;"|"&amp;$E471,Aux_HH!$A$4:$A$18,0)))</f>
        <v>0.5</v>
      </c>
      <c r="K471" s="0" t="n">
        <f aca="false">IF($F471=0,0,INDEX(Aux_HH!$H$4:$H$18,MATCH($B471&amp;"|"&amp;$E471,Aux_HH!$A$4:$A$18,0)))</f>
        <v>0.5</v>
      </c>
      <c r="L471" s="0" t="n">
        <f aca="false">IF($F471=0,0,INDEX(Aux_HH!$I$4:$I$18,MATCH($B471&amp;"|"&amp;$E471,Aux_HH!$A$4:$A$18,0)))</f>
        <v>0</v>
      </c>
    </row>
    <row r="472" customFormat="false" ht="15" hidden="false" customHeight="false" outlineLevel="0" collapsed="false">
      <c r="A472" s="0" t="str">
        <f aca="false">IF(Frota!$A14="","",Frota!$A14)</f>
        <v>Transbordo Mambra 20t — 801</v>
      </c>
      <c r="B472" s="0" t="str">
        <f aca="false">IF(Frota!$A14="","",Frota!$B14)</f>
        <v>Implemento</v>
      </c>
      <c r="C472" s="0" t="n">
        <v>1</v>
      </c>
      <c r="D472" s="0" t="n">
        <f aca="false">INDEX(Semanas!$E$3:$E$54,1)</f>
        <v>4</v>
      </c>
      <c r="E472" s="0" t="str">
        <f aca="false">IF(Frota!$A14="","",Cronograma!B14)</f>
        <v/>
      </c>
      <c r="F472" s="0" t="n">
        <f aca="false">IF(OR($E472="",$E472=0),0,1)</f>
        <v>0</v>
      </c>
      <c r="G472" s="0" t="n">
        <f aca="false">IF($F472=0,0,INDEX(Aux_HH!$D$4:$D$18,MATCH($B472&amp;"|"&amp;$E472,Aux_HH!$A$4:$A$18,0)))</f>
        <v>0</v>
      </c>
      <c r="H472" s="0" t="n">
        <f aca="false">IF($F472=0,0,INDEX(Aux_HH!$E$4:$E$18,MATCH($B472&amp;"|"&amp;$E472,Aux_HH!$A$4:$A$18,0)))</f>
        <v>0</v>
      </c>
      <c r="I472" s="0" t="n">
        <f aca="false">IF($F472=0,0,INDEX(Aux_HH!$F$4:$F$18,MATCH($B472&amp;"|"&amp;$E472,Aux_HH!$A$4:$A$18,0)))</f>
        <v>0</v>
      </c>
      <c r="J472" s="0" t="n">
        <f aca="false">IF($F472=0,0,INDEX(Aux_HH!$G$4:$G$18,MATCH($B472&amp;"|"&amp;$E472,Aux_HH!$A$4:$A$18,0)))</f>
        <v>0</v>
      </c>
      <c r="K472" s="0" t="n">
        <f aca="false">IF($F472=0,0,INDEX(Aux_HH!$H$4:$H$18,MATCH($B472&amp;"|"&amp;$E472,Aux_HH!$A$4:$A$18,0)))</f>
        <v>0</v>
      </c>
      <c r="L472" s="0" t="n">
        <f aca="false">IF($F472=0,0,INDEX(Aux_HH!$I$4:$I$18,MATCH($B472&amp;"|"&amp;$E472,Aux_HH!$A$4:$A$18,0)))</f>
        <v>0</v>
      </c>
    </row>
    <row r="473" customFormat="false" ht="15" hidden="false" customHeight="false" outlineLevel="0" collapsed="false">
      <c r="A473" s="0" t="str">
        <f aca="false">IF(Frota!$A14="","",Frota!$A14)</f>
        <v>Transbordo Mambra 20t — 801</v>
      </c>
      <c r="B473" s="0" t="str">
        <f aca="false">IF(Frota!$A14="","",Frota!$B14)</f>
        <v>Implemento</v>
      </c>
      <c r="C473" s="0" t="n">
        <v>2</v>
      </c>
      <c r="D473" s="0" t="n">
        <f aca="false">INDEX(Semanas!$E$3:$E$54,2)</f>
        <v>4</v>
      </c>
      <c r="E473" s="0" t="str">
        <f aca="false">IF(Frota!$A14="","",Cronograma!C14)</f>
        <v/>
      </c>
      <c r="F473" s="0" t="n">
        <f aca="false">IF(OR($E473="",$E473=0),0,1)</f>
        <v>0</v>
      </c>
      <c r="G473" s="0" t="n">
        <f aca="false">IF($F473=0,0,INDEX(Aux_HH!$D$4:$D$18,MATCH($B473&amp;"|"&amp;$E473,Aux_HH!$A$4:$A$18,0)))</f>
        <v>0</v>
      </c>
      <c r="H473" s="0" t="n">
        <f aca="false">IF($F473=0,0,INDEX(Aux_HH!$E$4:$E$18,MATCH($B473&amp;"|"&amp;$E473,Aux_HH!$A$4:$A$18,0)))</f>
        <v>0</v>
      </c>
      <c r="I473" s="0" t="n">
        <f aca="false">IF($F473=0,0,INDEX(Aux_HH!$F$4:$F$18,MATCH($B473&amp;"|"&amp;$E473,Aux_HH!$A$4:$A$18,0)))</f>
        <v>0</v>
      </c>
      <c r="J473" s="0" t="n">
        <f aca="false">IF($F473=0,0,INDEX(Aux_HH!$G$4:$G$18,MATCH($B473&amp;"|"&amp;$E473,Aux_HH!$A$4:$A$18,0)))</f>
        <v>0</v>
      </c>
      <c r="K473" s="0" t="n">
        <f aca="false">IF($F473=0,0,INDEX(Aux_HH!$H$4:$H$18,MATCH($B473&amp;"|"&amp;$E473,Aux_HH!$A$4:$A$18,0)))</f>
        <v>0</v>
      </c>
      <c r="L473" s="0" t="n">
        <f aca="false">IF($F473=0,0,INDEX(Aux_HH!$I$4:$I$18,MATCH($B473&amp;"|"&amp;$E473,Aux_HH!$A$4:$A$18,0)))</f>
        <v>0</v>
      </c>
    </row>
    <row r="474" customFormat="false" ht="15" hidden="false" customHeight="false" outlineLevel="0" collapsed="false">
      <c r="A474" s="0" t="str">
        <f aca="false">IF(Frota!$A14="","",Frota!$A14)</f>
        <v>Transbordo Mambra 20t — 801</v>
      </c>
      <c r="B474" s="0" t="str">
        <f aca="false">IF(Frota!$A14="","",Frota!$B14)</f>
        <v>Implemento</v>
      </c>
      <c r="C474" s="0" t="n">
        <v>3</v>
      </c>
      <c r="D474" s="0" t="n">
        <f aca="false">INDEX(Semanas!$E$3:$E$54,3)</f>
        <v>4</v>
      </c>
      <c r="E474" s="0" t="str">
        <f aca="false">IF(Frota!$A14="","",Cronograma!D14)</f>
        <v/>
      </c>
      <c r="F474" s="0" t="n">
        <f aca="false">IF(OR($E474="",$E474=0),0,1)</f>
        <v>0</v>
      </c>
      <c r="G474" s="0" t="n">
        <f aca="false">IF($F474=0,0,INDEX(Aux_HH!$D$4:$D$18,MATCH($B474&amp;"|"&amp;$E474,Aux_HH!$A$4:$A$18,0)))</f>
        <v>0</v>
      </c>
      <c r="H474" s="0" t="n">
        <f aca="false">IF($F474=0,0,INDEX(Aux_HH!$E$4:$E$18,MATCH($B474&amp;"|"&amp;$E474,Aux_HH!$A$4:$A$18,0)))</f>
        <v>0</v>
      </c>
      <c r="I474" s="0" t="n">
        <f aca="false">IF($F474=0,0,INDEX(Aux_HH!$F$4:$F$18,MATCH($B474&amp;"|"&amp;$E474,Aux_HH!$A$4:$A$18,0)))</f>
        <v>0</v>
      </c>
      <c r="J474" s="0" t="n">
        <f aca="false">IF($F474=0,0,INDEX(Aux_HH!$G$4:$G$18,MATCH($B474&amp;"|"&amp;$E474,Aux_HH!$A$4:$A$18,0)))</f>
        <v>0</v>
      </c>
      <c r="K474" s="0" t="n">
        <f aca="false">IF($F474=0,0,INDEX(Aux_HH!$H$4:$H$18,MATCH($B474&amp;"|"&amp;$E474,Aux_HH!$A$4:$A$18,0)))</f>
        <v>0</v>
      </c>
      <c r="L474" s="0" t="n">
        <f aca="false">IF($F474=0,0,INDEX(Aux_HH!$I$4:$I$18,MATCH($B474&amp;"|"&amp;$E474,Aux_HH!$A$4:$A$18,0)))</f>
        <v>0</v>
      </c>
    </row>
    <row r="475" customFormat="false" ht="15" hidden="false" customHeight="false" outlineLevel="0" collapsed="false">
      <c r="A475" s="0" t="str">
        <f aca="false">IF(Frota!$A14="","",Frota!$A14)</f>
        <v>Transbordo Mambra 20t — 801</v>
      </c>
      <c r="B475" s="0" t="str">
        <f aca="false">IF(Frota!$A14="","",Frota!$B14)</f>
        <v>Implemento</v>
      </c>
      <c r="C475" s="0" t="n">
        <v>4</v>
      </c>
      <c r="D475" s="0" t="n">
        <f aca="false">INDEX(Semanas!$E$3:$E$54,4)</f>
        <v>4</v>
      </c>
      <c r="E475" s="0" t="str">
        <f aca="false">IF(Frota!$A14="","",Cronograma!E14)</f>
        <v/>
      </c>
      <c r="F475" s="0" t="n">
        <f aca="false">IF(OR($E475="",$E475=0),0,1)</f>
        <v>0</v>
      </c>
      <c r="G475" s="0" t="n">
        <f aca="false">IF($F475=0,0,INDEX(Aux_HH!$D$4:$D$18,MATCH($B475&amp;"|"&amp;$E475,Aux_HH!$A$4:$A$18,0)))</f>
        <v>0</v>
      </c>
      <c r="H475" s="0" t="n">
        <f aca="false">IF($F475=0,0,INDEX(Aux_HH!$E$4:$E$18,MATCH($B475&amp;"|"&amp;$E475,Aux_HH!$A$4:$A$18,0)))</f>
        <v>0</v>
      </c>
      <c r="I475" s="0" t="n">
        <f aca="false">IF($F475=0,0,INDEX(Aux_HH!$F$4:$F$18,MATCH($B475&amp;"|"&amp;$E475,Aux_HH!$A$4:$A$18,0)))</f>
        <v>0</v>
      </c>
      <c r="J475" s="0" t="n">
        <f aca="false">IF($F475=0,0,INDEX(Aux_HH!$G$4:$G$18,MATCH($B475&amp;"|"&amp;$E475,Aux_HH!$A$4:$A$18,0)))</f>
        <v>0</v>
      </c>
      <c r="K475" s="0" t="n">
        <f aca="false">IF($F475=0,0,INDEX(Aux_HH!$H$4:$H$18,MATCH($B475&amp;"|"&amp;$E475,Aux_HH!$A$4:$A$18,0)))</f>
        <v>0</v>
      </c>
      <c r="L475" s="0" t="n">
        <f aca="false">IF($F475=0,0,INDEX(Aux_HH!$I$4:$I$18,MATCH($B475&amp;"|"&amp;$E475,Aux_HH!$A$4:$A$18,0)))</f>
        <v>0</v>
      </c>
    </row>
    <row r="476" customFormat="false" ht="15" hidden="false" customHeight="false" outlineLevel="0" collapsed="false">
      <c r="A476" s="0" t="str">
        <f aca="false">IF(Frota!$A14="","",Frota!$A14)</f>
        <v>Transbordo Mambra 20t — 801</v>
      </c>
      <c r="B476" s="0" t="str">
        <f aca="false">IF(Frota!$A14="","",Frota!$B14)</f>
        <v>Implemento</v>
      </c>
      <c r="C476" s="0" t="n">
        <v>5</v>
      </c>
      <c r="D476" s="0" t="n">
        <f aca="false">INDEX(Semanas!$E$3:$E$54,5)</f>
        <v>4</v>
      </c>
      <c r="E476" s="0" t="str">
        <f aca="false">IF(Frota!$A14="","",Cronograma!F14)</f>
        <v/>
      </c>
      <c r="F476" s="0" t="n">
        <f aca="false">IF(OR($E476="",$E476=0),0,1)</f>
        <v>0</v>
      </c>
      <c r="G476" s="0" t="n">
        <f aca="false">IF($F476=0,0,INDEX(Aux_HH!$D$4:$D$18,MATCH($B476&amp;"|"&amp;$E476,Aux_HH!$A$4:$A$18,0)))</f>
        <v>0</v>
      </c>
      <c r="H476" s="0" t="n">
        <f aca="false">IF($F476=0,0,INDEX(Aux_HH!$E$4:$E$18,MATCH($B476&amp;"|"&amp;$E476,Aux_HH!$A$4:$A$18,0)))</f>
        <v>0</v>
      </c>
      <c r="I476" s="0" t="n">
        <f aca="false">IF($F476=0,0,INDEX(Aux_HH!$F$4:$F$18,MATCH($B476&amp;"|"&amp;$E476,Aux_HH!$A$4:$A$18,0)))</f>
        <v>0</v>
      </c>
      <c r="J476" s="0" t="n">
        <f aca="false">IF($F476=0,0,INDEX(Aux_HH!$G$4:$G$18,MATCH($B476&amp;"|"&amp;$E476,Aux_HH!$A$4:$A$18,0)))</f>
        <v>0</v>
      </c>
      <c r="K476" s="0" t="n">
        <f aca="false">IF($F476=0,0,INDEX(Aux_HH!$H$4:$H$18,MATCH($B476&amp;"|"&amp;$E476,Aux_HH!$A$4:$A$18,0)))</f>
        <v>0</v>
      </c>
      <c r="L476" s="0" t="n">
        <f aca="false">IF($F476=0,0,INDEX(Aux_HH!$I$4:$I$18,MATCH($B476&amp;"|"&amp;$E476,Aux_HH!$A$4:$A$18,0)))</f>
        <v>0</v>
      </c>
    </row>
    <row r="477" customFormat="false" ht="15" hidden="false" customHeight="false" outlineLevel="0" collapsed="false">
      <c r="A477" s="0" t="str">
        <f aca="false">IF(Frota!$A14="","",Frota!$A14)</f>
        <v>Transbordo Mambra 20t — 801</v>
      </c>
      <c r="B477" s="0" t="str">
        <f aca="false">IF(Frota!$A14="","",Frota!$B14)</f>
        <v>Implemento</v>
      </c>
      <c r="C477" s="0" t="n">
        <v>6</v>
      </c>
      <c r="D477" s="0" t="n">
        <f aca="false">INDEX(Semanas!$E$3:$E$54,6)</f>
        <v>5</v>
      </c>
      <c r="E477" s="0" t="str">
        <f aca="false">IF(Frota!$A14="","",Cronograma!G14)</f>
        <v/>
      </c>
      <c r="F477" s="0" t="n">
        <f aca="false">IF(OR($E477="",$E477=0),0,1)</f>
        <v>0</v>
      </c>
      <c r="G477" s="0" t="n">
        <f aca="false">IF($F477=0,0,INDEX(Aux_HH!$D$4:$D$18,MATCH($B477&amp;"|"&amp;$E477,Aux_HH!$A$4:$A$18,0)))</f>
        <v>0</v>
      </c>
      <c r="H477" s="0" t="n">
        <f aca="false">IF($F477=0,0,INDEX(Aux_HH!$E$4:$E$18,MATCH($B477&amp;"|"&amp;$E477,Aux_HH!$A$4:$A$18,0)))</f>
        <v>0</v>
      </c>
      <c r="I477" s="0" t="n">
        <f aca="false">IF($F477=0,0,INDEX(Aux_HH!$F$4:$F$18,MATCH($B477&amp;"|"&amp;$E477,Aux_HH!$A$4:$A$18,0)))</f>
        <v>0</v>
      </c>
      <c r="J477" s="0" t="n">
        <f aca="false">IF($F477=0,0,INDEX(Aux_HH!$G$4:$G$18,MATCH($B477&amp;"|"&amp;$E477,Aux_HH!$A$4:$A$18,0)))</f>
        <v>0</v>
      </c>
      <c r="K477" s="0" t="n">
        <f aca="false">IF($F477=0,0,INDEX(Aux_HH!$H$4:$H$18,MATCH($B477&amp;"|"&amp;$E477,Aux_HH!$A$4:$A$18,0)))</f>
        <v>0</v>
      </c>
      <c r="L477" s="0" t="n">
        <f aca="false">IF($F477=0,0,INDEX(Aux_HH!$I$4:$I$18,MATCH($B477&amp;"|"&amp;$E477,Aux_HH!$A$4:$A$18,0)))</f>
        <v>0</v>
      </c>
    </row>
    <row r="478" customFormat="false" ht="15" hidden="false" customHeight="false" outlineLevel="0" collapsed="false">
      <c r="A478" s="0" t="str">
        <f aca="false">IF(Frota!$A14="","",Frota!$A14)</f>
        <v>Transbordo Mambra 20t — 801</v>
      </c>
      <c r="B478" s="0" t="str">
        <f aca="false">IF(Frota!$A14="","",Frota!$B14)</f>
        <v>Implemento</v>
      </c>
      <c r="C478" s="0" t="n">
        <v>7</v>
      </c>
      <c r="D478" s="0" t="n">
        <f aca="false">INDEX(Semanas!$E$3:$E$54,7)</f>
        <v>5</v>
      </c>
      <c r="E478" s="0" t="str">
        <f aca="false">IF(Frota!$A14="","",Cronograma!H14)</f>
        <v/>
      </c>
      <c r="F478" s="0" t="n">
        <f aca="false">IF(OR($E478="",$E478=0),0,1)</f>
        <v>0</v>
      </c>
      <c r="G478" s="0" t="n">
        <f aca="false">IF($F478=0,0,INDEX(Aux_HH!$D$4:$D$18,MATCH($B478&amp;"|"&amp;$E478,Aux_HH!$A$4:$A$18,0)))</f>
        <v>0</v>
      </c>
      <c r="H478" s="0" t="n">
        <f aca="false">IF($F478=0,0,INDEX(Aux_HH!$E$4:$E$18,MATCH($B478&amp;"|"&amp;$E478,Aux_HH!$A$4:$A$18,0)))</f>
        <v>0</v>
      </c>
      <c r="I478" s="0" t="n">
        <f aca="false">IF($F478=0,0,INDEX(Aux_HH!$F$4:$F$18,MATCH($B478&amp;"|"&amp;$E478,Aux_HH!$A$4:$A$18,0)))</f>
        <v>0</v>
      </c>
      <c r="J478" s="0" t="n">
        <f aca="false">IF($F478=0,0,INDEX(Aux_HH!$G$4:$G$18,MATCH($B478&amp;"|"&amp;$E478,Aux_HH!$A$4:$A$18,0)))</f>
        <v>0</v>
      </c>
      <c r="K478" s="0" t="n">
        <f aca="false">IF($F478=0,0,INDEX(Aux_HH!$H$4:$H$18,MATCH($B478&amp;"|"&amp;$E478,Aux_HH!$A$4:$A$18,0)))</f>
        <v>0</v>
      </c>
      <c r="L478" s="0" t="n">
        <f aca="false">IF($F478=0,0,INDEX(Aux_HH!$I$4:$I$18,MATCH($B478&amp;"|"&amp;$E478,Aux_HH!$A$4:$A$18,0)))</f>
        <v>0</v>
      </c>
    </row>
    <row r="479" customFormat="false" ht="15" hidden="false" customHeight="false" outlineLevel="0" collapsed="false">
      <c r="A479" s="0" t="str">
        <f aca="false">IF(Frota!$A14="","",Frota!$A14)</f>
        <v>Transbordo Mambra 20t — 801</v>
      </c>
      <c r="B479" s="0" t="str">
        <f aca="false">IF(Frota!$A14="","",Frota!$B14)</f>
        <v>Implemento</v>
      </c>
      <c r="C479" s="0" t="n">
        <v>8</v>
      </c>
      <c r="D479" s="0" t="n">
        <f aca="false">INDEX(Semanas!$E$3:$E$54,8)</f>
        <v>5</v>
      </c>
      <c r="E479" s="0" t="str">
        <f aca="false">IF(Frota!$A14="","",Cronograma!I14)</f>
        <v>S</v>
      </c>
      <c r="F479" s="0" t="n">
        <f aca="false">IF(OR($E479="",$E479=0),0,1)</f>
        <v>1</v>
      </c>
      <c r="G479" s="0" t="n">
        <f aca="false">IF($F479=0,0,INDEX(Aux_HH!$D$4:$D$18,MATCH($B479&amp;"|"&amp;$E479,Aux_HH!$A$4:$A$18,0)))</f>
        <v>0.75</v>
      </c>
      <c r="H479" s="0" t="n">
        <f aca="false">IF($F479=0,0,INDEX(Aux_HH!$E$4:$E$18,MATCH($B479&amp;"|"&amp;$E479,Aux_HH!$A$4:$A$18,0)))</f>
        <v>0</v>
      </c>
      <c r="I479" s="0" t="n">
        <f aca="false">IF($F479=0,0,INDEX(Aux_HH!$F$4:$F$18,MATCH($B479&amp;"|"&amp;$E479,Aux_HH!$A$4:$A$18,0)))</f>
        <v>0</v>
      </c>
      <c r="J479" s="0" t="n">
        <f aca="false">IF($F479=0,0,INDEX(Aux_HH!$G$4:$G$18,MATCH($B479&amp;"|"&amp;$E479,Aux_HH!$A$4:$A$18,0)))</f>
        <v>0.5</v>
      </c>
      <c r="K479" s="0" t="n">
        <f aca="false">IF($F479=0,0,INDEX(Aux_HH!$H$4:$H$18,MATCH($B479&amp;"|"&amp;$E479,Aux_HH!$A$4:$A$18,0)))</f>
        <v>0</v>
      </c>
      <c r="L479" s="0" t="n">
        <f aca="false">IF($F479=0,0,INDEX(Aux_HH!$I$4:$I$18,MATCH($B479&amp;"|"&amp;$E479,Aux_HH!$A$4:$A$18,0)))</f>
        <v>1.5</v>
      </c>
    </row>
    <row r="480" customFormat="false" ht="15" hidden="false" customHeight="false" outlineLevel="0" collapsed="false">
      <c r="A480" s="0" t="str">
        <f aca="false">IF(Frota!$A14="","",Frota!$A14)</f>
        <v>Transbordo Mambra 20t — 801</v>
      </c>
      <c r="B480" s="0" t="str">
        <f aca="false">IF(Frota!$A14="","",Frota!$B14)</f>
        <v>Implemento</v>
      </c>
      <c r="C480" s="0" t="n">
        <v>9</v>
      </c>
      <c r="D480" s="0" t="n">
        <f aca="false">INDEX(Semanas!$E$3:$E$54,9)</f>
        <v>5</v>
      </c>
      <c r="E480" s="0" t="str">
        <f aca="false">IF(Frota!$A14="","",Cronograma!J14)</f>
        <v/>
      </c>
      <c r="F480" s="0" t="n">
        <f aca="false">IF(OR($E480="",$E480=0),0,1)</f>
        <v>0</v>
      </c>
      <c r="G480" s="0" t="n">
        <f aca="false">IF($F480=0,0,INDEX(Aux_HH!$D$4:$D$18,MATCH($B480&amp;"|"&amp;$E480,Aux_HH!$A$4:$A$18,0)))</f>
        <v>0</v>
      </c>
      <c r="H480" s="0" t="n">
        <f aca="false">IF($F480=0,0,INDEX(Aux_HH!$E$4:$E$18,MATCH($B480&amp;"|"&amp;$E480,Aux_HH!$A$4:$A$18,0)))</f>
        <v>0</v>
      </c>
      <c r="I480" s="0" t="n">
        <f aca="false">IF($F480=0,0,INDEX(Aux_HH!$F$4:$F$18,MATCH($B480&amp;"|"&amp;$E480,Aux_HH!$A$4:$A$18,0)))</f>
        <v>0</v>
      </c>
      <c r="J480" s="0" t="n">
        <f aca="false">IF($F480=0,0,INDEX(Aux_HH!$G$4:$G$18,MATCH($B480&amp;"|"&amp;$E480,Aux_HH!$A$4:$A$18,0)))</f>
        <v>0</v>
      </c>
      <c r="K480" s="0" t="n">
        <f aca="false">IF($F480=0,0,INDEX(Aux_HH!$H$4:$H$18,MATCH($B480&amp;"|"&amp;$E480,Aux_HH!$A$4:$A$18,0)))</f>
        <v>0</v>
      </c>
      <c r="L480" s="0" t="n">
        <f aca="false">IF($F480=0,0,INDEX(Aux_HH!$I$4:$I$18,MATCH($B480&amp;"|"&amp;$E480,Aux_HH!$A$4:$A$18,0)))</f>
        <v>0</v>
      </c>
    </row>
    <row r="481" customFormat="false" ht="15" hidden="false" customHeight="false" outlineLevel="0" collapsed="false">
      <c r="A481" s="0" t="str">
        <f aca="false">IF(Frota!$A14="","",Frota!$A14)</f>
        <v>Transbordo Mambra 20t — 801</v>
      </c>
      <c r="B481" s="0" t="str">
        <f aca="false">IF(Frota!$A14="","",Frota!$B14)</f>
        <v>Implemento</v>
      </c>
      <c r="C481" s="0" t="n">
        <v>10</v>
      </c>
      <c r="D481" s="0" t="n">
        <f aca="false">INDEX(Semanas!$E$3:$E$54,10)</f>
        <v>6</v>
      </c>
      <c r="E481" s="0" t="str">
        <f aca="false">IF(Frota!$A14="","",Cronograma!K14)</f>
        <v/>
      </c>
      <c r="F481" s="0" t="n">
        <f aca="false">IF(OR($E481="",$E481=0),0,1)</f>
        <v>0</v>
      </c>
      <c r="G481" s="0" t="n">
        <f aca="false">IF($F481=0,0,INDEX(Aux_HH!$D$4:$D$18,MATCH($B481&amp;"|"&amp;$E481,Aux_HH!$A$4:$A$18,0)))</f>
        <v>0</v>
      </c>
      <c r="H481" s="0" t="n">
        <f aca="false">IF($F481=0,0,INDEX(Aux_HH!$E$4:$E$18,MATCH($B481&amp;"|"&amp;$E481,Aux_HH!$A$4:$A$18,0)))</f>
        <v>0</v>
      </c>
      <c r="I481" s="0" t="n">
        <f aca="false">IF($F481=0,0,INDEX(Aux_HH!$F$4:$F$18,MATCH($B481&amp;"|"&amp;$E481,Aux_HH!$A$4:$A$18,0)))</f>
        <v>0</v>
      </c>
      <c r="J481" s="0" t="n">
        <f aca="false">IF($F481=0,0,INDEX(Aux_HH!$G$4:$G$18,MATCH($B481&amp;"|"&amp;$E481,Aux_HH!$A$4:$A$18,0)))</f>
        <v>0</v>
      </c>
      <c r="K481" s="0" t="n">
        <f aca="false">IF($F481=0,0,INDEX(Aux_HH!$H$4:$H$18,MATCH($B481&amp;"|"&amp;$E481,Aux_HH!$A$4:$A$18,0)))</f>
        <v>0</v>
      </c>
      <c r="L481" s="0" t="n">
        <f aca="false">IF($F481=0,0,INDEX(Aux_HH!$I$4:$I$18,MATCH($B481&amp;"|"&amp;$E481,Aux_HH!$A$4:$A$18,0)))</f>
        <v>0</v>
      </c>
    </row>
    <row r="482" customFormat="false" ht="15" hidden="false" customHeight="false" outlineLevel="0" collapsed="false">
      <c r="A482" s="0" t="str">
        <f aca="false">IF(Frota!$A14="","",Frota!$A14)</f>
        <v>Transbordo Mambra 20t — 801</v>
      </c>
      <c r="B482" s="0" t="str">
        <f aca="false">IF(Frota!$A14="","",Frota!$B14)</f>
        <v>Implemento</v>
      </c>
      <c r="C482" s="0" t="n">
        <v>11</v>
      </c>
      <c r="D482" s="0" t="n">
        <f aca="false">INDEX(Semanas!$E$3:$E$54,11)</f>
        <v>6</v>
      </c>
      <c r="E482" s="0" t="str">
        <f aca="false">IF(Frota!$A14="","",Cronograma!L14)</f>
        <v/>
      </c>
      <c r="F482" s="0" t="n">
        <f aca="false">IF(OR($E482="",$E482=0),0,1)</f>
        <v>0</v>
      </c>
      <c r="G482" s="0" t="n">
        <f aca="false">IF($F482=0,0,INDEX(Aux_HH!$D$4:$D$18,MATCH($B482&amp;"|"&amp;$E482,Aux_HH!$A$4:$A$18,0)))</f>
        <v>0</v>
      </c>
      <c r="H482" s="0" t="n">
        <f aca="false">IF($F482=0,0,INDEX(Aux_HH!$E$4:$E$18,MATCH($B482&amp;"|"&amp;$E482,Aux_HH!$A$4:$A$18,0)))</f>
        <v>0</v>
      </c>
      <c r="I482" s="0" t="n">
        <f aca="false">IF($F482=0,0,INDEX(Aux_HH!$F$4:$F$18,MATCH($B482&amp;"|"&amp;$E482,Aux_HH!$A$4:$A$18,0)))</f>
        <v>0</v>
      </c>
      <c r="J482" s="0" t="n">
        <f aca="false">IF($F482=0,0,INDEX(Aux_HH!$G$4:$G$18,MATCH($B482&amp;"|"&amp;$E482,Aux_HH!$A$4:$A$18,0)))</f>
        <v>0</v>
      </c>
      <c r="K482" s="0" t="n">
        <f aca="false">IF($F482=0,0,INDEX(Aux_HH!$H$4:$H$18,MATCH($B482&amp;"|"&amp;$E482,Aux_HH!$A$4:$A$18,0)))</f>
        <v>0</v>
      </c>
      <c r="L482" s="0" t="n">
        <f aca="false">IF($F482=0,0,INDEX(Aux_HH!$I$4:$I$18,MATCH($B482&amp;"|"&amp;$E482,Aux_HH!$A$4:$A$18,0)))</f>
        <v>0</v>
      </c>
    </row>
    <row r="483" customFormat="false" ht="15" hidden="false" customHeight="false" outlineLevel="0" collapsed="false">
      <c r="A483" s="0" t="str">
        <f aca="false">IF(Frota!$A14="","",Frota!$A14)</f>
        <v>Transbordo Mambra 20t — 801</v>
      </c>
      <c r="B483" s="0" t="str">
        <f aca="false">IF(Frota!$A14="","",Frota!$B14)</f>
        <v>Implemento</v>
      </c>
      <c r="C483" s="0" t="n">
        <v>12</v>
      </c>
      <c r="D483" s="0" t="n">
        <f aca="false">INDEX(Semanas!$E$3:$E$54,12)</f>
        <v>6</v>
      </c>
      <c r="E483" s="0" t="str">
        <f aca="false">IF(Frota!$A14="","",Cronograma!M14)</f>
        <v/>
      </c>
      <c r="F483" s="0" t="n">
        <f aca="false">IF(OR($E483="",$E483=0),0,1)</f>
        <v>0</v>
      </c>
      <c r="G483" s="0" t="n">
        <f aca="false">IF($F483=0,0,INDEX(Aux_HH!$D$4:$D$18,MATCH($B483&amp;"|"&amp;$E483,Aux_HH!$A$4:$A$18,0)))</f>
        <v>0</v>
      </c>
      <c r="H483" s="0" t="n">
        <f aca="false">IF($F483=0,0,INDEX(Aux_HH!$E$4:$E$18,MATCH($B483&amp;"|"&amp;$E483,Aux_HH!$A$4:$A$18,0)))</f>
        <v>0</v>
      </c>
      <c r="I483" s="0" t="n">
        <f aca="false">IF($F483=0,0,INDEX(Aux_HH!$F$4:$F$18,MATCH($B483&amp;"|"&amp;$E483,Aux_HH!$A$4:$A$18,0)))</f>
        <v>0</v>
      </c>
      <c r="J483" s="0" t="n">
        <f aca="false">IF($F483=0,0,INDEX(Aux_HH!$G$4:$G$18,MATCH($B483&amp;"|"&amp;$E483,Aux_HH!$A$4:$A$18,0)))</f>
        <v>0</v>
      </c>
      <c r="K483" s="0" t="n">
        <f aca="false">IF($F483=0,0,INDEX(Aux_HH!$H$4:$H$18,MATCH($B483&amp;"|"&amp;$E483,Aux_HH!$A$4:$A$18,0)))</f>
        <v>0</v>
      </c>
      <c r="L483" s="0" t="n">
        <f aca="false">IF($F483=0,0,INDEX(Aux_HH!$I$4:$I$18,MATCH($B483&amp;"|"&amp;$E483,Aux_HH!$A$4:$A$18,0)))</f>
        <v>0</v>
      </c>
    </row>
    <row r="484" customFormat="false" ht="15" hidden="false" customHeight="false" outlineLevel="0" collapsed="false">
      <c r="A484" s="0" t="str">
        <f aca="false">IF(Frota!$A14="","",Frota!$A14)</f>
        <v>Transbordo Mambra 20t — 801</v>
      </c>
      <c r="B484" s="0" t="str">
        <f aca="false">IF(Frota!$A14="","",Frota!$B14)</f>
        <v>Implemento</v>
      </c>
      <c r="C484" s="0" t="n">
        <v>13</v>
      </c>
      <c r="D484" s="0" t="n">
        <f aca="false">INDEX(Semanas!$E$3:$E$54,13)</f>
        <v>6</v>
      </c>
      <c r="E484" s="0" t="str">
        <f aca="false">IF(Frota!$A14="","",Cronograma!N14)</f>
        <v/>
      </c>
      <c r="F484" s="0" t="n">
        <f aca="false">IF(OR($E484="",$E484=0),0,1)</f>
        <v>0</v>
      </c>
      <c r="G484" s="0" t="n">
        <f aca="false">IF($F484=0,0,INDEX(Aux_HH!$D$4:$D$18,MATCH($B484&amp;"|"&amp;$E484,Aux_HH!$A$4:$A$18,0)))</f>
        <v>0</v>
      </c>
      <c r="H484" s="0" t="n">
        <f aca="false">IF($F484=0,0,INDEX(Aux_HH!$E$4:$E$18,MATCH($B484&amp;"|"&amp;$E484,Aux_HH!$A$4:$A$18,0)))</f>
        <v>0</v>
      </c>
      <c r="I484" s="0" t="n">
        <f aca="false">IF($F484=0,0,INDEX(Aux_HH!$F$4:$F$18,MATCH($B484&amp;"|"&amp;$E484,Aux_HH!$A$4:$A$18,0)))</f>
        <v>0</v>
      </c>
      <c r="J484" s="0" t="n">
        <f aca="false">IF($F484=0,0,INDEX(Aux_HH!$G$4:$G$18,MATCH($B484&amp;"|"&amp;$E484,Aux_HH!$A$4:$A$18,0)))</f>
        <v>0</v>
      </c>
      <c r="K484" s="0" t="n">
        <f aca="false">IF($F484=0,0,INDEX(Aux_HH!$H$4:$H$18,MATCH($B484&amp;"|"&amp;$E484,Aux_HH!$A$4:$A$18,0)))</f>
        <v>0</v>
      </c>
      <c r="L484" s="0" t="n">
        <f aca="false">IF($F484=0,0,INDEX(Aux_HH!$I$4:$I$18,MATCH($B484&amp;"|"&amp;$E484,Aux_HH!$A$4:$A$18,0)))</f>
        <v>0</v>
      </c>
    </row>
    <row r="485" customFormat="false" ht="15" hidden="false" customHeight="false" outlineLevel="0" collapsed="false">
      <c r="A485" s="0" t="str">
        <f aca="false">IF(Frota!$A14="","",Frota!$A14)</f>
        <v>Transbordo Mambra 20t — 801</v>
      </c>
      <c r="B485" s="0" t="str">
        <f aca="false">IF(Frota!$A14="","",Frota!$B14)</f>
        <v>Implemento</v>
      </c>
      <c r="C485" s="0" t="n">
        <v>14</v>
      </c>
      <c r="D485" s="0" t="n">
        <f aca="false">INDEX(Semanas!$E$3:$E$54,14)</f>
        <v>7</v>
      </c>
      <c r="E485" s="0" t="str">
        <f aca="false">IF(Frota!$A14="","",Cronograma!O14)</f>
        <v/>
      </c>
      <c r="F485" s="0" t="n">
        <f aca="false">IF(OR($E485="",$E485=0),0,1)</f>
        <v>0</v>
      </c>
      <c r="G485" s="0" t="n">
        <f aca="false">IF($F485=0,0,INDEX(Aux_HH!$D$4:$D$18,MATCH($B485&amp;"|"&amp;$E485,Aux_HH!$A$4:$A$18,0)))</f>
        <v>0</v>
      </c>
      <c r="H485" s="0" t="n">
        <f aca="false">IF($F485=0,0,INDEX(Aux_HH!$E$4:$E$18,MATCH($B485&amp;"|"&amp;$E485,Aux_HH!$A$4:$A$18,0)))</f>
        <v>0</v>
      </c>
      <c r="I485" s="0" t="n">
        <f aca="false">IF($F485=0,0,INDEX(Aux_HH!$F$4:$F$18,MATCH($B485&amp;"|"&amp;$E485,Aux_HH!$A$4:$A$18,0)))</f>
        <v>0</v>
      </c>
      <c r="J485" s="0" t="n">
        <f aca="false">IF($F485=0,0,INDEX(Aux_HH!$G$4:$G$18,MATCH($B485&amp;"|"&amp;$E485,Aux_HH!$A$4:$A$18,0)))</f>
        <v>0</v>
      </c>
      <c r="K485" s="0" t="n">
        <f aca="false">IF($F485=0,0,INDEX(Aux_HH!$H$4:$H$18,MATCH($B485&amp;"|"&amp;$E485,Aux_HH!$A$4:$A$18,0)))</f>
        <v>0</v>
      </c>
      <c r="L485" s="0" t="n">
        <f aca="false">IF($F485=0,0,INDEX(Aux_HH!$I$4:$I$18,MATCH($B485&amp;"|"&amp;$E485,Aux_HH!$A$4:$A$18,0)))</f>
        <v>0</v>
      </c>
    </row>
    <row r="486" customFormat="false" ht="15" hidden="false" customHeight="false" outlineLevel="0" collapsed="false">
      <c r="A486" s="0" t="str">
        <f aca="false">IF(Frota!$A14="","",Frota!$A14)</f>
        <v>Transbordo Mambra 20t — 801</v>
      </c>
      <c r="B486" s="0" t="str">
        <f aca="false">IF(Frota!$A14="","",Frota!$B14)</f>
        <v>Implemento</v>
      </c>
      <c r="C486" s="0" t="n">
        <v>15</v>
      </c>
      <c r="D486" s="0" t="n">
        <f aca="false">INDEX(Semanas!$E$3:$E$54,15)</f>
        <v>7</v>
      </c>
      <c r="E486" s="0" t="str">
        <f aca="false">IF(Frota!$A14="","",Cronograma!P14)</f>
        <v>A</v>
      </c>
      <c r="F486" s="0" t="n">
        <f aca="false">IF(OR($E486="",$E486=0),0,1)</f>
        <v>1</v>
      </c>
      <c r="G486" s="0" t="n">
        <f aca="false">IF($F486=0,0,INDEX(Aux_HH!$D$4:$D$18,MATCH($B486&amp;"|"&amp;$E486,Aux_HH!$A$4:$A$18,0)))</f>
        <v>0.75</v>
      </c>
      <c r="H486" s="0" t="n">
        <f aca="false">IF($F486=0,0,INDEX(Aux_HH!$E$4:$E$18,MATCH($B486&amp;"|"&amp;$E486,Aux_HH!$A$4:$A$18,0)))</f>
        <v>0</v>
      </c>
      <c r="I486" s="0" t="n">
        <f aca="false">IF($F486=0,0,INDEX(Aux_HH!$F$4:$F$18,MATCH($B486&amp;"|"&amp;$E486,Aux_HH!$A$4:$A$18,0)))</f>
        <v>0</v>
      </c>
      <c r="J486" s="0" t="n">
        <f aca="false">IF($F486=0,0,INDEX(Aux_HH!$G$4:$G$18,MATCH($B486&amp;"|"&amp;$E486,Aux_HH!$A$4:$A$18,0)))</f>
        <v>0.5</v>
      </c>
      <c r="K486" s="0" t="n">
        <f aca="false">IF($F486=0,0,INDEX(Aux_HH!$H$4:$H$18,MATCH($B486&amp;"|"&amp;$E486,Aux_HH!$A$4:$A$18,0)))</f>
        <v>0</v>
      </c>
      <c r="L486" s="0" t="n">
        <f aca="false">IF($F486=0,0,INDEX(Aux_HH!$I$4:$I$18,MATCH($B486&amp;"|"&amp;$E486,Aux_HH!$A$4:$A$18,0)))</f>
        <v>1.5</v>
      </c>
    </row>
    <row r="487" customFormat="false" ht="15" hidden="false" customHeight="false" outlineLevel="0" collapsed="false">
      <c r="A487" s="0" t="str">
        <f aca="false">IF(Frota!$A14="","",Frota!$A14)</f>
        <v>Transbordo Mambra 20t — 801</v>
      </c>
      <c r="B487" s="0" t="str">
        <f aca="false">IF(Frota!$A14="","",Frota!$B14)</f>
        <v>Implemento</v>
      </c>
      <c r="C487" s="0" t="n">
        <v>16</v>
      </c>
      <c r="D487" s="0" t="n">
        <f aca="false">INDEX(Semanas!$E$3:$E$54,16)</f>
        <v>7</v>
      </c>
      <c r="E487" s="0" t="str">
        <f aca="false">IF(Frota!$A14="","",Cronograma!Q14)</f>
        <v/>
      </c>
      <c r="F487" s="0" t="n">
        <f aca="false">IF(OR($E487="",$E487=0),0,1)</f>
        <v>0</v>
      </c>
      <c r="G487" s="0" t="n">
        <f aca="false">IF($F487=0,0,INDEX(Aux_HH!$D$4:$D$18,MATCH($B487&amp;"|"&amp;$E487,Aux_HH!$A$4:$A$18,0)))</f>
        <v>0</v>
      </c>
      <c r="H487" s="0" t="n">
        <f aca="false">IF($F487=0,0,INDEX(Aux_HH!$E$4:$E$18,MATCH($B487&amp;"|"&amp;$E487,Aux_HH!$A$4:$A$18,0)))</f>
        <v>0</v>
      </c>
      <c r="I487" s="0" t="n">
        <f aca="false">IF($F487=0,0,INDEX(Aux_HH!$F$4:$F$18,MATCH($B487&amp;"|"&amp;$E487,Aux_HH!$A$4:$A$18,0)))</f>
        <v>0</v>
      </c>
      <c r="J487" s="0" t="n">
        <f aca="false">IF($F487=0,0,INDEX(Aux_HH!$G$4:$G$18,MATCH($B487&amp;"|"&amp;$E487,Aux_HH!$A$4:$A$18,0)))</f>
        <v>0</v>
      </c>
      <c r="K487" s="0" t="n">
        <f aca="false">IF($F487=0,0,INDEX(Aux_HH!$H$4:$H$18,MATCH($B487&amp;"|"&amp;$E487,Aux_HH!$A$4:$A$18,0)))</f>
        <v>0</v>
      </c>
      <c r="L487" s="0" t="n">
        <f aca="false">IF($F487=0,0,INDEX(Aux_HH!$I$4:$I$18,MATCH($B487&amp;"|"&amp;$E487,Aux_HH!$A$4:$A$18,0)))</f>
        <v>0</v>
      </c>
    </row>
    <row r="488" customFormat="false" ht="15" hidden="false" customHeight="false" outlineLevel="0" collapsed="false">
      <c r="A488" s="0" t="str">
        <f aca="false">IF(Frota!$A14="","",Frota!$A14)</f>
        <v>Transbordo Mambra 20t — 801</v>
      </c>
      <c r="B488" s="0" t="str">
        <f aca="false">IF(Frota!$A14="","",Frota!$B14)</f>
        <v>Implemento</v>
      </c>
      <c r="C488" s="0" t="n">
        <v>17</v>
      </c>
      <c r="D488" s="0" t="n">
        <f aca="false">INDEX(Semanas!$E$3:$E$54,17)</f>
        <v>7</v>
      </c>
      <c r="E488" s="0" t="str">
        <f aca="false">IF(Frota!$A14="","",Cronograma!R14)</f>
        <v/>
      </c>
      <c r="F488" s="0" t="n">
        <f aca="false">IF(OR($E488="",$E488=0),0,1)</f>
        <v>0</v>
      </c>
      <c r="G488" s="0" t="n">
        <f aca="false">IF($F488=0,0,INDEX(Aux_HH!$D$4:$D$18,MATCH($B488&amp;"|"&amp;$E488,Aux_HH!$A$4:$A$18,0)))</f>
        <v>0</v>
      </c>
      <c r="H488" s="0" t="n">
        <f aca="false">IF($F488=0,0,INDEX(Aux_HH!$E$4:$E$18,MATCH($B488&amp;"|"&amp;$E488,Aux_HH!$A$4:$A$18,0)))</f>
        <v>0</v>
      </c>
      <c r="I488" s="0" t="n">
        <f aca="false">IF($F488=0,0,INDEX(Aux_HH!$F$4:$F$18,MATCH($B488&amp;"|"&amp;$E488,Aux_HH!$A$4:$A$18,0)))</f>
        <v>0</v>
      </c>
      <c r="J488" s="0" t="n">
        <f aca="false">IF($F488=0,0,INDEX(Aux_HH!$G$4:$G$18,MATCH($B488&amp;"|"&amp;$E488,Aux_HH!$A$4:$A$18,0)))</f>
        <v>0</v>
      </c>
      <c r="K488" s="0" t="n">
        <f aca="false">IF($F488=0,0,INDEX(Aux_HH!$H$4:$H$18,MATCH($B488&amp;"|"&amp;$E488,Aux_HH!$A$4:$A$18,0)))</f>
        <v>0</v>
      </c>
      <c r="L488" s="0" t="n">
        <f aca="false">IF($F488=0,0,INDEX(Aux_HH!$I$4:$I$18,MATCH($B488&amp;"|"&amp;$E488,Aux_HH!$A$4:$A$18,0)))</f>
        <v>0</v>
      </c>
    </row>
    <row r="489" customFormat="false" ht="15" hidden="false" customHeight="false" outlineLevel="0" collapsed="false">
      <c r="A489" s="0" t="str">
        <f aca="false">IF(Frota!$A14="","",Frota!$A14)</f>
        <v>Transbordo Mambra 20t — 801</v>
      </c>
      <c r="B489" s="0" t="str">
        <f aca="false">IF(Frota!$A14="","",Frota!$B14)</f>
        <v>Implemento</v>
      </c>
      <c r="C489" s="0" t="n">
        <v>18</v>
      </c>
      <c r="D489" s="0" t="n">
        <f aca="false">INDEX(Semanas!$E$3:$E$54,18)</f>
        <v>7</v>
      </c>
      <c r="E489" s="0" t="str">
        <f aca="false">IF(Frota!$A14="","",Cronograma!S14)</f>
        <v/>
      </c>
      <c r="F489" s="0" t="n">
        <f aca="false">IF(OR($E489="",$E489=0),0,1)</f>
        <v>0</v>
      </c>
      <c r="G489" s="0" t="n">
        <f aca="false">IF($F489=0,0,INDEX(Aux_HH!$D$4:$D$18,MATCH($B489&amp;"|"&amp;$E489,Aux_HH!$A$4:$A$18,0)))</f>
        <v>0</v>
      </c>
      <c r="H489" s="0" t="n">
        <f aca="false">IF($F489=0,0,INDEX(Aux_HH!$E$4:$E$18,MATCH($B489&amp;"|"&amp;$E489,Aux_HH!$A$4:$A$18,0)))</f>
        <v>0</v>
      </c>
      <c r="I489" s="0" t="n">
        <f aca="false">IF($F489=0,0,INDEX(Aux_HH!$F$4:$F$18,MATCH($B489&amp;"|"&amp;$E489,Aux_HH!$A$4:$A$18,0)))</f>
        <v>0</v>
      </c>
      <c r="J489" s="0" t="n">
        <f aca="false">IF($F489=0,0,INDEX(Aux_HH!$G$4:$G$18,MATCH($B489&amp;"|"&amp;$E489,Aux_HH!$A$4:$A$18,0)))</f>
        <v>0</v>
      </c>
      <c r="K489" s="0" t="n">
        <f aca="false">IF($F489=0,0,INDEX(Aux_HH!$H$4:$H$18,MATCH($B489&amp;"|"&amp;$E489,Aux_HH!$A$4:$A$18,0)))</f>
        <v>0</v>
      </c>
      <c r="L489" s="0" t="n">
        <f aca="false">IF($F489=0,0,INDEX(Aux_HH!$I$4:$I$18,MATCH($B489&amp;"|"&amp;$E489,Aux_HH!$A$4:$A$18,0)))</f>
        <v>0</v>
      </c>
    </row>
    <row r="490" customFormat="false" ht="15" hidden="false" customHeight="false" outlineLevel="0" collapsed="false">
      <c r="A490" s="0" t="str">
        <f aca="false">IF(Frota!$A14="","",Frota!$A14)</f>
        <v>Transbordo Mambra 20t — 801</v>
      </c>
      <c r="B490" s="0" t="str">
        <f aca="false">IF(Frota!$A14="","",Frota!$B14)</f>
        <v>Implemento</v>
      </c>
      <c r="C490" s="0" t="n">
        <v>19</v>
      </c>
      <c r="D490" s="0" t="n">
        <f aca="false">INDEX(Semanas!$E$3:$E$54,19)</f>
        <v>8</v>
      </c>
      <c r="E490" s="0" t="str">
        <f aca="false">IF(Frota!$A14="","",Cronograma!T14)</f>
        <v/>
      </c>
      <c r="F490" s="0" t="n">
        <f aca="false">IF(OR($E490="",$E490=0),0,1)</f>
        <v>0</v>
      </c>
      <c r="G490" s="0" t="n">
        <f aca="false">IF($F490=0,0,INDEX(Aux_HH!$D$4:$D$18,MATCH($B490&amp;"|"&amp;$E490,Aux_HH!$A$4:$A$18,0)))</f>
        <v>0</v>
      </c>
      <c r="H490" s="0" t="n">
        <f aca="false">IF($F490=0,0,INDEX(Aux_HH!$E$4:$E$18,MATCH($B490&amp;"|"&amp;$E490,Aux_HH!$A$4:$A$18,0)))</f>
        <v>0</v>
      </c>
      <c r="I490" s="0" t="n">
        <f aca="false">IF($F490=0,0,INDEX(Aux_HH!$F$4:$F$18,MATCH($B490&amp;"|"&amp;$E490,Aux_HH!$A$4:$A$18,0)))</f>
        <v>0</v>
      </c>
      <c r="J490" s="0" t="n">
        <f aca="false">IF($F490=0,0,INDEX(Aux_HH!$G$4:$G$18,MATCH($B490&amp;"|"&amp;$E490,Aux_HH!$A$4:$A$18,0)))</f>
        <v>0</v>
      </c>
      <c r="K490" s="0" t="n">
        <f aca="false">IF($F490=0,0,INDEX(Aux_HH!$H$4:$H$18,MATCH($B490&amp;"|"&amp;$E490,Aux_HH!$A$4:$A$18,0)))</f>
        <v>0</v>
      </c>
      <c r="L490" s="0" t="n">
        <f aca="false">IF($F490=0,0,INDEX(Aux_HH!$I$4:$I$18,MATCH($B490&amp;"|"&amp;$E490,Aux_HH!$A$4:$A$18,0)))</f>
        <v>0</v>
      </c>
    </row>
    <row r="491" customFormat="false" ht="15" hidden="false" customHeight="false" outlineLevel="0" collapsed="false">
      <c r="A491" s="0" t="str">
        <f aca="false">IF(Frota!$A14="","",Frota!$A14)</f>
        <v>Transbordo Mambra 20t — 801</v>
      </c>
      <c r="B491" s="0" t="str">
        <f aca="false">IF(Frota!$A14="","",Frota!$B14)</f>
        <v>Implemento</v>
      </c>
      <c r="C491" s="0" t="n">
        <v>20</v>
      </c>
      <c r="D491" s="0" t="n">
        <f aca="false">INDEX(Semanas!$E$3:$E$54,20)</f>
        <v>8</v>
      </c>
      <c r="E491" s="0" t="str">
        <f aca="false">IF(Frota!$A14="","",Cronograma!U14)</f>
        <v/>
      </c>
      <c r="F491" s="0" t="n">
        <f aca="false">IF(OR($E491="",$E491=0),0,1)</f>
        <v>0</v>
      </c>
      <c r="G491" s="0" t="n">
        <f aca="false">IF($F491=0,0,INDEX(Aux_HH!$D$4:$D$18,MATCH($B491&amp;"|"&amp;$E491,Aux_HH!$A$4:$A$18,0)))</f>
        <v>0</v>
      </c>
      <c r="H491" s="0" t="n">
        <f aca="false">IF($F491=0,0,INDEX(Aux_HH!$E$4:$E$18,MATCH($B491&amp;"|"&amp;$E491,Aux_HH!$A$4:$A$18,0)))</f>
        <v>0</v>
      </c>
      <c r="I491" s="0" t="n">
        <f aca="false">IF($F491=0,0,INDEX(Aux_HH!$F$4:$F$18,MATCH($B491&amp;"|"&amp;$E491,Aux_HH!$A$4:$A$18,0)))</f>
        <v>0</v>
      </c>
      <c r="J491" s="0" t="n">
        <f aca="false">IF($F491=0,0,INDEX(Aux_HH!$G$4:$G$18,MATCH($B491&amp;"|"&amp;$E491,Aux_HH!$A$4:$A$18,0)))</f>
        <v>0</v>
      </c>
      <c r="K491" s="0" t="n">
        <f aca="false">IF($F491=0,0,INDEX(Aux_HH!$H$4:$H$18,MATCH($B491&amp;"|"&amp;$E491,Aux_HH!$A$4:$A$18,0)))</f>
        <v>0</v>
      </c>
      <c r="L491" s="0" t="n">
        <f aca="false">IF($F491=0,0,INDEX(Aux_HH!$I$4:$I$18,MATCH($B491&amp;"|"&amp;$E491,Aux_HH!$A$4:$A$18,0)))</f>
        <v>0</v>
      </c>
    </row>
    <row r="492" customFormat="false" ht="15" hidden="false" customHeight="false" outlineLevel="0" collapsed="false">
      <c r="A492" s="0" t="str">
        <f aca="false">IF(Frota!$A14="","",Frota!$A14)</f>
        <v>Transbordo Mambra 20t — 801</v>
      </c>
      <c r="B492" s="0" t="str">
        <f aca="false">IF(Frota!$A14="","",Frota!$B14)</f>
        <v>Implemento</v>
      </c>
      <c r="C492" s="0" t="n">
        <v>21</v>
      </c>
      <c r="D492" s="0" t="n">
        <f aca="false">INDEX(Semanas!$E$3:$E$54,21)</f>
        <v>8</v>
      </c>
      <c r="E492" s="0" t="str">
        <f aca="false">IF(Frota!$A14="","",Cronograma!V14)</f>
        <v/>
      </c>
      <c r="F492" s="0" t="n">
        <f aca="false">IF(OR($E492="",$E492=0),0,1)</f>
        <v>0</v>
      </c>
      <c r="G492" s="0" t="n">
        <f aca="false">IF($F492=0,0,INDEX(Aux_HH!$D$4:$D$18,MATCH($B492&amp;"|"&amp;$E492,Aux_HH!$A$4:$A$18,0)))</f>
        <v>0</v>
      </c>
      <c r="H492" s="0" t="n">
        <f aca="false">IF($F492=0,0,INDEX(Aux_HH!$E$4:$E$18,MATCH($B492&amp;"|"&amp;$E492,Aux_HH!$A$4:$A$18,0)))</f>
        <v>0</v>
      </c>
      <c r="I492" s="0" t="n">
        <f aca="false">IF($F492=0,0,INDEX(Aux_HH!$F$4:$F$18,MATCH($B492&amp;"|"&amp;$E492,Aux_HH!$A$4:$A$18,0)))</f>
        <v>0</v>
      </c>
      <c r="J492" s="0" t="n">
        <f aca="false">IF($F492=0,0,INDEX(Aux_HH!$G$4:$G$18,MATCH($B492&amp;"|"&amp;$E492,Aux_HH!$A$4:$A$18,0)))</f>
        <v>0</v>
      </c>
      <c r="K492" s="0" t="n">
        <f aca="false">IF($F492=0,0,INDEX(Aux_HH!$H$4:$H$18,MATCH($B492&amp;"|"&amp;$E492,Aux_HH!$A$4:$A$18,0)))</f>
        <v>0</v>
      </c>
      <c r="L492" s="0" t="n">
        <f aca="false">IF($F492=0,0,INDEX(Aux_HH!$I$4:$I$18,MATCH($B492&amp;"|"&amp;$E492,Aux_HH!$A$4:$A$18,0)))</f>
        <v>0</v>
      </c>
    </row>
    <row r="493" customFormat="false" ht="15" hidden="false" customHeight="false" outlineLevel="0" collapsed="false">
      <c r="A493" s="0" t="str">
        <f aca="false">IF(Frota!$A14="","",Frota!$A14)</f>
        <v>Transbordo Mambra 20t — 801</v>
      </c>
      <c r="B493" s="0" t="str">
        <f aca="false">IF(Frota!$A14="","",Frota!$B14)</f>
        <v>Implemento</v>
      </c>
      <c r="C493" s="0" t="n">
        <v>22</v>
      </c>
      <c r="D493" s="0" t="n">
        <f aca="false">INDEX(Semanas!$E$3:$E$54,22)</f>
        <v>8</v>
      </c>
      <c r="E493" s="0" t="str">
        <f aca="false">IF(Frota!$A14="","",Cronograma!W14)</f>
        <v/>
      </c>
      <c r="F493" s="0" t="n">
        <f aca="false">IF(OR($E493="",$E493=0),0,1)</f>
        <v>0</v>
      </c>
      <c r="G493" s="0" t="n">
        <f aca="false">IF($F493=0,0,INDEX(Aux_HH!$D$4:$D$18,MATCH($B493&amp;"|"&amp;$E493,Aux_HH!$A$4:$A$18,0)))</f>
        <v>0</v>
      </c>
      <c r="H493" s="0" t="n">
        <f aca="false">IF($F493=0,0,INDEX(Aux_HH!$E$4:$E$18,MATCH($B493&amp;"|"&amp;$E493,Aux_HH!$A$4:$A$18,0)))</f>
        <v>0</v>
      </c>
      <c r="I493" s="0" t="n">
        <f aca="false">IF($F493=0,0,INDEX(Aux_HH!$F$4:$F$18,MATCH($B493&amp;"|"&amp;$E493,Aux_HH!$A$4:$A$18,0)))</f>
        <v>0</v>
      </c>
      <c r="J493" s="0" t="n">
        <f aca="false">IF($F493=0,0,INDEX(Aux_HH!$G$4:$G$18,MATCH($B493&amp;"|"&amp;$E493,Aux_HH!$A$4:$A$18,0)))</f>
        <v>0</v>
      </c>
      <c r="K493" s="0" t="n">
        <f aca="false">IF($F493=0,0,INDEX(Aux_HH!$H$4:$H$18,MATCH($B493&amp;"|"&amp;$E493,Aux_HH!$A$4:$A$18,0)))</f>
        <v>0</v>
      </c>
      <c r="L493" s="0" t="n">
        <f aca="false">IF($F493=0,0,INDEX(Aux_HH!$I$4:$I$18,MATCH($B493&amp;"|"&amp;$E493,Aux_HH!$A$4:$A$18,0)))</f>
        <v>0</v>
      </c>
    </row>
    <row r="494" customFormat="false" ht="15" hidden="false" customHeight="false" outlineLevel="0" collapsed="false">
      <c r="A494" s="0" t="str">
        <f aca="false">IF(Frota!$A14="","",Frota!$A14)</f>
        <v>Transbordo Mambra 20t — 801</v>
      </c>
      <c r="B494" s="0" t="str">
        <f aca="false">IF(Frota!$A14="","",Frota!$B14)</f>
        <v>Implemento</v>
      </c>
      <c r="C494" s="0" t="n">
        <v>23</v>
      </c>
      <c r="D494" s="0" t="n">
        <f aca="false">INDEX(Semanas!$E$3:$E$54,23)</f>
        <v>9</v>
      </c>
      <c r="E494" s="0" t="str">
        <f aca="false">IF(Frota!$A14="","",Cronograma!X14)</f>
        <v>S</v>
      </c>
      <c r="F494" s="0" t="n">
        <f aca="false">IF(OR($E494="",$E494=0),0,1)</f>
        <v>1</v>
      </c>
      <c r="G494" s="0" t="n">
        <f aca="false">IF($F494=0,0,INDEX(Aux_HH!$D$4:$D$18,MATCH($B494&amp;"|"&amp;$E494,Aux_HH!$A$4:$A$18,0)))</f>
        <v>0.75</v>
      </c>
      <c r="H494" s="0" t="n">
        <f aca="false">IF($F494=0,0,INDEX(Aux_HH!$E$4:$E$18,MATCH($B494&amp;"|"&amp;$E494,Aux_HH!$A$4:$A$18,0)))</f>
        <v>0</v>
      </c>
      <c r="I494" s="0" t="n">
        <f aca="false">IF($F494=0,0,INDEX(Aux_HH!$F$4:$F$18,MATCH($B494&amp;"|"&amp;$E494,Aux_HH!$A$4:$A$18,0)))</f>
        <v>0</v>
      </c>
      <c r="J494" s="0" t="n">
        <f aca="false">IF($F494=0,0,INDEX(Aux_HH!$G$4:$G$18,MATCH($B494&amp;"|"&amp;$E494,Aux_HH!$A$4:$A$18,0)))</f>
        <v>0.5</v>
      </c>
      <c r="K494" s="0" t="n">
        <f aca="false">IF($F494=0,0,INDEX(Aux_HH!$H$4:$H$18,MATCH($B494&amp;"|"&amp;$E494,Aux_HH!$A$4:$A$18,0)))</f>
        <v>0</v>
      </c>
      <c r="L494" s="0" t="n">
        <f aca="false">IF($F494=0,0,INDEX(Aux_HH!$I$4:$I$18,MATCH($B494&amp;"|"&amp;$E494,Aux_HH!$A$4:$A$18,0)))</f>
        <v>1.5</v>
      </c>
    </row>
    <row r="495" customFormat="false" ht="15" hidden="false" customHeight="false" outlineLevel="0" collapsed="false">
      <c r="A495" s="0" t="str">
        <f aca="false">IF(Frota!$A14="","",Frota!$A14)</f>
        <v>Transbordo Mambra 20t — 801</v>
      </c>
      <c r="B495" s="0" t="str">
        <f aca="false">IF(Frota!$A14="","",Frota!$B14)</f>
        <v>Implemento</v>
      </c>
      <c r="C495" s="0" t="n">
        <v>24</v>
      </c>
      <c r="D495" s="0" t="n">
        <f aca="false">INDEX(Semanas!$E$3:$E$54,24)</f>
        <v>9</v>
      </c>
      <c r="E495" s="0" t="str">
        <f aca="false">IF(Frota!$A14="","",Cronograma!Y14)</f>
        <v/>
      </c>
      <c r="F495" s="0" t="n">
        <f aca="false">IF(OR($E495="",$E495=0),0,1)</f>
        <v>0</v>
      </c>
      <c r="G495" s="0" t="n">
        <f aca="false">IF($F495=0,0,INDEX(Aux_HH!$D$4:$D$18,MATCH($B495&amp;"|"&amp;$E495,Aux_HH!$A$4:$A$18,0)))</f>
        <v>0</v>
      </c>
      <c r="H495" s="0" t="n">
        <f aca="false">IF($F495=0,0,INDEX(Aux_HH!$E$4:$E$18,MATCH($B495&amp;"|"&amp;$E495,Aux_HH!$A$4:$A$18,0)))</f>
        <v>0</v>
      </c>
      <c r="I495" s="0" t="n">
        <f aca="false">IF($F495=0,0,INDEX(Aux_HH!$F$4:$F$18,MATCH($B495&amp;"|"&amp;$E495,Aux_HH!$A$4:$A$18,0)))</f>
        <v>0</v>
      </c>
      <c r="J495" s="0" t="n">
        <f aca="false">IF($F495=0,0,INDEX(Aux_HH!$G$4:$G$18,MATCH($B495&amp;"|"&amp;$E495,Aux_HH!$A$4:$A$18,0)))</f>
        <v>0</v>
      </c>
      <c r="K495" s="0" t="n">
        <f aca="false">IF($F495=0,0,INDEX(Aux_HH!$H$4:$H$18,MATCH($B495&amp;"|"&amp;$E495,Aux_HH!$A$4:$A$18,0)))</f>
        <v>0</v>
      </c>
      <c r="L495" s="0" t="n">
        <f aca="false">IF($F495=0,0,INDEX(Aux_HH!$I$4:$I$18,MATCH($B495&amp;"|"&amp;$E495,Aux_HH!$A$4:$A$18,0)))</f>
        <v>0</v>
      </c>
    </row>
    <row r="496" customFormat="false" ht="15" hidden="false" customHeight="false" outlineLevel="0" collapsed="false">
      <c r="A496" s="0" t="str">
        <f aca="false">IF(Frota!$A14="","",Frota!$A14)</f>
        <v>Transbordo Mambra 20t — 801</v>
      </c>
      <c r="B496" s="0" t="str">
        <f aca="false">IF(Frota!$A14="","",Frota!$B14)</f>
        <v>Implemento</v>
      </c>
      <c r="C496" s="0" t="n">
        <v>25</v>
      </c>
      <c r="D496" s="0" t="n">
        <f aca="false">INDEX(Semanas!$E$3:$E$54,25)</f>
        <v>9</v>
      </c>
      <c r="E496" s="0" t="str">
        <f aca="false">IF(Frota!$A14="","",Cronograma!Z14)</f>
        <v/>
      </c>
      <c r="F496" s="0" t="n">
        <f aca="false">IF(OR($E496="",$E496=0),0,1)</f>
        <v>0</v>
      </c>
      <c r="G496" s="0" t="n">
        <f aca="false">IF($F496=0,0,INDEX(Aux_HH!$D$4:$D$18,MATCH($B496&amp;"|"&amp;$E496,Aux_HH!$A$4:$A$18,0)))</f>
        <v>0</v>
      </c>
      <c r="H496" s="0" t="n">
        <f aca="false">IF($F496=0,0,INDEX(Aux_HH!$E$4:$E$18,MATCH($B496&amp;"|"&amp;$E496,Aux_HH!$A$4:$A$18,0)))</f>
        <v>0</v>
      </c>
      <c r="I496" s="0" t="n">
        <f aca="false">IF($F496=0,0,INDEX(Aux_HH!$F$4:$F$18,MATCH($B496&amp;"|"&amp;$E496,Aux_HH!$A$4:$A$18,0)))</f>
        <v>0</v>
      </c>
      <c r="J496" s="0" t="n">
        <f aca="false">IF($F496=0,0,INDEX(Aux_HH!$G$4:$G$18,MATCH($B496&amp;"|"&amp;$E496,Aux_HH!$A$4:$A$18,0)))</f>
        <v>0</v>
      </c>
      <c r="K496" s="0" t="n">
        <f aca="false">IF($F496=0,0,INDEX(Aux_HH!$H$4:$H$18,MATCH($B496&amp;"|"&amp;$E496,Aux_HH!$A$4:$A$18,0)))</f>
        <v>0</v>
      </c>
      <c r="L496" s="0" t="n">
        <f aca="false">IF($F496=0,0,INDEX(Aux_HH!$I$4:$I$18,MATCH($B496&amp;"|"&amp;$E496,Aux_HH!$A$4:$A$18,0)))</f>
        <v>0</v>
      </c>
    </row>
    <row r="497" customFormat="false" ht="15" hidden="false" customHeight="false" outlineLevel="0" collapsed="false">
      <c r="A497" s="0" t="str">
        <f aca="false">IF(Frota!$A14="","",Frota!$A14)</f>
        <v>Transbordo Mambra 20t — 801</v>
      </c>
      <c r="B497" s="0" t="str">
        <f aca="false">IF(Frota!$A14="","",Frota!$B14)</f>
        <v>Implemento</v>
      </c>
      <c r="C497" s="0" t="n">
        <v>26</v>
      </c>
      <c r="D497" s="0" t="n">
        <f aca="false">INDEX(Semanas!$E$3:$E$54,26)</f>
        <v>9</v>
      </c>
      <c r="E497" s="0" t="str">
        <f aca="false">IF(Frota!$A14="","",Cronograma!AA14)</f>
        <v/>
      </c>
      <c r="F497" s="0" t="n">
        <f aca="false">IF(OR($E497="",$E497=0),0,1)</f>
        <v>0</v>
      </c>
      <c r="G497" s="0" t="n">
        <f aca="false">IF($F497=0,0,INDEX(Aux_HH!$D$4:$D$18,MATCH($B497&amp;"|"&amp;$E497,Aux_HH!$A$4:$A$18,0)))</f>
        <v>0</v>
      </c>
      <c r="H497" s="0" t="n">
        <f aca="false">IF($F497=0,0,INDEX(Aux_HH!$E$4:$E$18,MATCH($B497&amp;"|"&amp;$E497,Aux_HH!$A$4:$A$18,0)))</f>
        <v>0</v>
      </c>
      <c r="I497" s="0" t="n">
        <f aca="false">IF($F497=0,0,INDEX(Aux_HH!$F$4:$F$18,MATCH($B497&amp;"|"&amp;$E497,Aux_HH!$A$4:$A$18,0)))</f>
        <v>0</v>
      </c>
      <c r="J497" s="0" t="n">
        <f aca="false">IF($F497=0,0,INDEX(Aux_HH!$G$4:$G$18,MATCH($B497&amp;"|"&amp;$E497,Aux_HH!$A$4:$A$18,0)))</f>
        <v>0</v>
      </c>
      <c r="K497" s="0" t="n">
        <f aca="false">IF($F497=0,0,INDEX(Aux_HH!$H$4:$H$18,MATCH($B497&amp;"|"&amp;$E497,Aux_HH!$A$4:$A$18,0)))</f>
        <v>0</v>
      </c>
      <c r="L497" s="0" t="n">
        <f aca="false">IF($F497=0,0,INDEX(Aux_HH!$I$4:$I$18,MATCH($B497&amp;"|"&amp;$E497,Aux_HH!$A$4:$A$18,0)))</f>
        <v>0</v>
      </c>
    </row>
    <row r="498" customFormat="false" ht="15" hidden="false" customHeight="false" outlineLevel="0" collapsed="false">
      <c r="A498" s="0" t="str">
        <f aca="false">IF(Frota!$A14="","",Frota!$A14)</f>
        <v>Transbordo Mambra 20t — 801</v>
      </c>
      <c r="B498" s="0" t="str">
        <f aca="false">IF(Frota!$A14="","",Frota!$B14)</f>
        <v>Implemento</v>
      </c>
      <c r="C498" s="0" t="n">
        <v>27</v>
      </c>
      <c r="D498" s="0" t="n">
        <f aca="false">INDEX(Semanas!$E$3:$E$54,27)</f>
        <v>9</v>
      </c>
      <c r="E498" s="0" t="str">
        <f aca="false">IF(Frota!$A14="","",Cronograma!AB14)</f>
        <v/>
      </c>
      <c r="F498" s="0" t="n">
        <f aca="false">IF(OR($E498="",$E498=0),0,1)</f>
        <v>0</v>
      </c>
      <c r="G498" s="0" t="n">
        <f aca="false">IF($F498=0,0,INDEX(Aux_HH!$D$4:$D$18,MATCH($B498&amp;"|"&amp;$E498,Aux_HH!$A$4:$A$18,0)))</f>
        <v>0</v>
      </c>
      <c r="H498" s="0" t="n">
        <f aca="false">IF($F498=0,0,INDEX(Aux_HH!$E$4:$E$18,MATCH($B498&amp;"|"&amp;$E498,Aux_HH!$A$4:$A$18,0)))</f>
        <v>0</v>
      </c>
      <c r="I498" s="0" t="n">
        <f aca="false">IF($F498=0,0,INDEX(Aux_HH!$F$4:$F$18,MATCH($B498&amp;"|"&amp;$E498,Aux_HH!$A$4:$A$18,0)))</f>
        <v>0</v>
      </c>
      <c r="J498" s="0" t="n">
        <f aca="false">IF($F498=0,0,INDEX(Aux_HH!$G$4:$G$18,MATCH($B498&amp;"|"&amp;$E498,Aux_HH!$A$4:$A$18,0)))</f>
        <v>0</v>
      </c>
      <c r="K498" s="0" t="n">
        <f aca="false">IF($F498=0,0,INDEX(Aux_HH!$H$4:$H$18,MATCH($B498&amp;"|"&amp;$E498,Aux_HH!$A$4:$A$18,0)))</f>
        <v>0</v>
      </c>
      <c r="L498" s="0" t="n">
        <f aca="false">IF($F498=0,0,INDEX(Aux_HH!$I$4:$I$18,MATCH($B498&amp;"|"&amp;$E498,Aux_HH!$A$4:$A$18,0)))</f>
        <v>0</v>
      </c>
    </row>
    <row r="499" customFormat="false" ht="15" hidden="false" customHeight="false" outlineLevel="0" collapsed="false">
      <c r="A499" s="0" t="str">
        <f aca="false">IF(Frota!$A14="","",Frota!$A14)</f>
        <v>Transbordo Mambra 20t — 801</v>
      </c>
      <c r="B499" s="0" t="str">
        <f aca="false">IF(Frota!$A14="","",Frota!$B14)</f>
        <v>Implemento</v>
      </c>
      <c r="C499" s="0" t="n">
        <v>28</v>
      </c>
      <c r="D499" s="0" t="n">
        <f aca="false">INDEX(Semanas!$E$3:$E$54,28)</f>
        <v>10</v>
      </c>
      <c r="E499" s="0" t="str">
        <f aca="false">IF(Frota!$A14="","",Cronograma!AC14)</f>
        <v/>
      </c>
      <c r="F499" s="0" t="n">
        <f aca="false">IF(OR($E499="",$E499=0),0,1)</f>
        <v>0</v>
      </c>
      <c r="G499" s="0" t="n">
        <f aca="false">IF($F499=0,0,INDEX(Aux_HH!$D$4:$D$18,MATCH($B499&amp;"|"&amp;$E499,Aux_HH!$A$4:$A$18,0)))</f>
        <v>0</v>
      </c>
      <c r="H499" s="0" t="n">
        <f aca="false">IF($F499=0,0,INDEX(Aux_HH!$E$4:$E$18,MATCH($B499&amp;"|"&amp;$E499,Aux_HH!$A$4:$A$18,0)))</f>
        <v>0</v>
      </c>
      <c r="I499" s="0" t="n">
        <f aca="false">IF($F499=0,0,INDEX(Aux_HH!$F$4:$F$18,MATCH($B499&amp;"|"&amp;$E499,Aux_HH!$A$4:$A$18,0)))</f>
        <v>0</v>
      </c>
      <c r="J499" s="0" t="n">
        <f aca="false">IF($F499=0,0,INDEX(Aux_HH!$G$4:$G$18,MATCH($B499&amp;"|"&amp;$E499,Aux_HH!$A$4:$A$18,0)))</f>
        <v>0</v>
      </c>
      <c r="K499" s="0" t="n">
        <f aca="false">IF($F499=0,0,INDEX(Aux_HH!$H$4:$H$18,MATCH($B499&amp;"|"&amp;$E499,Aux_HH!$A$4:$A$18,0)))</f>
        <v>0</v>
      </c>
      <c r="L499" s="0" t="n">
        <f aca="false">IF($F499=0,0,INDEX(Aux_HH!$I$4:$I$18,MATCH($B499&amp;"|"&amp;$E499,Aux_HH!$A$4:$A$18,0)))</f>
        <v>0</v>
      </c>
    </row>
    <row r="500" customFormat="false" ht="15" hidden="false" customHeight="false" outlineLevel="0" collapsed="false">
      <c r="A500" s="0" t="str">
        <f aca="false">IF(Frota!$A14="","",Frota!$A14)</f>
        <v>Transbordo Mambra 20t — 801</v>
      </c>
      <c r="B500" s="0" t="str">
        <f aca="false">IF(Frota!$A14="","",Frota!$B14)</f>
        <v>Implemento</v>
      </c>
      <c r="C500" s="0" t="n">
        <v>29</v>
      </c>
      <c r="D500" s="0" t="n">
        <f aca="false">INDEX(Semanas!$E$3:$E$54,29)</f>
        <v>10</v>
      </c>
      <c r="E500" s="0" t="str">
        <f aca="false">IF(Frota!$A14="","",Cronograma!AD14)</f>
        <v/>
      </c>
      <c r="F500" s="0" t="n">
        <f aca="false">IF(OR($E500="",$E500=0),0,1)</f>
        <v>0</v>
      </c>
      <c r="G500" s="0" t="n">
        <f aca="false">IF($F500=0,0,INDEX(Aux_HH!$D$4:$D$18,MATCH($B500&amp;"|"&amp;$E500,Aux_HH!$A$4:$A$18,0)))</f>
        <v>0</v>
      </c>
      <c r="H500" s="0" t="n">
        <f aca="false">IF($F500=0,0,INDEX(Aux_HH!$E$4:$E$18,MATCH($B500&amp;"|"&amp;$E500,Aux_HH!$A$4:$A$18,0)))</f>
        <v>0</v>
      </c>
      <c r="I500" s="0" t="n">
        <f aca="false">IF($F500=0,0,INDEX(Aux_HH!$F$4:$F$18,MATCH($B500&amp;"|"&amp;$E500,Aux_HH!$A$4:$A$18,0)))</f>
        <v>0</v>
      </c>
      <c r="J500" s="0" t="n">
        <f aca="false">IF($F500=0,0,INDEX(Aux_HH!$G$4:$G$18,MATCH($B500&amp;"|"&amp;$E500,Aux_HH!$A$4:$A$18,0)))</f>
        <v>0</v>
      </c>
      <c r="K500" s="0" t="n">
        <f aca="false">IF($F500=0,0,INDEX(Aux_HH!$H$4:$H$18,MATCH($B500&amp;"|"&amp;$E500,Aux_HH!$A$4:$A$18,0)))</f>
        <v>0</v>
      </c>
      <c r="L500" s="0" t="n">
        <f aca="false">IF($F500=0,0,INDEX(Aux_HH!$I$4:$I$18,MATCH($B500&amp;"|"&amp;$E500,Aux_HH!$A$4:$A$18,0)))</f>
        <v>0</v>
      </c>
    </row>
    <row r="501" customFormat="false" ht="15" hidden="false" customHeight="false" outlineLevel="0" collapsed="false">
      <c r="A501" s="0" t="str">
        <f aca="false">IF(Frota!$A14="","",Frota!$A14)</f>
        <v>Transbordo Mambra 20t — 801</v>
      </c>
      <c r="B501" s="0" t="str">
        <f aca="false">IF(Frota!$A14="","",Frota!$B14)</f>
        <v>Implemento</v>
      </c>
      <c r="C501" s="0" t="n">
        <v>30</v>
      </c>
      <c r="D501" s="0" t="n">
        <f aca="false">INDEX(Semanas!$E$3:$E$54,30)</f>
        <v>10</v>
      </c>
      <c r="E501" s="0" t="str">
        <f aca="false">IF(Frota!$A14="","",Cronograma!AE14)</f>
        <v>A</v>
      </c>
      <c r="F501" s="0" t="n">
        <f aca="false">IF(OR($E501="",$E501=0),0,1)</f>
        <v>1</v>
      </c>
      <c r="G501" s="0" t="n">
        <f aca="false">IF($F501=0,0,INDEX(Aux_HH!$D$4:$D$18,MATCH($B501&amp;"|"&amp;$E501,Aux_HH!$A$4:$A$18,0)))</f>
        <v>0.75</v>
      </c>
      <c r="H501" s="0" t="n">
        <f aca="false">IF($F501=0,0,INDEX(Aux_HH!$E$4:$E$18,MATCH($B501&amp;"|"&amp;$E501,Aux_HH!$A$4:$A$18,0)))</f>
        <v>0</v>
      </c>
      <c r="I501" s="0" t="n">
        <f aca="false">IF($F501=0,0,INDEX(Aux_HH!$F$4:$F$18,MATCH($B501&amp;"|"&amp;$E501,Aux_HH!$A$4:$A$18,0)))</f>
        <v>0</v>
      </c>
      <c r="J501" s="0" t="n">
        <f aca="false">IF($F501=0,0,INDEX(Aux_HH!$G$4:$G$18,MATCH($B501&amp;"|"&amp;$E501,Aux_HH!$A$4:$A$18,0)))</f>
        <v>0.5</v>
      </c>
      <c r="K501" s="0" t="n">
        <f aca="false">IF($F501=0,0,INDEX(Aux_HH!$H$4:$H$18,MATCH($B501&amp;"|"&amp;$E501,Aux_HH!$A$4:$A$18,0)))</f>
        <v>0</v>
      </c>
      <c r="L501" s="0" t="n">
        <f aca="false">IF($F501=0,0,INDEX(Aux_HH!$I$4:$I$18,MATCH($B501&amp;"|"&amp;$E501,Aux_HH!$A$4:$A$18,0)))</f>
        <v>1.5</v>
      </c>
    </row>
    <row r="502" customFormat="false" ht="15" hidden="false" customHeight="false" outlineLevel="0" collapsed="false">
      <c r="A502" s="0" t="str">
        <f aca="false">IF(Frota!$A14="","",Frota!$A14)</f>
        <v>Transbordo Mambra 20t — 801</v>
      </c>
      <c r="B502" s="0" t="str">
        <f aca="false">IF(Frota!$A14="","",Frota!$B14)</f>
        <v>Implemento</v>
      </c>
      <c r="C502" s="0" t="n">
        <v>31</v>
      </c>
      <c r="D502" s="0" t="n">
        <f aca="false">INDEX(Semanas!$E$3:$E$54,31)</f>
        <v>10</v>
      </c>
      <c r="E502" s="0" t="str">
        <f aca="false">IF(Frota!$A14="","",Cronograma!AF14)</f>
        <v/>
      </c>
      <c r="F502" s="0" t="n">
        <f aca="false">IF(OR($E502="",$E502=0),0,1)</f>
        <v>0</v>
      </c>
      <c r="G502" s="0" t="n">
        <f aca="false">IF($F502=0,0,INDEX(Aux_HH!$D$4:$D$18,MATCH($B502&amp;"|"&amp;$E502,Aux_HH!$A$4:$A$18,0)))</f>
        <v>0</v>
      </c>
      <c r="H502" s="0" t="n">
        <f aca="false">IF($F502=0,0,INDEX(Aux_HH!$E$4:$E$18,MATCH($B502&amp;"|"&amp;$E502,Aux_HH!$A$4:$A$18,0)))</f>
        <v>0</v>
      </c>
      <c r="I502" s="0" t="n">
        <f aca="false">IF($F502=0,0,INDEX(Aux_HH!$F$4:$F$18,MATCH($B502&amp;"|"&amp;$E502,Aux_HH!$A$4:$A$18,0)))</f>
        <v>0</v>
      </c>
      <c r="J502" s="0" t="n">
        <f aca="false">IF($F502=0,0,INDEX(Aux_HH!$G$4:$G$18,MATCH($B502&amp;"|"&amp;$E502,Aux_HH!$A$4:$A$18,0)))</f>
        <v>0</v>
      </c>
      <c r="K502" s="0" t="n">
        <f aca="false">IF($F502=0,0,INDEX(Aux_HH!$H$4:$H$18,MATCH($B502&amp;"|"&amp;$E502,Aux_HH!$A$4:$A$18,0)))</f>
        <v>0</v>
      </c>
      <c r="L502" s="0" t="n">
        <f aca="false">IF($F502=0,0,INDEX(Aux_HH!$I$4:$I$18,MATCH($B502&amp;"|"&amp;$E502,Aux_HH!$A$4:$A$18,0)))</f>
        <v>0</v>
      </c>
    </row>
    <row r="503" customFormat="false" ht="15" hidden="false" customHeight="false" outlineLevel="0" collapsed="false">
      <c r="A503" s="0" t="str">
        <f aca="false">IF(Frota!$A14="","",Frota!$A14)</f>
        <v>Transbordo Mambra 20t — 801</v>
      </c>
      <c r="B503" s="0" t="str">
        <f aca="false">IF(Frota!$A14="","",Frota!$B14)</f>
        <v>Implemento</v>
      </c>
      <c r="C503" s="0" t="n">
        <v>32</v>
      </c>
      <c r="D503" s="0" t="n">
        <f aca="false">INDEX(Semanas!$E$3:$E$54,32)</f>
        <v>11</v>
      </c>
      <c r="E503" s="0" t="str">
        <f aca="false">IF(Frota!$A14="","",Cronograma!AG14)</f>
        <v/>
      </c>
      <c r="F503" s="0" t="n">
        <f aca="false">IF(OR($E503="",$E503=0),0,1)</f>
        <v>0</v>
      </c>
      <c r="G503" s="0" t="n">
        <f aca="false">IF($F503=0,0,INDEX(Aux_HH!$D$4:$D$18,MATCH($B503&amp;"|"&amp;$E503,Aux_HH!$A$4:$A$18,0)))</f>
        <v>0</v>
      </c>
      <c r="H503" s="0" t="n">
        <f aca="false">IF($F503=0,0,INDEX(Aux_HH!$E$4:$E$18,MATCH($B503&amp;"|"&amp;$E503,Aux_HH!$A$4:$A$18,0)))</f>
        <v>0</v>
      </c>
      <c r="I503" s="0" t="n">
        <f aca="false">IF($F503=0,0,INDEX(Aux_HH!$F$4:$F$18,MATCH($B503&amp;"|"&amp;$E503,Aux_HH!$A$4:$A$18,0)))</f>
        <v>0</v>
      </c>
      <c r="J503" s="0" t="n">
        <f aca="false">IF($F503=0,0,INDEX(Aux_HH!$G$4:$G$18,MATCH($B503&amp;"|"&amp;$E503,Aux_HH!$A$4:$A$18,0)))</f>
        <v>0</v>
      </c>
      <c r="K503" s="0" t="n">
        <f aca="false">IF($F503=0,0,INDEX(Aux_HH!$H$4:$H$18,MATCH($B503&amp;"|"&amp;$E503,Aux_HH!$A$4:$A$18,0)))</f>
        <v>0</v>
      </c>
      <c r="L503" s="0" t="n">
        <f aca="false">IF($F503=0,0,INDEX(Aux_HH!$I$4:$I$18,MATCH($B503&amp;"|"&amp;$E503,Aux_HH!$A$4:$A$18,0)))</f>
        <v>0</v>
      </c>
    </row>
    <row r="504" customFormat="false" ht="15" hidden="false" customHeight="false" outlineLevel="0" collapsed="false">
      <c r="A504" s="0" t="str">
        <f aca="false">IF(Frota!$A14="","",Frota!$A14)</f>
        <v>Transbordo Mambra 20t — 801</v>
      </c>
      <c r="B504" s="0" t="str">
        <f aca="false">IF(Frota!$A14="","",Frota!$B14)</f>
        <v>Implemento</v>
      </c>
      <c r="C504" s="0" t="n">
        <v>33</v>
      </c>
      <c r="D504" s="0" t="n">
        <f aca="false">INDEX(Semanas!$E$3:$E$54,33)</f>
        <v>11</v>
      </c>
      <c r="E504" s="0" t="str">
        <f aca="false">IF(Frota!$A14="","",Cronograma!AH14)</f>
        <v/>
      </c>
      <c r="F504" s="0" t="n">
        <f aca="false">IF(OR($E504="",$E504=0),0,1)</f>
        <v>0</v>
      </c>
      <c r="G504" s="0" t="n">
        <f aca="false">IF($F504=0,0,INDEX(Aux_HH!$D$4:$D$18,MATCH($B504&amp;"|"&amp;$E504,Aux_HH!$A$4:$A$18,0)))</f>
        <v>0</v>
      </c>
      <c r="H504" s="0" t="n">
        <f aca="false">IF($F504=0,0,INDEX(Aux_HH!$E$4:$E$18,MATCH($B504&amp;"|"&amp;$E504,Aux_HH!$A$4:$A$18,0)))</f>
        <v>0</v>
      </c>
      <c r="I504" s="0" t="n">
        <f aca="false">IF($F504=0,0,INDEX(Aux_HH!$F$4:$F$18,MATCH($B504&amp;"|"&amp;$E504,Aux_HH!$A$4:$A$18,0)))</f>
        <v>0</v>
      </c>
      <c r="J504" s="0" t="n">
        <f aca="false">IF($F504=0,0,INDEX(Aux_HH!$G$4:$G$18,MATCH($B504&amp;"|"&amp;$E504,Aux_HH!$A$4:$A$18,0)))</f>
        <v>0</v>
      </c>
      <c r="K504" s="0" t="n">
        <f aca="false">IF($F504=0,0,INDEX(Aux_HH!$H$4:$H$18,MATCH($B504&amp;"|"&amp;$E504,Aux_HH!$A$4:$A$18,0)))</f>
        <v>0</v>
      </c>
      <c r="L504" s="0" t="n">
        <f aca="false">IF($F504=0,0,INDEX(Aux_HH!$I$4:$I$18,MATCH($B504&amp;"|"&amp;$E504,Aux_HH!$A$4:$A$18,0)))</f>
        <v>0</v>
      </c>
    </row>
    <row r="505" customFormat="false" ht="15" hidden="false" customHeight="false" outlineLevel="0" collapsed="false">
      <c r="A505" s="0" t="str">
        <f aca="false">IF(Frota!$A14="","",Frota!$A14)</f>
        <v>Transbordo Mambra 20t — 801</v>
      </c>
      <c r="B505" s="0" t="str">
        <f aca="false">IF(Frota!$A14="","",Frota!$B14)</f>
        <v>Implemento</v>
      </c>
      <c r="C505" s="0" t="n">
        <v>34</v>
      </c>
      <c r="D505" s="0" t="n">
        <f aca="false">INDEX(Semanas!$E$3:$E$54,34)</f>
        <v>11</v>
      </c>
      <c r="E505" s="0" t="str">
        <f aca="false">IF(Frota!$A14="","",Cronograma!AI14)</f>
        <v/>
      </c>
      <c r="F505" s="0" t="n">
        <f aca="false">IF(OR($E505="",$E505=0),0,1)</f>
        <v>0</v>
      </c>
      <c r="G505" s="0" t="n">
        <f aca="false">IF($F505=0,0,INDEX(Aux_HH!$D$4:$D$18,MATCH($B505&amp;"|"&amp;$E505,Aux_HH!$A$4:$A$18,0)))</f>
        <v>0</v>
      </c>
      <c r="H505" s="0" t="n">
        <f aca="false">IF($F505=0,0,INDEX(Aux_HH!$E$4:$E$18,MATCH($B505&amp;"|"&amp;$E505,Aux_HH!$A$4:$A$18,0)))</f>
        <v>0</v>
      </c>
      <c r="I505" s="0" t="n">
        <f aca="false">IF($F505=0,0,INDEX(Aux_HH!$F$4:$F$18,MATCH($B505&amp;"|"&amp;$E505,Aux_HH!$A$4:$A$18,0)))</f>
        <v>0</v>
      </c>
      <c r="J505" s="0" t="n">
        <f aca="false">IF($F505=0,0,INDEX(Aux_HH!$G$4:$G$18,MATCH($B505&amp;"|"&amp;$E505,Aux_HH!$A$4:$A$18,0)))</f>
        <v>0</v>
      </c>
      <c r="K505" s="0" t="n">
        <f aca="false">IF($F505=0,0,INDEX(Aux_HH!$H$4:$H$18,MATCH($B505&amp;"|"&amp;$E505,Aux_HH!$A$4:$A$18,0)))</f>
        <v>0</v>
      </c>
      <c r="L505" s="0" t="n">
        <f aca="false">IF($F505=0,0,INDEX(Aux_HH!$I$4:$I$18,MATCH($B505&amp;"|"&amp;$E505,Aux_HH!$A$4:$A$18,0)))</f>
        <v>0</v>
      </c>
    </row>
    <row r="506" customFormat="false" ht="15" hidden="false" customHeight="false" outlineLevel="0" collapsed="false">
      <c r="A506" s="0" t="str">
        <f aca="false">IF(Frota!$A14="","",Frota!$A14)</f>
        <v>Transbordo Mambra 20t — 801</v>
      </c>
      <c r="B506" s="0" t="str">
        <f aca="false">IF(Frota!$A14="","",Frota!$B14)</f>
        <v>Implemento</v>
      </c>
      <c r="C506" s="0" t="n">
        <v>35</v>
      </c>
      <c r="D506" s="0" t="n">
        <f aca="false">INDEX(Semanas!$E$3:$E$54,35)</f>
        <v>11</v>
      </c>
      <c r="E506" s="0" t="str">
        <f aca="false">IF(Frota!$A14="","",Cronograma!AJ14)</f>
        <v/>
      </c>
      <c r="F506" s="0" t="n">
        <f aca="false">IF(OR($E506="",$E506=0),0,1)</f>
        <v>0</v>
      </c>
      <c r="G506" s="0" t="n">
        <f aca="false">IF($F506=0,0,INDEX(Aux_HH!$D$4:$D$18,MATCH($B506&amp;"|"&amp;$E506,Aux_HH!$A$4:$A$18,0)))</f>
        <v>0</v>
      </c>
      <c r="H506" s="0" t="n">
        <f aca="false">IF($F506=0,0,INDEX(Aux_HH!$E$4:$E$18,MATCH($B506&amp;"|"&amp;$E506,Aux_HH!$A$4:$A$18,0)))</f>
        <v>0</v>
      </c>
      <c r="I506" s="0" t="n">
        <f aca="false">IF($F506=0,0,INDEX(Aux_HH!$F$4:$F$18,MATCH($B506&amp;"|"&amp;$E506,Aux_HH!$A$4:$A$18,0)))</f>
        <v>0</v>
      </c>
      <c r="J506" s="0" t="n">
        <f aca="false">IF($F506=0,0,INDEX(Aux_HH!$G$4:$G$18,MATCH($B506&amp;"|"&amp;$E506,Aux_HH!$A$4:$A$18,0)))</f>
        <v>0</v>
      </c>
      <c r="K506" s="0" t="n">
        <f aca="false">IF($F506=0,0,INDEX(Aux_HH!$H$4:$H$18,MATCH($B506&amp;"|"&amp;$E506,Aux_HH!$A$4:$A$18,0)))</f>
        <v>0</v>
      </c>
      <c r="L506" s="0" t="n">
        <f aca="false">IF($F506=0,0,INDEX(Aux_HH!$I$4:$I$18,MATCH($B506&amp;"|"&amp;$E506,Aux_HH!$A$4:$A$18,0)))</f>
        <v>0</v>
      </c>
    </row>
    <row r="507" customFormat="false" ht="15" hidden="false" customHeight="false" outlineLevel="0" collapsed="false">
      <c r="A507" s="0" t="str">
        <f aca="false">IF(Frota!$A14="","",Frota!$A14)</f>
        <v>Transbordo Mambra 20t — 801</v>
      </c>
      <c r="B507" s="0" t="str">
        <f aca="false">IF(Frota!$A14="","",Frota!$B14)</f>
        <v>Implemento</v>
      </c>
      <c r="C507" s="0" t="n">
        <v>36</v>
      </c>
      <c r="D507" s="0" t="n">
        <f aca="false">INDEX(Semanas!$E$3:$E$54,36)</f>
        <v>12</v>
      </c>
      <c r="E507" s="0" t="str">
        <f aca="false">IF(Frota!$A14="","",Cronograma!AK14)</f>
        <v/>
      </c>
      <c r="F507" s="0" t="n">
        <f aca="false">IF(OR($E507="",$E507=0),0,1)</f>
        <v>0</v>
      </c>
      <c r="G507" s="0" t="n">
        <f aca="false">IF($F507=0,0,INDEX(Aux_HH!$D$4:$D$18,MATCH($B507&amp;"|"&amp;$E507,Aux_HH!$A$4:$A$18,0)))</f>
        <v>0</v>
      </c>
      <c r="H507" s="0" t="n">
        <f aca="false">IF($F507=0,0,INDEX(Aux_HH!$E$4:$E$18,MATCH($B507&amp;"|"&amp;$E507,Aux_HH!$A$4:$A$18,0)))</f>
        <v>0</v>
      </c>
      <c r="I507" s="0" t="n">
        <f aca="false">IF($F507=0,0,INDEX(Aux_HH!$F$4:$F$18,MATCH($B507&amp;"|"&amp;$E507,Aux_HH!$A$4:$A$18,0)))</f>
        <v>0</v>
      </c>
      <c r="J507" s="0" t="n">
        <f aca="false">IF($F507=0,0,INDEX(Aux_HH!$G$4:$G$18,MATCH($B507&amp;"|"&amp;$E507,Aux_HH!$A$4:$A$18,0)))</f>
        <v>0</v>
      </c>
      <c r="K507" s="0" t="n">
        <f aca="false">IF($F507=0,0,INDEX(Aux_HH!$H$4:$H$18,MATCH($B507&amp;"|"&amp;$E507,Aux_HH!$A$4:$A$18,0)))</f>
        <v>0</v>
      </c>
      <c r="L507" s="0" t="n">
        <f aca="false">IF($F507=0,0,INDEX(Aux_HH!$I$4:$I$18,MATCH($B507&amp;"|"&amp;$E507,Aux_HH!$A$4:$A$18,0)))</f>
        <v>0</v>
      </c>
    </row>
    <row r="508" customFormat="false" ht="15" hidden="false" customHeight="false" outlineLevel="0" collapsed="false">
      <c r="A508" s="0" t="str">
        <f aca="false">IF(Frota!$A14="","",Frota!$A14)</f>
        <v>Transbordo Mambra 20t — 801</v>
      </c>
      <c r="B508" s="0" t="str">
        <f aca="false">IF(Frota!$A14="","",Frota!$B14)</f>
        <v>Implemento</v>
      </c>
      <c r="C508" s="0" t="n">
        <v>37</v>
      </c>
      <c r="D508" s="0" t="n">
        <f aca="false">INDEX(Semanas!$E$3:$E$54,37)</f>
        <v>12</v>
      </c>
      <c r="E508" s="0" t="str">
        <f aca="false">IF(Frota!$A14="","",Cronograma!AL14)</f>
        <v/>
      </c>
      <c r="F508" s="0" t="n">
        <f aca="false">IF(OR($E508="",$E508=0),0,1)</f>
        <v>0</v>
      </c>
      <c r="G508" s="0" t="n">
        <f aca="false">IF($F508=0,0,INDEX(Aux_HH!$D$4:$D$18,MATCH($B508&amp;"|"&amp;$E508,Aux_HH!$A$4:$A$18,0)))</f>
        <v>0</v>
      </c>
      <c r="H508" s="0" t="n">
        <f aca="false">IF($F508=0,0,INDEX(Aux_HH!$E$4:$E$18,MATCH($B508&amp;"|"&amp;$E508,Aux_HH!$A$4:$A$18,0)))</f>
        <v>0</v>
      </c>
      <c r="I508" s="0" t="n">
        <f aca="false">IF($F508=0,0,INDEX(Aux_HH!$F$4:$F$18,MATCH($B508&amp;"|"&amp;$E508,Aux_HH!$A$4:$A$18,0)))</f>
        <v>0</v>
      </c>
      <c r="J508" s="0" t="n">
        <f aca="false">IF($F508=0,0,INDEX(Aux_HH!$G$4:$G$18,MATCH($B508&amp;"|"&amp;$E508,Aux_HH!$A$4:$A$18,0)))</f>
        <v>0</v>
      </c>
      <c r="K508" s="0" t="n">
        <f aca="false">IF($F508=0,0,INDEX(Aux_HH!$H$4:$H$18,MATCH($B508&amp;"|"&amp;$E508,Aux_HH!$A$4:$A$18,0)))</f>
        <v>0</v>
      </c>
      <c r="L508" s="0" t="n">
        <f aca="false">IF($F508=0,0,INDEX(Aux_HH!$I$4:$I$18,MATCH($B508&amp;"|"&amp;$E508,Aux_HH!$A$4:$A$18,0)))</f>
        <v>0</v>
      </c>
    </row>
    <row r="509" customFormat="false" ht="15" hidden="false" customHeight="false" outlineLevel="0" collapsed="false">
      <c r="A509" s="0" t="str">
        <f aca="false">IF(Frota!$A14="","",Frota!$A14)</f>
        <v>Transbordo Mambra 20t — 801</v>
      </c>
      <c r="B509" s="0" t="str">
        <f aca="false">IF(Frota!$A14="","",Frota!$B14)</f>
        <v>Implemento</v>
      </c>
      <c r="C509" s="0" t="n">
        <v>38</v>
      </c>
      <c r="D509" s="0" t="n">
        <f aca="false">INDEX(Semanas!$E$3:$E$54,38)</f>
        <v>12</v>
      </c>
      <c r="E509" s="0" t="str">
        <f aca="false">IF(Frota!$A14="","",Cronograma!AM14)</f>
        <v/>
      </c>
      <c r="F509" s="0" t="n">
        <f aca="false">IF(OR($E509="",$E509=0),0,1)</f>
        <v>0</v>
      </c>
      <c r="G509" s="0" t="n">
        <f aca="false">IF($F509=0,0,INDEX(Aux_HH!$D$4:$D$18,MATCH($B509&amp;"|"&amp;$E509,Aux_HH!$A$4:$A$18,0)))</f>
        <v>0</v>
      </c>
      <c r="H509" s="0" t="n">
        <f aca="false">IF($F509=0,0,INDEX(Aux_HH!$E$4:$E$18,MATCH($B509&amp;"|"&amp;$E509,Aux_HH!$A$4:$A$18,0)))</f>
        <v>0</v>
      </c>
      <c r="I509" s="0" t="n">
        <f aca="false">IF($F509=0,0,INDEX(Aux_HH!$F$4:$F$18,MATCH($B509&amp;"|"&amp;$E509,Aux_HH!$A$4:$A$18,0)))</f>
        <v>0</v>
      </c>
      <c r="J509" s="0" t="n">
        <f aca="false">IF($F509=0,0,INDEX(Aux_HH!$G$4:$G$18,MATCH($B509&amp;"|"&amp;$E509,Aux_HH!$A$4:$A$18,0)))</f>
        <v>0</v>
      </c>
      <c r="K509" s="0" t="n">
        <f aca="false">IF($F509=0,0,INDEX(Aux_HH!$H$4:$H$18,MATCH($B509&amp;"|"&amp;$E509,Aux_HH!$A$4:$A$18,0)))</f>
        <v>0</v>
      </c>
      <c r="L509" s="0" t="n">
        <f aca="false">IF($F509=0,0,INDEX(Aux_HH!$I$4:$I$18,MATCH($B509&amp;"|"&amp;$E509,Aux_HH!$A$4:$A$18,0)))</f>
        <v>0</v>
      </c>
    </row>
    <row r="510" customFormat="false" ht="15" hidden="false" customHeight="false" outlineLevel="0" collapsed="false">
      <c r="A510" s="0" t="str">
        <f aca="false">IF(Frota!$A14="","",Frota!$A14)</f>
        <v>Transbordo Mambra 20t — 801</v>
      </c>
      <c r="B510" s="0" t="str">
        <f aca="false">IF(Frota!$A14="","",Frota!$B14)</f>
        <v>Implemento</v>
      </c>
      <c r="C510" s="0" t="n">
        <v>39</v>
      </c>
      <c r="D510" s="0" t="n">
        <f aca="false">INDEX(Semanas!$E$3:$E$54,39)</f>
        <v>12</v>
      </c>
      <c r="E510" s="0" t="str">
        <f aca="false">IF(Frota!$A14="","",Cronograma!AN14)</f>
        <v/>
      </c>
      <c r="F510" s="0" t="n">
        <f aca="false">IF(OR($E510="",$E510=0),0,1)</f>
        <v>0</v>
      </c>
      <c r="G510" s="0" t="n">
        <f aca="false">IF($F510=0,0,INDEX(Aux_HH!$D$4:$D$18,MATCH($B510&amp;"|"&amp;$E510,Aux_HH!$A$4:$A$18,0)))</f>
        <v>0</v>
      </c>
      <c r="H510" s="0" t="n">
        <f aca="false">IF($F510=0,0,INDEX(Aux_HH!$E$4:$E$18,MATCH($B510&amp;"|"&amp;$E510,Aux_HH!$A$4:$A$18,0)))</f>
        <v>0</v>
      </c>
      <c r="I510" s="0" t="n">
        <f aca="false">IF($F510=0,0,INDEX(Aux_HH!$F$4:$F$18,MATCH($B510&amp;"|"&amp;$E510,Aux_HH!$A$4:$A$18,0)))</f>
        <v>0</v>
      </c>
      <c r="J510" s="0" t="n">
        <f aca="false">IF($F510=0,0,INDEX(Aux_HH!$G$4:$G$18,MATCH($B510&amp;"|"&amp;$E510,Aux_HH!$A$4:$A$18,0)))</f>
        <v>0</v>
      </c>
      <c r="K510" s="0" t="n">
        <f aca="false">IF($F510=0,0,INDEX(Aux_HH!$H$4:$H$18,MATCH($B510&amp;"|"&amp;$E510,Aux_HH!$A$4:$A$18,0)))</f>
        <v>0</v>
      </c>
      <c r="L510" s="0" t="n">
        <f aca="false">IF($F510=0,0,INDEX(Aux_HH!$I$4:$I$18,MATCH($B510&amp;"|"&amp;$E510,Aux_HH!$A$4:$A$18,0)))</f>
        <v>0</v>
      </c>
    </row>
    <row r="511" customFormat="false" ht="15" hidden="false" customHeight="false" outlineLevel="0" collapsed="false">
      <c r="A511" s="0" t="str">
        <f aca="false">IF(Frota!$A14="","",Frota!$A14)</f>
        <v>Transbordo Mambra 20t — 801</v>
      </c>
      <c r="B511" s="0" t="str">
        <f aca="false">IF(Frota!$A14="","",Frota!$B14)</f>
        <v>Implemento</v>
      </c>
      <c r="C511" s="0" t="n">
        <v>40</v>
      </c>
      <c r="D511" s="0" t="n">
        <f aca="false">INDEX(Semanas!$E$3:$E$54,40)</f>
        <v>12</v>
      </c>
      <c r="E511" s="0" t="str">
        <f aca="false">IF(Frota!$A14="","",Cronograma!AO14)</f>
        <v/>
      </c>
      <c r="F511" s="0" t="n">
        <f aca="false">IF(OR($E511="",$E511=0),0,1)</f>
        <v>0</v>
      </c>
      <c r="G511" s="0" t="n">
        <f aca="false">IF($F511=0,0,INDEX(Aux_HH!$D$4:$D$18,MATCH($B511&amp;"|"&amp;$E511,Aux_HH!$A$4:$A$18,0)))</f>
        <v>0</v>
      </c>
      <c r="H511" s="0" t="n">
        <f aca="false">IF($F511=0,0,INDEX(Aux_HH!$E$4:$E$18,MATCH($B511&amp;"|"&amp;$E511,Aux_HH!$A$4:$A$18,0)))</f>
        <v>0</v>
      </c>
      <c r="I511" s="0" t="n">
        <f aca="false">IF($F511=0,0,INDEX(Aux_HH!$F$4:$F$18,MATCH($B511&amp;"|"&amp;$E511,Aux_HH!$A$4:$A$18,0)))</f>
        <v>0</v>
      </c>
      <c r="J511" s="0" t="n">
        <f aca="false">IF($F511=0,0,INDEX(Aux_HH!$G$4:$G$18,MATCH($B511&amp;"|"&amp;$E511,Aux_HH!$A$4:$A$18,0)))</f>
        <v>0</v>
      </c>
      <c r="K511" s="0" t="n">
        <f aca="false">IF($F511=0,0,INDEX(Aux_HH!$H$4:$H$18,MATCH($B511&amp;"|"&amp;$E511,Aux_HH!$A$4:$A$18,0)))</f>
        <v>0</v>
      </c>
      <c r="L511" s="0" t="n">
        <f aca="false">IF($F511=0,0,INDEX(Aux_HH!$I$4:$I$18,MATCH($B511&amp;"|"&amp;$E511,Aux_HH!$A$4:$A$18,0)))</f>
        <v>0</v>
      </c>
    </row>
    <row r="512" customFormat="false" ht="15" hidden="false" customHeight="false" outlineLevel="0" collapsed="false">
      <c r="A512" s="0" t="str">
        <f aca="false">IF(Frota!$A14="","",Frota!$A14)</f>
        <v>Transbordo Mambra 20t — 801</v>
      </c>
      <c r="B512" s="0" t="str">
        <f aca="false">IF(Frota!$A14="","",Frota!$B14)</f>
        <v>Implemento</v>
      </c>
      <c r="C512" s="0" t="n">
        <v>41</v>
      </c>
      <c r="D512" s="0" t="n">
        <f aca="false">INDEX(Semanas!$E$3:$E$54,41)</f>
        <v>1</v>
      </c>
      <c r="E512" s="0" t="str">
        <f aca="false">IF(Frota!$A14="","",Cronograma!AP14)</f>
        <v/>
      </c>
      <c r="F512" s="0" t="n">
        <f aca="false">IF(OR($E512="",$E512=0),0,1)</f>
        <v>0</v>
      </c>
      <c r="G512" s="0" t="n">
        <f aca="false">IF($F512=0,0,INDEX(Aux_HH!$D$4:$D$18,MATCH($B512&amp;"|"&amp;$E512,Aux_HH!$A$4:$A$18,0)))</f>
        <v>0</v>
      </c>
      <c r="H512" s="0" t="n">
        <f aca="false">IF($F512=0,0,INDEX(Aux_HH!$E$4:$E$18,MATCH($B512&amp;"|"&amp;$E512,Aux_HH!$A$4:$A$18,0)))</f>
        <v>0</v>
      </c>
      <c r="I512" s="0" t="n">
        <f aca="false">IF($F512=0,0,INDEX(Aux_HH!$F$4:$F$18,MATCH($B512&amp;"|"&amp;$E512,Aux_HH!$A$4:$A$18,0)))</f>
        <v>0</v>
      </c>
      <c r="J512" s="0" t="n">
        <f aca="false">IF($F512=0,0,INDEX(Aux_HH!$G$4:$G$18,MATCH($B512&amp;"|"&amp;$E512,Aux_HH!$A$4:$A$18,0)))</f>
        <v>0</v>
      </c>
      <c r="K512" s="0" t="n">
        <f aca="false">IF($F512=0,0,INDEX(Aux_HH!$H$4:$H$18,MATCH($B512&amp;"|"&amp;$E512,Aux_HH!$A$4:$A$18,0)))</f>
        <v>0</v>
      </c>
      <c r="L512" s="0" t="n">
        <f aca="false">IF($F512=0,0,INDEX(Aux_HH!$I$4:$I$18,MATCH($B512&amp;"|"&amp;$E512,Aux_HH!$A$4:$A$18,0)))</f>
        <v>0</v>
      </c>
    </row>
    <row r="513" customFormat="false" ht="15" hidden="false" customHeight="false" outlineLevel="0" collapsed="false">
      <c r="A513" s="0" t="str">
        <f aca="false">IF(Frota!$A14="","",Frota!$A14)</f>
        <v>Transbordo Mambra 20t — 801</v>
      </c>
      <c r="B513" s="0" t="str">
        <f aca="false">IF(Frota!$A14="","",Frota!$B14)</f>
        <v>Implemento</v>
      </c>
      <c r="C513" s="0" t="n">
        <v>42</v>
      </c>
      <c r="D513" s="0" t="n">
        <f aca="false">INDEX(Semanas!$E$3:$E$54,42)</f>
        <v>1</v>
      </c>
      <c r="E513" s="0" t="str">
        <f aca="false">IF(Frota!$A14="","",Cronograma!AQ14)</f>
        <v/>
      </c>
      <c r="F513" s="0" t="n">
        <f aca="false">IF(OR($E513="",$E513=0),0,1)</f>
        <v>0</v>
      </c>
      <c r="G513" s="0" t="n">
        <f aca="false">IF($F513=0,0,INDEX(Aux_HH!$D$4:$D$18,MATCH($B513&amp;"|"&amp;$E513,Aux_HH!$A$4:$A$18,0)))</f>
        <v>0</v>
      </c>
      <c r="H513" s="0" t="n">
        <f aca="false">IF($F513=0,0,INDEX(Aux_HH!$E$4:$E$18,MATCH($B513&amp;"|"&amp;$E513,Aux_HH!$A$4:$A$18,0)))</f>
        <v>0</v>
      </c>
      <c r="I513" s="0" t="n">
        <f aca="false">IF($F513=0,0,INDEX(Aux_HH!$F$4:$F$18,MATCH($B513&amp;"|"&amp;$E513,Aux_HH!$A$4:$A$18,0)))</f>
        <v>0</v>
      </c>
      <c r="J513" s="0" t="n">
        <f aca="false">IF($F513=0,0,INDEX(Aux_HH!$G$4:$G$18,MATCH($B513&amp;"|"&amp;$E513,Aux_HH!$A$4:$A$18,0)))</f>
        <v>0</v>
      </c>
      <c r="K513" s="0" t="n">
        <f aca="false">IF($F513=0,0,INDEX(Aux_HH!$H$4:$H$18,MATCH($B513&amp;"|"&amp;$E513,Aux_HH!$A$4:$A$18,0)))</f>
        <v>0</v>
      </c>
      <c r="L513" s="0" t="n">
        <f aca="false">IF($F513=0,0,INDEX(Aux_HH!$I$4:$I$18,MATCH($B513&amp;"|"&amp;$E513,Aux_HH!$A$4:$A$18,0)))</f>
        <v>0</v>
      </c>
    </row>
    <row r="514" customFormat="false" ht="15" hidden="false" customHeight="false" outlineLevel="0" collapsed="false">
      <c r="A514" s="0" t="str">
        <f aca="false">IF(Frota!$A14="","",Frota!$A14)</f>
        <v>Transbordo Mambra 20t — 801</v>
      </c>
      <c r="B514" s="0" t="str">
        <f aca="false">IF(Frota!$A14="","",Frota!$B14)</f>
        <v>Implemento</v>
      </c>
      <c r="C514" s="0" t="n">
        <v>43</v>
      </c>
      <c r="D514" s="0" t="n">
        <f aca="false">INDEX(Semanas!$E$3:$E$54,43)</f>
        <v>1</v>
      </c>
      <c r="E514" s="0" t="str">
        <f aca="false">IF(Frota!$A14="","",Cronograma!AR14)</f>
        <v/>
      </c>
      <c r="F514" s="0" t="n">
        <f aca="false">IF(OR($E514="",$E514=0),0,1)</f>
        <v>0</v>
      </c>
      <c r="G514" s="0" t="n">
        <f aca="false">IF($F514=0,0,INDEX(Aux_HH!$D$4:$D$18,MATCH($B514&amp;"|"&amp;$E514,Aux_HH!$A$4:$A$18,0)))</f>
        <v>0</v>
      </c>
      <c r="H514" s="0" t="n">
        <f aca="false">IF($F514=0,0,INDEX(Aux_HH!$E$4:$E$18,MATCH($B514&amp;"|"&amp;$E514,Aux_HH!$A$4:$A$18,0)))</f>
        <v>0</v>
      </c>
      <c r="I514" s="0" t="n">
        <f aca="false">IF($F514=0,0,INDEX(Aux_HH!$F$4:$F$18,MATCH($B514&amp;"|"&amp;$E514,Aux_HH!$A$4:$A$18,0)))</f>
        <v>0</v>
      </c>
      <c r="J514" s="0" t="n">
        <f aca="false">IF($F514=0,0,INDEX(Aux_HH!$G$4:$G$18,MATCH($B514&amp;"|"&amp;$E514,Aux_HH!$A$4:$A$18,0)))</f>
        <v>0</v>
      </c>
      <c r="K514" s="0" t="n">
        <f aca="false">IF($F514=0,0,INDEX(Aux_HH!$H$4:$H$18,MATCH($B514&amp;"|"&amp;$E514,Aux_HH!$A$4:$A$18,0)))</f>
        <v>0</v>
      </c>
      <c r="L514" s="0" t="n">
        <f aca="false">IF($F514=0,0,INDEX(Aux_HH!$I$4:$I$18,MATCH($B514&amp;"|"&amp;$E514,Aux_HH!$A$4:$A$18,0)))</f>
        <v>0</v>
      </c>
    </row>
    <row r="515" customFormat="false" ht="15" hidden="false" customHeight="false" outlineLevel="0" collapsed="false">
      <c r="A515" s="0" t="str">
        <f aca="false">IF(Frota!$A14="","",Frota!$A14)</f>
        <v>Transbordo Mambra 20t — 801</v>
      </c>
      <c r="B515" s="0" t="str">
        <f aca="false">IF(Frota!$A14="","",Frota!$B14)</f>
        <v>Implemento</v>
      </c>
      <c r="C515" s="0" t="n">
        <v>44</v>
      </c>
      <c r="D515" s="0" t="n">
        <f aca="false">INDEX(Semanas!$E$3:$E$54,44)</f>
        <v>1</v>
      </c>
      <c r="E515" s="0" t="str">
        <f aca="false">IF(Frota!$A14="","",Cronograma!AS14)</f>
        <v/>
      </c>
      <c r="F515" s="0" t="n">
        <f aca="false">IF(OR($E515="",$E515=0),0,1)</f>
        <v>0</v>
      </c>
      <c r="G515" s="0" t="n">
        <f aca="false">IF($F515=0,0,INDEX(Aux_HH!$D$4:$D$18,MATCH($B515&amp;"|"&amp;$E515,Aux_HH!$A$4:$A$18,0)))</f>
        <v>0</v>
      </c>
      <c r="H515" s="0" t="n">
        <f aca="false">IF($F515=0,0,INDEX(Aux_HH!$E$4:$E$18,MATCH($B515&amp;"|"&amp;$E515,Aux_HH!$A$4:$A$18,0)))</f>
        <v>0</v>
      </c>
      <c r="I515" s="0" t="n">
        <f aca="false">IF($F515=0,0,INDEX(Aux_HH!$F$4:$F$18,MATCH($B515&amp;"|"&amp;$E515,Aux_HH!$A$4:$A$18,0)))</f>
        <v>0</v>
      </c>
      <c r="J515" s="0" t="n">
        <f aca="false">IF($F515=0,0,INDEX(Aux_HH!$G$4:$G$18,MATCH($B515&amp;"|"&amp;$E515,Aux_HH!$A$4:$A$18,0)))</f>
        <v>0</v>
      </c>
      <c r="K515" s="0" t="n">
        <f aca="false">IF($F515=0,0,INDEX(Aux_HH!$H$4:$H$18,MATCH($B515&amp;"|"&amp;$E515,Aux_HH!$A$4:$A$18,0)))</f>
        <v>0</v>
      </c>
      <c r="L515" s="0" t="n">
        <f aca="false">IF($F515=0,0,INDEX(Aux_HH!$I$4:$I$18,MATCH($B515&amp;"|"&amp;$E515,Aux_HH!$A$4:$A$18,0)))</f>
        <v>0</v>
      </c>
    </row>
    <row r="516" customFormat="false" ht="15" hidden="false" customHeight="false" outlineLevel="0" collapsed="false">
      <c r="A516" s="0" t="str">
        <f aca="false">IF(Frota!$A14="","",Frota!$A14)</f>
        <v>Transbordo Mambra 20t — 801</v>
      </c>
      <c r="B516" s="0" t="str">
        <f aca="false">IF(Frota!$A14="","",Frota!$B14)</f>
        <v>Implemento</v>
      </c>
      <c r="C516" s="0" t="n">
        <v>45</v>
      </c>
      <c r="D516" s="0" t="n">
        <f aca="false">INDEX(Semanas!$E$3:$E$54,45)</f>
        <v>2</v>
      </c>
      <c r="E516" s="0" t="str">
        <f aca="false">IF(Frota!$A14="","",Cronograma!AT14)</f>
        <v/>
      </c>
      <c r="F516" s="0" t="n">
        <f aca="false">IF(OR($E516="",$E516=0),0,1)</f>
        <v>0</v>
      </c>
      <c r="G516" s="0" t="n">
        <f aca="false">IF($F516=0,0,INDEX(Aux_HH!$D$4:$D$18,MATCH($B516&amp;"|"&amp;$E516,Aux_HH!$A$4:$A$18,0)))</f>
        <v>0</v>
      </c>
      <c r="H516" s="0" t="n">
        <f aca="false">IF($F516=0,0,INDEX(Aux_HH!$E$4:$E$18,MATCH($B516&amp;"|"&amp;$E516,Aux_HH!$A$4:$A$18,0)))</f>
        <v>0</v>
      </c>
      <c r="I516" s="0" t="n">
        <f aca="false">IF($F516=0,0,INDEX(Aux_HH!$F$4:$F$18,MATCH($B516&amp;"|"&amp;$E516,Aux_HH!$A$4:$A$18,0)))</f>
        <v>0</v>
      </c>
      <c r="J516" s="0" t="n">
        <f aca="false">IF($F516=0,0,INDEX(Aux_HH!$G$4:$G$18,MATCH($B516&amp;"|"&amp;$E516,Aux_HH!$A$4:$A$18,0)))</f>
        <v>0</v>
      </c>
      <c r="K516" s="0" t="n">
        <f aca="false">IF($F516=0,0,INDEX(Aux_HH!$H$4:$H$18,MATCH($B516&amp;"|"&amp;$E516,Aux_HH!$A$4:$A$18,0)))</f>
        <v>0</v>
      </c>
      <c r="L516" s="0" t="n">
        <f aca="false">IF($F516=0,0,INDEX(Aux_HH!$I$4:$I$18,MATCH($B516&amp;"|"&amp;$E516,Aux_HH!$A$4:$A$18,0)))</f>
        <v>0</v>
      </c>
    </row>
    <row r="517" customFormat="false" ht="15" hidden="false" customHeight="false" outlineLevel="0" collapsed="false">
      <c r="A517" s="0" t="str">
        <f aca="false">IF(Frota!$A14="","",Frota!$A14)</f>
        <v>Transbordo Mambra 20t — 801</v>
      </c>
      <c r="B517" s="0" t="str">
        <f aca="false">IF(Frota!$A14="","",Frota!$B14)</f>
        <v>Implemento</v>
      </c>
      <c r="C517" s="0" t="n">
        <v>46</v>
      </c>
      <c r="D517" s="0" t="n">
        <f aca="false">INDEX(Semanas!$E$3:$E$54,46)</f>
        <v>2</v>
      </c>
      <c r="E517" s="0" t="str">
        <f aca="false">IF(Frota!$A14="","",Cronograma!AU14)</f>
        <v/>
      </c>
      <c r="F517" s="0" t="n">
        <f aca="false">IF(OR($E517="",$E517=0),0,1)</f>
        <v>0</v>
      </c>
      <c r="G517" s="0" t="n">
        <f aca="false">IF($F517=0,0,INDEX(Aux_HH!$D$4:$D$18,MATCH($B517&amp;"|"&amp;$E517,Aux_HH!$A$4:$A$18,0)))</f>
        <v>0</v>
      </c>
      <c r="H517" s="0" t="n">
        <f aca="false">IF($F517=0,0,INDEX(Aux_HH!$E$4:$E$18,MATCH($B517&amp;"|"&amp;$E517,Aux_HH!$A$4:$A$18,0)))</f>
        <v>0</v>
      </c>
      <c r="I517" s="0" t="n">
        <f aca="false">IF($F517=0,0,INDEX(Aux_HH!$F$4:$F$18,MATCH($B517&amp;"|"&amp;$E517,Aux_HH!$A$4:$A$18,0)))</f>
        <v>0</v>
      </c>
      <c r="J517" s="0" t="n">
        <f aca="false">IF($F517=0,0,INDEX(Aux_HH!$G$4:$G$18,MATCH($B517&amp;"|"&amp;$E517,Aux_HH!$A$4:$A$18,0)))</f>
        <v>0</v>
      </c>
      <c r="K517" s="0" t="n">
        <f aca="false">IF($F517=0,0,INDEX(Aux_HH!$H$4:$H$18,MATCH($B517&amp;"|"&amp;$E517,Aux_HH!$A$4:$A$18,0)))</f>
        <v>0</v>
      </c>
      <c r="L517" s="0" t="n">
        <f aca="false">IF($F517=0,0,INDEX(Aux_HH!$I$4:$I$18,MATCH($B517&amp;"|"&amp;$E517,Aux_HH!$A$4:$A$18,0)))</f>
        <v>0</v>
      </c>
    </row>
    <row r="518" customFormat="false" ht="15" hidden="false" customHeight="false" outlineLevel="0" collapsed="false">
      <c r="A518" s="0" t="str">
        <f aca="false">IF(Frota!$A14="","",Frota!$A14)</f>
        <v>Transbordo Mambra 20t — 801</v>
      </c>
      <c r="B518" s="0" t="str">
        <f aca="false">IF(Frota!$A14="","",Frota!$B14)</f>
        <v>Implemento</v>
      </c>
      <c r="C518" s="0" t="n">
        <v>47</v>
      </c>
      <c r="D518" s="0" t="n">
        <f aca="false">INDEX(Semanas!$E$3:$E$54,47)</f>
        <v>2</v>
      </c>
      <c r="E518" s="0" t="str">
        <f aca="false">IF(Frota!$A14="","",Cronograma!AV14)</f>
        <v/>
      </c>
      <c r="F518" s="0" t="n">
        <f aca="false">IF(OR($E518="",$E518=0),0,1)</f>
        <v>0</v>
      </c>
      <c r="G518" s="0" t="n">
        <f aca="false">IF($F518=0,0,INDEX(Aux_HH!$D$4:$D$18,MATCH($B518&amp;"|"&amp;$E518,Aux_HH!$A$4:$A$18,0)))</f>
        <v>0</v>
      </c>
      <c r="H518" s="0" t="n">
        <f aca="false">IF($F518=0,0,INDEX(Aux_HH!$E$4:$E$18,MATCH($B518&amp;"|"&amp;$E518,Aux_HH!$A$4:$A$18,0)))</f>
        <v>0</v>
      </c>
      <c r="I518" s="0" t="n">
        <f aca="false">IF($F518=0,0,INDEX(Aux_HH!$F$4:$F$18,MATCH($B518&amp;"|"&amp;$E518,Aux_HH!$A$4:$A$18,0)))</f>
        <v>0</v>
      </c>
      <c r="J518" s="0" t="n">
        <f aca="false">IF($F518=0,0,INDEX(Aux_HH!$G$4:$G$18,MATCH($B518&amp;"|"&amp;$E518,Aux_HH!$A$4:$A$18,0)))</f>
        <v>0</v>
      </c>
      <c r="K518" s="0" t="n">
        <f aca="false">IF($F518=0,0,INDEX(Aux_HH!$H$4:$H$18,MATCH($B518&amp;"|"&amp;$E518,Aux_HH!$A$4:$A$18,0)))</f>
        <v>0</v>
      </c>
      <c r="L518" s="0" t="n">
        <f aca="false">IF($F518=0,0,INDEX(Aux_HH!$I$4:$I$18,MATCH($B518&amp;"|"&amp;$E518,Aux_HH!$A$4:$A$18,0)))</f>
        <v>0</v>
      </c>
    </row>
    <row r="519" customFormat="false" ht="15" hidden="false" customHeight="false" outlineLevel="0" collapsed="false">
      <c r="A519" s="0" t="str">
        <f aca="false">IF(Frota!$A14="","",Frota!$A14)</f>
        <v>Transbordo Mambra 20t — 801</v>
      </c>
      <c r="B519" s="0" t="str">
        <f aca="false">IF(Frota!$A14="","",Frota!$B14)</f>
        <v>Implemento</v>
      </c>
      <c r="C519" s="0" t="n">
        <v>48</v>
      </c>
      <c r="D519" s="0" t="n">
        <f aca="false">INDEX(Semanas!$E$3:$E$54,48)</f>
        <v>2</v>
      </c>
      <c r="E519" s="0" t="str">
        <f aca="false">IF(Frota!$A14="","",Cronograma!AW14)</f>
        <v>S</v>
      </c>
      <c r="F519" s="0" t="n">
        <f aca="false">IF(OR($E519="",$E519=0),0,1)</f>
        <v>1</v>
      </c>
      <c r="G519" s="0" t="n">
        <f aca="false">IF($F519=0,0,INDEX(Aux_HH!$D$4:$D$18,MATCH($B519&amp;"|"&amp;$E519,Aux_HH!$A$4:$A$18,0)))</f>
        <v>0.75</v>
      </c>
      <c r="H519" s="0" t="n">
        <f aca="false">IF($F519=0,0,INDEX(Aux_HH!$E$4:$E$18,MATCH($B519&amp;"|"&amp;$E519,Aux_HH!$A$4:$A$18,0)))</f>
        <v>0</v>
      </c>
      <c r="I519" s="0" t="n">
        <f aca="false">IF($F519=0,0,INDEX(Aux_HH!$F$4:$F$18,MATCH($B519&amp;"|"&amp;$E519,Aux_HH!$A$4:$A$18,0)))</f>
        <v>0</v>
      </c>
      <c r="J519" s="0" t="n">
        <f aca="false">IF($F519=0,0,INDEX(Aux_HH!$G$4:$G$18,MATCH($B519&amp;"|"&amp;$E519,Aux_HH!$A$4:$A$18,0)))</f>
        <v>0.5</v>
      </c>
      <c r="K519" s="0" t="n">
        <f aca="false">IF($F519=0,0,INDEX(Aux_HH!$H$4:$H$18,MATCH($B519&amp;"|"&amp;$E519,Aux_HH!$A$4:$A$18,0)))</f>
        <v>0</v>
      </c>
      <c r="L519" s="0" t="n">
        <f aca="false">IF($F519=0,0,INDEX(Aux_HH!$I$4:$I$18,MATCH($B519&amp;"|"&amp;$E519,Aux_HH!$A$4:$A$18,0)))</f>
        <v>1.5</v>
      </c>
    </row>
    <row r="520" customFormat="false" ht="15" hidden="false" customHeight="false" outlineLevel="0" collapsed="false">
      <c r="A520" s="0" t="str">
        <f aca="false">IF(Frota!$A14="","",Frota!$A14)</f>
        <v>Transbordo Mambra 20t — 801</v>
      </c>
      <c r="B520" s="0" t="str">
        <f aca="false">IF(Frota!$A14="","",Frota!$B14)</f>
        <v>Implemento</v>
      </c>
      <c r="C520" s="0" t="n">
        <v>49</v>
      </c>
      <c r="D520" s="0" t="n">
        <f aca="false">INDEX(Semanas!$E$3:$E$54,49)</f>
        <v>3</v>
      </c>
      <c r="E520" s="0" t="str">
        <f aca="false">IF(Frota!$A14="","",Cronograma!AX14)</f>
        <v/>
      </c>
      <c r="F520" s="0" t="n">
        <f aca="false">IF(OR($E520="",$E520=0),0,1)</f>
        <v>0</v>
      </c>
      <c r="G520" s="0" t="n">
        <f aca="false">IF($F520=0,0,INDEX(Aux_HH!$D$4:$D$18,MATCH($B520&amp;"|"&amp;$E520,Aux_HH!$A$4:$A$18,0)))</f>
        <v>0</v>
      </c>
      <c r="H520" s="0" t="n">
        <f aca="false">IF($F520=0,0,INDEX(Aux_HH!$E$4:$E$18,MATCH($B520&amp;"|"&amp;$E520,Aux_HH!$A$4:$A$18,0)))</f>
        <v>0</v>
      </c>
      <c r="I520" s="0" t="n">
        <f aca="false">IF($F520=0,0,INDEX(Aux_HH!$F$4:$F$18,MATCH($B520&amp;"|"&amp;$E520,Aux_HH!$A$4:$A$18,0)))</f>
        <v>0</v>
      </c>
      <c r="J520" s="0" t="n">
        <f aca="false">IF($F520=0,0,INDEX(Aux_HH!$G$4:$G$18,MATCH($B520&amp;"|"&amp;$E520,Aux_HH!$A$4:$A$18,0)))</f>
        <v>0</v>
      </c>
      <c r="K520" s="0" t="n">
        <f aca="false">IF($F520=0,0,INDEX(Aux_HH!$H$4:$H$18,MATCH($B520&amp;"|"&amp;$E520,Aux_HH!$A$4:$A$18,0)))</f>
        <v>0</v>
      </c>
      <c r="L520" s="0" t="n">
        <f aca="false">IF($F520=0,0,INDEX(Aux_HH!$I$4:$I$18,MATCH($B520&amp;"|"&amp;$E520,Aux_HH!$A$4:$A$18,0)))</f>
        <v>0</v>
      </c>
    </row>
    <row r="521" customFormat="false" ht="15" hidden="false" customHeight="false" outlineLevel="0" collapsed="false">
      <c r="A521" s="0" t="str">
        <f aca="false">IF(Frota!$A14="","",Frota!$A14)</f>
        <v>Transbordo Mambra 20t — 801</v>
      </c>
      <c r="B521" s="0" t="str">
        <f aca="false">IF(Frota!$A14="","",Frota!$B14)</f>
        <v>Implemento</v>
      </c>
      <c r="C521" s="0" t="n">
        <v>50</v>
      </c>
      <c r="D521" s="0" t="n">
        <f aca="false">INDEX(Semanas!$E$3:$E$54,50)</f>
        <v>3</v>
      </c>
      <c r="E521" s="0" t="str">
        <f aca="false">IF(Frota!$A14="","",Cronograma!AY14)</f>
        <v/>
      </c>
      <c r="F521" s="0" t="n">
        <f aca="false">IF(OR($E521="",$E521=0),0,1)</f>
        <v>0</v>
      </c>
      <c r="G521" s="0" t="n">
        <f aca="false">IF($F521=0,0,INDEX(Aux_HH!$D$4:$D$18,MATCH($B521&amp;"|"&amp;$E521,Aux_HH!$A$4:$A$18,0)))</f>
        <v>0</v>
      </c>
      <c r="H521" s="0" t="n">
        <f aca="false">IF($F521=0,0,INDEX(Aux_HH!$E$4:$E$18,MATCH($B521&amp;"|"&amp;$E521,Aux_HH!$A$4:$A$18,0)))</f>
        <v>0</v>
      </c>
      <c r="I521" s="0" t="n">
        <f aca="false">IF($F521=0,0,INDEX(Aux_HH!$F$4:$F$18,MATCH($B521&amp;"|"&amp;$E521,Aux_HH!$A$4:$A$18,0)))</f>
        <v>0</v>
      </c>
      <c r="J521" s="0" t="n">
        <f aca="false">IF($F521=0,0,INDEX(Aux_HH!$G$4:$G$18,MATCH($B521&amp;"|"&amp;$E521,Aux_HH!$A$4:$A$18,0)))</f>
        <v>0</v>
      </c>
      <c r="K521" s="0" t="n">
        <f aca="false">IF($F521=0,0,INDEX(Aux_HH!$H$4:$H$18,MATCH($B521&amp;"|"&amp;$E521,Aux_HH!$A$4:$A$18,0)))</f>
        <v>0</v>
      </c>
      <c r="L521" s="0" t="n">
        <f aca="false">IF($F521=0,0,INDEX(Aux_HH!$I$4:$I$18,MATCH($B521&amp;"|"&amp;$E521,Aux_HH!$A$4:$A$18,0)))</f>
        <v>0</v>
      </c>
    </row>
    <row r="522" customFormat="false" ht="15" hidden="false" customHeight="false" outlineLevel="0" collapsed="false">
      <c r="A522" s="0" t="str">
        <f aca="false">IF(Frota!$A14="","",Frota!$A14)</f>
        <v>Transbordo Mambra 20t — 801</v>
      </c>
      <c r="B522" s="0" t="str">
        <f aca="false">IF(Frota!$A14="","",Frota!$B14)</f>
        <v>Implemento</v>
      </c>
      <c r="C522" s="0" t="n">
        <v>51</v>
      </c>
      <c r="D522" s="0" t="n">
        <f aca="false">INDEX(Semanas!$E$3:$E$54,51)</f>
        <v>3</v>
      </c>
      <c r="E522" s="0" t="str">
        <f aca="false">IF(Frota!$A14="","",Cronograma!AZ14)</f>
        <v/>
      </c>
      <c r="F522" s="0" t="n">
        <f aca="false">IF(OR($E522="",$E522=0),0,1)</f>
        <v>0</v>
      </c>
      <c r="G522" s="0" t="n">
        <f aca="false">IF($F522=0,0,INDEX(Aux_HH!$D$4:$D$18,MATCH($B522&amp;"|"&amp;$E522,Aux_HH!$A$4:$A$18,0)))</f>
        <v>0</v>
      </c>
      <c r="H522" s="0" t="n">
        <f aca="false">IF($F522=0,0,INDEX(Aux_HH!$E$4:$E$18,MATCH($B522&amp;"|"&amp;$E522,Aux_HH!$A$4:$A$18,0)))</f>
        <v>0</v>
      </c>
      <c r="I522" s="0" t="n">
        <f aca="false">IF($F522=0,0,INDEX(Aux_HH!$F$4:$F$18,MATCH($B522&amp;"|"&amp;$E522,Aux_HH!$A$4:$A$18,0)))</f>
        <v>0</v>
      </c>
      <c r="J522" s="0" t="n">
        <f aca="false">IF($F522=0,0,INDEX(Aux_HH!$G$4:$G$18,MATCH($B522&amp;"|"&amp;$E522,Aux_HH!$A$4:$A$18,0)))</f>
        <v>0</v>
      </c>
      <c r="K522" s="0" t="n">
        <f aca="false">IF($F522=0,0,INDEX(Aux_HH!$H$4:$H$18,MATCH($B522&amp;"|"&amp;$E522,Aux_HH!$A$4:$A$18,0)))</f>
        <v>0</v>
      </c>
      <c r="L522" s="0" t="n">
        <f aca="false">IF($F522=0,0,INDEX(Aux_HH!$I$4:$I$18,MATCH($B522&amp;"|"&amp;$E522,Aux_HH!$A$4:$A$18,0)))</f>
        <v>0</v>
      </c>
    </row>
    <row r="523" customFormat="false" ht="15" hidden="false" customHeight="false" outlineLevel="0" collapsed="false">
      <c r="A523" s="0" t="str">
        <f aca="false">IF(Frota!$A14="","",Frota!$A14)</f>
        <v>Transbordo Mambra 20t — 801</v>
      </c>
      <c r="B523" s="0" t="str">
        <f aca="false">IF(Frota!$A14="","",Frota!$B14)</f>
        <v>Implemento</v>
      </c>
      <c r="C523" s="0" t="n">
        <v>52</v>
      </c>
      <c r="D523" s="0" t="n">
        <f aca="false">INDEX(Semanas!$E$3:$E$54,52)</f>
        <v>3</v>
      </c>
      <c r="E523" s="0" t="str">
        <f aca="false">IF(Frota!$A14="","",Cronograma!BA14)</f>
        <v/>
      </c>
      <c r="F523" s="0" t="n">
        <f aca="false">IF(OR($E523="",$E523=0),0,1)</f>
        <v>0</v>
      </c>
      <c r="G523" s="0" t="n">
        <f aca="false">IF($F523=0,0,INDEX(Aux_HH!$D$4:$D$18,MATCH($B523&amp;"|"&amp;$E523,Aux_HH!$A$4:$A$18,0)))</f>
        <v>0</v>
      </c>
      <c r="H523" s="0" t="n">
        <f aca="false">IF($F523=0,0,INDEX(Aux_HH!$E$4:$E$18,MATCH($B523&amp;"|"&amp;$E523,Aux_HH!$A$4:$A$18,0)))</f>
        <v>0</v>
      </c>
      <c r="I523" s="0" t="n">
        <f aca="false">IF($F523=0,0,INDEX(Aux_HH!$F$4:$F$18,MATCH($B523&amp;"|"&amp;$E523,Aux_HH!$A$4:$A$18,0)))</f>
        <v>0</v>
      </c>
      <c r="J523" s="0" t="n">
        <f aca="false">IF($F523=0,0,INDEX(Aux_HH!$G$4:$G$18,MATCH($B523&amp;"|"&amp;$E523,Aux_HH!$A$4:$A$18,0)))</f>
        <v>0</v>
      </c>
      <c r="K523" s="0" t="n">
        <f aca="false">IF($F523=0,0,INDEX(Aux_HH!$H$4:$H$18,MATCH($B523&amp;"|"&amp;$E523,Aux_HH!$A$4:$A$18,0)))</f>
        <v>0</v>
      </c>
      <c r="L523" s="0" t="n">
        <f aca="false">IF($F523=0,0,INDEX(Aux_HH!$I$4:$I$18,MATCH($B523&amp;"|"&amp;$E523,Aux_HH!$A$4:$A$18,0)))</f>
        <v>0</v>
      </c>
    </row>
    <row r="524" customFormat="false" ht="15" hidden="false" customHeight="false" outlineLevel="0" collapsed="false">
      <c r="A524" s="0" t="str">
        <f aca="false">IF(Frota!$A15="","",Frota!$A15)</f>
        <v>Implemento Distribuidor — 802</v>
      </c>
      <c r="B524" s="0" t="str">
        <f aca="false">IF(Frota!$A15="","",Frota!$B15)</f>
        <v>Implemento</v>
      </c>
      <c r="C524" s="0" t="n">
        <v>1</v>
      </c>
      <c r="D524" s="0" t="n">
        <f aca="false">INDEX(Semanas!$E$3:$E$54,1)</f>
        <v>4</v>
      </c>
      <c r="E524" s="0" t="str">
        <f aca="false">IF(Frota!$A15="","",Cronograma!B15)</f>
        <v/>
      </c>
      <c r="F524" s="0" t="n">
        <f aca="false">IF(OR($E524="",$E524=0),0,1)</f>
        <v>0</v>
      </c>
      <c r="G524" s="0" t="n">
        <f aca="false">IF($F524=0,0,INDEX(Aux_HH!$D$4:$D$18,MATCH($B524&amp;"|"&amp;$E524,Aux_HH!$A$4:$A$18,0)))</f>
        <v>0</v>
      </c>
      <c r="H524" s="0" t="n">
        <f aca="false">IF($F524=0,0,INDEX(Aux_HH!$E$4:$E$18,MATCH($B524&amp;"|"&amp;$E524,Aux_HH!$A$4:$A$18,0)))</f>
        <v>0</v>
      </c>
      <c r="I524" s="0" t="n">
        <f aca="false">IF($F524=0,0,INDEX(Aux_HH!$F$4:$F$18,MATCH($B524&amp;"|"&amp;$E524,Aux_HH!$A$4:$A$18,0)))</f>
        <v>0</v>
      </c>
      <c r="J524" s="0" t="n">
        <f aca="false">IF($F524=0,0,INDEX(Aux_HH!$G$4:$G$18,MATCH($B524&amp;"|"&amp;$E524,Aux_HH!$A$4:$A$18,0)))</f>
        <v>0</v>
      </c>
      <c r="K524" s="0" t="n">
        <f aca="false">IF($F524=0,0,INDEX(Aux_HH!$H$4:$H$18,MATCH($B524&amp;"|"&amp;$E524,Aux_HH!$A$4:$A$18,0)))</f>
        <v>0</v>
      </c>
      <c r="L524" s="0" t="n">
        <f aca="false">IF($F524=0,0,INDEX(Aux_HH!$I$4:$I$18,MATCH($B524&amp;"|"&amp;$E524,Aux_HH!$A$4:$A$18,0)))</f>
        <v>0</v>
      </c>
    </row>
    <row r="525" customFormat="false" ht="15" hidden="false" customHeight="false" outlineLevel="0" collapsed="false">
      <c r="A525" s="0" t="str">
        <f aca="false">IF(Frota!$A15="","",Frota!$A15)</f>
        <v>Implemento Distribuidor — 802</v>
      </c>
      <c r="B525" s="0" t="str">
        <f aca="false">IF(Frota!$A15="","",Frota!$B15)</f>
        <v>Implemento</v>
      </c>
      <c r="C525" s="0" t="n">
        <v>2</v>
      </c>
      <c r="D525" s="0" t="n">
        <f aca="false">INDEX(Semanas!$E$3:$E$54,2)</f>
        <v>4</v>
      </c>
      <c r="E525" s="0" t="str">
        <f aca="false">IF(Frota!$A15="","",Cronograma!C15)</f>
        <v/>
      </c>
      <c r="F525" s="0" t="n">
        <f aca="false">IF(OR($E525="",$E525=0),0,1)</f>
        <v>0</v>
      </c>
      <c r="G525" s="0" t="n">
        <f aca="false">IF($F525=0,0,INDEX(Aux_HH!$D$4:$D$18,MATCH($B525&amp;"|"&amp;$E525,Aux_HH!$A$4:$A$18,0)))</f>
        <v>0</v>
      </c>
      <c r="H525" s="0" t="n">
        <f aca="false">IF($F525=0,0,INDEX(Aux_HH!$E$4:$E$18,MATCH($B525&amp;"|"&amp;$E525,Aux_HH!$A$4:$A$18,0)))</f>
        <v>0</v>
      </c>
      <c r="I525" s="0" t="n">
        <f aca="false">IF($F525=0,0,INDEX(Aux_HH!$F$4:$F$18,MATCH($B525&amp;"|"&amp;$E525,Aux_HH!$A$4:$A$18,0)))</f>
        <v>0</v>
      </c>
      <c r="J525" s="0" t="n">
        <f aca="false">IF($F525=0,0,INDEX(Aux_HH!$G$4:$G$18,MATCH($B525&amp;"|"&amp;$E525,Aux_HH!$A$4:$A$18,0)))</f>
        <v>0</v>
      </c>
      <c r="K525" s="0" t="n">
        <f aca="false">IF($F525=0,0,INDEX(Aux_HH!$H$4:$H$18,MATCH($B525&amp;"|"&amp;$E525,Aux_HH!$A$4:$A$18,0)))</f>
        <v>0</v>
      </c>
      <c r="L525" s="0" t="n">
        <f aca="false">IF($F525=0,0,INDEX(Aux_HH!$I$4:$I$18,MATCH($B525&amp;"|"&amp;$E525,Aux_HH!$A$4:$A$18,0)))</f>
        <v>0</v>
      </c>
    </row>
    <row r="526" customFormat="false" ht="15" hidden="false" customHeight="false" outlineLevel="0" collapsed="false">
      <c r="A526" s="0" t="str">
        <f aca="false">IF(Frota!$A15="","",Frota!$A15)</f>
        <v>Implemento Distribuidor — 802</v>
      </c>
      <c r="B526" s="0" t="str">
        <f aca="false">IF(Frota!$A15="","",Frota!$B15)</f>
        <v>Implemento</v>
      </c>
      <c r="C526" s="0" t="n">
        <v>3</v>
      </c>
      <c r="D526" s="0" t="n">
        <f aca="false">INDEX(Semanas!$E$3:$E$54,3)</f>
        <v>4</v>
      </c>
      <c r="E526" s="0" t="str">
        <f aca="false">IF(Frota!$A15="","",Cronograma!D15)</f>
        <v/>
      </c>
      <c r="F526" s="0" t="n">
        <f aca="false">IF(OR($E526="",$E526=0),0,1)</f>
        <v>0</v>
      </c>
      <c r="G526" s="0" t="n">
        <f aca="false">IF($F526=0,0,INDEX(Aux_HH!$D$4:$D$18,MATCH($B526&amp;"|"&amp;$E526,Aux_HH!$A$4:$A$18,0)))</f>
        <v>0</v>
      </c>
      <c r="H526" s="0" t="n">
        <f aca="false">IF($F526=0,0,INDEX(Aux_HH!$E$4:$E$18,MATCH($B526&amp;"|"&amp;$E526,Aux_HH!$A$4:$A$18,0)))</f>
        <v>0</v>
      </c>
      <c r="I526" s="0" t="n">
        <f aca="false">IF($F526=0,0,INDEX(Aux_HH!$F$4:$F$18,MATCH($B526&amp;"|"&amp;$E526,Aux_HH!$A$4:$A$18,0)))</f>
        <v>0</v>
      </c>
      <c r="J526" s="0" t="n">
        <f aca="false">IF($F526=0,0,INDEX(Aux_HH!$G$4:$G$18,MATCH($B526&amp;"|"&amp;$E526,Aux_HH!$A$4:$A$18,0)))</f>
        <v>0</v>
      </c>
      <c r="K526" s="0" t="n">
        <f aca="false">IF($F526=0,0,INDEX(Aux_HH!$H$4:$H$18,MATCH($B526&amp;"|"&amp;$E526,Aux_HH!$A$4:$A$18,0)))</f>
        <v>0</v>
      </c>
      <c r="L526" s="0" t="n">
        <f aca="false">IF($F526=0,0,INDEX(Aux_HH!$I$4:$I$18,MATCH($B526&amp;"|"&amp;$E526,Aux_HH!$A$4:$A$18,0)))</f>
        <v>0</v>
      </c>
    </row>
    <row r="527" customFormat="false" ht="15" hidden="false" customHeight="false" outlineLevel="0" collapsed="false">
      <c r="A527" s="0" t="str">
        <f aca="false">IF(Frota!$A15="","",Frota!$A15)</f>
        <v>Implemento Distribuidor — 802</v>
      </c>
      <c r="B527" s="0" t="str">
        <f aca="false">IF(Frota!$A15="","",Frota!$B15)</f>
        <v>Implemento</v>
      </c>
      <c r="C527" s="0" t="n">
        <v>4</v>
      </c>
      <c r="D527" s="0" t="n">
        <f aca="false">INDEX(Semanas!$E$3:$E$54,4)</f>
        <v>4</v>
      </c>
      <c r="E527" s="0" t="str">
        <f aca="false">IF(Frota!$A15="","",Cronograma!E15)</f>
        <v/>
      </c>
      <c r="F527" s="0" t="n">
        <f aca="false">IF(OR($E527="",$E527=0),0,1)</f>
        <v>0</v>
      </c>
      <c r="G527" s="0" t="n">
        <f aca="false">IF($F527=0,0,INDEX(Aux_HH!$D$4:$D$18,MATCH($B527&amp;"|"&amp;$E527,Aux_HH!$A$4:$A$18,0)))</f>
        <v>0</v>
      </c>
      <c r="H527" s="0" t="n">
        <f aca="false">IF($F527=0,0,INDEX(Aux_HH!$E$4:$E$18,MATCH($B527&amp;"|"&amp;$E527,Aux_HH!$A$4:$A$18,0)))</f>
        <v>0</v>
      </c>
      <c r="I527" s="0" t="n">
        <f aca="false">IF($F527=0,0,INDEX(Aux_HH!$F$4:$F$18,MATCH($B527&amp;"|"&amp;$E527,Aux_HH!$A$4:$A$18,0)))</f>
        <v>0</v>
      </c>
      <c r="J527" s="0" t="n">
        <f aca="false">IF($F527=0,0,INDEX(Aux_HH!$G$4:$G$18,MATCH($B527&amp;"|"&amp;$E527,Aux_HH!$A$4:$A$18,0)))</f>
        <v>0</v>
      </c>
      <c r="K527" s="0" t="n">
        <f aca="false">IF($F527=0,0,INDEX(Aux_HH!$H$4:$H$18,MATCH($B527&amp;"|"&amp;$E527,Aux_HH!$A$4:$A$18,0)))</f>
        <v>0</v>
      </c>
      <c r="L527" s="0" t="n">
        <f aca="false">IF($F527=0,0,INDEX(Aux_HH!$I$4:$I$18,MATCH($B527&amp;"|"&amp;$E527,Aux_HH!$A$4:$A$18,0)))</f>
        <v>0</v>
      </c>
    </row>
    <row r="528" customFormat="false" ht="15" hidden="false" customHeight="false" outlineLevel="0" collapsed="false">
      <c r="A528" s="0" t="str">
        <f aca="false">IF(Frota!$A15="","",Frota!$A15)</f>
        <v>Implemento Distribuidor — 802</v>
      </c>
      <c r="B528" s="0" t="str">
        <f aca="false">IF(Frota!$A15="","",Frota!$B15)</f>
        <v>Implemento</v>
      </c>
      <c r="C528" s="0" t="n">
        <v>5</v>
      </c>
      <c r="D528" s="0" t="n">
        <f aca="false">INDEX(Semanas!$E$3:$E$54,5)</f>
        <v>4</v>
      </c>
      <c r="E528" s="0" t="str">
        <f aca="false">IF(Frota!$A15="","",Cronograma!F15)</f>
        <v/>
      </c>
      <c r="F528" s="0" t="n">
        <f aca="false">IF(OR($E528="",$E528=0),0,1)</f>
        <v>0</v>
      </c>
      <c r="G528" s="0" t="n">
        <f aca="false">IF($F528=0,0,INDEX(Aux_HH!$D$4:$D$18,MATCH($B528&amp;"|"&amp;$E528,Aux_HH!$A$4:$A$18,0)))</f>
        <v>0</v>
      </c>
      <c r="H528" s="0" t="n">
        <f aca="false">IF($F528=0,0,INDEX(Aux_HH!$E$4:$E$18,MATCH($B528&amp;"|"&amp;$E528,Aux_HH!$A$4:$A$18,0)))</f>
        <v>0</v>
      </c>
      <c r="I528" s="0" t="n">
        <f aca="false">IF($F528=0,0,INDEX(Aux_HH!$F$4:$F$18,MATCH($B528&amp;"|"&amp;$E528,Aux_HH!$A$4:$A$18,0)))</f>
        <v>0</v>
      </c>
      <c r="J528" s="0" t="n">
        <f aca="false">IF($F528=0,0,INDEX(Aux_HH!$G$4:$G$18,MATCH($B528&amp;"|"&amp;$E528,Aux_HH!$A$4:$A$18,0)))</f>
        <v>0</v>
      </c>
      <c r="K528" s="0" t="n">
        <f aca="false">IF($F528=0,0,INDEX(Aux_HH!$H$4:$H$18,MATCH($B528&amp;"|"&amp;$E528,Aux_HH!$A$4:$A$18,0)))</f>
        <v>0</v>
      </c>
      <c r="L528" s="0" t="n">
        <f aca="false">IF($F528=0,0,INDEX(Aux_HH!$I$4:$I$18,MATCH($B528&amp;"|"&amp;$E528,Aux_HH!$A$4:$A$18,0)))</f>
        <v>0</v>
      </c>
    </row>
    <row r="529" customFormat="false" ht="15" hidden="false" customHeight="false" outlineLevel="0" collapsed="false">
      <c r="A529" s="0" t="str">
        <f aca="false">IF(Frota!$A15="","",Frota!$A15)</f>
        <v>Implemento Distribuidor — 802</v>
      </c>
      <c r="B529" s="0" t="str">
        <f aca="false">IF(Frota!$A15="","",Frota!$B15)</f>
        <v>Implemento</v>
      </c>
      <c r="C529" s="0" t="n">
        <v>6</v>
      </c>
      <c r="D529" s="0" t="n">
        <f aca="false">INDEX(Semanas!$E$3:$E$54,6)</f>
        <v>5</v>
      </c>
      <c r="E529" s="0" t="str">
        <f aca="false">IF(Frota!$A15="","",Cronograma!G15)</f>
        <v/>
      </c>
      <c r="F529" s="0" t="n">
        <f aca="false">IF(OR($E529="",$E529=0),0,1)</f>
        <v>0</v>
      </c>
      <c r="G529" s="0" t="n">
        <f aca="false">IF($F529=0,0,INDEX(Aux_HH!$D$4:$D$18,MATCH($B529&amp;"|"&amp;$E529,Aux_HH!$A$4:$A$18,0)))</f>
        <v>0</v>
      </c>
      <c r="H529" s="0" t="n">
        <f aca="false">IF($F529=0,0,INDEX(Aux_HH!$E$4:$E$18,MATCH($B529&amp;"|"&amp;$E529,Aux_HH!$A$4:$A$18,0)))</f>
        <v>0</v>
      </c>
      <c r="I529" s="0" t="n">
        <f aca="false">IF($F529=0,0,INDEX(Aux_HH!$F$4:$F$18,MATCH($B529&amp;"|"&amp;$E529,Aux_HH!$A$4:$A$18,0)))</f>
        <v>0</v>
      </c>
      <c r="J529" s="0" t="n">
        <f aca="false">IF($F529=0,0,INDEX(Aux_HH!$G$4:$G$18,MATCH($B529&amp;"|"&amp;$E529,Aux_HH!$A$4:$A$18,0)))</f>
        <v>0</v>
      </c>
      <c r="K529" s="0" t="n">
        <f aca="false">IF($F529=0,0,INDEX(Aux_HH!$H$4:$H$18,MATCH($B529&amp;"|"&amp;$E529,Aux_HH!$A$4:$A$18,0)))</f>
        <v>0</v>
      </c>
      <c r="L529" s="0" t="n">
        <f aca="false">IF($F529=0,0,INDEX(Aux_HH!$I$4:$I$18,MATCH($B529&amp;"|"&amp;$E529,Aux_HH!$A$4:$A$18,0)))</f>
        <v>0</v>
      </c>
    </row>
    <row r="530" customFormat="false" ht="15" hidden="false" customHeight="false" outlineLevel="0" collapsed="false">
      <c r="A530" s="0" t="str">
        <f aca="false">IF(Frota!$A15="","",Frota!$A15)</f>
        <v>Implemento Distribuidor — 802</v>
      </c>
      <c r="B530" s="0" t="str">
        <f aca="false">IF(Frota!$A15="","",Frota!$B15)</f>
        <v>Implemento</v>
      </c>
      <c r="C530" s="0" t="n">
        <v>7</v>
      </c>
      <c r="D530" s="0" t="n">
        <f aca="false">INDEX(Semanas!$E$3:$E$54,7)</f>
        <v>5</v>
      </c>
      <c r="E530" s="0" t="str">
        <f aca="false">IF(Frota!$A15="","",Cronograma!H15)</f>
        <v>A</v>
      </c>
      <c r="F530" s="0" t="n">
        <f aca="false">IF(OR($E530="",$E530=0),0,1)</f>
        <v>1</v>
      </c>
      <c r="G530" s="0" t="n">
        <f aca="false">IF($F530=0,0,INDEX(Aux_HH!$D$4:$D$18,MATCH($B530&amp;"|"&amp;$E530,Aux_HH!$A$4:$A$18,0)))</f>
        <v>0.75</v>
      </c>
      <c r="H530" s="0" t="n">
        <f aca="false">IF($F530=0,0,INDEX(Aux_HH!$E$4:$E$18,MATCH($B530&amp;"|"&amp;$E530,Aux_HH!$A$4:$A$18,0)))</f>
        <v>0</v>
      </c>
      <c r="I530" s="0" t="n">
        <f aca="false">IF($F530=0,0,INDEX(Aux_HH!$F$4:$F$18,MATCH($B530&amp;"|"&amp;$E530,Aux_HH!$A$4:$A$18,0)))</f>
        <v>0</v>
      </c>
      <c r="J530" s="0" t="n">
        <f aca="false">IF($F530=0,0,INDEX(Aux_HH!$G$4:$G$18,MATCH($B530&amp;"|"&amp;$E530,Aux_HH!$A$4:$A$18,0)))</f>
        <v>0.5</v>
      </c>
      <c r="K530" s="0" t="n">
        <f aca="false">IF($F530=0,0,INDEX(Aux_HH!$H$4:$H$18,MATCH($B530&amp;"|"&amp;$E530,Aux_HH!$A$4:$A$18,0)))</f>
        <v>0</v>
      </c>
      <c r="L530" s="0" t="n">
        <f aca="false">IF($F530=0,0,INDEX(Aux_HH!$I$4:$I$18,MATCH($B530&amp;"|"&amp;$E530,Aux_HH!$A$4:$A$18,0)))</f>
        <v>1.5</v>
      </c>
    </row>
    <row r="531" customFormat="false" ht="15" hidden="false" customHeight="false" outlineLevel="0" collapsed="false">
      <c r="A531" s="0" t="str">
        <f aca="false">IF(Frota!$A15="","",Frota!$A15)</f>
        <v>Implemento Distribuidor — 802</v>
      </c>
      <c r="B531" s="0" t="str">
        <f aca="false">IF(Frota!$A15="","",Frota!$B15)</f>
        <v>Implemento</v>
      </c>
      <c r="C531" s="0" t="n">
        <v>8</v>
      </c>
      <c r="D531" s="0" t="n">
        <f aca="false">INDEX(Semanas!$E$3:$E$54,8)</f>
        <v>5</v>
      </c>
      <c r="E531" s="0" t="str">
        <f aca="false">IF(Frota!$A15="","",Cronograma!I15)</f>
        <v/>
      </c>
      <c r="F531" s="0" t="n">
        <f aca="false">IF(OR($E531="",$E531=0),0,1)</f>
        <v>0</v>
      </c>
      <c r="G531" s="0" t="n">
        <f aca="false">IF($F531=0,0,INDEX(Aux_HH!$D$4:$D$18,MATCH($B531&amp;"|"&amp;$E531,Aux_HH!$A$4:$A$18,0)))</f>
        <v>0</v>
      </c>
      <c r="H531" s="0" t="n">
        <f aca="false">IF($F531=0,0,INDEX(Aux_HH!$E$4:$E$18,MATCH($B531&amp;"|"&amp;$E531,Aux_HH!$A$4:$A$18,0)))</f>
        <v>0</v>
      </c>
      <c r="I531" s="0" t="n">
        <f aca="false">IF($F531=0,0,INDEX(Aux_HH!$F$4:$F$18,MATCH($B531&amp;"|"&amp;$E531,Aux_HH!$A$4:$A$18,0)))</f>
        <v>0</v>
      </c>
      <c r="J531" s="0" t="n">
        <f aca="false">IF($F531=0,0,INDEX(Aux_HH!$G$4:$G$18,MATCH($B531&amp;"|"&amp;$E531,Aux_HH!$A$4:$A$18,0)))</f>
        <v>0</v>
      </c>
      <c r="K531" s="0" t="n">
        <f aca="false">IF($F531=0,0,INDEX(Aux_HH!$H$4:$H$18,MATCH($B531&amp;"|"&amp;$E531,Aux_HH!$A$4:$A$18,0)))</f>
        <v>0</v>
      </c>
      <c r="L531" s="0" t="n">
        <f aca="false">IF($F531=0,0,INDEX(Aux_HH!$I$4:$I$18,MATCH($B531&amp;"|"&amp;$E531,Aux_HH!$A$4:$A$18,0)))</f>
        <v>0</v>
      </c>
    </row>
    <row r="532" customFormat="false" ht="15" hidden="false" customHeight="false" outlineLevel="0" collapsed="false">
      <c r="A532" s="0" t="str">
        <f aca="false">IF(Frota!$A15="","",Frota!$A15)</f>
        <v>Implemento Distribuidor — 802</v>
      </c>
      <c r="B532" s="0" t="str">
        <f aca="false">IF(Frota!$A15="","",Frota!$B15)</f>
        <v>Implemento</v>
      </c>
      <c r="C532" s="0" t="n">
        <v>9</v>
      </c>
      <c r="D532" s="0" t="n">
        <f aca="false">INDEX(Semanas!$E$3:$E$54,9)</f>
        <v>5</v>
      </c>
      <c r="E532" s="0" t="str">
        <f aca="false">IF(Frota!$A15="","",Cronograma!J15)</f>
        <v/>
      </c>
      <c r="F532" s="0" t="n">
        <f aca="false">IF(OR($E532="",$E532=0),0,1)</f>
        <v>0</v>
      </c>
      <c r="G532" s="0" t="n">
        <f aca="false">IF($F532=0,0,INDEX(Aux_HH!$D$4:$D$18,MATCH($B532&amp;"|"&amp;$E532,Aux_HH!$A$4:$A$18,0)))</f>
        <v>0</v>
      </c>
      <c r="H532" s="0" t="n">
        <f aca="false">IF($F532=0,0,INDEX(Aux_HH!$E$4:$E$18,MATCH($B532&amp;"|"&amp;$E532,Aux_HH!$A$4:$A$18,0)))</f>
        <v>0</v>
      </c>
      <c r="I532" s="0" t="n">
        <f aca="false">IF($F532=0,0,INDEX(Aux_HH!$F$4:$F$18,MATCH($B532&amp;"|"&amp;$E532,Aux_HH!$A$4:$A$18,0)))</f>
        <v>0</v>
      </c>
      <c r="J532" s="0" t="n">
        <f aca="false">IF($F532=0,0,INDEX(Aux_HH!$G$4:$G$18,MATCH($B532&amp;"|"&amp;$E532,Aux_HH!$A$4:$A$18,0)))</f>
        <v>0</v>
      </c>
      <c r="K532" s="0" t="n">
        <f aca="false">IF($F532=0,0,INDEX(Aux_HH!$H$4:$H$18,MATCH($B532&amp;"|"&amp;$E532,Aux_HH!$A$4:$A$18,0)))</f>
        <v>0</v>
      </c>
      <c r="L532" s="0" t="n">
        <f aca="false">IF($F532=0,0,INDEX(Aux_HH!$I$4:$I$18,MATCH($B532&amp;"|"&amp;$E532,Aux_HH!$A$4:$A$18,0)))</f>
        <v>0</v>
      </c>
    </row>
    <row r="533" customFormat="false" ht="15" hidden="false" customHeight="false" outlineLevel="0" collapsed="false">
      <c r="A533" s="0" t="str">
        <f aca="false">IF(Frota!$A15="","",Frota!$A15)</f>
        <v>Implemento Distribuidor — 802</v>
      </c>
      <c r="B533" s="0" t="str">
        <f aca="false">IF(Frota!$A15="","",Frota!$B15)</f>
        <v>Implemento</v>
      </c>
      <c r="C533" s="0" t="n">
        <v>10</v>
      </c>
      <c r="D533" s="0" t="n">
        <f aca="false">INDEX(Semanas!$E$3:$E$54,10)</f>
        <v>6</v>
      </c>
      <c r="E533" s="0" t="str">
        <f aca="false">IF(Frota!$A15="","",Cronograma!K15)</f>
        <v/>
      </c>
      <c r="F533" s="0" t="n">
        <f aca="false">IF(OR($E533="",$E533=0),0,1)</f>
        <v>0</v>
      </c>
      <c r="G533" s="0" t="n">
        <f aca="false">IF($F533=0,0,INDEX(Aux_HH!$D$4:$D$18,MATCH($B533&amp;"|"&amp;$E533,Aux_HH!$A$4:$A$18,0)))</f>
        <v>0</v>
      </c>
      <c r="H533" s="0" t="n">
        <f aca="false">IF($F533=0,0,INDEX(Aux_HH!$E$4:$E$18,MATCH($B533&amp;"|"&amp;$E533,Aux_HH!$A$4:$A$18,0)))</f>
        <v>0</v>
      </c>
      <c r="I533" s="0" t="n">
        <f aca="false">IF($F533=0,0,INDEX(Aux_HH!$F$4:$F$18,MATCH($B533&amp;"|"&amp;$E533,Aux_HH!$A$4:$A$18,0)))</f>
        <v>0</v>
      </c>
      <c r="J533" s="0" t="n">
        <f aca="false">IF($F533=0,0,INDEX(Aux_HH!$G$4:$G$18,MATCH($B533&amp;"|"&amp;$E533,Aux_HH!$A$4:$A$18,0)))</f>
        <v>0</v>
      </c>
      <c r="K533" s="0" t="n">
        <f aca="false">IF($F533=0,0,INDEX(Aux_HH!$H$4:$H$18,MATCH($B533&amp;"|"&amp;$E533,Aux_HH!$A$4:$A$18,0)))</f>
        <v>0</v>
      </c>
      <c r="L533" s="0" t="n">
        <f aca="false">IF($F533=0,0,INDEX(Aux_HH!$I$4:$I$18,MATCH($B533&amp;"|"&amp;$E533,Aux_HH!$A$4:$A$18,0)))</f>
        <v>0</v>
      </c>
    </row>
    <row r="534" customFormat="false" ht="15" hidden="false" customHeight="false" outlineLevel="0" collapsed="false">
      <c r="A534" s="0" t="str">
        <f aca="false">IF(Frota!$A15="","",Frota!$A15)</f>
        <v>Implemento Distribuidor — 802</v>
      </c>
      <c r="B534" s="0" t="str">
        <f aca="false">IF(Frota!$A15="","",Frota!$B15)</f>
        <v>Implemento</v>
      </c>
      <c r="C534" s="0" t="n">
        <v>11</v>
      </c>
      <c r="D534" s="0" t="n">
        <f aca="false">INDEX(Semanas!$E$3:$E$54,11)</f>
        <v>6</v>
      </c>
      <c r="E534" s="0" t="str">
        <f aca="false">IF(Frota!$A15="","",Cronograma!L15)</f>
        <v/>
      </c>
      <c r="F534" s="0" t="n">
        <f aca="false">IF(OR($E534="",$E534=0),0,1)</f>
        <v>0</v>
      </c>
      <c r="G534" s="0" t="n">
        <f aca="false">IF($F534=0,0,INDEX(Aux_HH!$D$4:$D$18,MATCH($B534&amp;"|"&amp;$E534,Aux_HH!$A$4:$A$18,0)))</f>
        <v>0</v>
      </c>
      <c r="H534" s="0" t="n">
        <f aca="false">IF($F534=0,0,INDEX(Aux_HH!$E$4:$E$18,MATCH($B534&amp;"|"&amp;$E534,Aux_HH!$A$4:$A$18,0)))</f>
        <v>0</v>
      </c>
      <c r="I534" s="0" t="n">
        <f aca="false">IF($F534=0,0,INDEX(Aux_HH!$F$4:$F$18,MATCH($B534&amp;"|"&amp;$E534,Aux_HH!$A$4:$A$18,0)))</f>
        <v>0</v>
      </c>
      <c r="J534" s="0" t="n">
        <f aca="false">IF($F534=0,0,INDEX(Aux_HH!$G$4:$G$18,MATCH($B534&amp;"|"&amp;$E534,Aux_HH!$A$4:$A$18,0)))</f>
        <v>0</v>
      </c>
      <c r="K534" s="0" t="n">
        <f aca="false">IF($F534=0,0,INDEX(Aux_HH!$H$4:$H$18,MATCH($B534&amp;"|"&amp;$E534,Aux_HH!$A$4:$A$18,0)))</f>
        <v>0</v>
      </c>
      <c r="L534" s="0" t="n">
        <f aca="false">IF($F534=0,0,INDEX(Aux_HH!$I$4:$I$18,MATCH($B534&amp;"|"&amp;$E534,Aux_HH!$A$4:$A$18,0)))</f>
        <v>0</v>
      </c>
    </row>
    <row r="535" customFormat="false" ht="15" hidden="false" customHeight="false" outlineLevel="0" collapsed="false">
      <c r="A535" s="0" t="str">
        <f aca="false">IF(Frota!$A15="","",Frota!$A15)</f>
        <v>Implemento Distribuidor — 802</v>
      </c>
      <c r="B535" s="0" t="str">
        <f aca="false">IF(Frota!$A15="","",Frota!$B15)</f>
        <v>Implemento</v>
      </c>
      <c r="C535" s="0" t="n">
        <v>12</v>
      </c>
      <c r="D535" s="0" t="n">
        <f aca="false">INDEX(Semanas!$E$3:$E$54,12)</f>
        <v>6</v>
      </c>
      <c r="E535" s="0" t="str">
        <f aca="false">IF(Frota!$A15="","",Cronograma!M15)</f>
        <v/>
      </c>
      <c r="F535" s="0" t="n">
        <f aca="false">IF(OR($E535="",$E535=0),0,1)</f>
        <v>0</v>
      </c>
      <c r="G535" s="0" t="n">
        <f aca="false">IF($F535=0,0,INDEX(Aux_HH!$D$4:$D$18,MATCH($B535&amp;"|"&amp;$E535,Aux_HH!$A$4:$A$18,0)))</f>
        <v>0</v>
      </c>
      <c r="H535" s="0" t="n">
        <f aca="false">IF($F535=0,0,INDEX(Aux_HH!$E$4:$E$18,MATCH($B535&amp;"|"&amp;$E535,Aux_HH!$A$4:$A$18,0)))</f>
        <v>0</v>
      </c>
      <c r="I535" s="0" t="n">
        <f aca="false">IF($F535=0,0,INDEX(Aux_HH!$F$4:$F$18,MATCH($B535&amp;"|"&amp;$E535,Aux_HH!$A$4:$A$18,0)))</f>
        <v>0</v>
      </c>
      <c r="J535" s="0" t="n">
        <f aca="false">IF($F535=0,0,INDEX(Aux_HH!$G$4:$G$18,MATCH($B535&amp;"|"&amp;$E535,Aux_HH!$A$4:$A$18,0)))</f>
        <v>0</v>
      </c>
      <c r="K535" s="0" t="n">
        <f aca="false">IF($F535=0,0,INDEX(Aux_HH!$H$4:$H$18,MATCH($B535&amp;"|"&amp;$E535,Aux_HH!$A$4:$A$18,0)))</f>
        <v>0</v>
      </c>
      <c r="L535" s="0" t="n">
        <f aca="false">IF($F535=0,0,INDEX(Aux_HH!$I$4:$I$18,MATCH($B535&amp;"|"&amp;$E535,Aux_HH!$A$4:$A$18,0)))</f>
        <v>0</v>
      </c>
    </row>
    <row r="536" customFormat="false" ht="15" hidden="false" customHeight="false" outlineLevel="0" collapsed="false">
      <c r="A536" s="0" t="str">
        <f aca="false">IF(Frota!$A15="","",Frota!$A15)</f>
        <v>Implemento Distribuidor — 802</v>
      </c>
      <c r="B536" s="0" t="str">
        <f aca="false">IF(Frota!$A15="","",Frota!$B15)</f>
        <v>Implemento</v>
      </c>
      <c r="C536" s="0" t="n">
        <v>13</v>
      </c>
      <c r="D536" s="0" t="n">
        <f aca="false">INDEX(Semanas!$E$3:$E$54,13)</f>
        <v>6</v>
      </c>
      <c r="E536" s="0" t="str">
        <f aca="false">IF(Frota!$A15="","",Cronograma!N15)</f>
        <v/>
      </c>
      <c r="F536" s="0" t="n">
        <f aca="false">IF(OR($E536="",$E536=0),0,1)</f>
        <v>0</v>
      </c>
      <c r="G536" s="0" t="n">
        <f aca="false">IF($F536=0,0,INDEX(Aux_HH!$D$4:$D$18,MATCH($B536&amp;"|"&amp;$E536,Aux_HH!$A$4:$A$18,0)))</f>
        <v>0</v>
      </c>
      <c r="H536" s="0" t="n">
        <f aca="false">IF($F536=0,0,INDEX(Aux_HH!$E$4:$E$18,MATCH($B536&amp;"|"&amp;$E536,Aux_HH!$A$4:$A$18,0)))</f>
        <v>0</v>
      </c>
      <c r="I536" s="0" t="n">
        <f aca="false">IF($F536=0,0,INDEX(Aux_HH!$F$4:$F$18,MATCH($B536&amp;"|"&amp;$E536,Aux_HH!$A$4:$A$18,0)))</f>
        <v>0</v>
      </c>
      <c r="J536" s="0" t="n">
        <f aca="false">IF($F536=0,0,INDEX(Aux_HH!$G$4:$G$18,MATCH($B536&amp;"|"&amp;$E536,Aux_HH!$A$4:$A$18,0)))</f>
        <v>0</v>
      </c>
      <c r="K536" s="0" t="n">
        <f aca="false">IF($F536=0,0,INDEX(Aux_HH!$H$4:$H$18,MATCH($B536&amp;"|"&amp;$E536,Aux_HH!$A$4:$A$18,0)))</f>
        <v>0</v>
      </c>
      <c r="L536" s="0" t="n">
        <f aca="false">IF($F536=0,0,INDEX(Aux_HH!$I$4:$I$18,MATCH($B536&amp;"|"&amp;$E536,Aux_HH!$A$4:$A$18,0)))</f>
        <v>0</v>
      </c>
    </row>
    <row r="537" customFormat="false" ht="15" hidden="false" customHeight="false" outlineLevel="0" collapsed="false">
      <c r="A537" s="0" t="str">
        <f aca="false">IF(Frota!$A15="","",Frota!$A15)</f>
        <v>Implemento Distribuidor — 802</v>
      </c>
      <c r="B537" s="0" t="str">
        <f aca="false">IF(Frota!$A15="","",Frota!$B15)</f>
        <v>Implemento</v>
      </c>
      <c r="C537" s="0" t="n">
        <v>14</v>
      </c>
      <c r="D537" s="0" t="n">
        <f aca="false">INDEX(Semanas!$E$3:$E$54,14)</f>
        <v>7</v>
      </c>
      <c r="E537" s="0" t="str">
        <f aca="false">IF(Frota!$A15="","",Cronograma!O15)</f>
        <v/>
      </c>
      <c r="F537" s="0" t="n">
        <f aca="false">IF(OR($E537="",$E537=0),0,1)</f>
        <v>0</v>
      </c>
      <c r="G537" s="0" t="n">
        <f aca="false">IF($F537=0,0,INDEX(Aux_HH!$D$4:$D$18,MATCH($B537&amp;"|"&amp;$E537,Aux_HH!$A$4:$A$18,0)))</f>
        <v>0</v>
      </c>
      <c r="H537" s="0" t="n">
        <f aca="false">IF($F537=0,0,INDEX(Aux_HH!$E$4:$E$18,MATCH($B537&amp;"|"&amp;$E537,Aux_HH!$A$4:$A$18,0)))</f>
        <v>0</v>
      </c>
      <c r="I537" s="0" t="n">
        <f aca="false">IF($F537=0,0,INDEX(Aux_HH!$F$4:$F$18,MATCH($B537&amp;"|"&amp;$E537,Aux_HH!$A$4:$A$18,0)))</f>
        <v>0</v>
      </c>
      <c r="J537" s="0" t="n">
        <f aca="false">IF($F537=0,0,INDEX(Aux_HH!$G$4:$G$18,MATCH($B537&amp;"|"&amp;$E537,Aux_HH!$A$4:$A$18,0)))</f>
        <v>0</v>
      </c>
      <c r="K537" s="0" t="n">
        <f aca="false">IF($F537=0,0,INDEX(Aux_HH!$H$4:$H$18,MATCH($B537&amp;"|"&amp;$E537,Aux_HH!$A$4:$A$18,0)))</f>
        <v>0</v>
      </c>
      <c r="L537" s="0" t="n">
        <f aca="false">IF($F537=0,0,INDEX(Aux_HH!$I$4:$I$18,MATCH($B537&amp;"|"&amp;$E537,Aux_HH!$A$4:$A$18,0)))</f>
        <v>0</v>
      </c>
    </row>
    <row r="538" customFormat="false" ht="15" hidden="false" customHeight="false" outlineLevel="0" collapsed="false">
      <c r="A538" s="0" t="str">
        <f aca="false">IF(Frota!$A15="","",Frota!$A15)</f>
        <v>Implemento Distribuidor — 802</v>
      </c>
      <c r="B538" s="0" t="str">
        <f aca="false">IF(Frota!$A15="","",Frota!$B15)</f>
        <v>Implemento</v>
      </c>
      <c r="C538" s="0" t="n">
        <v>15</v>
      </c>
      <c r="D538" s="0" t="n">
        <f aca="false">INDEX(Semanas!$E$3:$E$54,15)</f>
        <v>7</v>
      </c>
      <c r="E538" s="0" t="str">
        <f aca="false">IF(Frota!$A15="","",Cronograma!P15)</f>
        <v/>
      </c>
      <c r="F538" s="0" t="n">
        <f aca="false">IF(OR($E538="",$E538=0),0,1)</f>
        <v>0</v>
      </c>
      <c r="G538" s="0" t="n">
        <f aca="false">IF($F538=0,0,INDEX(Aux_HH!$D$4:$D$18,MATCH($B538&amp;"|"&amp;$E538,Aux_HH!$A$4:$A$18,0)))</f>
        <v>0</v>
      </c>
      <c r="H538" s="0" t="n">
        <f aca="false">IF($F538=0,0,INDEX(Aux_HH!$E$4:$E$18,MATCH($B538&amp;"|"&amp;$E538,Aux_HH!$A$4:$A$18,0)))</f>
        <v>0</v>
      </c>
      <c r="I538" s="0" t="n">
        <f aca="false">IF($F538=0,0,INDEX(Aux_HH!$F$4:$F$18,MATCH($B538&amp;"|"&amp;$E538,Aux_HH!$A$4:$A$18,0)))</f>
        <v>0</v>
      </c>
      <c r="J538" s="0" t="n">
        <f aca="false">IF($F538=0,0,INDEX(Aux_HH!$G$4:$G$18,MATCH($B538&amp;"|"&amp;$E538,Aux_HH!$A$4:$A$18,0)))</f>
        <v>0</v>
      </c>
      <c r="K538" s="0" t="n">
        <f aca="false">IF($F538=0,0,INDEX(Aux_HH!$H$4:$H$18,MATCH($B538&amp;"|"&amp;$E538,Aux_HH!$A$4:$A$18,0)))</f>
        <v>0</v>
      </c>
      <c r="L538" s="0" t="n">
        <f aca="false">IF($F538=0,0,INDEX(Aux_HH!$I$4:$I$18,MATCH($B538&amp;"|"&amp;$E538,Aux_HH!$A$4:$A$18,0)))</f>
        <v>0</v>
      </c>
    </row>
    <row r="539" customFormat="false" ht="15" hidden="false" customHeight="false" outlineLevel="0" collapsed="false">
      <c r="A539" s="0" t="str">
        <f aca="false">IF(Frota!$A15="","",Frota!$A15)</f>
        <v>Implemento Distribuidor — 802</v>
      </c>
      <c r="B539" s="0" t="str">
        <f aca="false">IF(Frota!$A15="","",Frota!$B15)</f>
        <v>Implemento</v>
      </c>
      <c r="C539" s="0" t="n">
        <v>16</v>
      </c>
      <c r="D539" s="0" t="n">
        <f aca="false">INDEX(Semanas!$E$3:$E$54,16)</f>
        <v>7</v>
      </c>
      <c r="E539" s="0" t="str">
        <f aca="false">IF(Frota!$A15="","",Cronograma!Q15)</f>
        <v>S</v>
      </c>
      <c r="F539" s="0" t="n">
        <f aca="false">IF(OR($E539="",$E539=0),0,1)</f>
        <v>1</v>
      </c>
      <c r="G539" s="0" t="n">
        <f aca="false">IF($F539=0,0,INDEX(Aux_HH!$D$4:$D$18,MATCH($B539&amp;"|"&amp;$E539,Aux_HH!$A$4:$A$18,0)))</f>
        <v>0.75</v>
      </c>
      <c r="H539" s="0" t="n">
        <f aca="false">IF($F539=0,0,INDEX(Aux_HH!$E$4:$E$18,MATCH($B539&amp;"|"&amp;$E539,Aux_HH!$A$4:$A$18,0)))</f>
        <v>0</v>
      </c>
      <c r="I539" s="0" t="n">
        <f aca="false">IF($F539=0,0,INDEX(Aux_HH!$F$4:$F$18,MATCH($B539&amp;"|"&amp;$E539,Aux_HH!$A$4:$A$18,0)))</f>
        <v>0</v>
      </c>
      <c r="J539" s="0" t="n">
        <f aca="false">IF($F539=0,0,INDEX(Aux_HH!$G$4:$G$18,MATCH($B539&amp;"|"&amp;$E539,Aux_HH!$A$4:$A$18,0)))</f>
        <v>0.5</v>
      </c>
      <c r="K539" s="0" t="n">
        <f aca="false">IF($F539=0,0,INDEX(Aux_HH!$H$4:$H$18,MATCH($B539&amp;"|"&amp;$E539,Aux_HH!$A$4:$A$18,0)))</f>
        <v>0</v>
      </c>
      <c r="L539" s="0" t="n">
        <f aca="false">IF($F539=0,0,INDEX(Aux_HH!$I$4:$I$18,MATCH($B539&amp;"|"&amp;$E539,Aux_HH!$A$4:$A$18,0)))</f>
        <v>1.5</v>
      </c>
    </row>
    <row r="540" customFormat="false" ht="15" hidden="false" customHeight="false" outlineLevel="0" collapsed="false">
      <c r="A540" s="0" t="str">
        <f aca="false">IF(Frota!$A15="","",Frota!$A15)</f>
        <v>Implemento Distribuidor — 802</v>
      </c>
      <c r="B540" s="0" t="str">
        <f aca="false">IF(Frota!$A15="","",Frota!$B15)</f>
        <v>Implemento</v>
      </c>
      <c r="C540" s="0" t="n">
        <v>17</v>
      </c>
      <c r="D540" s="0" t="n">
        <f aca="false">INDEX(Semanas!$E$3:$E$54,17)</f>
        <v>7</v>
      </c>
      <c r="E540" s="0" t="str">
        <f aca="false">IF(Frota!$A15="","",Cronograma!R15)</f>
        <v/>
      </c>
      <c r="F540" s="0" t="n">
        <f aca="false">IF(OR($E540="",$E540=0),0,1)</f>
        <v>0</v>
      </c>
      <c r="G540" s="0" t="n">
        <f aca="false">IF($F540=0,0,INDEX(Aux_HH!$D$4:$D$18,MATCH($B540&amp;"|"&amp;$E540,Aux_HH!$A$4:$A$18,0)))</f>
        <v>0</v>
      </c>
      <c r="H540" s="0" t="n">
        <f aca="false">IF($F540=0,0,INDEX(Aux_HH!$E$4:$E$18,MATCH($B540&amp;"|"&amp;$E540,Aux_HH!$A$4:$A$18,0)))</f>
        <v>0</v>
      </c>
      <c r="I540" s="0" t="n">
        <f aca="false">IF($F540=0,0,INDEX(Aux_HH!$F$4:$F$18,MATCH($B540&amp;"|"&amp;$E540,Aux_HH!$A$4:$A$18,0)))</f>
        <v>0</v>
      </c>
      <c r="J540" s="0" t="n">
        <f aca="false">IF($F540=0,0,INDEX(Aux_HH!$G$4:$G$18,MATCH($B540&amp;"|"&amp;$E540,Aux_HH!$A$4:$A$18,0)))</f>
        <v>0</v>
      </c>
      <c r="K540" s="0" t="n">
        <f aca="false">IF($F540=0,0,INDEX(Aux_HH!$H$4:$H$18,MATCH($B540&amp;"|"&amp;$E540,Aux_HH!$A$4:$A$18,0)))</f>
        <v>0</v>
      </c>
      <c r="L540" s="0" t="n">
        <f aca="false">IF($F540=0,0,INDEX(Aux_HH!$I$4:$I$18,MATCH($B540&amp;"|"&amp;$E540,Aux_HH!$A$4:$A$18,0)))</f>
        <v>0</v>
      </c>
    </row>
    <row r="541" customFormat="false" ht="15" hidden="false" customHeight="false" outlineLevel="0" collapsed="false">
      <c r="A541" s="0" t="str">
        <f aca="false">IF(Frota!$A15="","",Frota!$A15)</f>
        <v>Implemento Distribuidor — 802</v>
      </c>
      <c r="B541" s="0" t="str">
        <f aca="false">IF(Frota!$A15="","",Frota!$B15)</f>
        <v>Implemento</v>
      </c>
      <c r="C541" s="0" t="n">
        <v>18</v>
      </c>
      <c r="D541" s="0" t="n">
        <f aca="false">INDEX(Semanas!$E$3:$E$54,18)</f>
        <v>7</v>
      </c>
      <c r="E541" s="0" t="str">
        <f aca="false">IF(Frota!$A15="","",Cronograma!S15)</f>
        <v/>
      </c>
      <c r="F541" s="0" t="n">
        <f aca="false">IF(OR($E541="",$E541=0),0,1)</f>
        <v>0</v>
      </c>
      <c r="G541" s="0" t="n">
        <f aca="false">IF($F541=0,0,INDEX(Aux_HH!$D$4:$D$18,MATCH($B541&amp;"|"&amp;$E541,Aux_HH!$A$4:$A$18,0)))</f>
        <v>0</v>
      </c>
      <c r="H541" s="0" t="n">
        <f aca="false">IF($F541=0,0,INDEX(Aux_HH!$E$4:$E$18,MATCH($B541&amp;"|"&amp;$E541,Aux_HH!$A$4:$A$18,0)))</f>
        <v>0</v>
      </c>
      <c r="I541" s="0" t="n">
        <f aca="false">IF($F541=0,0,INDEX(Aux_HH!$F$4:$F$18,MATCH($B541&amp;"|"&amp;$E541,Aux_HH!$A$4:$A$18,0)))</f>
        <v>0</v>
      </c>
      <c r="J541" s="0" t="n">
        <f aca="false">IF($F541=0,0,INDEX(Aux_HH!$G$4:$G$18,MATCH($B541&amp;"|"&amp;$E541,Aux_HH!$A$4:$A$18,0)))</f>
        <v>0</v>
      </c>
      <c r="K541" s="0" t="n">
        <f aca="false">IF($F541=0,0,INDEX(Aux_HH!$H$4:$H$18,MATCH($B541&amp;"|"&amp;$E541,Aux_HH!$A$4:$A$18,0)))</f>
        <v>0</v>
      </c>
      <c r="L541" s="0" t="n">
        <f aca="false">IF($F541=0,0,INDEX(Aux_HH!$I$4:$I$18,MATCH($B541&amp;"|"&amp;$E541,Aux_HH!$A$4:$A$18,0)))</f>
        <v>0</v>
      </c>
    </row>
    <row r="542" customFormat="false" ht="15" hidden="false" customHeight="false" outlineLevel="0" collapsed="false">
      <c r="A542" s="0" t="str">
        <f aca="false">IF(Frota!$A15="","",Frota!$A15)</f>
        <v>Implemento Distribuidor — 802</v>
      </c>
      <c r="B542" s="0" t="str">
        <f aca="false">IF(Frota!$A15="","",Frota!$B15)</f>
        <v>Implemento</v>
      </c>
      <c r="C542" s="0" t="n">
        <v>19</v>
      </c>
      <c r="D542" s="0" t="n">
        <f aca="false">INDEX(Semanas!$E$3:$E$54,19)</f>
        <v>8</v>
      </c>
      <c r="E542" s="0" t="str">
        <f aca="false">IF(Frota!$A15="","",Cronograma!T15)</f>
        <v/>
      </c>
      <c r="F542" s="0" t="n">
        <f aca="false">IF(OR($E542="",$E542=0),0,1)</f>
        <v>0</v>
      </c>
      <c r="G542" s="0" t="n">
        <f aca="false">IF($F542=0,0,INDEX(Aux_HH!$D$4:$D$18,MATCH($B542&amp;"|"&amp;$E542,Aux_HH!$A$4:$A$18,0)))</f>
        <v>0</v>
      </c>
      <c r="H542" s="0" t="n">
        <f aca="false">IF($F542=0,0,INDEX(Aux_HH!$E$4:$E$18,MATCH($B542&amp;"|"&amp;$E542,Aux_HH!$A$4:$A$18,0)))</f>
        <v>0</v>
      </c>
      <c r="I542" s="0" t="n">
        <f aca="false">IF($F542=0,0,INDEX(Aux_HH!$F$4:$F$18,MATCH($B542&amp;"|"&amp;$E542,Aux_HH!$A$4:$A$18,0)))</f>
        <v>0</v>
      </c>
      <c r="J542" s="0" t="n">
        <f aca="false">IF($F542=0,0,INDEX(Aux_HH!$G$4:$G$18,MATCH($B542&amp;"|"&amp;$E542,Aux_HH!$A$4:$A$18,0)))</f>
        <v>0</v>
      </c>
      <c r="K542" s="0" t="n">
        <f aca="false">IF($F542=0,0,INDEX(Aux_HH!$H$4:$H$18,MATCH($B542&amp;"|"&amp;$E542,Aux_HH!$A$4:$A$18,0)))</f>
        <v>0</v>
      </c>
      <c r="L542" s="0" t="n">
        <f aca="false">IF($F542=0,0,INDEX(Aux_HH!$I$4:$I$18,MATCH($B542&amp;"|"&amp;$E542,Aux_HH!$A$4:$A$18,0)))</f>
        <v>0</v>
      </c>
    </row>
    <row r="543" customFormat="false" ht="15" hidden="false" customHeight="false" outlineLevel="0" collapsed="false">
      <c r="A543" s="0" t="str">
        <f aca="false">IF(Frota!$A15="","",Frota!$A15)</f>
        <v>Implemento Distribuidor — 802</v>
      </c>
      <c r="B543" s="0" t="str">
        <f aca="false">IF(Frota!$A15="","",Frota!$B15)</f>
        <v>Implemento</v>
      </c>
      <c r="C543" s="0" t="n">
        <v>20</v>
      </c>
      <c r="D543" s="0" t="n">
        <f aca="false">INDEX(Semanas!$E$3:$E$54,20)</f>
        <v>8</v>
      </c>
      <c r="E543" s="0" t="str">
        <f aca="false">IF(Frota!$A15="","",Cronograma!U15)</f>
        <v/>
      </c>
      <c r="F543" s="0" t="n">
        <f aca="false">IF(OR($E543="",$E543=0),0,1)</f>
        <v>0</v>
      </c>
      <c r="G543" s="0" t="n">
        <f aca="false">IF($F543=0,0,INDEX(Aux_HH!$D$4:$D$18,MATCH($B543&amp;"|"&amp;$E543,Aux_HH!$A$4:$A$18,0)))</f>
        <v>0</v>
      </c>
      <c r="H543" s="0" t="n">
        <f aca="false">IF($F543=0,0,INDEX(Aux_HH!$E$4:$E$18,MATCH($B543&amp;"|"&amp;$E543,Aux_HH!$A$4:$A$18,0)))</f>
        <v>0</v>
      </c>
      <c r="I543" s="0" t="n">
        <f aca="false">IF($F543=0,0,INDEX(Aux_HH!$F$4:$F$18,MATCH($B543&amp;"|"&amp;$E543,Aux_HH!$A$4:$A$18,0)))</f>
        <v>0</v>
      </c>
      <c r="J543" s="0" t="n">
        <f aca="false">IF($F543=0,0,INDEX(Aux_HH!$G$4:$G$18,MATCH($B543&amp;"|"&amp;$E543,Aux_HH!$A$4:$A$18,0)))</f>
        <v>0</v>
      </c>
      <c r="K543" s="0" t="n">
        <f aca="false">IF($F543=0,0,INDEX(Aux_HH!$H$4:$H$18,MATCH($B543&amp;"|"&amp;$E543,Aux_HH!$A$4:$A$18,0)))</f>
        <v>0</v>
      </c>
      <c r="L543" s="0" t="n">
        <f aca="false">IF($F543=0,0,INDEX(Aux_HH!$I$4:$I$18,MATCH($B543&amp;"|"&amp;$E543,Aux_HH!$A$4:$A$18,0)))</f>
        <v>0</v>
      </c>
    </row>
    <row r="544" customFormat="false" ht="15" hidden="false" customHeight="false" outlineLevel="0" collapsed="false">
      <c r="A544" s="0" t="str">
        <f aca="false">IF(Frota!$A15="","",Frota!$A15)</f>
        <v>Implemento Distribuidor — 802</v>
      </c>
      <c r="B544" s="0" t="str">
        <f aca="false">IF(Frota!$A15="","",Frota!$B15)</f>
        <v>Implemento</v>
      </c>
      <c r="C544" s="0" t="n">
        <v>21</v>
      </c>
      <c r="D544" s="0" t="n">
        <f aca="false">INDEX(Semanas!$E$3:$E$54,21)</f>
        <v>8</v>
      </c>
      <c r="E544" s="0" t="str">
        <f aca="false">IF(Frota!$A15="","",Cronograma!V15)</f>
        <v/>
      </c>
      <c r="F544" s="0" t="n">
        <f aca="false">IF(OR($E544="",$E544=0),0,1)</f>
        <v>0</v>
      </c>
      <c r="G544" s="0" t="n">
        <f aca="false">IF($F544=0,0,INDEX(Aux_HH!$D$4:$D$18,MATCH($B544&amp;"|"&amp;$E544,Aux_HH!$A$4:$A$18,0)))</f>
        <v>0</v>
      </c>
      <c r="H544" s="0" t="n">
        <f aca="false">IF($F544=0,0,INDEX(Aux_HH!$E$4:$E$18,MATCH($B544&amp;"|"&amp;$E544,Aux_HH!$A$4:$A$18,0)))</f>
        <v>0</v>
      </c>
      <c r="I544" s="0" t="n">
        <f aca="false">IF($F544=0,0,INDEX(Aux_HH!$F$4:$F$18,MATCH($B544&amp;"|"&amp;$E544,Aux_HH!$A$4:$A$18,0)))</f>
        <v>0</v>
      </c>
      <c r="J544" s="0" t="n">
        <f aca="false">IF($F544=0,0,INDEX(Aux_HH!$G$4:$G$18,MATCH($B544&amp;"|"&amp;$E544,Aux_HH!$A$4:$A$18,0)))</f>
        <v>0</v>
      </c>
      <c r="K544" s="0" t="n">
        <f aca="false">IF($F544=0,0,INDEX(Aux_HH!$H$4:$H$18,MATCH($B544&amp;"|"&amp;$E544,Aux_HH!$A$4:$A$18,0)))</f>
        <v>0</v>
      </c>
      <c r="L544" s="0" t="n">
        <f aca="false">IF($F544=0,0,INDEX(Aux_HH!$I$4:$I$18,MATCH($B544&amp;"|"&amp;$E544,Aux_HH!$A$4:$A$18,0)))</f>
        <v>0</v>
      </c>
    </row>
    <row r="545" customFormat="false" ht="15" hidden="false" customHeight="false" outlineLevel="0" collapsed="false">
      <c r="A545" s="0" t="str">
        <f aca="false">IF(Frota!$A15="","",Frota!$A15)</f>
        <v>Implemento Distribuidor — 802</v>
      </c>
      <c r="B545" s="0" t="str">
        <f aca="false">IF(Frota!$A15="","",Frota!$B15)</f>
        <v>Implemento</v>
      </c>
      <c r="C545" s="0" t="n">
        <v>22</v>
      </c>
      <c r="D545" s="0" t="n">
        <f aca="false">INDEX(Semanas!$E$3:$E$54,22)</f>
        <v>8</v>
      </c>
      <c r="E545" s="0" t="str">
        <f aca="false">IF(Frota!$A15="","",Cronograma!W15)</f>
        <v/>
      </c>
      <c r="F545" s="0" t="n">
        <f aca="false">IF(OR($E545="",$E545=0),0,1)</f>
        <v>0</v>
      </c>
      <c r="G545" s="0" t="n">
        <f aca="false">IF($F545=0,0,INDEX(Aux_HH!$D$4:$D$18,MATCH($B545&amp;"|"&amp;$E545,Aux_HH!$A$4:$A$18,0)))</f>
        <v>0</v>
      </c>
      <c r="H545" s="0" t="n">
        <f aca="false">IF($F545=0,0,INDEX(Aux_HH!$E$4:$E$18,MATCH($B545&amp;"|"&amp;$E545,Aux_HH!$A$4:$A$18,0)))</f>
        <v>0</v>
      </c>
      <c r="I545" s="0" t="n">
        <f aca="false">IF($F545=0,0,INDEX(Aux_HH!$F$4:$F$18,MATCH($B545&amp;"|"&amp;$E545,Aux_HH!$A$4:$A$18,0)))</f>
        <v>0</v>
      </c>
      <c r="J545" s="0" t="n">
        <f aca="false">IF($F545=0,0,INDEX(Aux_HH!$G$4:$G$18,MATCH($B545&amp;"|"&amp;$E545,Aux_HH!$A$4:$A$18,0)))</f>
        <v>0</v>
      </c>
      <c r="K545" s="0" t="n">
        <f aca="false">IF($F545=0,0,INDEX(Aux_HH!$H$4:$H$18,MATCH($B545&amp;"|"&amp;$E545,Aux_HH!$A$4:$A$18,0)))</f>
        <v>0</v>
      </c>
      <c r="L545" s="0" t="n">
        <f aca="false">IF($F545=0,0,INDEX(Aux_HH!$I$4:$I$18,MATCH($B545&amp;"|"&amp;$E545,Aux_HH!$A$4:$A$18,0)))</f>
        <v>0</v>
      </c>
    </row>
    <row r="546" customFormat="false" ht="15" hidden="false" customHeight="false" outlineLevel="0" collapsed="false">
      <c r="A546" s="0" t="str">
        <f aca="false">IF(Frota!$A15="","",Frota!$A15)</f>
        <v>Implemento Distribuidor — 802</v>
      </c>
      <c r="B546" s="0" t="str">
        <f aca="false">IF(Frota!$A15="","",Frota!$B15)</f>
        <v>Implemento</v>
      </c>
      <c r="C546" s="0" t="n">
        <v>23</v>
      </c>
      <c r="D546" s="0" t="n">
        <f aca="false">INDEX(Semanas!$E$3:$E$54,23)</f>
        <v>9</v>
      </c>
      <c r="E546" s="0" t="str">
        <f aca="false">IF(Frota!$A15="","",Cronograma!X15)</f>
        <v/>
      </c>
      <c r="F546" s="0" t="n">
        <f aca="false">IF(OR($E546="",$E546=0),0,1)</f>
        <v>0</v>
      </c>
      <c r="G546" s="0" t="n">
        <f aca="false">IF($F546=0,0,INDEX(Aux_HH!$D$4:$D$18,MATCH($B546&amp;"|"&amp;$E546,Aux_HH!$A$4:$A$18,0)))</f>
        <v>0</v>
      </c>
      <c r="H546" s="0" t="n">
        <f aca="false">IF($F546=0,0,INDEX(Aux_HH!$E$4:$E$18,MATCH($B546&amp;"|"&amp;$E546,Aux_HH!$A$4:$A$18,0)))</f>
        <v>0</v>
      </c>
      <c r="I546" s="0" t="n">
        <f aca="false">IF($F546=0,0,INDEX(Aux_HH!$F$4:$F$18,MATCH($B546&amp;"|"&amp;$E546,Aux_HH!$A$4:$A$18,0)))</f>
        <v>0</v>
      </c>
      <c r="J546" s="0" t="n">
        <f aca="false">IF($F546=0,0,INDEX(Aux_HH!$G$4:$G$18,MATCH($B546&amp;"|"&amp;$E546,Aux_HH!$A$4:$A$18,0)))</f>
        <v>0</v>
      </c>
      <c r="K546" s="0" t="n">
        <f aca="false">IF($F546=0,0,INDEX(Aux_HH!$H$4:$H$18,MATCH($B546&amp;"|"&amp;$E546,Aux_HH!$A$4:$A$18,0)))</f>
        <v>0</v>
      </c>
      <c r="L546" s="0" t="n">
        <f aca="false">IF($F546=0,0,INDEX(Aux_HH!$I$4:$I$18,MATCH($B546&amp;"|"&amp;$E546,Aux_HH!$A$4:$A$18,0)))</f>
        <v>0</v>
      </c>
    </row>
    <row r="547" customFormat="false" ht="15" hidden="false" customHeight="false" outlineLevel="0" collapsed="false">
      <c r="A547" s="0" t="str">
        <f aca="false">IF(Frota!$A15="","",Frota!$A15)</f>
        <v>Implemento Distribuidor — 802</v>
      </c>
      <c r="B547" s="0" t="str">
        <f aca="false">IF(Frota!$A15="","",Frota!$B15)</f>
        <v>Implemento</v>
      </c>
      <c r="C547" s="0" t="n">
        <v>24</v>
      </c>
      <c r="D547" s="0" t="n">
        <f aca="false">INDEX(Semanas!$E$3:$E$54,24)</f>
        <v>9</v>
      </c>
      <c r="E547" s="0" t="str">
        <f aca="false">IF(Frota!$A15="","",Cronograma!Y15)</f>
        <v/>
      </c>
      <c r="F547" s="0" t="n">
        <f aca="false">IF(OR($E547="",$E547=0),0,1)</f>
        <v>0</v>
      </c>
      <c r="G547" s="0" t="n">
        <f aca="false">IF($F547=0,0,INDEX(Aux_HH!$D$4:$D$18,MATCH($B547&amp;"|"&amp;$E547,Aux_HH!$A$4:$A$18,0)))</f>
        <v>0</v>
      </c>
      <c r="H547" s="0" t="n">
        <f aca="false">IF($F547=0,0,INDEX(Aux_HH!$E$4:$E$18,MATCH($B547&amp;"|"&amp;$E547,Aux_HH!$A$4:$A$18,0)))</f>
        <v>0</v>
      </c>
      <c r="I547" s="0" t="n">
        <f aca="false">IF($F547=0,0,INDEX(Aux_HH!$F$4:$F$18,MATCH($B547&amp;"|"&amp;$E547,Aux_HH!$A$4:$A$18,0)))</f>
        <v>0</v>
      </c>
      <c r="J547" s="0" t="n">
        <f aca="false">IF($F547=0,0,INDEX(Aux_HH!$G$4:$G$18,MATCH($B547&amp;"|"&amp;$E547,Aux_HH!$A$4:$A$18,0)))</f>
        <v>0</v>
      </c>
      <c r="K547" s="0" t="n">
        <f aca="false">IF($F547=0,0,INDEX(Aux_HH!$H$4:$H$18,MATCH($B547&amp;"|"&amp;$E547,Aux_HH!$A$4:$A$18,0)))</f>
        <v>0</v>
      </c>
      <c r="L547" s="0" t="n">
        <f aca="false">IF($F547=0,0,INDEX(Aux_HH!$I$4:$I$18,MATCH($B547&amp;"|"&amp;$E547,Aux_HH!$A$4:$A$18,0)))</f>
        <v>0</v>
      </c>
    </row>
    <row r="548" customFormat="false" ht="15" hidden="false" customHeight="false" outlineLevel="0" collapsed="false">
      <c r="A548" s="0" t="str">
        <f aca="false">IF(Frota!$A15="","",Frota!$A15)</f>
        <v>Implemento Distribuidor — 802</v>
      </c>
      <c r="B548" s="0" t="str">
        <f aca="false">IF(Frota!$A15="","",Frota!$B15)</f>
        <v>Implemento</v>
      </c>
      <c r="C548" s="0" t="n">
        <v>25</v>
      </c>
      <c r="D548" s="0" t="n">
        <f aca="false">INDEX(Semanas!$E$3:$E$54,25)</f>
        <v>9</v>
      </c>
      <c r="E548" s="0" t="str">
        <f aca="false">IF(Frota!$A15="","",Cronograma!Z15)</f>
        <v>A</v>
      </c>
      <c r="F548" s="0" t="n">
        <f aca="false">IF(OR($E548="",$E548=0),0,1)</f>
        <v>1</v>
      </c>
      <c r="G548" s="0" t="n">
        <f aca="false">IF($F548=0,0,INDEX(Aux_HH!$D$4:$D$18,MATCH($B548&amp;"|"&amp;$E548,Aux_HH!$A$4:$A$18,0)))</f>
        <v>0.75</v>
      </c>
      <c r="H548" s="0" t="n">
        <f aca="false">IF($F548=0,0,INDEX(Aux_HH!$E$4:$E$18,MATCH($B548&amp;"|"&amp;$E548,Aux_HH!$A$4:$A$18,0)))</f>
        <v>0</v>
      </c>
      <c r="I548" s="0" t="n">
        <f aca="false">IF($F548=0,0,INDEX(Aux_HH!$F$4:$F$18,MATCH($B548&amp;"|"&amp;$E548,Aux_HH!$A$4:$A$18,0)))</f>
        <v>0</v>
      </c>
      <c r="J548" s="0" t="n">
        <f aca="false">IF($F548=0,0,INDEX(Aux_HH!$G$4:$G$18,MATCH($B548&amp;"|"&amp;$E548,Aux_HH!$A$4:$A$18,0)))</f>
        <v>0.5</v>
      </c>
      <c r="K548" s="0" t="n">
        <f aca="false">IF($F548=0,0,INDEX(Aux_HH!$H$4:$H$18,MATCH($B548&amp;"|"&amp;$E548,Aux_HH!$A$4:$A$18,0)))</f>
        <v>0</v>
      </c>
      <c r="L548" s="0" t="n">
        <f aca="false">IF($F548=0,0,INDEX(Aux_HH!$I$4:$I$18,MATCH($B548&amp;"|"&amp;$E548,Aux_HH!$A$4:$A$18,0)))</f>
        <v>1.5</v>
      </c>
    </row>
    <row r="549" customFormat="false" ht="15" hidden="false" customHeight="false" outlineLevel="0" collapsed="false">
      <c r="A549" s="0" t="str">
        <f aca="false">IF(Frota!$A15="","",Frota!$A15)</f>
        <v>Implemento Distribuidor — 802</v>
      </c>
      <c r="B549" s="0" t="str">
        <f aca="false">IF(Frota!$A15="","",Frota!$B15)</f>
        <v>Implemento</v>
      </c>
      <c r="C549" s="0" t="n">
        <v>26</v>
      </c>
      <c r="D549" s="0" t="n">
        <f aca="false">INDEX(Semanas!$E$3:$E$54,26)</f>
        <v>9</v>
      </c>
      <c r="E549" s="0" t="str">
        <f aca="false">IF(Frota!$A15="","",Cronograma!AA15)</f>
        <v/>
      </c>
      <c r="F549" s="0" t="n">
        <f aca="false">IF(OR($E549="",$E549=0),0,1)</f>
        <v>0</v>
      </c>
      <c r="G549" s="0" t="n">
        <f aca="false">IF($F549=0,0,INDEX(Aux_HH!$D$4:$D$18,MATCH($B549&amp;"|"&amp;$E549,Aux_HH!$A$4:$A$18,0)))</f>
        <v>0</v>
      </c>
      <c r="H549" s="0" t="n">
        <f aca="false">IF($F549=0,0,INDEX(Aux_HH!$E$4:$E$18,MATCH($B549&amp;"|"&amp;$E549,Aux_HH!$A$4:$A$18,0)))</f>
        <v>0</v>
      </c>
      <c r="I549" s="0" t="n">
        <f aca="false">IF($F549=0,0,INDEX(Aux_HH!$F$4:$F$18,MATCH($B549&amp;"|"&amp;$E549,Aux_HH!$A$4:$A$18,0)))</f>
        <v>0</v>
      </c>
      <c r="J549" s="0" t="n">
        <f aca="false">IF($F549=0,0,INDEX(Aux_HH!$G$4:$G$18,MATCH($B549&amp;"|"&amp;$E549,Aux_HH!$A$4:$A$18,0)))</f>
        <v>0</v>
      </c>
      <c r="K549" s="0" t="n">
        <f aca="false">IF($F549=0,0,INDEX(Aux_HH!$H$4:$H$18,MATCH($B549&amp;"|"&amp;$E549,Aux_HH!$A$4:$A$18,0)))</f>
        <v>0</v>
      </c>
      <c r="L549" s="0" t="n">
        <f aca="false">IF($F549=0,0,INDEX(Aux_HH!$I$4:$I$18,MATCH($B549&amp;"|"&amp;$E549,Aux_HH!$A$4:$A$18,0)))</f>
        <v>0</v>
      </c>
    </row>
    <row r="550" customFormat="false" ht="15" hidden="false" customHeight="false" outlineLevel="0" collapsed="false">
      <c r="A550" s="0" t="str">
        <f aca="false">IF(Frota!$A15="","",Frota!$A15)</f>
        <v>Implemento Distribuidor — 802</v>
      </c>
      <c r="B550" s="0" t="str">
        <f aca="false">IF(Frota!$A15="","",Frota!$B15)</f>
        <v>Implemento</v>
      </c>
      <c r="C550" s="0" t="n">
        <v>27</v>
      </c>
      <c r="D550" s="0" t="n">
        <f aca="false">INDEX(Semanas!$E$3:$E$54,27)</f>
        <v>9</v>
      </c>
      <c r="E550" s="0" t="str">
        <f aca="false">IF(Frota!$A15="","",Cronograma!AB15)</f>
        <v/>
      </c>
      <c r="F550" s="0" t="n">
        <f aca="false">IF(OR($E550="",$E550=0),0,1)</f>
        <v>0</v>
      </c>
      <c r="G550" s="0" t="n">
        <f aca="false">IF($F550=0,0,INDEX(Aux_HH!$D$4:$D$18,MATCH($B550&amp;"|"&amp;$E550,Aux_HH!$A$4:$A$18,0)))</f>
        <v>0</v>
      </c>
      <c r="H550" s="0" t="n">
        <f aca="false">IF($F550=0,0,INDEX(Aux_HH!$E$4:$E$18,MATCH($B550&amp;"|"&amp;$E550,Aux_HH!$A$4:$A$18,0)))</f>
        <v>0</v>
      </c>
      <c r="I550" s="0" t="n">
        <f aca="false">IF($F550=0,0,INDEX(Aux_HH!$F$4:$F$18,MATCH($B550&amp;"|"&amp;$E550,Aux_HH!$A$4:$A$18,0)))</f>
        <v>0</v>
      </c>
      <c r="J550" s="0" t="n">
        <f aca="false">IF($F550=0,0,INDEX(Aux_HH!$G$4:$G$18,MATCH($B550&amp;"|"&amp;$E550,Aux_HH!$A$4:$A$18,0)))</f>
        <v>0</v>
      </c>
      <c r="K550" s="0" t="n">
        <f aca="false">IF($F550=0,0,INDEX(Aux_HH!$H$4:$H$18,MATCH($B550&amp;"|"&amp;$E550,Aux_HH!$A$4:$A$18,0)))</f>
        <v>0</v>
      </c>
      <c r="L550" s="0" t="n">
        <f aca="false">IF($F550=0,0,INDEX(Aux_HH!$I$4:$I$18,MATCH($B550&amp;"|"&amp;$E550,Aux_HH!$A$4:$A$18,0)))</f>
        <v>0</v>
      </c>
    </row>
    <row r="551" customFormat="false" ht="15" hidden="false" customHeight="false" outlineLevel="0" collapsed="false">
      <c r="A551" s="0" t="str">
        <f aca="false">IF(Frota!$A15="","",Frota!$A15)</f>
        <v>Implemento Distribuidor — 802</v>
      </c>
      <c r="B551" s="0" t="str">
        <f aca="false">IF(Frota!$A15="","",Frota!$B15)</f>
        <v>Implemento</v>
      </c>
      <c r="C551" s="0" t="n">
        <v>28</v>
      </c>
      <c r="D551" s="0" t="n">
        <f aca="false">INDEX(Semanas!$E$3:$E$54,28)</f>
        <v>10</v>
      </c>
      <c r="E551" s="0" t="str">
        <f aca="false">IF(Frota!$A15="","",Cronograma!AC15)</f>
        <v/>
      </c>
      <c r="F551" s="0" t="n">
        <f aca="false">IF(OR($E551="",$E551=0),0,1)</f>
        <v>0</v>
      </c>
      <c r="G551" s="0" t="n">
        <f aca="false">IF($F551=0,0,INDEX(Aux_HH!$D$4:$D$18,MATCH($B551&amp;"|"&amp;$E551,Aux_HH!$A$4:$A$18,0)))</f>
        <v>0</v>
      </c>
      <c r="H551" s="0" t="n">
        <f aca="false">IF($F551=0,0,INDEX(Aux_HH!$E$4:$E$18,MATCH($B551&amp;"|"&amp;$E551,Aux_HH!$A$4:$A$18,0)))</f>
        <v>0</v>
      </c>
      <c r="I551" s="0" t="n">
        <f aca="false">IF($F551=0,0,INDEX(Aux_HH!$F$4:$F$18,MATCH($B551&amp;"|"&amp;$E551,Aux_HH!$A$4:$A$18,0)))</f>
        <v>0</v>
      </c>
      <c r="J551" s="0" t="n">
        <f aca="false">IF($F551=0,0,INDEX(Aux_HH!$G$4:$G$18,MATCH($B551&amp;"|"&amp;$E551,Aux_HH!$A$4:$A$18,0)))</f>
        <v>0</v>
      </c>
      <c r="K551" s="0" t="n">
        <f aca="false">IF($F551=0,0,INDEX(Aux_HH!$H$4:$H$18,MATCH($B551&amp;"|"&amp;$E551,Aux_HH!$A$4:$A$18,0)))</f>
        <v>0</v>
      </c>
      <c r="L551" s="0" t="n">
        <f aca="false">IF($F551=0,0,INDEX(Aux_HH!$I$4:$I$18,MATCH($B551&amp;"|"&amp;$E551,Aux_HH!$A$4:$A$18,0)))</f>
        <v>0</v>
      </c>
    </row>
    <row r="552" customFormat="false" ht="15" hidden="false" customHeight="false" outlineLevel="0" collapsed="false">
      <c r="A552" s="0" t="str">
        <f aca="false">IF(Frota!$A15="","",Frota!$A15)</f>
        <v>Implemento Distribuidor — 802</v>
      </c>
      <c r="B552" s="0" t="str">
        <f aca="false">IF(Frota!$A15="","",Frota!$B15)</f>
        <v>Implemento</v>
      </c>
      <c r="C552" s="0" t="n">
        <v>29</v>
      </c>
      <c r="D552" s="0" t="n">
        <f aca="false">INDEX(Semanas!$E$3:$E$54,29)</f>
        <v>10</v>
      </c>
      <c r="E552" s="0" t="str">
        <f aca="false">IF(Frota!$A15="","",Cronograma!AD15)</f>
        <v/>
      </c>
      <c r="F552" s="0" t="n">
        <f aca="false">IF(OR($E552="",$E552=0),0,1)</f>
        <v>0</v>
      </c>
      <c r="G552" s="0" t="n">
        <f aca="false">IF($F552=0,0,INDEX(Aux_HH!$D$4:$D$18,MATCH($B552&amp;"|"&amp;$E552,Aux_HH!$A$4:$A$18,0)))</f>
        <v>0</v>
      </c>
      <c r="H552" s="0" t="n">
        <f aca="false">IF($F552=0,0,INDEX(Aux_HH!$E$4:$E$18,MATCH($B552&amp;"|"&amp;$E552,Aux_HH!$A$4:$A$18,0)))</f>
        <v>0</v>
      </c>
      <c r="I552" s="0" t="n">
        <f aca="false">IF($F552=0,0,INDEX(Aux_HH!$F$4:$F$18,MATCH($B552&amp;"|"&amp;$E552,Aux_HH!$A$4:$A$18,0)))</f>
        <v>0</v>
      </c>
      <c r="J552" s="0" t="n">
        <f aca="false">IF($F552=0,0,INDEX(Aux_HH!$G$4:$G$18,MATCH($B552&amp;"|"&amp;$E552,Aux_HH!$A$4:$A$18,0)))</f>
        <v>0</v>
      </c>
      <c r="K552" s="0" t="n">
        <f aca="false">IF($F552=0,0,INDEX(Aux_HH!$H$4:$H$18,MATCH($B552&amp;"|"&amp;$E552,Aux_HH!$A$4:$A$18,0)))</f>
        <v>0</v>
      </c>
      <c r="L552" s="0" t="n">
        <f aca="false">IF($F552=0,0,INDEX(Aux_HH!$I$4:$I$18,MATCH($B552&amp;"|"&amp;$E552,Aux_HH!$A$4:$A$18,0)))</f>
        <v>0</v>
      </c>
    </row>
    <row r="553" customFormat="false" ht="15" hidden="false" customHeight="false" outlineLevel="0" collapsed="false">
      <c r="A553" s="0" t="str">
        <f aca="false">IF(Frota!$A15="","",Frota!$A15)</f>
        <v>Implemento Distribuidor — 802</v>
      </c>
      <c r="B553" s="0" t="str">
        <f aca="false">IF(Frota!$A15="","",Frota!$B15)</f>
        <v>Implemento</v>
      </c>
      <c r="C553" s="0" t="n">
        <v>30</v>
      </c>
      <c r="D553" s="0" t="n">
        <f aca="false">INDEX(Semanas!$E$3:$E$54,30)</f>
        <v>10</v>
      </c>
      <c r="E553" s="0" t="str">
        <f aca="false">IF(Frota!$A15="","",Cronograma!AE15)</f>
        <v/>
      </c>
      <c r="F553" s="0" t="n">
        <f aca="false">IF(OR($E553="",$E553=0),0,1)</f>
        <v>0</v>
      </c>
      <c r="G553" s="0" t="n">
        <f aca="false">IF($F553=0,0,INDEX(Aux_HH!$D$4:$D$18,MATCH($B553&amp;"|"&amp;$E553,Aux_HH!$A$4:$A$18,0)))</f>
        <v>0</v>
      </c>
      <c r="H553" s="0" t="n">
        <f aca="false">IF($F553=0,0,INDEX(Aux_HH!$E$4:$E$18,MATCH($B553&amp;"|"&amp;$E553,Aux_HH!$A$4:$A$18,0)))</f>
        <v>0</v>
      </c>
      <c r="I553" s="0" t="n">
        <f aca="false">IF($F553=0,0,INDEX(Aux_HH!$F$4:$F$18,MATCH($B553&amp;"|"&amp;$E553,Aux_HH!$A$4:$A$18,0)))</f>
        <v>0</v>
      </c>
      <c r="J553" s="0" t="n">
        <f aca="false">IF($F553=0,0,INDEX(Aux_HH!$G$4:$G$18,MATCH($B553&amp;"|"&amp;$E553,Aux_HH!$A$4:$A$18,0)))</f>
        <v>0</v>
      </c>
      <c r="K553" s="0" t="n">
        <f aca="false">IF($F553=0,0,INDEX(Aux_HH!$H$4:$H$18,MATCH($B553&amp;"|"&amp;$E553,Aux_HH!$A$4:$A$18,0)))</f>
        <v>0</v>
      </c>
      <c r="L553" s="0" t="n">
        <f aca="false">IF($F553=0,0,INDEX(Aux_HH!$I$4:$I$18,MATCH($B553&amp;"|"&amp;$E553,Aux_HH!$A$4:$A$18,0)))</f>
        <v>0</v>
      </c>
    </row>
    <row r="554" customFormat="false" ht="15" hidden="false" customHeight="false" outlineLevel="0" collapsed="false">
      <c r="A554" s="0" t="str">
        <f aca="false">IF(Frota!$A15="","",Frota!$A15)</f>
        <v>Implemento Distribuidor — 802</v>
      </c>
      <c r="B554" s="0" t="str">
        <f aca="false">IF(Frota!$A15="","",Frota!$B15)</f>
        <v>Implemento</v>
      </c>
      <c r="C554" s="0" t="n">
        <v>31</v>
      </c>
      <c r="D554" s="0" t="n">
        <f aca="false">INDEX(Semanas!$E$3:$E$54,31)</f>
        <v>10</v>
      </c>
      <c r="E554" s="0" t="str">
        <f aca="false">IF(Frota!$A15="","",Cronograma!AF15)</f>
        <v/>
      </c>
      <c r="F554" s="0" t="n">
        <f aca="false">IF(OR($E554="",$E554=0),0,1)</f>
        <v>0</v>
      </c>
      <c r="G554" s="0" t="n">
        <f aca="false">IF($F554=0,0,INDEX(Aux_HH!$D$4:$D$18,MATCH($B554&amp;"|"&amp;$E554,Aux_HH!$A$4:$A$18,0)))</f>
        <v>0</v>
      </c>
      <c r="H554" s="0" t="n">
        <f aca="false">IF($F554=0,0,INDEX(Aux_HH!$E$4:$E$18,MATCH($B554&amp;"|"&amp;$E554,Aux_HH!$A$4:$A$18,0)))</f>
        <v>0</v>
      </c>
      <c r="I554" s="0" t="n">
        <f aca="false">IF($F554=0,0,INDEX(Aux_HH!$F$4:$F$18,MATCH($B554&amp;"|"&amp;$E554,Aux_HH!$A$4:$A$18,0)))</f>
        <v>0</v>
      </c>
      <c r="J554" s="0" t="n">
        <f aca="false">IF($F554=0,0,INDEX(Aux_HH!$G$4:$G$18,MATCH($B554&amp;"|"&amp;$E554,Aux_HH!$A$4:$A$18,0)))</f>
        <v>0</v>
      </c>
      <c r="K554" s="0" t="n">
        <f aca="false">IF($F554=0,0,INDEX(Aux_HH!$H$4:$H$18,MATCH($B554&amp;"|"&amp;$E554,Aux_HH!$A$4:$A$18,0)))</f>
        <v>0</v>
      </c>
      <c r="L554" s="0" t="n">
        <f aca="false">IF($F554=0,0,INDEX(Aux_HH!$I$4:$I$18,MATCH($B554&amp;"|"&amp;$E554,Aux_HH!$A$4:$A$18,0)))</f>
        <v>0</v>
      </c>
    </row>
    <row r="555" customFormat="false" ht="15" hidden="false" customHeight="false" outlineLevel="0" collapsed="false">
      <c r="A555" s="0" t="str">
        <f aca="false">IF(Frota!$A15="","",Frota!$A15)</f>
        <v>Implemento Distribuidor — 802</v>
      </c>
      <c r="B555" s="0" t="str">
        <f aca="false">IF(Frota!$A15="","",Frota!$B15)</f>
        <v>Implemento</v>
      </c>
      <c r="C555" s="0" t="n">
        <v>32</v>
      </c>
      <c r="D555" s="0" t="n">
        <f aca="false">INDEX(Semanas!$E$3:$E$54,32)</f>
        <v>11</v>
      </c>
      <c r="E555" s="0" t="str">
        <f aca="false">IF(Frota!$A15="","",Cronograma!AG15)</f>
        <v/>
      </c>
      <c r="F555" s="0" t="n">
        <f aca="false">IF(OR($E555="",$E555=0),0,1)</f>
        <v>0</v>
      </c>
      <c r="G555" s="0" t="n">
        <f aca="false">IF($F555=0,0,INDEX(Aux_HH!$D$4:$D$18,MATCH($B555&amp;"|"&amp;$E555,Aux_HH!$A$4:$A$18,0)))</f>
        <v>0</v>
      </c>
      <c r="H555" s="0" t="n">
        <f aca="false">IF($F555=0,0,INDEX(Aux_HH!$E$4:$E$18,MATCH($B555&amp;"|"&amp;$E555,Aux_HH!$A$4:$A$18,0)))</f>
        <v>0</v>
      </c>
      <c r="I555" s="0" t="n">
        <f aca="false">IF($F555=0,0,INDEX(Aux_HH!$F$4:$F$18,MATCH($B555&amp;"|"&amp;$E555,Aux_HH!$A$4:$A$18,0)))</f>
        <v>0</v>
      </c>
      <c r="J555" s="0" t="n">
        <f aca="false">IF($F555=0,0,INDEX(Aux_HH!$G$4:$G$18,MATCH($B555&amp;"|"&amp;$E555,Aux_HH!$A$4:$A$18,0)))</f>
        <v>0</v>
      </c>
      <c r="K555" s="0" t="n">
        <f aca="false">IF($F555=0,0,INDEX(Aux_HH!$H$4:$H$18,MATCH($B555&amp;"|"&amp;$E555,Aux_HH!$A$4:$A$18,0)))</f>
        <v>0</v>
      </c>
      <c r="L555" s="0" t="n">
        <f aca="false">IF($F555=0,0,INDEX(Aux_HH!$I$4:$I$18,MATCH($B555&amp;"|"&amp;$E555,Aux_HH!$A$4:$A$18,0)))</f>
        <v>0</v>
      </c>
    </row>
    <row r="556" customFormat="false" ht="15" hidden="false" customHeight="false" outlineLevel="0" collapsed="false">
      <c r="A556" s="0" t="str">
        <f aca="false">IF(Frota!$A15="","",Frota!$A15)</f>
        <v>Implemento Distribuidor — 802</v>
      </c>
      <c r="B556" s="0" t="str">
        <f aca="false">IF(Frota!$A15="","",Frota!$B15)</f>
        <v>Implemento</v>
      </c>
      <c r="C556" s="0" t="n">
        <v>33</v>
      </c>
      <c r="D556" s="0" t="n">
        <f aca="false">INDEX(Semanas!$E$3:$E$54,33)</f>
        <v>11</v>
      </c>
      <c r="E556" s="0" t="str">
        <f aca="false">IF(Frota!$A15="","",Cronograma!AH15)</f>
        <v/>
      </c>
      <c r="F556" s="0" t="n">
        <f aca="false">IF(OR($E556="",$E556=0),0,1)</f>
        <v>0</v>
      </c>
      <c r="G556" s="0" t="n">
        <f aca="false">IF($F556=0,0,INDEX(Aux_HH!$D$4:$D$18,MATCH($B556&amp;"|"&amp;$E556,Aux_HH!$A$4:$A$18,0)))</f>
        <v>0</v>
      </c>
      <c r="H556" s="0" t="n">
        <f aca="false">IF($F556=0,0,INDEX(Aux_HH!$E$4:$E$18,MATCH($B556&amp;"|"&amp;$E556,Aux_HH!$A$4:$A$18,0)))</f>
        <v>0</v>
      </c>
      <c r="I556" s="0" t="n">
        <f aca="false">IF($F556=0,0,INDEX(Aux_HH!$F$4:$F$18,MATCH($B556&amp;"|"&amp;$E556,Aux_HH!$A$4:$A$18,0)))</f>
        <v>0</v>
      </c>
      <c r="J556" s="0" t="n">
        <f aca="false">IF($F556=0,0,INDEX(Aux_HH!$G$4:$G$18,MATCH($B556&amp;"|"&amp;$E556,Aux_HH!$A$4:$A$18,0)))</f>
        <v>0</v>
      </c>
      <c r="K556" s="0" t="n">
        <f aca="false">IF($F556=0,0,INDEX(Aux_HH!$H$4:$H$18,MATCH($B556&amp;"|"&amp;$E556,Aux_HH!$A$4:$A$18,0)))</f>
        <v>0</v>
      </c>
      <c r="L556" s="0" t="n">
        <f aca="false">IF($F556=0,0,INDEX(Aux_HH!$I$4:$I$18,MATCH($B556&amp;"|"&amp;$E556,Aux_HH!$A$4:$A$18,0)))</f>
        <v>0</v>
      </c>
    </row>
    <row r="557" customFormat="false" ht="15" hidden="false" customHeight="false" outlineLevel="0" collapsed="false">
      <c r="A557" s="0" t="str">
        <f aca="false">IF(Frota!$A15="","",Frota!$A15)</f>
        <v>Implemento Distribuidor — 802</v>
      </c>
      <c r="B557" s="0" t="str">
        <f aca="false">IF(Frota!$A15="","",Frota!$B15)</f>
        <v>Implemento</v>
      </c>
      <c r="C557" s="0" t="n">
        <v>34</v>
      </c>
      <c r="D557" s="0" t="n">
        <f aca="false">INDEX(Semanas!$E$3:$E$54,34)</f>
        <v>11</v>
      </c>
      <c r="E557" s="0" t="str">
        <f aca="false">IF(Frota!$A15="","",Cronograma!AI15)</f>
        <v/>
      </c>
      <c r="F557" s="0" t="n">
        <f aca="false">IF(OR($E557="",$E557=0),0,1)</f>
        <v>0</v>
      </c>
      <c r="G557" s="0" t="n">
        <f aca="false">IF($F557=0,0,INDEX(Aux_HH!$D$4:$D$18,MATCH($B557&amp;"|"&amp;$E557,Aux_HH!$A$4:$A$18,0)))</f>
        <v>0</v>
      </c>
      <c r="H557" s="0" t="n">
        <f aca="false">IF($F557=0,0,INDEX(Aux_HH!$E$4:$E$18,MATCH($B557&amp;"|"&amp;$E557,Aux_HH!$A$4:$A$18,0)))</f>
        <v>0</v>
      </c>
      <c r="I557" s="0" t="n">
        <f aca="false">IF($F557=0,0,INDEX(Aux_HH!$F$4:$F$18,MATCH($B557&amp;"|"&amp;$E557,Aux_HH!$A$4:$A$18,0)))</f>
        <v>0</v>
      </c>
      <c r="J557" s="0" t="n">
        <f aca="false">IF($F557=0,0,INDEX(Aux_HH!$G$4:$G$18,MATCH($B557&amp;"|"&amp;$E557,Aux_HH!$A$4:$A$18,0)))</f>
        <v>0</v>
      </c>
      <c r="K557" s="0" t="n">
        <f aca="false">IF($F557=0,0,INDEX(Aux_HH!$H$4:$H$18,MATCH($B557&amp;"|"&amp;$E557,Aux_HH!$A$4:$A$18,0)))</f>
        <v>0</v>
      </c>
      <c r="L557" s="0" t="n">
        <f aca="false">IF($F557=0,0,INDEX(Aux_HH!$I$4:$I$18,MATCH($B557&amp;"|"&amp;$E557,Aux_HH!$A$4:$A$18,0)))</f>
        <v>0</v>
      </c>
    </row>
    <row r="558" customFormat="false" ht="15" hidden="false" customHeight="false" outlineLevel="0" collapsed="false">
      <c r="A558" s="0" t="str">
        <f aca="false">IF(Frota!$A15="","",Frota!$A15)</f>
        <v>Implemento Distribuidor — 802</v>
      </c>
      <c r="B558" s="0" t="str">
        <f aca="false">IF(Frota!$A15="","",Frota!$B15)</f>
        <v>Implemento</v>
      </c>
      <c r="C558" s="0" t="n">
        <v>35</v>
      </c>
      <c r="D558" s="0" t="n">
        <f aca="false">INDEX(Semanas!$E$3:$E$54,35)</f>
        <v>11</v>
      </c>
      <c r="E558" s="0" t="str">
        <f aca="false">IF(Frota!$A15="","",Cronograma!AJ15)</f>
        <v>S</v>
      </c>
      <c r="F558" s="0" t="n">
        <f aca="false">IF(OR($E558="",$E558=0),0,1)</f>
        <v>1</v>
      </c>
      <c r="G558" s="0" t="n">
        <f aca="false">IF($F558=0,0,INDEX(Aux_HH!$D$4:$D$18,MATCH($B558&amp;"|"&amp;$E558,Aux_HH!$A$4:$A$18,0)))</f>
        <v>0.75</v>
      </c>
      <c r="H558" s="0" t="n">
        <f aca="false">IF($F558=0,0,INDEX(Aux_HH!$E$4:$E$18,MATCH($B558&amp;"|"&amp;$E558,Aux_HH!$A$4:$A$18,0)))</f>
        <v>0</v>
      </c>
      <c r="I558" s="0" t="n">
        <f aca="false">IF($F558=0,0,INDEX(Aux_HH!$F$4:$F$18,MATCH($B558&amp;"|"&amp;$E558,Aux_HH!$A$4:$A$18,0)))</f>
        <v>0</v>
      </c>
      <c r="J558" s="0" t="n">
        <f aca="false">IF($F558=0,0,INDEX(Aux_HH!$G$4:$G$18,MATCH($B558&amp;"|"&amp;$E558,Aux_HH!$A$4:$A$18,0)))</f>
        <v>0.5</v>
      </c>
      <c r="K558" s="0" t="n">
        <f aca="false">IF($F558=0,0,INDEX(Aux_HH!$H$4:$H$18,MATCH($B558&amp;"|"&amp;$E558,Aux_HH!$A$4:$A$18,0)))</f>
        <v>0</v>
      </c>
      <c r="L558" s="0" t="n">
        <f aca="false">IF($F558=0,0,INDEX(Aux_HH!$I$4:$I$18,MATCH($B558&amp;"|"&amp;$E558,Aux_HH!$A$4:$A$18,0)))</f>
        <v>1.5</v>
      </c>
    </row>
    <row r="559" customFormat="false" ht="15" hidden="false" customHeight="false" outlineLevel="0" collapsed="false">
      <c r="A559" s="0" t="str">
        <f aca="false">IF(Frota!$A15="","",Frota!$A15)</f>
        <v>Implemento Distribuidor — 802</v>
      </c>
      <c r="B559" s="0" t="str">
        <f aca="false">IF(Frota!$A15="","",Frota!$B15)</f>
        <v>Implemento</v>
      </c>
      <c r="C559" s="0" t="n">
        <v>36</v>
      </c>
      <c r="D559" s="0" t="n">
        <f aca="false">INDEX(Semanas!$E$3:$E$54,36)</f>
        <v>12</v>
      </c>
      <c r="E559" s="0" t="str">
        <f aca="false">IF(Frota!$A15="","",Cronograma!AK15)</f>
        <v/>
      </c>
      <c r="F559" s="0" t="n">
        <f aca="false">IF(OR($E559="",$E559=0),0,1)</f>
        <v>0</v>
      </c>
      <c r="G559" s="0" t="n">
        <f aca="false">IF($F559=0,0,INDEX(Aux_HH!$D$4:$D$18,MATCH($B559&amp;"|"&amp;$E559,Aux_HH!$A$4:$A$18,0)))</f>
        <v>0</v>
      </c>
      <c r="H559" s="0" t="n">
        <f aca="false">IF($F559=0,0,INDEX(Aux_HH!$E$4:$E$18,MATCH($B559&amp;"|"&amp;$E559,Aux_HH!$A$4:$A$18,0)))</f>
        <v>0</v>
      </c>
      <c r="I559" s="0" t="n">
        <f aca="false">IF($F559=0,0,INDEX(Aux_HH!$F$4:$F$18,MATCH($B559&amp;"|"&amp;$E559,Aux_HH!$A$4:$A$18,0)))</f>
        <v>0</v>
      </c>
      <c r="J559" s="0" t="n">
        <f aca="false">IF($F559=0,0,INDEX(Aux_HH!$G$4:$G$18,MATCH($B559&amp;"|"&amp;$E559,Aux_HH!$A$4:$A$18,0)))</f>
        <v>0</v>
      </c>
      <c r="K559" s="0" t="n">
        <f aca="false">IF($F559=0,0,INDEX(Aux_HH!$H$4:$H$18,MATCH($B559&amp;"|"&amp;$E559,Aux_HH!$A$4:$A$18,0)))</f>
        <v>0</v>
      </c>
      <c r="L559" s="0" t="n">
        <f aca="false">IF($F559=0,0,INDEX(Aux_HH!$I$4:$I$18,MATCH($B559&amp;"|"&amp;$E559,Aux_HH!$A$4:$A$18,0)))</f>
        <v>0</v>
      </c>
    </row>
    <row r="560" customFormat="false" ht="15" hidden="false" customHeight="false" outlineLevel="0" collapsed="false">
      <c r="A560" s="0" t="str">
        <f aca="false">IF(Frota!$A15="","",Frota!$A15)</f>
        <v>Implemento Distribuidor — 802</v>
      </c>
      <c r="B560" s="0" t="str">
        <f aca="false">IF(Frota!$A15="","",Frota!$B15)</f>
        <v>Implemento</v>
      </c>
      <c r="C560" s="0" t="n">
        <v>37</v>
      </c>
      <c r="D560" s="0" t="n">
        <f aca="false">INDEX(Semanas!$E$3:$E$54,37)</f>
        <v>12</v>
      </c>
      <c r="E560" s="0" t="str">
        <f aca="false">IF(Frota!$A15="","",Cronograma!AL15)</f>
        <v/>
      </c>
      <c r="F560" s="0" t="n">
        <f aca="false">IF(OR($E560="",$E560=0),0,1)</f>
        <v>0</v>
      </c>
      <c r="G560" s="0" t="n">
        <f aca="false">IF($F560=0,0,INDEX(Aux_HH!$D$4:$D$18,MATCH($B560&amp;"|"&amp;$E560,Aux_HH!$A$4:$A$18,0)))</f>
        <v>0</v>
      </c>
      <c r="H560" s="0" t="n">
        <f aca="false">IF($F560=0,0,INDEX(Aux_HH!$E$4:$E$18,MATCH($B560&amp;"|"&amp;$E560,Aux_HH!$A$4:$A$18,0)))</f>
        <v>0</v>
      </c>
      <c r="I560" s="0" t="n">
        <f aca="false">IF($F560=0,0,INDEX(Aux_HH!$F$4:$F$18,MATCH($B560&amp;"|"&amp;$E560,Aux_HH!$A$4:$A$18,0)))</f>
        <v>0</v>
      </c>
      <c r="J560" s="0" t="n">
        <f aca="false">IF($F560=0,0,INDEX(Aux_HH!$G$4:$G$18,MATCH($B560&amp;"|"&amp;$E560,Aux_HH!$A$4:$A$18,0)))</f>
        <v>0</v>
      </c>
      <c r="K560" s="0" t="n">
        <f aca="false">IF($F560=0,0,INDEX(Aux_HH!$H$4:$H$18,MATCH($B560&amp;"|"&amp;$E560,Aux_HH!$A$4:$A$18,0)))</f>
        <v>0</v>
      </c>
      <c r="L560" s="0" t="n">
        <f aca="false">IF($F560=0,0,INDEX(Aux_HH!$I$4:$I$18,MATCH($B560&amp;"|"&amp;$E560,Aux_HH!$A$4:$A$18,0)))</f>
        <v>0</v>
      </c>
    </row>
    <row r="561" customFormat="false" ht="15" hidden="false" customHeight="false" outlineLevel="0" collapsed="false">
      <c r="A561" s="0" t="str">
        <f aca="false">IF(Frota!$A15="","",Frota!$A15)</f>
        <v>Implemento Distribuidor — 802</v>
      </c>
      <c r="B561" s="0" t="str">
        <f aca="false">IF(Frota!$A15="","",Frota!$B15)</f>
        <v>Implemento</v>
      </c>
      <c r="C561" s="0" t="n">
        <v>38</v>
      </c>
      <c r="D561" s="0" t="n">
        <f aca="false">INDEX(Semanas!$E$3:$E$54,38)</f>
        <v>12</v>
      </c>
      <c r="E561" s="0" t="str">
        <f aca="false">IF(Frota!$A15="","",Cronograma!AM15)</f>
        <v/>
      </c>
      <c r="F561" s="0" t="n">
        <f aca="false">IF(OR($E561="",$E561=0),0,1)</f>
        <v>0</v>
      </c>
      <c r="G561" s="0" t="n">
        <f aca="false">IF($F561=0,0,INDEX(Aux_HH!$D$4:$D$18,MATCH($B561&amp;"|"&amp;$E561,Aux_HH!$A$4:$A$18,0)))</f>
        <v>0</v>
      </c>
      <c r="H561" s="0" t="n">
        <f aca="false">IF($F561=0,0,INDEX(Aux_HH!$E$4:$E$18,MATCH($B561&amp;"|"&amp;$E561,Aux_HH!$A$4:$A$18,0)))</f>
        <v>0</v>
      </c>
      <c r="I561" s="0" t="n">
        <f aca="false">IF($F561=0,0,INDEX(Aux_HH!$F$4:$F$18,MATCH($B561&amp;"|"&amp;$E561,Aux_HH!$A$4:$A$18,0)))</f>
        <v>0</v>
      </c>
      <c r="J561" s="0" t="n">
        <f aca="false">IF($F561=0,0,INDEX(Aux_HH!$G$4:$G$18,MATCH($B561&amp;"|"&amp;$E561,Aux_HH!$A$4:$A$18,0)))</f>
        <v>0</v>
      </c>
      <c r="K561" s="0" t="n">
        <f aca="false">IF($F561=0,0,INDEX(Aux_HH!$H$4:$H$18,MATCH($B561&amp;"|"&amp;$E561,Aux_HH!$A$4:$A$18,0)))</f>
        <v>0</v>
      </c>
      <c r="L561" s="0" t="n">
        <f aca="false">IF($F561=0,0,INDEX(Aux_HH!$I$4:$I$18,MATCH($B561&amp;"|"&amp;$E561,Aux_HH!$A$4:$A$18,0)))</f>
        <v>0</v>
      </c>
    </row>
    <row r="562" customFormat="false" ht="15" hidden="false" customHeight="false" outlineLevel="0" collapsed="false">
      <c r="A562" s="0" t="str">
        <f aca="false">IF(Frota!$A15="","",Frota!$A15)</f>
        <v>Implemento Distribuidor — 802</v>
      </c>
      <c r="B562" s="0" t="str">
        <f aca="false">IF(Frota!$A15="","",Frota!$B15)</f>
        <v>Implemento</v>
      </c>
      <c r="C562" s="0" t="n">
        <v>39</v>
      </c>
      <c r="D562" s="0" t="n">
        <f aca="false">INDEX(Semanas!$E$3:$E$54,39)</f>
        <v>12</v>
      </c>
      <c r="E562" s="0" t="str">
        <f aca="false">IF(Frota!$A15="","",Cronograma!AN15)</f>
        <v/>
      </c>
      <c r="F562" s="0" t="n">
        <f aca="false">IF(OR($E562="",$E562=0),0,1)</f>
        <v>0</v>
      </c>
      <c r="G562" s="0" t="n">
        <f aca="false">IF($F562=0,0,INDEX(Aux_HH!$D$4:$D$18,MATCH($B562&amp;"|"&amp;$E562,Aux_HH!$A$4:$A$18,0)))</f>
        <v>0</v>
      </c>
      <c r="H562" s="0" t="n">
        <f aca="false">IF($F562=0,0,INDEX(Aux_HH!$E$4:$E$18,MATCH($B562&amp;"|"&amp;$E562,Aux_HH!$A$4:$A$18,0)))</f>
        <v>0</v>
      </c>
      <c r="I562" s="0" t="n">
        <f aca="false">IF($F562=0,0,INDEX(Aux_HH!$F$4:$F$18,MATCH($B562&amp;"|"&amp;$E562,Aux_HH!$A$4:$A$18,0)))</f>
        <v>0</v>
      </c>
      <c r="J562" s="0" t="n">
        <f aca="false">IF($F562=0,0,INDEX(Aux_HH!$G$4:$G$18,MATCH($B562&amp;"|"&amp;$E562,Aux_HH!$A$4:$A$18,0)))</f>
        <v>0</v>
      </c>
      <c r="K562" s="0" t="n">
        <f aca="false">IF($F562=0,0,INDEX(Aux_HH!$H$4:$H$18,MATCH($B562&amp;"|"&amp;$E562,Aux_HH!$A$4:$A$18,0)))</f>
        <v>0</v>
      </c>
      <c r="L562" s="0" t="n">
        <f aca="false">IF($F562=0,0,INDEX(Aux_HH!$I$4:$I$18,MATCH($B562&amp;"|"&amp;$E562,Aux_HH!$A$4:$A$18,0)))</f>
        <v>0</v>
      </c>
    </row>
    <row r="563" customFormat="false" ht="15" hidden="false" customHeight="false" outlineLevel="0" collapsed="false">
      <c r="A563" s="0" t="str">
        <f aca="false">IF(Frota!$A15="","",Frota!$A15)</f>
        <v>Implemento Distribuidor — 802</v>
      </c>
      <c r="B563" s="0" t="str">
        <f aca="false">IF(Frota!$A15="","",Frota!$B15)</f>
        <v>Implemento</v>
      </c>
      <c r="C563" s="0" t="n">
        <v>40</v>
      </c>
      <c r="D563" s="0" t="n">
        <f aca="false">INDEX(Semanas!$E$3:$E$54,40)</f>
        <v>12</v>
      </c>
      <c r="E563" s="0" t="str">
        <f aca="false">IF(Frota!$A15="","",Cronograma!AO15)</f>
        <v/>
      </c>
      <c r="F563" s="0" t="n">
        <f aca="false">IF(OR($E563="",$E563=0),0,1)</f>
        <v>0</v>
      </c>
      <c r="G563" s="0" t="n">
        <f aca="false">IF($F563=0,0,INDEX(Aux_HH!$D$4:$D$18,MATCH($B563&amp;"|"&amp;$E563,Aux_HH!$A$4:$A$18,0)))</f>
        <v>0</v>
      </c>
      <c r="H563" s="0" t="n">
        <f aca="false">IF($F563=0,0,INDEX(Aux_HH!$E$4:$E$18,MATCH($B563&amp;"|"&amp;$E563,Aux_HH!$A$4:$A$18,0)))</f>
        <v>0</v>
      </c>
      <c r="I563" s="0" t="n">
        <f aca="false">IF($F563=0,0,INDEX(Aux_HH!$F$4:$F$18,MATCH($B563&amp;"|"&amp;$E563,Aux_HH!$A$4:$A$18,0)))</f>
        <v>0</v>
      </c>
      <c r="J563" s="0" t="n">
        <f aca="false">IF($F563=0,0,INDEX(Aux_HH!$G$4:$G$18,MATCH($B563&amp;"|"&amp;$E563,Aux_HH!$A$4:$A$18,0)))</f>
        <v>0</v>
      </c>
      <c r="K563" s="0" t="n">
        <f aca="false">IF($F563=0,0,INDEX(Aux_HH!$H$4:$H$18,MATCH($B563&amp;"|"&amp;$E563,Aux_HH!$A$4:$A$18,0)))</f>
        <v>0</v>
      </c>
      <c r="L563" s="0" t="n">
        <f aca="false">IF($F563=0,0,INDEX(Aux_HH!$I$4:$I$18,MATCH($B563&amp;"|"&amp;$E563,Aux_HH!$A$4:$A$18,0)))</f>
        <v>0</v>
      </c>
    </row>
    <row r="564" customFormat="false" ht="15" hidden="false" customHeight="false" outlineLevel="0" collapsed="false">
      <c r="A564" s="0" t="str">
        <f aca="false">IF(Frota!$A15="","",Frota!$A15)</f>
        <v>Implemento Distribuidor — 802</v>
      </c>
      <c r="B564" s="0" t="str">
        <f aca="false">IF(Frota!$A15="","",Frota!$B15)</f>
        <v>Implemento</v>
      </c>
      <c r="C564" s="0" t="n">
        <v>41</v>
      </c>
      <c r="D564" s="0" t="n">
        <f aca="false">INDEX(Semanas!$E$3:$E$54,41)</f>
        <v>1</v>
      </c>
      <c r="E564" s="0" t="str">
        <f aca="false">IF(Frota!$A15="","",Cronograma!AP15)</f>
        <v/>
      </c>
      <c r="F564" s="0" t="n">
        <f aca="false">IF(OR($E564="",$E564=0),0,1)</f>
        <v>0</v>
      </c>
      <c r="G564" s="0" t="n">
        <f aca="false">IF($F564=0,0,INDEX(Aux_HH!$D$4:$D$18,MATCH($B564&amp;"|"&amp;$E564,Aux_HH!$A$4:$A$18,0)))</f>
        <v>0</v>
      </c>
      <c r="H564" s="0" t="n">
        <f aca="false">IF($F564=0,0,INDEX(Aux_HH!$E$4:$E$18,MATCH($B564&amp;"|"&amp;$E564,Aux_HH!$A$4:$A$18,0)))</f>
        <v>0</v>
      </c>
      <c r="I564" s="0" t="n">
        <f aca="false">IF($F564=0,0,INDEX(Aux_HH!$F$4:$F$18,MATCH($B564&amp;"|"&amp;$E564,Aux_HH!$A$4:$A$18,0)))</f>
        <v>0</v>
      </c>
      <c r="J564" s="0" t="n">
        <f aca="false">IF($F564=0,0,INDEX(Aux_HH!$G$4:$G$18,MATCH($B564&amp;"|"&amp;$E564,Aux_HH!$A$4:$A$18,0)))</f>
        <v>0</v>
      </c>
      <c r="K564" s="0" t="n">
        <f aca="false">IF($F564=0,0,INDEX(Aux_HH!$H$4:$H$18,MATCH($B564&amp;"|"&amp;$E564,Aux_HH!$A$4:$A$18,0)))</f>
        <v>0</v>
      </c>
      <c r="L564" s="0" t="n">
        <f aca="false">IF($F564=0,0,INDEX(Aux_HH!$I$4:$I$18,MATCH($B564&amp;"|"&amp;$E564,Aux_HH!$A$4:$A$18,0)))</f>
        <v>0</v>
      </c>
    </row>
    <row r="565" customFormat="false" ht="15" hidden="false" customHeight="false" outlineLevel="0" collapsed="false">
      <c r="A565" s="0" t="str">
        <f aca="false">IF(Frota!$A15="","",Frota!$A15)</f>
        <v>Implemento Distribuidor — 802</v>
      </c>
      <c r="B565" s="0" t="str">
        <f aca="false">IF(Frota!$A15="","",Frota!$B15)</f>
        <v>Implemento</v>
      </c>
      <c r="C565" s="0" t="n">
        <v>42</v>
      </c>
      <c r="D565" s="0" t="n">
        <f aca="false">INDEX(Semanas!$E$3:$E$54,42)</f>
        <v>1</v>
      </c>
      <c r="E565" s="0" t="str">
        <f aca="false">IF(Frota!$A15="","",Cronograma!AQ15)</f>
        <v/>
      </c>
      <c r="F565" s="0" t="n">
        <f aca="false">IF(OR($E565="",$E565=0),0,1)</f>
        <v>0</v>
      </c>
      <c r="G565" s="0" t="n">
        <f aca="false">IF($F565=0,0,INDEX(Aux_HH!$D$4:$D$18,MATCH($B565&amp;"|"&amp;$E565,Aux_HH!$A$4:$A$18,0)))</f>
        <v>0</v>
      </c>
      <c r="H565" s="0" t="n">
        <f aca="false">IF($F565=0,0,INDEX(Aux_HH!$E$4:$E$18,MATCH($B565&amp;"|"&amp;$E565,Aux_HH!$A$4:$A$18,0)))</f>
        <v>0</v>
      </c>
      <c r="I565" s="0" t="n">
        <f aca="false">IF($F565=0,0,INDEX(Aux_HH!$F$4:$F$18,MATCH($B565&amp;"|"&amp;$E565,Aux_HH!$A$4:$A$18,0)))</f>
        <v>0</v>
      </c>
      <c r="J565" s="0" t="n">
        <f aca="false">IF($F565=0,0,INDEX(Aux_HH!$G$4:$G$18,MATCH($B565&amp;"|"&amp;$E565,Aux_HH!$A$4:$A$18,0)))</f>
        <v>0</v>
      </c>
      <c r="K565" s="0" t="n">
        <f aca="false">IF($F565=0,0,INDEX(Aux_HH!$H$4:$H$18,MATCH($B565&amp;"|"&amp;$E565,Aux_HH!$A$4:$A$18,0)))</f>
        <v>0</v>
      </c>
      <c r="L565" s="0" t="n">
        <f aca="false">IF($F565=0,0,INDEX(Aux_HH!$I$4:$I$18,MATCH($B565&amp;"|"&amp;$E565,Aux_HH!$A$4:$A$18,0)))</f>
        <v>0</v>
      </c>
    </row>
    <row r="566" customFormat="false" ht="15" hidden="false" customHeight="false" outlineLevel="0" collapsed="false">
      <c r="A566" s="0" t="str">
        <f aca="false">IF(Frota!$A15="","",Frota!$A15)</f>
        <v>Implemento Distribuidor — 802</v>
      </c>
      <c r="B566" s="0" t="str">
        <f aca="false">IF(Frota!$A15="","",Frota!$B15)</f>
        <v>Implemento</v>
      </c>
      <c r="C566" s="0" t="n">
        <v>43</v>
      </c>
      <c r="D566" s="0" t="n">
        <f aca="false">INDEX(Semanas!$E$3:$E$54,43)</f>
        <v>1</v>
      </c>
      <c r="E566" s="0" t="str">
        <f aca="false">IF(Frota!$A15="","",Cronograma!AR15)</f>
        <v/>
      </c>
      <c r="F566" s="0" t="n">
        <f aca="false">IF(OR($E566="",$E566=0),0,1)</f>
        <v>0</v>
      </c>
      <c r="G566" s="0" t="n">
        <f aca="false">IF($F566=0,0,INDEX(Aux_HH!$D$4:$D$18,MATCH($B566&amp;"|"&amp;$E566,Aux_HH!$A$4:$A$18,0)))</f>
        <v>0</v>
      </c>
      <c r="H566" s="0" t="n">
        <f aca="false">IF($F566=0,0,INDEX(Aux_HH!$E$4:$E$18,MATCH($B566&amp;"|"&amp;$E566,Aux_HH!$A$4:$A$18,0)))</f>
        <v>0</v>
      </c>
      <c r="I566" s="0" t="n">
        <f aca="false">IF($F566=0,0,INDEX(Aux_HH!$F$4:$F$18,MATCH($B566&amp;"|"&amp;$E566,Aux_HH!$A$4:$A$18,0)))</f>
        <v>0</v>
      </c>
      <c r="J566" s="0" t="n">
        <f aca="false">IF($F566=0,0,INDEX(Aux_HH!$G$4:$G$18,MATCH($B566&amp;"|"&amp;$E566,Aux_HH!$A$4:$A$18,0)))</f>
        <v>0</v>
      </c>
      <c r="K566" s="0" t="n">
        <f aca="false">IF($F566=0,0,INDEX(Aux_HH!$H$4:$H$18,MATCH($B566&amp;"|"&amp;$E566,Aux_HH!$A$4:$A$18,0)))</f>
        <v>0</v>
      </c>
      <c r="L566" s="0" t="n">
        <f aca="false">IF($F566=0,0,INDEX(Aux_HH!$I$4:$I$18,MATCH($B566&amp;"|"&amp;$E566,Aux_HH!$A$4:$A$18,0)))</f>
        <v>0</v>
      </c>
    </row>
    <row r="567" customFormat="false" ht="15" hidden="false" customHeight="false" outlineLevel="0" collapsed="false">
      <c r="A567" s="0" t="str">
        <f aca="false">IF(Frota!$A15="","",Frota!$A15)</f>
        <v>Implemento Distribuidor — 802</v>
      </c>
      <c r="B567" s="0" t="str">
        <f aca="false">IF(Frota!$A15="","",Frota!$B15)</f>
        <v>Implemento</v>
      </c>
      <c r="C567" s="0" t="n">
        <v>44</v>
      </c>
      <c r="D567" s="0" t="n">
        <f aca="false">INDEX(Semanas!$E$3:$E$54,44)</f>
        <v>1</v>
      </c>
      <c r="E567" s="0" t="str">
        <f aca="false">IF(Frota!$A15="","",Cronograma!AS15)</f>
        <v/>
      </c>
      <c r="F567" s="0" t="n">
        <f aca="false">IF(OR($E567="",$E567=0),0,1)</f>
        <v>0</v>
      </c>
      <c r="G567" s="0" t="n">
        <f aca="false">IF($F567=0,0,INDEX(Aux_HH!$D$4:$D$18,MATCH($B567&amp;"|"&amp;$E567,Aux_HH!$A$4:$A$18,0)))</f>
        <v>0</v>
      </c>
      <c r="H567" s="0" t="n">
        <f aca="false">IF($F567=0,0,INDEX(Aux_HH!$E$4:$E$18,MATCH($B567&amp;"|"&amp;$E567,Aux_HH!$A$4:$A$18,0)))</f>
        <v>0</v>
      </c>
      <c r="I567" s="0" t="n">
        <f aca="false">IF($F567=0,0,INDEX(Aux_HH!$F$4:$F$18,MATCH($B567&amp;"|"&amp;$E567,Aux_HH!$A$4:$A$18,0)))</f>
        <v>0</v>
      </c>
      <c r="J567" s="0" t="n">
        <f aca="false">IF($F567=0,0,INDEX(Aux_HH!$G$4:$G$18,MATCH($B567&amp;"|"&amp;$E567,Aux_HH!$A$4:$A$18,0)))</f>
        <v>0</v>
      </c>
      <c r="K567" s="0" t="n">
        <f aca="false">IF($F567=0,0,INDEX(Aux_HH!$H$4:$H$18,MATCH($B567&amp;"|"&amp;$E567,Aux_HH!$A$4:$A$18,0)))</f>
        <v>0</v>
      </c>
      <c r="L567" s="0" t="n">
        <f aca="false">IF($F567=0,0,INDEX(Aux_HH!$I$4:$I$18,MATCH($B567&amp;"|"&amp;$E567,Aux_HH!$A$4:$A$18,0)))</f>
        <v>0</v>
      </c>
    </row>
    <row r="568" customFormat="false" ht="15" hidden="false" customHeight="false" outlineLevel="0" collapsed="false">
      <c r="A568" s="0" t="str">
        <f aca="false">IF(Frota!$A15="","",Frota!$A15)</f>
        <v>Implemento Distribuidor — 802</v>
      </c>
      <c r="B568" s="0" t="str">
        <f aca="false">IF(Frota!$A15="","",Frota!$B15)</f>
        <v>Implemento</v>
      </c>
      <c r="C568" s="0" t="n">
        <v>45</v>
      </c>
      <c r="D568" s="0" t="n">
        <f aca="false">INDEX(Semanas!$E$3:$E$54,45)</f>
        <v>2</v>
      </c>
      <c r="E568" s="0" t="str">
        <f aca="false">IF(Frota!$A15="","",Cronograma!AT15)</f>
        <v/>
      </c>
      <c r="F568" s="0" t="n">
        <f aca="false">IF(OR($E568="",$E568=0),0,1)</f>
        <v>0</v>
      </c>
      <c r="G568" s="0" t="n">
        <f aca="false">IF($F568=0,0,INDEX(Aux_HH!$D$4:$D$18,MATCH($B568&amp;"|"&amp;$E568,Aux_HH!$A$4:$A$18,0)))</f>
        <v>0</v>
      </c>
      <c r="H568" s="0" t="n">
        <f aca="false">IF($F568=0,0,INDEX(Aux_HH!$E$4:$E$18,MATCH($B568&amp;"|"&amp;$E568,Aux_HH!$A$4:$A$18,0)))</f>
        <v>0</v>
      </c>
      <c r="I568" s="0" t="n">
        <f aca="false">IF($F568=0,0,INDEX(Aux_HH!$F$4:$F$18,MATCH($B568&amp;"|"&amp;$E568,Aux_HH!$A$4:$A$18,0)))</f>
        <v>0</v>
      </c>
      <c r="J568" s="0" t="n">
        <f aca="false">IF($F568=0,0,INDEX(Aux_HH!$G$4:$G$18,MATCH($B568&amp;"|"&amp;$E568,Aux_HH!$A$4:$A$18,0)))</f>
        <v>0</v>
      </c>
      <c r="K568" s="0" t="n">
        <f aca="false">IF($F568=0,0,INDEX(Aux_HH!$H$4:$H$18,MATCH($B568&amp;"|"&amp;$E568,Aux_HH!$A$4:$A$18,0)))</f>
        <v>0</v>
      </c>
      <c r="L568" s="0" t="n">
        <f aca="false">IF($F568=0,0,INDEX(Aux_HH!$I$4:$I$18,MATCH($B568&amp;"|"&amp;$E568,Aux_HH!$A$4:$A$18,0)))</f>
        <v>0</v>
      </c>
    </row>
    <row r="569" customFormat="false" ht="15" hidden="false" customHeight="false" outlineLevel="0" collapsed="false">
      <c r="A569" s="0" t="str">
        <f aca="false">IF(Frota!$A15="","",Frota!$A15)</f>
        <v>Implemento Distribuidor — 802</v>
      </c>
      <c r="B569" s="0" t="str">
        <f aca="false">IF(Frota!$A15="","",Frota!$B15)</f>
        <v>Implemento</v>
      </c>
      <c r="C569" s="0" t="n">
        <v>46</v>
      </c>
      <c r="D569" s="0" t="n">
        <f aca="false">INDEX(Semanas!$E$3:$E$54,46)</f>
        <v>2</v>
      </c>
      <c r="E569" s="0" t="str">
        <f aca="false">IF(Frota!$A15="","",Cronograma!AU15)</f>
        <v/>
      </c>
      <c r="F569" s="0" t="n">
        <f aca="false">IF(OR($E569="",$E569=0),0,1)</f>
        <v>0</v>
      </c>
      <c r="G569" s="0" t="n">
        <f aca="false">IF($F569=0,0,INDEX(Aux_HH!$D$4:$D$18,MATCH($B569&amp;"|"&amp;$E569,Aux_HH!$A$4:$A$18,0)))</f>
        <v>0</v>
      </c>
      <c r="H569" s="0" t="n">
        <f aca="false">IF($F569=0,0,INDEX(Aux_HH!$E$4:$E$18,MATCH($B569&amp;"|"&amp;$E569,Aux_HH!$A$4:$A$18,0)))</f>
        <v>0</v>
      </c>
      <c r="I569" s="0" t="n">
        <f aca="false">IF($F569=0,0,INDEX(Aux_HH!$F$4:$F$18,MATCH($B569&amp;"|"&amp;$E569,Aux_HH!$A$4:$A$18,0)))</f>
        <v>0</v>
      </c>
      <c r="J569" s="0" t="n">
        <f aca="false">IF($F569=0,0,INDEX(Aux_HH!$G$4:$G$18,MATCH($B569&amp;"|"&amp;$E569,Aux_HH!$A$4:$A$18,0)))</f>
        <v>0</v>
      </c>
      <c r="K569" s="0" t="n">
        <f aca="false">IF($F569=0,0,INDEX(Aux_HH!$H$4:$H$18,MATCH($B569&amp;"|"&amp;$E569,Aux_HH!$A$4:$A$18,0)))</f>
        <v>0</v>
      </c>
      <c r="L569" s="0" t="n">
        <f aca="false">IF($F569=0,0,INDEX(Aux_HH!$I$4:$I$18,MATCH($B569&amp;"|"&amp;$E569,Aux_HH!$A$4:$A$18,0)))</f>
        <v>0</v>
      </c>
    </row>
    <row r="570" customFormat="false" ht="15" hidden="false" customHeight="false" outlineLevel="0" collapsed="false">
      <c r="A570" s="0" t="str">
        <f aca="false">IF(Frota!$A15="","",Frota!$A15)</f>
        <v>Implemento Distribuidor — 802</v>
      </c>
      <c r="B570" s="0" t="str">
        <f aca="false">IF(Frota!$A15="","",Frota!$B15)</f>
        <v>Implemento</v>
      </c>
      <c r="C570" s="0" t="n">
        <v>47</v>
      </c>
      <c r="D570" s="0" t="n">
        <f aca="false">INDEX(Semanas!$E$3:$E$54,47)</f>
        <v>2</v>
      </c>
      <c r="E570" s="0" t="str">
        <f aca="false">IF(Frota!$A15="","",Cronograma!AV15)</f>
        <v/>
      </c>
      <c r="F570" s="0" t="n">
        <f aca="false">IF(OR($E570="",$E570=0),0,1)</f>
        <v>0</v>
      </c>
      <c r="G570" s="0" t="n">
        <f aca="false">IF($F570=0,0,INDEX(Aux_HH!$D$4:$D$18,MATCH($B570&amp;"|"&amp;$E570,Aux_HH!$A$4:$A$18,0)))</f>
        <v>0</v>
      </c>
      <c r="H570" s="0" t="n">
        <f aca="false">IF($F570=0,0,INDEX(Aux_HH!$E$4:$E$18,MATCH($B570&amp;"|"&amp;$E570,Aux_HH!$A$4:$A$18,0)))</f>
        <v>0</v>
      </c>
      <c r="I570" s="0" t="n">
        <f aca="false">IF($F570=0,0,INDEX(Aux_HH!$F$4:$F$18,MATCH($B570&amp;"|"&amp;$E570,Aux_HH!$A$4:$A$18,0)))</f>
        <v>0</v>
      </c>
      <c r="J570" s="0" t="n">
        <f aca="false">IF($F570=0,0,INDEX(Aux_HH!$G$4:$G$18,MATCH($B570&amp;"|"&amp;$E570,Aux_HH!$A$4:$A$18,0)))</f>
        <v>0</v>
      </c>
      <c r="K570" s="0" t="n">
        <f aca="false">IF($F570=0,0,INDEX(Aux_HH!$H$4:$H$18,MATCH($B570&amp;"|"&amp;$E570,Aux_HH!$A$4:$A$18,0)))</f>
        <v>0</v>
      </c>
      <c r="L570" s="0" t="n">
        <f aca="false">IF($F570=0,0,INDEX(Aux_HH!$I$4:$I$18,MATCH($B570&amp;"|"&amp;$E570,Aux_HH!$A$4:$A$18,0)))</f>
        <v>0</v>
      </c>
    </row>
    <row r="571" customFormat="false" ht="15" hidden="false" customHeight="false" outlineLevel="0" collapsed="false">
      <c r="A571" s="0" t="str">
        <f aca="false">IF(Frota!$A15="","",Frota!$A15)</f>
        <v>Implemento Distribuidor — 802</v>
      </c>
      <c r="B571" s="0" t="str">
        <f aca="false">IF(Frota!$A15="","",Frota!$B15)</f>
        <v>Implemento</v>
      </c>
      <c r="C571" s="0" t="n">
        <v>48</v>
      </c>
      <c r="D571" s="0" t="n">
        <f aca="false">INDEX(Semanas!$E$3:$E$54,48)</f>
        <v>2</v>
      </c>
      <c r="E571" s="0" t="str">
        <f aca="false">IF(Frota!$A15="","",Cronograma!AW15)</f>
        <v/>
      </c>
      <c r="F571" s="0" t="n">
        <f aca="false">IF(OR($E571="",$E571=0),0,1)</f>
        <v>0</v>
      </c>
      <c r="G571" s="0" t="n">
        <f aca="false">IF($F571=0,0,INDEX(Aux_HH!$D$4:$D$18,MATCH($B571&amp;"|"&amp;$E571,Aux_HH!$A$4:$A$18,0)))</f>
        <v>0</v>
      </c>
      <c r="H571" s="0" t="n">
        <f aca="false">IF($F571=0,0,INDEX(Aux_HH!$E$4:$E$18,MATCH($B571&amp;"|"&amp;$E571,Aux_HH!$A$4:$A$18,0)))</f>
        <v>0</v>
      </c>
      <c r="I571" s="0" t="n">
        <f aca="false">IF($F571=0,0,INDEX(Aux_HH!$F$4:$F$18,MATCH($B571&amp;"|"&amp;$E571,Aux_HH!$A$4:$A$18,0)))</f>
        <v>0</v>
      </c>
      <c r="J571" s="0" t="n">
        <f aca="false">IF($F571=0,0,INDEX(Aux_HH!$G$4:$G$18,MATCH($B571&amp;"|"&amp;$E571,Aux_HH!$A$4:$A$18,0)))</f>
        <v>0</v>
      </c>
      <c r="K571" s="0" t="n">
        <f aca="false">IF($F571=0,0,INDEX(Aux_HH!$H$4:$H$18,MATCH($B571&amp;"|"&amp;$E571,Aux_HH!$A$4:$A$18,0)))</f>
        <v>0</v>
      </c>
      <c r="L571" s="0" t="n">
        <f aca="false">IF($F571=0,0,INDEX(Aux_HH!$I$4:$I$18,MATCH($B571&amp;"|"&amp;$E571,Aux_HH!$A$4:$A$18,0)))</f>
        <v>0</v>
      </c>
    </row>
    <row r="572" customFormat="false" ht="15" hidden="false" customHeight="false" outlineLevel="0" collapsed="false">
      <c r="A572" s="0" t="str">
        <f aca="false">IF(Frota!$A15="","",Frota!$A15)</f>
        <v>Implemento Distribuidor — 802</v>
      </c>
      <c r="B572" s="0" t="str">
        <f aca="false">IF(Frota!$A15="","",Frota!$B15)</f>
        <v>Implemento</v>
      </c>
      <c r="C572" s="0" t="n">
        <v>49</v>
      </c>
      <c r="D572" s="0" t="n">
        <f aca="false">INDEX(Semanas!$E$3:$E$54,49)</f>
        <v>3</v>
      </c>
      <c r="E572" s="0" t="str">
        <f aca="false">IF(Frota!$A15="","",Cronograma!AX15)</f>
        <v/>
      </c>
      <c r="F572" s="0" t="n">
        <f aca="false">IF(OR($E572="",$E572=0),0,1)</f>
        <v>0</v>
      </c>
      <c r="G572" s="0" t="n">
        <f aca="false">IF($F572=0,0,INDEX(Aux_HH!$D$4:$D$18,MATCH($B572&amp;"|"&amp;$E572,Aux_HH!$A$4:$A$18,0)))</f>
        <v>0</v>
      </c>
      <c r="H572" s="0" t="n">
        <f aca="false">IF($F572=0,0,INDEX(Aux_HH!$E$4:$E$18,MATCH($B572&amp;"|"&amp;$E572,Aux_HH!$A$4:$A$18,0)))</f>
        <v>0</v>
      </c>
      <c r="I572" s="0" t="n">
        <f aca="false">IF($F572=0,0,INDEX(Aux_HH!$F$4:$F$18,MATCH($B572&amp;"|"&amp;$E572,Aux_HH!$A$4:$A$18,0)))</f>
        <v>0</v>
      </c>
      <c r="J572" s="0" t="n">
        <f aca="false">IF($F572=0,0,INDEX(Aux_HH!$G$4:$G$18,MATCH($B572&amp;"|"&amp;$E572,Aux_HH!$A$4:$A$18,0)))</f>
        <v>0</v>
      </c>
      <c r="K572" s="0" t="n">
        <f aca="false">IF($F572=0,0,INDEX(Aux_HH!$H$4:$H$18,MATCH($B572&amp;"|"&amp;$E572,Aux_HH!$A$4:$A$18,0)))</f>
        <v>0</v>
      </c>
      <c r="L572" s="0" t="n">
        <f aca="false">IF($F572=0,0,INDEX(Aux_HH!$I$4:$I$18,MATCH($B572&amp;"|"&amp;$E572,Aux_HH!$A$4:$A$18,0)))</f>
        <v>0</v>
      </c>
    </row>
    <row r="573" customFormat="false" ht="15" hidden="false" customHeight="false" outlineLevel="0" collapsed="false">
      <c r="A573" s="0" t="str">
        <f aca="false">IF(Frota!$A15="","",Frota!$A15)</f>
        <v>Implemento Distribuidor — 802</v>
      </c>
      <c r="B573" s="0" t="str">
        <f aca="false">IF(Frota!$A15="","",Frota!$B15)</f>
        <v>Implemento</v>
      </c>
      <c r="C573" s="0" t="n">
        <v>50</v>
      </c>
      <c r="D573" s="0" t="n">
        <f aca="false">INDEX(Semanas!$E$3:$E$54,50)</f>
        <v>3</v>
      </c>
      <c r="E573" s="0" t="str">
        <f aca="false">IF(Frota!$A15="","",Cronograma!AY15)</f>
        <v/>
      </c>
      <c r="F573" s="0" t="n">
        <f aca="false">IF(OR($E573="",$E573=0),0,1)</f>
        <v>0</v>
      </c>
      <c r="G573" s="0" t="n">
        <f aca="false">IF($F573=0,0,INDEX(Aux_HH!$D$4:$D$18,MATCH($B573&amp;"|"&amp;$E573,Aux_HH!$A$4:$A$18,0)))</f>
        <v>0</v>
      </c>
      <c r="H573" s="0" t="n">
        <f aca="false">IF($F573=0,0,INDEX(Aux_HH!$E$4:$E$18,MATCH($B573&amp;"|"&amp;$E573,Aux_HH!$A$4:$A$18,0)))</f>
        <v>0</v>
      </c>
      <c r="I573" s="0" t="n">
        <f aca="false">IF($F573=0,0,INDEX(Aux_HH!$F$4:$F$18,MATCH($B573&amp;"|"&amp;$E573,Aux_HH!$A$4:$A$18,0)))</f>
        <v>0</v>
      </c>
      <c r="J573" s="0" t="n">
        <f aca="false">IF($F573=0,0,INDEX(Aux_HH!$G$4:$G$18,MATCH($B573&amp;"|"&amp;$E573,Aux_HH!$A$4:$A$18,0)))</f>
        <v>0</v>
      </c>
      <c r="K573" s="0" t="n">
        <f aca="false">IF($F573=0,0,INDEX(Aux_HH!$H$4:$H$18,MATCH($B573&amp;"|"&amp;$E573,Aux_HH!$A$4:$A$18,0)))</f>
        <v>0</v>
      </c>
      <c r="L573" s="0" t="n">
        <f aca="false">IF($F573=0,0,INDEX(Aux_HH!$I$4:$I$18,MATCH($B573&amp;"|"&amp;$E573,Aux_HH!$A$4:$A$18,0)))</f>
        <v>0</v>
      </c>
    </row>
    <row r="574" customFormat="false" ht="15" hidden="false" customHeight="false" outlineLevel="0" collapsed="false">
      <c r="A574" s="0" t="str">
        <f aca="false">IF(Frota!$A15="","",Frota!$A15)</f>
        <v>Implemento Distribuidor — 802</v>
      </c>
      <c r="B574" s="0" t="str">
        <f aca="false">IF(Frota!$A15="","",Frota!$B15)</f>
        <v>Implemento</v>
      </c>
      <c r="C574" s="0" t="n">
        <v>51</v>
      </c>
      <c r="D574" s="0" t="n">
        <f aca="false">INDEX(Semanas!$E$3:$E$54,51)</f>
        <v>3</v>
      </c>
      <c r="E574" s="0" t="str">
        <f aca="false">IF(Frota!$A15="","",Cronograma!AZ15)</f>
        <v/>
      </c>
      <c r="F574" s="0" t="n">
        <f aca="false">IF(OR($E574="",$E574=0),0,1)</f>
        <v>0</v>
      </c>
      <c r="G574" s="0" t="n">
        <f aca="false">IF($F574=0,0,INDEX(Aux_HH!$D$4:$D$18,MATCH($B574&amp;"|"&amp;$E574,Aux_HH!$A$4:$A$18,0)))</f>
        <v>0</v>
      </c>
      <c r="H574" s="0" t="n">
        <f aca="false">IF($F574=0,0,INDEX(Aux_HH!$E$4:$E$18,MATCH($B574&amp;"|"&amp;$E574,Aux_HH!$A$4:$A$18,0)))</f>
        <v>0</v>
      </c>
      <c r="I574" s="0" t="n">
        <f aca="false">IF($F574=0,0,INDEX(Aux_HH!$F$4:$F$18,MATCH($B574&amp;"|"&amp;$E574,Aux_HH!$A$4:$A$18,0)))</f>
        <v>0</v>
      </c>
      <c r="J574" s="0" t="n">
        <f aca="false">IF($F574=0,0,INDEX(Aux_HH!$G$4:$G$18,MATCH($B574&amp;"|"&amp;$E574,Aux_HH!$A$4:$A$18,0)))</f>
        <v>0</v>
      </c>
      <c r="K574" s="0" t="n">
        <f aca="false">IF($F574=0,0,INDEX(Aux_HH!$H$4:$H$18,MATCH($B574&amp;"|"&amp;$E574,Aux_HH!$A$4:$A$18,0)))</f>
        <v>0</v>
      </c>
      <c r="L574" s="0" t="n">
        <f aca="false">IF($F574=0,0,INDEX(Aux_HH!$I$4:$I$18,MATCH($B574&amp;"|"&amp;$E574,Aux_HH!$A$4:$A$18,0)))</f>
        <v>0</v>
      </c>
    </row>
    <row r="575" customFormat="false" ht="15" hidden="false" customHeight="false" outlineLevel="0" collapsed="false">
      <c r="A575" s="0" t="str">
        <f aca="false">IF(Frota!$A15="","",Frota!$A15)</f>
        <v>Implemento Distribuidor — 802</v>
      </c>
      <c r="B575" s="0" t="str">
        <f aca="false">IF(Frota!$A15="","",Frota!$B15)</f>
        <v>Implemento</v>
      </c>
      <c r="C575" s="0" t="n">
        <v>52</v>
      </c>
      <c r="D575" s="0" t="n">
        <f aca="false">INDEX(Semanas!$E$3:$E$54,52)</f>
        <v>3</v>
      </c>
      <c r="E575" s="0" t="str">
        <f aca="false">IF(Frota!$A15="","",Cronograma!BA15)</f>
        <v/>
      </c>
      <c r="F575" s="0" t="n">
        <f aca="false">IF(OR($E575="",$E575=0),0,1)</f>
        <v>0</v>
      </c>
      <c r="G575" s="0" t="n">
        <f aca="false">IF($F575=0,0,INDEX(Aux_HH!$D$4:$D$18,MATCH($B575&amp;"|"&amp;$E575,Aux_HH!$A$4:$A$18,0)))</f>
        <v>0</v>
      </c>
      <c r="H575" s="0" t="n">
        <f aca="false">IF($F575=0,0,INDEX(Aux_HH!$E$4:$E$18,MATCH($B575&amp;"|"&amp;$E575,Aux_HH!$A$4:$A$18,0)))</f>
        <v>0</v>
      </c>
      <c r="I575" s="0" t="n">
        <f aca="false">IF($F575=0,0,INDEX(Aux_HH!$F$4:$F$18,MATCH($B575&amp;"|"&amp;$E575,Aux_HH!$A$4:$A$18,0)))</f>
        <v>0</v>
      </c>
      <c r="J575" s="0" t="n">
        <f aca="false">IF($F575=0,0,INDEX(Aux_HH!$G$4:$G$18,MATCH($B575&amp;"|"&amp;$E575,Aux_HH!$A$4:$A$18,0)))</f>
        <v>0</v>
      </c>
      <c r="K575" s="0" t="n">
        <f aca="false">IF($F575=0,0,INDEX(Aux_HH!$H$4:$H$18,MATCH($B575&amp;"|"&amp;$E575,Aux_HH!$A$4:$A$18,0)))</f>
        <v>0</v>
      </c>
      <c r="L575" s="0" t="n">
        <f aca="false">IF($F575=0,0,INDEX(Aux_HH!$I$4:$I$18,MATCH($B575&amp;"|"&amp;$E575,Aux_HH!$A$4:$A$18,0)))</f>
        <v>0</v>
      </c>
    </row>
    <row r="576" customFormat="false" ht="15" hidden="false" customHeight="false" outlineLevel="0" collapsed="false">
      <c r="A576" s="0" t="str">
        <f aca="false">IF(Frota!$A16="","",Frota!$A16)</f>
        <v>Fiat Toro — 5001</v>
      </c>
      <c r="B576" s="0" t="str">
        <f aca="false">IF(Frota!$A16="","",Frota!$B16)</f>
        <v>Veículo Leve</v>
      </c>
      <c r="C576" s="0" t="n">
        <v>1</v>
      </c>
      <c r="D576" s="0" t="n">
        <f aca="false">INDEX(Semanas!$E$3:$E$54,1)</f>
        <v>4</v>
      </c>
      <c r="E576" s="0" t="str">
        <f aca="false">IF(Frota!$A16="","",Cronograma!B16)</f>
        <v/>
      </c>
      <c r="F576" s="0" t="n">
        <f aca="false">IF(OR($E576="",$E576=0),0,1)</f>
        <v>0</v>
      </c>
      <c r="G576" s="0" t="n">
        <f aca="false">IF($F576=0,0,INDEX(Aux_HH!$D$4:$D$18,MATCH($B576&amp;"|"&amp;$E576,Aux_HH!$A$4:$A$18,0)))</f>
        <v>0</v>
      </c>
      <c r="H576" s="0" t="n">
        <f aca="false">IF($F576=0,0,INDEX(Aux_HH!$E$4:$E$18,MATCH($B576&amp;"|"&amp;$E576,Aux_HH!$A$4:$A$18,0)))</f>
        <v>0</v>
      </c>
      <c r="I576" s="0" t="n">
        <f aca="false">IF($F576=0,0,INDEX(Aux_HH!$F$4:$F$18,MATCH($B576&amp;"|"&amp;$E576,Aux_HH!$A$4:$A$18,0)))</f>
        <v>0</v>
      </c>
      <c r="J576" s="0" t="n">
        <f aca="false">IF($F576=0,0,INDEX(Aux_HH!$G$4:$G$18,MATCH($B576&amp;"|"&amp;$E576,Aux_HH!$A$4:$A$18,0)))</f>
        <v>0</v>
      </c>
      <c r="K576" s="0" t="n">
        <f aca="false">IF($F576=0,0,INDEX(Aux_HH!$H$4:$H$18,MATCH($B576&amp;"|"&amp;$E576,Aux_HH!$A$4:$A$18,0)))</f>
        <v>0</v>
      </c>
      <c r="L576" s="0" t="n">
        <f aca="false">IF($F576=0,0,INDEX(Aux_HH!$I$4:$I$18,MATCH($B576&amp;"|"&amp;$E576,Aux_HH!$A$4:$A$18,0)))</f>
        <v>0</v>
      </c>
    </row>
    <row r="577" customFormat="false" ht="15" hidden="false" customHeight="false" outlineLevel="0" collapsed="false">
      <c r="A577" s="0" t="str">
        <f aca="false">IF(Frota!$A16="","",Frota!$A16)</f>
        <v>Fiat Toro — 5001</v>
      </c>
      <c r="B577" s="0" t="str">
        <f aca="false">IF(Frota!$A16="","",Frota!$B16)</f>
        <v>Veículo Leve</v>
      </c>
      <c r="C577" s="0" t="n">
        <v>2</v>
      </c>
      <c r="D577" s="0" t="n">
        <f aca="false">INDEX(Semanas!$E$3:$E$54,2)</f>
        <v>4</v>
      </c>
      <c r="E577" s="0" t="str">
        <f aca="false">IF(Frota!$A16="","",Cronograma!C16)</f>
        <v/>
      </c>
      <c r="F577" s="0" t="n">
        <f aca="false">IF(OR($E577="",$E577=0),0,1)</f>
        <v>0</v>
      </c>
      <c r="G577" s="0" t="n">
        <f aca="false">IF($F577=0,0,INDEX(Aux_HH!$D$4:$D$18,MATCH($B577&amp;"|"&amp;$E577,Aux_HH!$A$4:$A$18,0)))</f>
        <v>0</v>
      </c>
      <c r="H577" s="0" t="n">
        <f aca="false">IF($F577=0,0,INDEX(Aux_HH!$E$4:$E$18,MATCH($B577&amp;"|"&amp;$E577,Aux_HH!$A$4:$A$18,0)))</f>
        <v>0</v>
      </c>
      <c r="I577" s="0" t="n">
        <f aca="false">IF($F577=0,0,INDEX(Aux_HH!$F$4:$F$18,MATCH($B577&amp;"|"&amp;$E577,Aux_HH!$A$4:$A$18,0)))</f>
        <v>0</v>
      </c>
      <c r="J577" s="0" t="n">
        <f aca="false">IF($F577=0,0,INDEX(Aux_HH!$G$4:$G$18,MATCH($B577&amp;"|"&amp;$E577,Aux_HH!$A$4:$A$18,0)))</f>
        <v>0</v>
      </c>
      <c r="K577" s="0" t="n">
        <f aca="false">IF($F577=0,0,INDEX(Aux_HH!$H$4:$H$18,MATCH($B577&amp;"|"&amp;$E577,Aux_HH!$A$4:$A$18,0)))</f>
        <v>0</v>
      </c>
      <c r="L577" s="0" t="n">
        <f aca="false">IF($F577=0,0,INDEX(Aux_HH!$I$4:$I$18,MATCH($B577&amp;"|"&amp;$E577,Aux_HH!$A$4:$A$18,0)))</f>
        <v>0</v>
      </c>
    </row>
    <row r="578" customFormat="false" ht="15" hidden="false" customHeight="false" outlineLevel="0" collapsed="false">
      <c r="A578" s="0" t="str">
        <f aca="false">IF(Frota!$A16="","",Frota!$A16)</f>
        <v>Fiat Toro — 5001</v>
      </c>
      <c r="B578" s="0" t="str">
        <f aca="false">IF(Frota!$A16="","",Frota!$B16)</f>
        <v>Veículo Leve</v>
      </c>
      <c r="C578" s="0" t="n">
        <v>3</v>
      </c>
      <c r="D578" s="0" t="n">
        <f aca="false">INDEX(Semanas!$E$3:$E$54,3)</f>
        <v>4</v>
      </c>
      <c r="E578" s="0" t="str">
        <f aca="false">IF(Frota!$A16="","",Cronograma!D16)</f>
        <v/>
      </c>
      <c r="F578" s="0" t="n">
        <f aca="false">IF(OR($E578="",$E578=0),0,1)</f>
        <v>0</v>
      </c>
      <c r="G578" s="0" t="n">
        <f aca="false">IF($F578=0,0,INDEX(Aux_HH!$D$4:$D$18,MATCH($B578&amp;"|"&amp;$E578,Aux_HH!$A$4:$A$18,0)))</f>
        <v>0</v>
      </c>
      <c r="H578" s="0" t="n">
        <f aca="false">IF($F578=0,0,INDEX(Aux_HH!$E$4:$E$18,MATCH($B578&amp;"|"&amp;$E578,Aux_HH!$A$4:$A$18,0)))</f>
        <v>0</v>
      </c>
      <c r="I578" s="0" t="n">
        <f aca="false">IF($F578=0,0,INDEX(Aux_HH!$F$4:$F$18,MATCH($B578&amp;"|"&amp;$E578,Aux_HH!$A$4:$A$18,0)))</f>
        <v>0</v>
      </c>
      <c r="J578" s="0" t="n">
        <f aca="false">IF($F578=0,0,INDEX(Aux_HH!$G$4:$G$18,MATCH($B578&amp;"|"&amp;$E578,Aux_HH!$A$4:$A$18,0)))</f>
        <v>0</v>
      </c>
      <c r="K578" s="0" t="n">
        <f aca="false">IF($F578=0,0,INDEX(Aux_HH!$H$4:$H$18,MATCH($B578&amp;"|"&amp;$E578,Aux_HH!$A$4:$A$18,0)))</f>
        <v>0</v>
      </c>
      <c r="L578" s="0" t="n">
        <f aca="false">IF($F578=0,0,INDEX(Aux_HH!$I$4:$I$18,MATCH($B578&amp;"|"&amp;$E578,Aux_HH!$A$4:$A$18,0)))</f>
        <v>0</v>
      </c>
    </row>
    <row r="579" customFormat="false" ht="15" hidden="false" customHeight="false" outlineLevel="0" collapsed="false">
      <c r="A579" s="0" t="str">
        <f aca="false">IF(Frota!$A16="","",Frota!$A16)</f>
        <v>Fiat Toro — 5001</v>
      </c>
      <c r="B579" s="0" t="str">
        <f aca="false">IF(Frota!$A16="","",Frota!$B16)</f>
        <v>Veículo Leve</v>
      </c>
      <c r="C579" s="0" t="n">
        <v>4</v>
      </c>
      <c r="D579" s="0" t="n">
        <f aca="false">INDEX(Semanas!$E$3:$E$54,4)</f>
        <v>4</v>
      </c>
      <c r="E579" s="0" t="str">
        <f aca="false">IF(Frota!$A16="","",Cronograma!E16)</f>
        <v/>
      </c>
      <c r="F579" s="0" t="n">
        <f aca="false">IF(OR($E579="",$E579=0),0,1)</f>
        <v>0</v>
      </c>
      <c r="G579" s="0" t="n">
        <f aca="false">IF($F579=0,0,INDEX(Aux_HH!$D$4:$D$18,MATCH($B579&amp;"|"&amp;$E579,Aux_HH!$A$4:$A$18,0)))</f>
        <v>0</v>
      </c>
      <c r="H579" s="0" t="n">
        <f aca="false">IF($F579=0,0,INDEX(Aux_HH!$E$4:$E$18,MATCH($B579&amp;"|"&amp;$E579,Aux_HH!$A$4:$A$18,0)))</f>
        <v>0</v>
      </c>
      <c r="I579" s="0" t="n">
        <f aca="false">IF($F579=0,0,INDEX(Aux_HH!$F$4:$F$18,MATCH($B579&amp;"|"&amp;$E579,Aux_HH!$A$4:$A$18,0)))</f>
        <v>0</v>
      </c>
      <c r="J579" s="0" t="n">
        <f aca="false">IF($F579=0,0,INDEX(Aux_HH!$G$4:$G$18,MATCH($B579&amp;"|"&amp;$E579,Aux_HH!$A$4:$A$18,0)))</f>
        <v>0</v>
      </c>
      <c r="K579" s="0" t="n">
        <f aca="false">IF($F579=0,0,INDEX(Aux_HH!$H$4:$H$18,MATCH($B579&amp;"|"&amp;$E579,Aux_HH!$A$4:$A$18,0)))</f>
        <v>0</v>
      </c>
      <c r="L579" s="0" t="n">
        <f aca="false">IF($F579=0,0,INDEX(Aux_HH!$I$4:$I$18,MATCH($B579&amp;"|"&amp;$E579,Aux_HH!$A$4:$A$18,0)))</f>
        <v>0</v>
      </c>
    </row>
    <row r="580" customFormat="false" ht="15" hidden="false" customHeight="false" outlineLevel="0" collapsed="false">
      <c r="A580" s="0" t="str">
        <f aca="false">IF(Frota!$A16="","",Frota!$A16)</f>
        <v>Fiat Toro — 5001</v>
      </c>
      <c r="B580" s="0" t="str">
        <f aca="false">IF(Frota!$A16="","",Frota!$B16)</f>
        <v>Veículo Leve</v>
      </c>
      <c r="C580" s="0" t="n">
        <v>5</v>
      </c>
      <c r="D580" s="0" t="n">
        <f aca="false">INDEX(Semanas!$E$3:$E$54,5)</f>
        <v>4</v>
      </c>
      <c r="E580" s="0" t="str">
        <f aca="false">IF(Frota!$A16="","",Cronograma!F16)</f>
        <v/>
      </c>
      <c r="F580" s="0" t="n">
        <f aca="false">IF(OR($E580="",$E580=0),0,1)</f>
        <v>0</v>
      </c>
      <c r="G580" s="0" t="n">
        <f aca="false">IF($F580=0,0,INDEX(Aux_HH!$D$4:$D$18,MATCH($B580&amp;"|"&amp;$E580,Aux_HH!$A$4:$A$18,0)))</f>
        <v>0</v>
      </c>
      <c r="H580" s="0" t="n">
        <f aca="false">IF($F580=0,0,INDEX(Aux_HH!$E$4:$E$18,MATCH($B580&amp;"|"&amp;$E580,Aux_HH!$A$4:$A$18,0)))</f>
        <v>0</v>
      </c>
      <c r="I580" s="0" t="n">
        <f aca="false">IF($F580=0,0,INDEX(Aux_HH!$F$4:$F$18,MATCH($B580&amp;"|"&amp;$E580,Aux_HH!$A$4:$A$18,0)))</f>
        <v>0</v>
      </c>
      <c r="J580" s="0" t="n">
        <f aca="false">IF($F580=0,0,INDEX(Aux_HH!$G$4:$G$18,MATCH($B580&amp;"|"&amp;$E580,Aux_HH!$A$4:$A$18,0)))</f>
        <v>0</v>
      </c>
      <c r="K580" s="0" t="n">
        <f aca="false">IF($F580=0,0,INDEX(Aux_HH!$H$4:$H$18,MATCH($B580&amp;"|"&amp;$E580,Aux_HH!$A$4:$A$18,0)))</f>
        <v>0</v>
      </c>
      <c r="L580" s="0" t="n">
        <f aca="false">IF($F580=0,0,INDEX(Aux_HH!$I$4:$I$18,MATCH($B580&amp;"|"&amp;$E580,Aux_HH!$A$4:$A$18,0)))</f>
        <v>0</v>
      </c>
    </row>
    <row r="581" customFormat="false" ht="15" hidden="false" customHeight="false" outlineLevel="0" collapsed="false">
      <c r="A581" s="0" t="str">
        <f aca="false">IF(Frota!$A16="","",Frota!$A16)</f>
        <v>Fiat Toro — 5001</v>
      </c>
      <c r="B581" s="0" t="str">
        <f aca="false">IF(Frota!$A16="","",Frota!$B16)</f>
        <v>Veículo Leve</v>
      </c>
      <c r="C581" s="0" t="n">
        <v>6</v>
      </c>
      <c r="D581" s="0" t="n">
        <f aca="false">INDEX(Semanas!$E$3:$E$54,6)</f>
        <v>5</v>
      </c>
      <c r="E581" s="0" t="str">
        <f aca="false">IF(Frota!$A16="","",Cronograma!G16)</f>
        <v/>
      </c>
      <c r="F581" s="0" t="n">
        <f aca="false">IF(OR($E581="",$E581=0),0,1)</f>
        <v>0</v>
      </c>
      <c r="G581" s="0" t="n">
        <f aca="false">IF($F581=0,0,INDEX(Aux_HH!$D$4:$D$18,MATCH($B581&amp;"|"&amp;$E581,Aux_HH!$A$4:$A$18,0)))</f>
        <v>0</v>
      </c>
      <c r="H581" s="0" t="n">
        <f aca="false">IF($F581=0,0,INDEX(Aux_HH!$E$4:$E$18,MATCH($B581&amp;"|"&amp;$E581,Aux_HH!$A$4:$A$18,0)))</f>
        <v>0</v>
      </c>
      <c r="I581" s="0" t="n">
        <f aca="false">IF($F581=0,0,INDEX(Aux_HH!$F$4:$F$18,MATCH($B581&amp;"|"&amp;$E581,Aux_HH!$A$4:$A$18,0)))</f>
        <v>0</v>
      </c>
      <c r="J581" s="0" t="n">
        <f aca="false">IF($F581=0,0,INDEX(Aux_HH!$G$4:$G$18,MATCH($B581&amp;"|"&amp;$E581,Aux_HH!$A$4:$A$18,0)))</f>
        <v>0</v>
      </c>
      <c r="K581" s="0" t="n">
        <f aca="false">IF($F581=0,0,INDEX(Aux_HH!$H$4:$H$18,MATCH($B581&amp;"|"&amp;$E581,Aux_HH!$A$4:$A$18,0)))</f>
        <v>0</v>
      </c>
      <c r="L581" s="0" t="n">
        <f aca="false">IF($F581=0,0,INDEX(Aux_HH!$I$4:$I$18,MATCH($B581&amp;"|"&amp;$E581,Aux_HH!$A$4:$A$18,0)))</f>
        <v>0</v>
      </c>
    </row>
    <row r="582" customFormat="false" ht="15" hidden="false" customHeight="false" outlineLevel="0" collapsed="false">
      <c r="A582" s="0" t="str">
        <f aca="false">IF(Frota!$A16="","",Frota!$A16)</f>
        <v>Fiat Toro — 5001</v>
      </c>
      <c r="B582" s="0" t="str">
        <f aca="false">IF(Frota!$A16="","",Frota!$B16)</f>
        <v>Veículo Leve</v>
      </c>
      <c r="C582" s="0" t="n">
        <v>7</v>
      </c>
      <c r="D582" s="0" t="n">
        <f aca="false">INDEX(Semanas!$E$3:$E$54,7)</f>
        <v>5</v>
      </c>
      <c r="E582" s="0" t="str">
        <f aca="false">IF(Frota!$A16="","",Cronograma!H16)</f>
        <v/>
      </c>
      <c r="F582" s="0" t="n">
        <f aca="false">IF(OR($E582="",$E582=0),0,1)</f>
        <v>0</v>
      </c>
      <c r="G582" s="0" t="n">
        <f aca="false">IF($F582=0,0,INDEX(Aux_HH!$D$4:$D$18,MATCH($B582&amp;"|"&amp;$E582,Aux_HH!$A$4:$A$18,0)))</f>
        <v>0</v>
      </c>
      <c r="H582" s="0" t="n">
        <f aca="false">IF($F582=0,0,INDEX(Aux_HH!$E$4:$E$18,MATCH($B582&amp;"|"&amp;$E582,Aux_HH!$A$4:$A$18,0)))</f>
        <v>0</v>
      </c>
      <c r="I582" s="0" t="n">
        <f aca="false">IF($F582=0,0,INDEX(Aux_HH!$F$4:$F$18,MATCH($B582&amp;"|"&amp;$E582,Aux_HH!$A$4:$A$18,0)))</f>
        <v>0</v>
      </c>
      <c r="J582" s="0" t="n">
        <f aca="false">IF($F582=0,0,INDEX(Aux_HH!$G$4:$G$18,MATCH($B582&amp;"|"&amp;$E582,Aux_HH!$A$4:$A$18,0)))</f>
        <v>0</v>
      </c>
      <c r="K582" s="0" t="n">
        <f aca="false">IF($F582=0,0,INDEX(Aux_HH!$H$4:$H$18,MATCH($B582&amp;"|"&amp;$E582,Aux_HH!$A$4:$A$18,0)))</f>
        <v>0</v>
      </c>
      <c r="L582" s="0" t="n">
        <f aca="false">IF($F582=0,0,INDEX(Aux_HH!$I$4:$I$18,MATCH($B582&amp;"|"&amp;$E582,Aux_HH!$A$4:$A$18,0)))</f>
        <v>0</v>
      </c>
    </row>
    <row r="583" customFormat="false" ht="15" hidden="false" customHeight="false" outlineLevel="0" collapsed="false">
      <c r="A583" s="0" t="str">
        <f aca="false">IF(Frota!$A16="","",Frota!$A16)</f>
        <v>Fiat Toro — 5001</v>
      </c>
      <c r="B583" s="0" t="str">
        <f aca="false">IF(Frota!$A16="","",Frota!$B16)</f>
        <v>Veículo Leve</v>
      </c>
      <c r="C583" s="0" t="n">
        <v>8</v>
      </c>
      <c r="D583" s="0" t="n">
        <f aca="false">INDEX(Semanas!$E$3:$E$54,8)</f>
        <v>5</v>
      </c>
      <c r="E583" s="0" t="str">
        <f aca="false">IF(Frota!$A16="","",Cronograma!I16)</f>
        <v/>
      </c>
      <c r="F583" s="0" t="n">
        <f aca="false">IF(OR($E583="",$E583=0),0,1)</f>
        <v>0</v>
      </c>
      <c r="G583" s="0" t="n">
        <f aca="false">IF($F583=0,0,INDEX(Aux_HH!$D$4:$D$18,MATCH($B583&amp;"|"&amp;$E583,Aux_HH!$A$4:$A$18,0)))</f>
        <v>0</v>
      </c>
      <c r="H583" s="0" t="n">
        <f aca="false">IF($F583=0,0,INDEX(Aux_HH!$E$4:$E$18,MATCH($B583&amp;"|"&amp;$E583,Aux_HH!$A$4:$A$18,0)))</f>
        <v>0</v>
      </c>
      <c r="I583" s="0" t="n">
        <f aca="false">IF($F583=0,0,INDEX(Aux_HH!$F$4:$F$18,MATCH($B583&amp;"|"&amp;$E583,Aux_HH!$A$4:$A$18,0)))</f>
        <v>0</v>
      </c>
      <c r="J583" s="0" t="n">
        <f aca="false">IF($F583=0,0,INDEX(Aux_HH!$G$4:$G$18,MATCH($B583&amp;"|"&amp;$E583,Aux_HH!$A$4:$A$18,0)))</f>
        <v>0</v>
      </c>
      <c r="K583" s="0" t="n">
        <f aca="false">IF($F583=0,0,INDEX(Aux_HH!$H$4:$H$18,MATCH($B583&amp;"|"&amp;$E583,Aux_HH!$A$4:$A$18,0)))</f>
        <v>0</v>
      </c>
      <c r="L583" s="0" t="n">
        <f aca="false">IF($F583=0,0,INDEX(Aux_HH!$I$4:$I$18,MATCH($B583&amp;"|"&amp;$E583,Aux_HH!$A$4:$A$18,0)))</f>
        <v>0</v>
      </c>
    </row>
    <row r="584" customFormat="false" ht="15" hidden="false" customHeight="false" outlineLevel="0" collapsed="false">
      <c r="A584" s="0" t="str">
        <f aca="false">IF(Frota!$A16="","",Frota!$A16)</f>
        <v>Fiat Toro — 5001</v>
      </c>
      <c r="B584" s="0" t="str">
        <f aca="false">IF(Frota!$A16="","",Frota!$B16)</f>
        <v>Veículo Leve</v>
      </c>
      <c r="C584" s="0" t="n">
        <v>9</v>
      </c>
      <c r="D584" s="0" t="n">
        <f aca="false">INDEX(Semanas!$E$3:$E$54,9)</f>
        <v>5</v>
      </c>
      <c r="E584" s="0" t="str">
        <f aca="false">IF(Frota!$A16="","",Cronograma!J16)</f>
        <v/>
      </c>
      <c r="F584" s="0" t="n">
        <f aca="false">IF(OR($E584="",$E584=0),0,1)</f>
        <v>0</v>
      </c>
      <c r="G584" s="0" t="n">
        <f aca="false">IF($F584=0,0,INDEX(Aux_HH!$D$4:$D$18,MATCH($B584&amp;"|"&amp;$E584,Aux_HH!$A$4:$A$18,0)))</f>
        <v>0</v>
      </c>
      <c r="H584" s="0" t="n">
        <f aca="false">IF($F584=0,0,INDEX(Aux_HH!$E$4:$E$18,MATCH($B584&amp;"|"&amp;$E584,Aux_HH!$A$4:$A$18,0)))</f>
        <v>0</v>
      </c>
      <c r="I584" s="0" t="n">
        <f aca="false">IF($F584=0,0,INDEX(Aux_HH!$F$4:$F$18,MATCH($B584&amp;"|"&amp;$E584,Aux_HH!$A$4:$A$18,0)))</f>
        <v>0</v>
      </c>
      <c r="J584" s="0" t="n">
        <f aca="false">IF($F584=0,0,INDEX(Aux_HH!$G$4:$G$18,MATCH($B584&amp;"|"&amp;$E584,Aux_HH!$A$4:$A$18,0)))</f>
        <v>0</v>
      </c>
      <c r="K584" s="0" t="n">
        <f aca="false">IF($F584=0,0,INDEX(Aux_HH!$H$4:$H$18,MATCH($B584&amp;"|"&amp;$E584,Aux_HH!$A$4:$A$18,0)))</f>
        <v>0</v>
      </c>
      <c r="L584" s="0" t="n">
        <f aca="false">IF($F584=0,0,INDEX(Aux_HH!$I$4:$I$18,MATCH($B584&amp;"|"&amp;$E584,Aux_HH!$A$4:$A$18,0)))</f>
        <v>0</v>
      </c>
    </row>
    <row r="585" customFormat="false" ht="15" hidden="false" customHeight="false" outlineLevel="0" collapsed="false">
      <c r="A585" s="0" t="str">
        <f aca="false">IF(Frota!$A16="","",Frota!$A16)</f>
        <v>Fiat Toro — 5001</v>
      </c>
      <c r="B585" s="0" t="str">
        <f aca="false">IF(Frota!$A16="","",Frota!$B16)</f>
        <v>Veículo Leve</v>
      </c>
      <c r="C585" s="0" t="n">
        <v>10</v>
      </c>
      <c r="D585" s="0" t="n">
        <f aca="false">INDEX(Semanas!$E$3:$E$54,10)</f>
        <v>6</v>
      </c>
      <c r="E585" s="0" t="str">
        <f aca="false">IF(Frota!$A16="","",Cronograma!K16)</f>
        <v/>
      </c>
      <c r="F585" s="0" t="n">
        <f aca="false">IF(OR($E585="",$E585=0),0,1)</f>
        <v>0</v>
      </c>
      <c r="G585" s="0" t="n">
        <f aca="false">IF($F585=0,0,INDEX(Aux_HH!$D$4:$D$18,MATCH($B585&amp;"|"&amp;$E585,Aux_HH!$A$4:$A$18,0)))</f>
        <v>0</v>
      </c>
      <c r="H585" s="0" t="n">
        <f aca="false">IF($F585=0,0,INDEX(Aux_HH!$E$4:$E$18,MATCH($B585&amp;"|"&amp;$E585,Aux_HH!$A$4:$A$18,0)))</f>
        <v>0</v>
      </c>
      <c r="I585" s="0" t="n">
        <f aca="false">IF($F585=0,0,INDEX(Aux_HH!$F$4:$F$18,MATCH($B585&amp;"|"&amp;$E585,Aux_HH!$A$4:$A$18,0)))</f>
        <v>0</v>
      </c>
      <c r="J585" s="0" t="n">
        <f aca="false">IF($F585=0,0,INDEX(Aux_HH!$G$4:$G$18,MATCH($B585&amp;"|"&amp;$E585,Aux_HH!$A$4:$A$18,0)))</f>
        <v>0</v>
      </c>
      <c r="K585" s="0" t="n">
        <f aca="false">IF($F585=0,0,INDEX(Aux_HH!$H$4:$H$18,MATCH($B585&amp;"|"&amp;$E585,Aux_HH!$A$4:$A$18,0)))</f>
        <v>0</v>
      </c>
      <c r="L585" s="0" t="n">
        <f aca="false">IF($F585=0,0,INDEX(Aux_HH!$I$4:$I$18,MATCH($B585&amp;"|"&amp;$E585,Aux_HH!$A$4:$A$18,0)))</f>
        <v>0</v>
      </c>
    </row>
    <row r="586" customFormat="false" ht="15" hidden="false" customHeight="false" outlineLevel="0" collapsed="false">
      <c r="A586" s="0" t="str">
        <f aca="false">IF(Frota!$A16="","",Frota!$A16)</f>
        <v>Fiat Toro — 5001</v>
      </c>
      <c r="B586" s="0" t="str">
        <f aca="false">IF(Frota!$A16="","",Frota!$B16)</f>
        <v>Veículo Leve</v>
      </c>
      <c r="C586" s="0" t="n">
        <v>11</v>
      </c>
      <c r="D586" s="0" t="n">
        <f aca="false">INDEX(Semanas!$E$3:$E$54,11)</f>
        <v>6</v>
      </c>
      <c r="E586" s="0" t="str">
        <f aca="false">IF(Frota!$A16="","",Cronograma!L16)</f>
        <v/>
      </c>
      <c r="F586" s="0" t="n">
        <f aca="false">IF(OR($E586="",$E586=0),0,1)</f>
        <v>0</v>
      </c>
      <c r="G586" s="0" t="n">
        <f aca="false">IF($F586=0,0,INDEX(Aux_HH!$D$4:$D$18,MATCH($B586&amp;"|"&amp;$E586,Aux_HH!$A$4:$A$18,0)))</f>
        <v>0</v>
      </c>
      <c r="H586" s="0" t="n">
        <f aca="false">IF($F586=0,0,INDEX(Aux_HH!$E$4:$E$18,MATCH($B586&amp;"|"&amp;$E586,Aux_HH!$A$4:$A$18,0)))</f>
        <v>0</v>
      </c>
      <c r="I586" s="0" t="n">
        <f aca="false">IF($F586=0,0,INDEX(Aux_HH!$F$4:$F$18,MATCH($B586&amp;"|"&amp;$E586,Aux_HH!$A$4:$A$18,0)))</f>
        <v>0</v>
      </c>
      <c r="J586" s="0" t="n">
        <f aca="false">IF($F586=0,0,INDEX(Aux_HH!$G$4:$G$18,MATCH($B586&amp;"|"&amp;$E586,Aux_HH!$A$4:$A$18,0)))</f>
        <v>0</v>
      </c>
      <c r="K586" s="0" t="n">
        <f aca="false">IF($F586=0,0,INDEX(Aux_HH!$H$4:$H$18,MATCH($B586&amp;"|"&amp;$E586,Aux_HH!$A$4:$A$18,0)))</f>
        <v>0</v>
      </c>
      <c r="L586" s="0" t="n">
        <f aca="false">IF($F586=0,0,INDEX(Aux_HH!$I$4:$I$18,MATCH($B586&amp;"|"&amp;$E586,Aux_HH!$A$4:$A$18,0)))</f>
        <v>0</v>
      </c>
    </row>
    <row r="587" customFormat="false" ht="15" hidden="false" customHeight="false" outlineLevel="0" collapsed="false">
      <c r="A587" s="0" t="str">
        <f aca="false">IF(Frota!$A16="","",Frota!$A16)</f>
        <v>Fiat Toro — 5001</v>
      </c>
      <c r="B587" s="0" t="str">
        <f aca="false">IF(Frota!$A16="","",Frota!$B16)</f>
        <v>Veículo Leve</v>
      </c>
      <c r="C587" s="0" t="n">
        <v>12</v>
      </c>
      <c r="D587" s="0" t="n">
        <f aca="false">INDEX(Semanas!$E$3:$E$54,12)</f>
        <v>6</v>
      </c>
      <c r="E587" s="0" t="str">
        <f aca="false">IF(Frota!$A16="","",Cronograma!M16)</f>
        <v>A</v>
      </c>
      <c r="F587" s="0" t="n">
        <f aca="false">IF(OR($E587="",$E587=0),0,1)</f>
        <v>1</v>
      </c>
      <c r="G587" s="0" t="n">
        <f aca="false">IF($F587=0,0,INDEX(Aux_HH!$D$4:$D$18,MATCH($B587&amp;"|"&amp;$E587,Aux_HH!$A$4:$A$18,0)))</f>
        <v>0</v>
      </c>
      <c r="H587" s="0" t="n">
        <f aca="false">IF($F587=0,0,INDEX(Aux_HH!$E$4:$E$18,MATCH($B587&amp;"|"&amp;$E587,Aux_HH!$A$4:$A$18,0)))</f>
        <v>0</v>
      </c>
      <c r="I587" s="0" t="n">
        <f aca="false">IF($F587=0,0,INDEX(Aux_HH!$F$4:$F$18,MATCH($B587&amp;"|"&amp;$E587,Aux_HH!$A$4:$A$18,0)))</f>
        <v>0</v>
      </c>
      <c r="J587" s="0" t="n">
        <f aca="false">IF($F587=0,0,INDEX(Aux_HH!$G$4:$G$18,MATCH($B587&amp;"|"&amp;$E587,Aux_HH!$A$4:$A$18,0)))</f>
        <v>0</v>
      </c>
      <c r="K587" s="0" t="n">
        <f aca="false">IF($F587=0,0,INDEX(Aux_HH!$H$4:$H$18,MATCH($B587&amp;"|"&amp;$E587,Aux_HH!$A$4:$A$18,0)))</f>
        <v>0</v>
      </c>
      <c r="L587" s="0" t="n">
        <f aca="false">IF($F587=0,0,INDEX(Aux_HH!$I$4:$I$18,MATCH($B587&amp;"|"&amp;$E587,Aux_HH!$A$4:$A$18,0)))</f>
        <v>0</v>
      </c>
    </row>
    <row r="588" customFormat="false" ht="15" hidden="false" customHeight="false" outlineLevel="0" collapsed="false">
      <c r="A588" s="0" t="str">
        <f aca="false">IF(Frota!$A16="","",Frota!$A16)</f>
        <v>Fiat Toro — 5001</v>
      </c>
      <c r="B588" s="0" t="str">
        <f aca="false">IF(Frota!$A16="","",Frota!$B16)</f>
        <v>Veículo Leve</v>
      </c>
      <c r="C588" s="0" t="n">
        <v>13</v>
      </c>
      <c r="D588" s="0" t="n">
        <f aca="false">INDEX(Semanas!$E$3:$E$54,13)</f>
        <v>6</v>
      </c>
      <c r="E588" s="0" t="str">
        <f aca="false">IF(Frota!$A16="","",Cronograma!N16)</f>
        <v/>
      </c>
      <c r="F588" s="0" t="n">
        <f aca="false">IF(OR($E588="",$E588=0),0,1)</f>
        <v>0</v>
      </c>
      <c r="G588" s="0" t="n">
        <f aca="false">IF($F588=0,0,INDEX(Aux_HH!$D$4:$D$18,MATCH($B588&amp;"|"&amp;$E588,Aux_HH!$A$4:$A$18,0)))</f>
        <v>0</v>
      </c>
      <c r="H588" s="0" t="n">
        <f aca="false">IF($F588=0,0,INDEX(Aux_HH!$E$4:$E$18,MATCH($B588&amp;"|"&amp;$E588,Aux_HH!$A$4:$A$18,0)))</f>
        <v>0</v>
      </c>
      <c r="I588" s="0" t="n">
        <f aca="false">IF($F588=0,0,INDEX(Aux_HH!$F$4:$F$18,MATCH($B588&amp;"|"&amp;$E588,Aux_HH!$A$4:$A$18,0)))</f>
        <v>0</v>
      </c>
      <c r="J588" s="0" t="n">
        <f aca="false">IF($F588=0,0,INDEX(Aux_HH!$G$4:$G$18,MATCH($B588&amp;"|"&amp;$E588,Aux_HH!$A$4:$A$18,0)))</f>
        <v>0</v>
      </c>
      <c r="K588" s="0" t="n">
        <f aca="false">IF($F588=0,0,INDEX(Aux_HH!$H$4:$H$18,MATCH($B588&amp;"|"&amp;$E588,Aux_HH!$A$4:$A$18,0)))</f>
        <v>0</v>
      </c>
      <c r="L588" s="0" t="n">
        <f aca="false">IF($F588=0,0,INDEX(Aux_HH!$I$4:$I$18,MATCH($B588&amp;"|"&amp;$E588,Aux_HH!$A$4:$A$18,0)))</f>
        <v>0</v>
      </c>
    </row>
    <row r="589" customFormat="false" ht="15" hidden="false" customHeight="false" outlineLevel="0" collapsed="false">
      <c r="A589" s="0" t="str">
        <f aca="false">IF(Frota!$A16="","",Frota!$A16)</f>
        <v>Fiat Toro — 5001</v>
      </c>
      <c r="B589" s="0" t="str">
        <f aca="false">IF(Frota!$A16="","",Frota!$B16)</f>
        <v>Veículo Leve</v>
      </c>
      <c r="C589" s="0" t="n">
        <v>14</v>
      </c>
      <c r="D589" s="0" t="n">
        <f aca="false">INDEX(Semanas!$E$3:$E$54,14)</f>
        <v>7</v>
      </c>
      <c r="E589" s="0" t="str">
        <f aca="false">IF(Frota!$A16="","",Cronograma!O16)</f>
        <v/>
      </c>
      <c r="F589" s="0" t="n">
        <f aca="false">IF(OR($E589="",$E589=0),0,1)</f>
        <v>0</v>
      </c>
      <c r="G589" s="0" t="n">
        <f aca="false">IF($F589=0,0,INDEX(Aux_HH!$D$4:$D$18,MATCH($B589&amp;"|"&amp;$E589,Aux_HH!$A$4:$A$18,0)))</f>
        <v>0</v>
      </c>
      <c r="H589" s="0" t="n">
        <f aca="false">IF($F589=0,0,INDEX(Aux_HH!$E$4:$E$18,MATCH($B589&amp;"|"&amp;$E589,Aux_HH!$A$4:$A$18,0)))</f>
        <v>0</v>
      </c>
      <c r="I589" s="0" t="n">
        <f aca="false">IF($F589=0,0,INDEX(Aux_HH!$F$4:$F$18,MATCH($B589&amp;"|"&amp;$E589,Aux_HH!$A$4:$A$18,0)))</f>
        <v>0</v>
      </c>
      <c r="J589" s="0" t="n">
        <f aca="false">IF($F589=0,0,INDEX(Aux_HH!$G$4:$G$18,MATCH($B589&amp;"|"&amp;$E589,Aux_HH!$A$4:$A$18,0)))</f>
        <v>0</v>
      </c>
      <c r="K589" s="0" t="n">
        <f aca="false">IF($F589=0,0,INDEX(Aux_HH!$H$4:$H$18,MATCH($B589&amp;"|"&amp;$E589,Aux_HH!$A$4:$A$18,0)))</f>
        <v>0</v>
      </c>
      <c r="L589" s="0" t="n">
        <f aca="false">IF($F589=0,0,INDEX(Aux_HH!$I$4:$I$18,MATCH($B589&amp;"|"&amp;$E589,Aux_HH!$A$4:$A$18,0)))</f>
        <v>0</v>
      </c>
    </row>
    <row r="590" customFormat="false" ht="15" hidden="false" customHeight="false" outlineLevel="0" collapsed="false">
      <c r="A590" s="0" t="str">
        <f aca="false">IF(Frota!$A16="","",Frota!$A16)</f>
        <v>Fiat Toro — 5001</v>
      </c>
      <c r="B590" s="0" t="str">
        <f aca="false">IF(Frota!$A16="","",Frota!$B16)</f>
        <v>Veículo Leve</v>
      </c>
      <c r="C590" s="0" t="n">
        <v>15</v>
      </c>
      <c r="D590" s="0" t="n">
        <f aca="false">INDEX(Semanas!$E$3:$E$54,15)</f>
        <v>7</v>
      </c>
      <c r="E590" s="0" t="str">
        <f aca="false">IF(Frota!$A16="","",Cronograma!P16)</f>
        <v/>
      </c>
      <c r="F590" s="0" t="n">
        <f aca="false">IF(OR($E590="",$E590=0),0,1)</f>
        <v>0</v>
      </c>
      <c r="G590" s="0" t="n">
        <f aca="false">IF($F590=0,0,INDEX(Aux_HH!$D$4:$D$18,MATCH($B590&amp;"|"&amp;$E590,Aux_HH!$A$4:$A$18,0)))</f>
        <v>0</v>
      </c>
      <c r="H590" s="0" t="n">
        <f aca="false">IF($F590=0,0,INDEX(Aux_HH!$E$4:$E$18,MATCH($B590&amp;"|"&amp;$E590,Aux_HH!$A$4:$A$18,0)))</f>
        <v>0</v>
      </c>
      <c r="I590" s="0" t="n">
        <f aca="false">IF($F590=0,0,INDEX(Aux_HH!$F$4:$F$18,MATCH($B590&amp;"|"&amp;$E590,Aux_HH!$A$4:$A$18,0)))</f>
        <v>0</v>
      </c>
      <c r="J590" s="0" t="n">
        <f aca="false">IF($F590=0,0,INDEX(Aux_HH!$G$4:$G$18,MATCH($B590&amp;"|"&amp;$E590,Aux_HH!$A$4:$A$18,0)))</f>
        <v>0</v>
      </c>
      <c r="K590" s="0" t="n">
        <f aca="false">IF($F590=0,0,INDEX(Aux_HH!$H$4:$H$18,MATCH($B590&amp;"|"&amp;$E590,Aux_HH!$A$4:$A$18,0)))</f>
        <v>0</v>
      </c>
      <c r="L590" s="0" t="n">
        <f aca="false">IF($F590=0,0,INDEX(Aux_HH!$I$4:$I$18,MATCH($B590&amp;"|"&amp;$E590,Aux_HH!$A$4:$A$18,0)))</f>
        <v>0</v>
      </c>
    </row>
    <row r="591" customFormat="false" ht="15" hidden="false" customHeight="false" outlineLevel="0" collapsed="false">
      <c r="A591" s="0" t="str">
        <f aca="false">IF(Frota!$A16="","",Frota!$A16)</f>
        <v>Fiat Toro — 5001</v>
      </c>
      <c r="B591" s="0" t="str">
        <f aca="false">IF(Frota!$A16="","",Frota!$B16)</f>
        <v>Veículo Leve</v>
      </c>
      <c r="C591" s="0" t="n">
        <v>16</v>
      </c>
      <c r="D591" s="0" t="n">
        <f aca="false">INDEX(Semanas!$E$3:$E$54,16)</f>
        <v>7</v>
      </c>
      <c r="E591" s="0" t="str">
        <f aca="false">IF(Frota!$A16="","",Cronograma!Q16)</f>
        <v/>
      </c>
      <c r="F591" s="0" t="n">
        <f aca="false">IF(OR($E591="",$E591=0),0,1)</f>
        <v>0</v>
      </c>
      <c r="G591" s="0" t="n">
        <f aca="false">IF($F591=0,0,INDEX(Aux_HH!$D$4:$D$18,MATCH($B591&amp;"|"&amp;$E591,Aux_HH!$A$4:$A$18,0)))</f>
        <v>0</v>
      </c>
      <c r="H591" s="0" t="n">
        <f aca="false">IF($F591=0,0,INDEX(Aux_HH!$E$4:$E$18,MATCH($B591&amp;"|"&amp;$E591,Aux_HH!$A$4:$A$18,0)))</f>
        <v>0</v>
      </c>
      <c r="I591" s="0" t="n">
        <f aca="false">IF($F591=0,0,INDEX(Aux_HH!$F$4:$F$18,MATCH($B591&amp;"|"&amp;$E591,Aux_HH!$A$4:$A$18,0)))</f>
        <v>0</v>
      </c>
      <c r="J591" s="0" t="n">
        <f aca="false">IF($F591=0,0,INDEX(Aux_HH!$G$4:$G$18,MATCH($B591&amp;"|"&amp;$E591,Aux_HH!$A$4:$A$18,0)))</f>
        <v>0</v>
      </c>
      <c r="K591" s="0" t="n">
        <f aca="false">IF($F591=0,0,INDEX(Aux_HH!$H$4:$H$18,MATCH($B591&amp;"|"&amp;$E591,Aux_HH!$A$4:$A$18,0)))</f>
        <v>0</v>
      </c>
      <c r="L591" s="0" t="n">
        <f aca="false">IF($F591=0,0,INDEX(Aux_HH!$I$4:$I$18,MATCH($B591&amp;"|"&amp;$E591,Aux_HH!$A$4:$A$18,0)))</f>
        <v>0</v>
      </c>
    </row>
    <row r="592" customFormat="false" ht="15" hidden="false" customHeight="false" outlineLevel="0" collapsed="false">
      <c r="A592" s="0" t="str">
        <f aca="false">IF(Frota!$A16="","",Frota!$A16)</f>
        <v>Fiat Toro — 5001</v>
      </c>
      <c r="B592" s="0" t="str">
        <f aca="false">IF(Frota!$A16="","",Frota!$B16)</f>
        <v>Veículo Leve</v>
      </c>
      <c r="C592" s="0" t="n">
        <v>17</v>
      </c>
      <c r="D592" s="0" t="n">
        <f aca="false">INDEX(Semanas!$E$3:$E$54,17)</f>
        <v>7</v>
      </c>
      <c r="E592" s="0" t="str">
        <f aca="false">IF(Frota!$A16="","",Cronograma!R16)</f>
        <v/>
      </c>
      <c r="F592" s="0" t="n">
        <f aca="false">IF(OR($E592="",$E592=0),0,1)</f>
        <v>0</v>
      </c>
      <c r="G592" s="0" t="n">
        <f aca="false">IF($F592=0,0,INDEX(Aux_HH!$D$4:$D$18,MATCH($B592&amp;"|"&amp;$E592,Aux_HH!$A$4:$A$18,0)))</f>
        <v>0</v>
      </c>
      <c r="H592" s="0" t="n">
        <f aca="false">IF($F592=0,0,INDEX(Aux_HH!$E$4:$E$18,MATCH($B592&amp;"|"&amp;$E592,Aux_HH!$A$4:$A$18,0)))</f>
        <v>0</v>
      </c>
      <c r="I592" s="0" t="n">
        <f aca="false">IF($F592=0,0,INDEX(Aux_HH!$F$4:$F$18,MATCH($B592&amp;"|"&amp;$E592,Aux_HH!$A$4:$A$18,0)))</f>
        <v>0</v>
      </c>
      <c r="J592" s="0" t="n">
        <f aca="false">IF($F592=0,0,INDEX(Aux_HH!$G$4:$G$18,MATCH($B592&amp;"|"&amp;$E592,Aux_HH!$A$4:$A$18,0)))</f>
        <v>0</v>
      </c>
      <c r="K592" s="0" t="n">
        <f aca="false">IF($F592=0,0,INDEX(Aux_HH!$H$4:$H$18,MATCH($B592&amp;"|"&amp;$E592,Aux_HH!$A$4:$A$18,0)))</f>
        <v>0</v>
      </c>
      <c r="L592" s="0" t="n">
        <f aca="false">IF($F592=0,0,INDEX(Aux_HH!$I$4:$I$18,MATCH($B592&amp;"|"&amp;$E592,Aux_HH!$A$4:$A$18,0)))</f>
        <v>0</v>
      </c>
    </row>
    <row r="593" customFormat="false" ht="15" hidden="false" customHeight="false" outlineLevel="0" collapsed="false">
      <c r="A593" s="0" t="str">
        <f aca="false">IF(Frota!$A16="","",Frota!$A16)</f>
        <v>Fiat Toro — 5001</v>
      </c>
      <c r="B593" s="0" t="str">
        <f aca="false">IF(Frota!$A16="","",Frota!$B16)</f>
        <v>Veículo Leve</v>
      </c>
      <c r="C593" s="0" t="n">
        <v>18</v>
      </c>
      <c r="D593" s="0" t="n">
        <f aca="false">INDEX(Semanas!$E$3:$E$54,18)</f>
        <v>7</v>
      </c>
      <c r="E593" s="0" t="str">
        <f aca="false">IF(Frota!$A16="","",Cronograma!S16)</f>
        <v/>
      </c>
      <c r="F593" s="0" t="n">
        <f aca="false">IF(OR($E593="",$E593=0),0,1)</f>
        <v>0</v>
      </c>
      <c r="G593" s="0" t="n">
        <f aca="false">IF($F593=0,0,INDEX(Aux_HH!$D$4:$D$18,MATCH($B593&amp;"|"&amp;$E593,Aux_HH!$A$4:$A$18,0)))</f>
        <v>0</v>
      </c>
      <c r="H593" s="0" t="n">
        <f aca="false">IF($F593=0,0,INDEX(Aux_HH!$E$4:$E$18,MATCH($B593&amp;"|"&amp;$E593,Aux_HH!$A$4:$A$18,0)))</f>
        <v>0</v>
      </c>
      <c r="I593" s="0" t="n">
        <f aca="false">IF($F593=0,0,INDEX(Aux_HH!$F$4:$F$18,MATCH($B593&amp;"|"&amp;$E593,Aux_HH!$A$4:$A$18,0)))</f>
        <v>0</v>
      </c>
      <c r="J593" s="0" t="n">
        <f aca="false">IF($F593=0,0,INDEX(Aux_HH!$G$4:$G$18,MATCH($B593&amp;"|"&amp;$E593,Aux_HH!$A$4:$A$18,0)))</f>
        <v>0</v>
      </c>
      <c r="K593" s="0" t="n">
        <f aca="false">IF($F593=0,0,INDEX(Aux_HH!$H$4:$H$18,MATCH($B593&amp;"|"&amp;$E593,Aux_HH!$A$4:$A$18,0)))</f>
        <v>0</v>
      </c>
      <c r="L593" s="0" t="n">
        <f aca="false">IF($F593=0,0,INDEX(Aux_HH!$I$4:$I$18,MATCH($B593&amp;"|"&amp;$E593,Aux_HH!$A$4:$A$18,0)))</f>
        <v>0</v>
      </c>
    </row>
    <row r="594" customFormat="false" ht="15" hidden="false" customHeight="false" outlineLevel="0" collapsed="false">
      <c r="A594" s="0" t="str">
        <f aca="false">IF(Frota!$A16="","",Frota!$A16)</f>
        <v>Fiat Toro — 5001</v>
      </c>
      <c r="B594" s="0" t="str">
        <f aca="false">IF(Frota!$A16="","",Frota!$B16)</f>
        <v>Veículo Leve</v>
      </c>
      <c r="C594" s="0" t="n">
        <v>19</v>
      </c>
      <c r="D594" s="0" t="n">
        <f aca="false">INDEX(Semanas!$E$3:$E$54,19)</f>
        <v>8</v>
      </c>
      <c r="E594" s="0" t="str">
        <f aca="false">IF(Frota!$A16="","",Cronograma!T16)</f>
        <v/>
      </c>
      <c r="F594" s="0" t="n">
        <f aca="false">IF(OR($E594="",$E594=0),0,1)</f>
        <v>0</v>
      </c>
      <c r="G594" s="0" t="n">
        <f aca="false">IF($F594=0,0,INDEX(Aux_HH!$D$4:$D$18,MATCH($B594&amp;"|"&amp;$E594,Aux_HH!$A$4:$A$18,0)))</f>
        <v>0</v>
      </c>
      <c r="H594" s="0" t="n">
        <f aca="false">IF($F594=0,0,INDEX(Aux_HH!$E$4:$E$18,MATCH($B594&amp;"|"&amp;$E594,Aux_HH!$A$4:$A$18,0)))</f>
        <v>0</v>
      </c>
      <c r="I594" s="0" t="n">
        <f aca="false">IF($F594=0,0,INDEX(Aux_HH!$F$4:$F$18,MATCH($B594&amp;"|"&amp;$E594,Aux_HH!$A$4:$A$18,0)))</f>
        <v>0</v>
      </c>
      <c r="J594" s="0" t="n">
        <f aca="false">IF($F594=0,0,INDEX(Aux_HH!$G$4:$G$18,MATCH($B594&amp;"|"&amp;$E594,Aux_HH!$A$4:$A$18,0)))</f>
        <v>0</v>
      </c>
      <c r="K594" s="0" t="n">
        <f aca="false">IF($F594=0,0,INDEX(Aux_HH!$H$4:$H$18,MATCH($B594&amp;"|"&amp;$E594,Aux_HH!$A$4:$A$18,0)))</f>
        <v>0</v>
      </c>
      <c r="L594" s="0" t="n">
        <f aca="false">IF($F594=0,0,INDEX(Aux_HH!$I$4:$I$18,MATCH($B594&amp;"|"&amp;$E594,Aux_HH!$A$4:$A$18,0)))</f>
        <v>0</v>
      </c>
    </row>
    <row r="595" customFormat="false" ht="15" hidden="false" customHeight="false" outlineLevel="0" collapsed="false">
      <c r="A595" s="0" t="str">
        <f aca="false">IF(Frota!$A16="","",Frota!$A16)</f>
        <v>Fiat Toro — 5001</v>
      </c>
      <c r="B595" s="0" t="str">
        <f aca="false">IF(Frota!$A16="","",Frota!$B16)</f>
        <v>Veículo Leve</v>
      </c>
      <c r="C595" s="0" t="n">
        <v>20</v>
      </c>
      <c r="D595" s="0" t="n">
        <f aca="false">INDEX(Semanas!$E$3:$E$54,20)</f>
        <v>8</v>
      </c>
      <c r="E595" s="0" t="str">
        <f aca="false">IF(Frota!$A16="","",Cronograma!U16)</f>
        <v/>
      </c>
      <c r="F595" s="0" t="n">
        <f aca="false">IF(OR($E595="",$E595=0),0,1)</f>
        <v>0</v>
      </c>
      <c r="G595" s="0" t="n">
        <f aca="false">IF($F595=0,0,INDEX(Aux_HH!$D$4:$D$18,MATCH($B595&amp;"|"&amp;$E595,Aux_HH!$A$4:$A$18,0)))</f>
        <v>0</v>
      </c>
      <c r="H595" s="0" t="n">
        <f aca="false">IF($F595=0,0,INDEX(Aux_HH!$E$4:$E$18,MATCH($B595&amp;"|"&amp;$E595,Aux_HH!$A$4:$A$18,0)))</f>
        <v>0</v>
      </c>
      <c r="I595" s="0" t="n">
        <f aca="false">IF($F595=0,0,INDEX(Aux_HH!$F$4:$F$18,MATCH($B595&amp;"|"&amp;$E595,Aux_HH!$A$4:$A$18,0)))</f>
        <v>0</v>
      </c>
      <c r="J595" s="0" t="n">
        <f aca="false">IF($F595=0,0,INDEX(Aux_HH!$G$4:$G$18,MATCH($B595&amp;"|"&amp;$E595,Aux_HH!$A$4:$A$18,0)))</f>
        <v>0</v>
      </c>
      <c r="K595" s="0" t="n">
        <f aca="false">IF($F595=0,0,INDEX(Aux_HH!$H$4:$H$18,MATCH($B595&amp;"|"&amp;$E595,Aux_HH!$A$4:$A$18,0)))</f>
        <v>0</v>
      </c>
      <c r="L595" s="0" t="n">
        <f aca="false">IF($F595=0,0,INDEX(Aux_HH!$I$4:$I$18,MATCH($B595&amp;"|"&amp;$E595,Aux_HH!$A$4:$A$18,0)))</f>
        <v>0</v>
      </c>
    </row>
    <row r="596" customFormat="false" ht="15" hidden="false" customHeight="false" outlineLevel="0" collapsed="false">
      <c r="A596" s="0" t="str">
        <f aca="false">IF(Frota!$A16="","",Frota!$A16)</f>
        <v>Fiat Toro — 5001</v>
      </c>
      <c r="B596" s="0" t="str">
        <f aca="false">IF(Frota!$A16="","",Frota!$B16)</f>
        <v>Veículo Leve</v>
      </c>
      <c r="C596" s="0" t="n">
        <v>21</v>
      </c>
      <c r="D596" s="0" t="n">
        <f aca="false">INDEX(Semanas!$E$3:$E$54,21)</f>
        <v>8</v>
      </c>
      <c r="E596" s="0" t="str">
        <f aca="false">IF(Frota!$A16="","",Cronograma!V16)</f>
        <v/>
      </c>
      <c r="F596" s="0" t="n">
        <f aca="false">IF(OR($E596="",$E596=0),0,1)</f>
        <v>0</v>
      </c>
      <c r="G596" s="0" t="n">
        <f aca="false">IF($F596=0,0,INDEX(Aux_HH!$D$4:$D$18,MATCH($B596&amp;"|"&amp;$E596,Aux_HH!$A$4:$A$18,0)))</f>
        <v>0</v>
      </c>
      <c r="H596" s="0" t="n">
        <f aca="false">IF($F596=0,0,INDEX(Aux_HH!$E$4:$E$18,MATCH($B596&amp;"|"&amp;$E596,Aux_HH!$A$4:$A$18,0)))</f>
        <v>0</v>
      </c>
      <c r="I596" s="0" t="n">
        <f aca="false">IF($F596=0,0,INDEX(Aux_HH!$F$4:$F$18,MATCH($B596&amp;"|"&amp;$E596,Aux_HH!$A$4:$A$18,0)))</f>
        <v>0</v>
      </c>
      <c r="J596" s="0" t="n">
        <f aca="false">IF($F596=0,0,INDEX(Aux_HH!$G$4:$G$18,MATCH($B596&amp;"|"&amp;$E596,Aux_HH!$A$4:$A$18,0)))</f>
        <v>0</v>
      </c>
      <c r="K596" s="0" t="n">
        <f aca="false">IF($F596=0,0,INDEX(Aux_HH!$H$4:$H$18,MATCH($B596&amp;"|"&amp;$E596,Aux_HH!$A$4:$A$18,0)))</f>
        <v>0</v>
      </c>
      <c r="L596" s="0" t="n">
        <f aca="false">IF($F596=0,0,INDEX(Aux_HH!$I$4:$I$18,MATCH($B596&amp;"|"&amp;$E596,Aux_HH!$A$4:$A$18,0)))</f>
        <v>0</v>
      </c>
    </row>
    <row r="597" customFormat="false" ht="15" hidden="false" customHeight="false" outlineLevel="0" collapsed="false">
      <c r="A597" s="0" t="str">
        <f aca="false">IF(Frota!$A16="","",Frota!$A16)</f>
        <v>Fiat Toro — 5001</v>
      </c>
      <c r="B597" s="0" t="str">
        <f aca="false">IF(Frota!$A16="","",Frota!$B16)</f>
        <v>Veículo Leve</v>
      </c>
      <c r="C597" s="0" t="n">
        <v>22</v>
      </c>
      <c r="D597" s="0" t="n">
        <f aca="false">INDEX(Semanas!$E$3:$E$54,22)</f>
        <v>8</v>
      </c>
      <c r="E597" s="0" t="str">
        <f aca="false">IF(Frota!$A16="","",Cronograma!W16)</f>
        <v/>
      </c>
      <c r="F597" s="0" t="n">
        <f aca="false">IF(OR($E597="",$E597=0),0,1)</f>
        <v>0</v>
      </c>
      <c r="G597" s="0" t="n">
        <f aca="false">IF($F597=0,0,INDEX(Aux_HH!$D$4:$D$18,MATCH($B597&amp;"|"&amp;$E597,Aux_HH!$A$4:$A$18,0)))</f>
        <v>0</v>
      </c>
      <c r="H597" s="0" t="n">
        <f aca="false">IF($F597=0,0,INDEX(Aux_HH!$E$4:$E$18,MATCH($B597&amp;"|"&amp;$E597,Aux_HH!$A$4:$A$18,0)))</f>
        <v>0</v>
      </c>
      <c r="I597" s="0" t="n">
        <f aca="false">IF($F597=0,0,INDEX(Aux_HH!$F$4:$F$18,MATCH($B597&amp;"|"&amp;$E597,Aux_HH!$A$4:$A$18,0)))</f>
        <v>0</v>
      </c>
      <c r="J597" s="0" t="n">
        <f aca="false">IF($F597=0,0,INDEX(Aux_HH!$G$4:$G$18,MATCH($B597&amp;"|"&amp;$E597,Aux_HH!$A$4:$A$18,0)))</f>
        <v>0</v>
      </c>
      <c r="K597" s="0" t="n">
        <f aca="false">IF($F597=0,0,INDEX(Aux_HH!$H$4:$H$18,MATCH($B597&amp;"|"&amp;$E597,Aux_HH!$A$4:$A$18,0)))</f>
        <v>0</v>
      </c>
      <c r="L597" s="0" t="n">
        <f aca="false">IF($F597=0,0,INDEX(Aux_HH!$I$4:$I$18,MATCH($B597&amp;"|"&amp;$E597,Aux_HH!$A$4:$A$18,0)))</f>
        <v>0</v>
      </c>
    </row>
    <row r="598" customFormat="false" ht="15" hidden="false" customHeight="false" outlineLevel="0" collapsed="false">
      <c r="A598" s="0" t="str">
        <f aca="false">IF(Frota!$A16="","",Frota!$A16)</f>
        <v>Fiat Toro — 5001</v>
      </c>
      <c r="B598" s="0" t="str">
        <f aca="false">IF(Frota!$A16="","",Frota!$B16)</f>
        <v>Veículo Leve</v>
      </c>
      <c r="C598" s="0" t="n">
        <v>23</v>
      </c>
      <c r="D598" s="0" t="n">
        <f aca="false">INDEX(Semanas!$E$3:$E$54,23)</f>
        <v>9</v>
      </c>
      <c r="E598" s="0" t="str">
        <f aca="false">IF(Frota!$A16="","",Cronograma!X16)</f>
        <v/>
      </c>
      <c r="F598" s="0" t="n">
        <f aca="false">IF(OR($E598="",$E598=0),0,1)</f>
        <v>0</v>
      </c>
      <c r="G598" s="0" t="n">
        <f aca="false">IF($F598=0,0,INDEX(Aux_HH!$D$4:$D$18,MATCH($B598&amp;"|"&amp;$E598,Aux_HH!$A$4:$A$18,0)))</f>
        <v>0</v>
      </c>
      <c r="H598" s="0" t="n">
        <f aca="false">IF($F598=0,0,INDEX(Aux_HH!$E$4:$E$18,MATCH($B598&amp;"|"&amp;$E598,Aux_HH!$A$4:$A$18,0)))</f>
        <v>0</v>
      </c>
      <c r="I598" s="0" t="n">
        <f aca="false">IF($F598=0,0,INDEX(Aux_HH!$F$4:$F$18,MATCH($B598&amp;"|"&amp;$E598,Aux_HH!$A$4:$A$18,0)))</f>
        <v>0</v>
      </c>
      <c r="J598" s="0" t="n">
        <f aca="false">IF($F598=0,0,INDEX(Aux_HH!$G$4:$G$18,MATCH($B598&amp;"|"&amp;$E598,Aux_HH!$A$4:$A$18,0)))</f>
        <v>0</v>
      </c>
      <c r="K598" s="0" t="n">
        <f aca="false">IF($F598=0,0,INDEX(Aux_HH!$H$4:$H$18,MATCH($B598&amp;"|"&amp;$E598,Aux_HH!$A$4:$A$18,0)))</f>
        <v>0</v>
      </c>
      <c r="L598" s="0" t="n">
        <f aca="false">IF($F598=0,0,INDEX(Aux_HH!$I$4:$I$18,MATCH($B598&amp;"|"&amp;$E598,Aux_HH!$A$4:$A$18,0)))</f>
        <v>0</v>
      </c>
    </row>
    <row r="599" customFormat="false" ht="15" hidden="false" customHeight="false" outlineLevel="0" collapsed="false">
      <c r="A599" s="0" t="str">
        <f aca="false">IF(Frota!$A16="","",Frota!$A16)</f>
        <v>Fiat Toro — 5001</v>
      </c>
      <c r="B599" s="0" t="str">
        <f aca="false">IF(Frota!$A16="","",Frota!$B16)</f>
        <v>Veículo Leve</v>
      </c>
      <c r="C599" s="0" t="n">
        <v>24</v>
      </c>
      <c r="D599" s="0" t="n">
        <f aca="false">INDEX(Semanas!$E$3:$E$54,24)</f>
        <v>9</v>
      </c>
      <c r="E599" s="0" t="str">
        <f aca="false">IF(Frota!$A16="","",Cronograma!Y16)</f>
        <v/>
      </c>
      <c r="F599" s="0" t="n">
        <f aca="false">IF(OR($E599="",$E599=0),0,1)</f>
        <v>0</v>
      </c>
      <c r="G599" s="0" t="n">
        <f aca="false">IF($F599=0,0,INDEX(Aux_HH!$D$4:$D$18,MATCH($B599&amp;"|"&amp;$E599,Aux_HH!$A$4:$A$18,0)))</f>
        <v>0</v>
      </c>
      <c r="H599" s="0" t="n">
        <f aca="false">IF($F599=0,0,INDEX(Aux_HH!$E$4:$E$18,MATCH($B599&amp;"|"&amp;$E599,Aux_HH!$A$4:$A$18,0)))</f>
        <v>0</v>
      </c>
      <c r="I599" s="0" t="n">
        <f aca="false">IF($F599=0,0,INDEX(Aux_HH!$F$4:$F$18,MATCH($B599&amp;"|"&amp;$E599,Aux_HH!$A$4:$A$18,0)))</f>
        <v>0</v>
      </c>
      <c r="J599" s="0" t="n">
        <f aca="false">IF($F599=0,0,INDEX(Aux_HH!$G$4:$G$18,MATCH($B599&amp;"|"&amp;$E599,Aux_HH!$A$4:$A$18,0)))</f>
        <v>0</v>
      </c>
      <c r="K599" s="0" t="n">
        <f aca="false">IF($F599=0,0,INDEX(Aux_HH!$H$4:$H$18,MATCH($B599&amp;"|"&amp;$E599,Aux_HH!$A$4:$A$18,0)))</f>
        <v>0</v>
      </c>
      <c r="L599" s="0" t="n">
        <f aca="false">IF($F599=0,0,INDEX(Aux_HH!$I$4:$I$18,MATCH($B599&amp;"|"&amp;$E599,Aux_HH!$A$4:$A$18,0)))</f>
        <v>0</v>
      </c>
    </row>
    <row r="600" customFormat="false" ht="15" hidden="false" customHeight="false" outlineLevel="0" collapsed="false">
      <c r="A600" s="0" t="str">
        <f aca="false">IF(Frota!$A16="","",Frota!$A16)</f>
        <v>Fiat Toro — 5001</v>
      </c>
      <c r="B600" s="0" t="str">
        <f aca="false">IF(Frota!$A16="","",Frota!$B16)</f>
        <v>Veículo Leve</v>
      </c>
      <c r="C600" s="0" t="n">
        <v>25</v>
      </c>
      <c r="D600" s="0" t="n">
        <f aca="false">INDEX(Semanas!$E$3:$E$54,25)</f>
        <v>9</v>
      </c>
      <c r="E600" s="0" t="str">
        <f aca="false">IF(Frota!$A16="","",Cronograma!Z16)</f>
        <v/>
      </c>
      <c r="F600" s="0" t="n">
        <f aca="false">IF(OR($E600="",$E600=0),0,1)</f>
        <v>0</v>
      </c>
      <c r="G600" s="0" t="n">
        <f aca="false">IF($F600=0,0,INDEX(Aux_HH!$D$4:$D$18,MATCH($B600&amp;"|"&amp;$E600,Aux_HH!$A$4:$A$18,0)))</f>
        <v>0</v>
      </c>
      <c r="H600" s="0" t="n">
        <f aca="false">IF($F600=0,0,INDEX(Aux_HH!$E$4:$E$18,MATCH($B600&amp;"|"&amp;$E600,Aux_HH!$A$4:$A$18,0)))</f>
        <v>0</v>
      </c>
      <c r="I600" s="0" t="n">
        <f aca="false">IF($F600=0,0,INDEX(Aux_HH!$F$4:$F$18,MATCH($B600&amp;"|"&amp;$E600,Aux_HH!$A$4:$A$18,0)))</f>
        <v>0</v>
      </c>
      <c r="J600" s="0" t="n">
        <f aca="false">IF($F600=0,0,INDEX(Aux_HH!$G$4:$G$18,MATCH($B600&amp;"|"&amp;$E600,Aux_HH!$A$4:$A$18,0)))</f>
        <v>0</v>
      </c>
      <c r="K600" s="0" t="n">
        <f aca="false">IF($F600=0,0,INDEX(Aux_HH!$H$4:$H$18,MATCH($B600&amp;"|"&amp;$E600,Aux_HH!$A$4:$A$18,0)))</f>
        <v>0</v>
      </c>
      <c r="L600" s="0" t="n">
        <f aca="false">IF($F600=0,0,INDEX(Aux_HH!$I$4:$I$18,MATCH($B600&amp;"|"&amp;$E600,Aux_HH!$A$4:$A$18,0)))</f>
        <v>0</v>
      </c>
    </row>
    <row r="601" customFormat="false" ht="15" hidden="false" customHeight="false" outlineLevel="0" collapsed="false">
      <c r="A601" s="0" t="str">
        <f aca="false">IF(Frota!$A16="","",Frota!$A16)</f>
        <v>Fiat Toro — 5001</v>
      </c>
      <c r="B601" s="0" t="str">
        <f aca="false">IF(Frota!$A16="","",Frota!$B16)</f>
        <v>Veículo Leve</v>
      </c>
      <c r="C601" s="0" t="n">
        <v>26</v>
      </c>
      <c r="D601" s="0" t="n">
        <f aca="false">INDEX(Semanas!$E$3:$E$54,26)</f>
        <v>9</v>
      </c>
      <c r="E601" s="0" t="str">
        <f aca="false">IF(Frota!$A16="","",Cronograma!AA16)</f>
        <v>S</v>
      </c>
      <c r="F601" s="0" t="n">
        <f aca="false">IF(OR($E601="",$E601=0),0,1)</f>
        <v>1</v>
      </c>
      <c r="G601" s="0" t="n">
        <f aca="false">IF($F601=0,0,INDEX(Aux_HH!$D$4:$D$18,MATCH($B601&amp;"|"&amp;$E601,Aux_HH!$A$4:$A$18,0)))</f>
        <v>0</v>
      </c>
      <c r="H601" s="0" t="n">
        <f aca="false">IF($F601=0,0,INDEX(Aux_HH!$E$4:$E$18,MATCH($B601&amp;"|"&amp;$E601,Aux_HH!$A$4:$A$18,0)))</f>
        <v>0</v>
      </c>
      <c r="I601" s="0" t="n">
        <f aca="false">IF($F601=0,0,INDEX(Aux_HH!$F$4:$F$18,MATCH($B601&amp;"|"&amp;$E601,Aux_HH!$A$4:$A$18,0)))</f>
        <v>0</v>
      </c>
      <c r="J601" s="0" t="n">
        <f aca="false">IF($F601=0,0,INDEX(Aux_HH!$G$4:$G$18,MATCH($B601&amp;"|"&amp;$E601,Aux_HH!$A$4:$A$18,0)))</f>
        <v>0</v>
      </c>
      <c r="K601" s="0" t="n">
        <f aca="false">IF($F601=0,0,INDEX(Aux_HH!$H$4:$H$18,MATCH($B601&amp;"|"&amp;$E601,Aux_HH!$A$4:$A$18,0)))</f>
        <v>0</v>
      </c>
      <c r="L601" s="0" t="n">
        <f aca="false">IF($F601=0,0,INDEX(Aux_HH!$I$4:$I$18,MATCH($B601&amp;"|"&amp;$E601,Aux_HH!$A$4:$A$18,0)))</f>
        <v>0</v>
      </c>
    </row>
    <row r="602" customFormat="false" ht="15" hidden="false" customHeight="false" outlineLevel="0" collapsed="false">
      <c r="A602" s="0" t="str">
        <f aca="false">IF(Frota!$A16="","",Frota!$A16)</f>
        <v>Fiat Toro — 5001</v>
      </c>
      <c r="B602" s="0" t="str">
        <f aca="false">IF(Frota!$A16="","",Frota!$B16)</f>
        <v>Veículo Leve</v>
      </c>
      <c r="C602" s="0" t="n">
        <v>27</v>
      </c>
      <c r="D602" s="0" t="n">
        <f aca="false">INDEX(Semanas!$E$3:$E$54,27)</f>
        <v>9</v>
      </c>
      <c r="E602" s="0" t="str">
        <f aca="false">IF(Frota!$A16="","",Cronograma!AB16)</f>
        <v/>
      </c>
      <c r="F602" s="0" t="n">
        <f aca="false">IF(OR($E602="",$E602=0),0,1)</f>
        <v>0</v>
      </c>
      <c r="G602" s="0" t="n">
        <f aca="false">IF($F602=0,0,INDEX(Aux_HH!$D$4:$D$18,MATCH($B602&amp;"|"&amp;$E602,Aux_HH!$A$4:$A$18,0)))</f>
        <v>0</v>
      </c>
      <c r="H602" s="0" t="n">
        <f aca="false">IF($F602=0,0,INDEX(Aux_HH!$E$4:$E$18,MATCH($B602&amp;"|"&amp;$E602,Aux_HH!$A$4:$A$18,0)))</f>
        <v>0</v>
      </c>
      <c r="I602" s="0" t="n">
        <f aca="false">IF($F602=0,0,INDEX(Aux_HH!$F$4:$F$18,MATCH($B602&amp;"|"&amp;$E602,Aux_HH!$A$4:$A$18,0)))</f>
        <v>0</v>
      </c>
      <c r="J602" s="0" t="n">
        <f aca="false">IF($F602=0,0,INDEX(Aux_HH!$G$4:$G$18,MATCH($B602&amp;"|"&amp;$E602,Aux_HH!$A$4:$A$18,0)))</f>
        <v>0</v>
      </c>
      <c r="K602" s="0" t="n">
        <f aca="false">IF($F602=0,0,INDEX(Aux_HH!$H$4:$H$18,MATCH($B602&amp;"|"&amp;$E602,Aux_HH!$A$4:$A$18,0)))</f>
        <v>0</v>
      </c>
      <c r="L602" s="0" t="n">
        <f aca="false">IF($F602=0,0,INDEX(Aux_HH!$I$4:$I$18,MATCH($B602&amp;"|"&amp;$E602,Aux_HH!$A$4:$A$18,0)))</f>
        <v>0</v>
      </c>
    </row>
    <row r="603" customFormat="false" ht="15" hidden="false" customHeight="false" outlineLevel="0" collapsed="false">
      <c r="A603" s="0" t="str">
        <f aca="false">IF(Frota!$A16="","",Frota!$A16)</f>
        <v>Fiat Toro — 5001</v>
      </c>
      <c r="B603" s="0" t="str">
        <f aca="false">IF(Frota!$A16="","",Frota!$B16)</f>
        <v>Veículo Leve</v>
      </c>
      <c r="C603" s="0" t="n">
        <v>28</v>
      </c>
      <c r="D603" s="0" t="n">
        <f aca="false">INDEX(Semanas!$E$3:$E$54,28)</f>
        <v>10</v>
      </c>
      <c r="E603" s="0" t="str">
        <f aca="false">IF(Frota!$A16="","",Cronograma!AC16)</f>
        <v/>
      </c>
      <c r="F603" s="0" t="n">
        <f aca="false">IF(OR($E603="",$E603=0),0,1)</f>
        <v>0</v>
      </c>
      <c r="G603" s="0" t="n">
        <f aca="false">IF($F603=0,0,INDEX(Aux_HH!$D$4:$D$18,MATCH($B603&amp;"|"&amp;$E603,Aux_HH!$A$4:$A$18,0)))</f>
        <v>0</v>
      </c>
      <c r="H603" s="0" t="n">
        <f aca="false">IF($F603=0,0,INDEX(Aux_HH!$E$4:$E$18,MATCH($B603&amp;"|"&amp;$E603,Aux_HH!$A$4:$A$18,0)))</f>
        <v>0</v>
      </c>
      <c r="I603" s="0" t="n">
        <f aca="false">IF($F603=0,0,INDEX(Aux_HH!$F$4:$F$18,MATCH($B603&amp;"|"&amp;$E603,Aux_HH!$A$4:$A$18,0)))</f>
        <v>0</v>
      </c>
      <c r="J603" s="0" t="n">
        <f aca="false">IF($F603=0,0,INDEX(Aux_HH!$G$4:$G$18,MATCH($B603&amp;"|"&amp;$E603,Aux_HH!$A$4:$A$18,0)))</f>
        <v>0</v>
      </c>
      <c r="K603" s="0" t="n">
        <f aca="false">IF($F603=0,0,INDEX(Aux_HH!$H$4:$H$18,MATCH($B603&amp;"|"&amp;$E603,Aux_HH!$A$4:$A$18,0)))</f>
        <v>0</v>
      </c>
      <c r="L603" s="0" t="n">
        <f aca="false">IF($F603=0,0,INDEX(Aux_HH!$I$4:$I$18,MATCH($B603&amp;"|"&amp;$E603,Aux_HH!$A$4:$A$18,0)))</f>
        <v>0</v>
      </c>
    </row>
    <row r="604" customFormat="false" ht="15" hidden="false" customHeight="false" outlineLevel="0" collapsed="false">
      <c r="A604" s="0" t="str">
        <f aca="false">IF(Frota!$A16="","",Frota!$A16)</f>
        <v>Fiat Toro — 5001</v>
      </c>
      <c r="B604" s="0" t="str">
        <f aca="false">IF(Frota!$A16="","",Frota!$B16)</f>
        <v>Veículo Leve</v>
      </c>
      <c r="C604" s="0" t="n">
        <v>29</v>
      </c>
      <c r="D604" s="0" t="n">
        <f aca="false">INDEX(Semanas!$E$3:$E$54,29)</f>
        <v>10</v>
      </c>
      <c r="E604" s="0" t="str">
        <f aca="false">IF(Frota!$A16="","",Cronograma!AD16)</f>
        <v/>
      </c>
      <c r="F604" s="0" t="n">
        <f aca="false">IF(OR($E604="",$E604=0),0,1)</f>
        <v>0</v>
      </c>
      <c r="G604" s="0" t="n">
        <f aca="false">IF($F604=0,0,INDEX(Aux_HH!$D$4:$D$18,MATCH($B604&amp;"|"&amp;$E604,Aux_HH!$A$4:$A$18,0)))</f>
        <v>0</v>
      </c>
      <c r="H604" s="0" t="n">
        <f aca="false">IF($F604=0,0,INDEX(Aux_HH!$E$4:$E$18,MATCH($B604&amp;"|"&amp;$E604,Aux_HH!$A$4:$A$18,0)))</f>
        <v>0</v>
      </c>
      <c r="I604" s="0" t="n">
        <f aca="false">IF($F604=0,0,INDEX(Aux_HH!$F$4:$F$18,MATCH($B604&amp;"|"&amp;$E604,Aux_HH!$A$4:$A$18,0)))</f>
        <v>0</v>
      </c>
      <c r="J604" s="0" t="n">
        <f aca="false">IF($F604=0,0,INDEX(Aux_HH!$G$4:$G$18,MATCH($B604&amp;"|"&amp;$E604,Aux_HH!$A$4:$A$18,0)))</f>
        <v>0</v>
      </c>
      <c r="K604" s="0" t="n">
        <f aca="false">IF($F604=0,0,INDEX(Aux_HH!$H$4:$H$18,MATCH($B604&amp;"|"&amp;$E604,Aux_HH!$A$4:$A$18,0)))</f>
        <v>0</v>
      </c>
      <c r="L604" s="0" t="n">
        <f aca="false">IF($F604=0,0,INDEX(Aux_HH!$I$4:$I$18,MATCH($B604&amp;"|"&amp;$E604,Aux_HH!$A$4:$A$18,0)))</f>
        <v>0</v>
      </c>
    </row>
    <row r="605" customFormat="false" ht="15" hidden="false" customHeight="false" outlineLevel="0" collapsed="false">
      <c r="A605" s="0" t="str">
        <f aca="false">IF(Frota!$A16="","",Frota!$A16)</f>
        <v>Fiat Toro — 5001</v>
      </c>
      <c r="B605" s="0" t="str">
        <f aca="false">IF(Frota!$A16="","",Frota!$B16)</f>
        <v>Veículo Leve</v>
      </c>
      <c r="C605" s="0" t="n">
        <v>30</v>
      </c>
      <c r="D605" s="0" t="n">
        <f aca="false">INDEX(Semanas!$E$3:$E$54,30)</f>
        <v>10</v>
      </c>
      <c r="E605" s="0" t="str">
        <f aca="false">IF(Frota!$A16="","",Cronograma!AE16)</f>
        <v/>
      </c>
      <c r="F605" s="0" t="n">
        <f aca="false">IF(OR($E605="",$E605=0),0,1)</f>
        <v>0</v>
      </c>
      <c r="G605" s="0" t="n">
        <f aca="false">IF($F605=0,0,INDEX(Aux_HH!$D$4:$D$18,MATCH($B605&amp;"|"&amp;$E605,Aux_HH!$A$4:$A$18,0)))</f>
        <v>0</v>
      </c>
      <c r="H605" s="0" t="n">
        <f aca="false">IF($F605=0,0,INDEX(Aux_HH!$E$4:$E$18,MATCH($B605&amp;"|"&amp;$E605,Aux_HH!$A$4:$A$18,0)))</f>
        <v>0</v>
      </c>
      <c r="I605" s="0" t="n">
        <f aca="false">IF($F605=0,0,INDEX(Aux_HH!$F$4:$F$18,MATCH($B605&amp;"|"&amp;$E605,Aux_HH!$A$4:$A$18,0)))</f>
        <v>0</v>
      </c>
      <c r="J605" s="0" t="n">
        <f aca="false">IF($F605=0,0,INDEX(Aux_HH!$G$4:$G$18,MATCH($B605&amp;"|"&amp;$E605,Aux_HH!$A$4:$A$18,0)))</f>
        <v>0</v>
      </c>
      <c r="K605" s="0" t="n">
        <f aca="false">IF($F605=0,0,INDEX(Aux_HH!$H$4:$H$18,MATCH($B605&amp;"|"&amp;$E605,Aux_HH!$A$4:$A$18,0)))</f>
        <v>0</v>
      </c>
      <c r="L605" s="0" t="n">
        <f aca="false">IF($F605=0,0,INDEX(Aux_HH!$I$4:$I$18,MATCH($B605&amp;"|"&amp;$E605,Aux_HH!$A$4:$A$18,0)))</f>
        <v>0</v>
      </c>
    </row>
    <row r="606" customFormat="false" ht="15" hidden="false" customHeight="false" outlineLevel="0" collapsed="false">
      <c r="A606" s="0" t="str">
        <f aca="false">IF(Frota!$A16="","",Frota!$A16)</f>
        <v>Fiat Toro — 5001</v>
      </c>
      <c r="B606" s="0" t="str">
        <f aca="false">IF(Frota!$A16="","",Frota!$B16)</f>
        <v>Veículo Leve</v>
      </c>
      <c r="C606" s="0" t="n">
        <v>31</v>
      </c>
      <c r="D606" s="0" t="n">
        <f aca="false">INDEX(Semanas!$E$3:$E$54,31)</f>
        <v>10</v>
      </c>
      <c r="E606" s="0" t="str">
        <f aca="false">IF(Frota!$A16="","",Cronograma!AF16)</f>
        <v/>
      </c>
      <c r="F606" s="0" t="n">
        <f aca="false">IF(OR($E606="",$E606=0),0,1)</f>
        <v>0</v>
      </c>
      <c r="G606" s="0" t="n">
        <f aca="false">IF($F606=0,0,INDEX(Aux_HH!$D$4:$D$18,MATCH($B606&amp;"|"&amp;$E606,Aux_HH!$A$4:$A$18,0)))</f>
        <v>0</v>
      </c>
      <c r="H606" s="0" t="n">
        <f aca="false">IF($F606=0,0,INDEX(Aux_HH!$E$4:$E$18,MATCH($B606&amp;"|"&amp;$E606,Aux_HH!$A$4:$A$18,0)))</f>
        <v>0</v>
      </c>
      <c r="I606" s="0" t="n">
        <f aca="false">IF($F606=0,0,INDEX(Aux_HH!$F$4:$F$18,MATCH($B606&amp;"|"&amp;$E606,Aux_HH!$A$4:$A$18,0)))</f>
        <v>0</v>
      </c>
      <c r="J606" s="0" t="n">
        <f aca="false">IF($F606=0,0,INDEX(Aux_HH!$G$4:$G$18,MATCH($B606&amp;"|"&amp;$E606,Aux_HH!$A$4:$A$18,0)))</f>
        <v>0</v>
      </c>
      <c r="K606" s="0" t="n">
        <f aca="false">IF($F606=0,0,INDEX(Aux_HH!$H$4:$H$18,MATCH($B606&amp;"|"&amp;$E606,Aux_HH!$A$4:$A$18,0)))</f>
        <v>0</v>
      </c>
      <c r="L606" s="0" t="n">
        <f aca="false">IF($F606=0,0,INDEX(Aux_HH!$I$4:$I$18,MATCH($B606&amp;"|"&amp;$E606,Aux_HH!$A$4:$A$18,0)))</f>
        <v>0</v>
      </c>
    </row>
    <row r="607" customFormat="false" ht="15" hidden="false" customHeight="false" outlineLevel="0" collapsed="false">
      <c r="A607" s="0" t="str">
        <f aca="false">IF(Frota!$A16="","",Frota!$A16)</f>
        <v>Fiat Toro — 5001</v>
      </c>
      <c r="B607" s="0" t="str">
        <f aca="false">IF(Frota!$A16="","",Frota!$B16)</f>
        <v>Veículo Leve</v>
      </c>
      <c r="C607" s="0" t="n">
        <v>32</v>
      </c>
      <c r="D607" s="0" t="n">
        <f aca="false">INDEX(Semanas!$E$3:$E$54,32)</f>
        <v>11</v>
      </c>
      <c r="E607" s="0" t="str">
        <f aca="false">IF(Frota!$A16="","",Cronograma!AG16)</f>
        <v/>
      </c>
      <c r="F607" s="0" t="n">
        <f aca="false">IF(OR($E607="",$E607=0),0,1)</f>
        <v>0</v>
      </c>
      <c r="G607" s="0" t="n">
        <f aca="false">IF($F607=0,0,INDEX(Aux_HH!$D$4:$D$18,MATCH($B607&amp;"|"&amp;$E607,Aux_HH!$A$4:$A$18,0)))</f>
        <v>0</v>
      </c>
      <c r="H607" s="0" t="n">
        <f aca="false">IF($F607=0,0,INDEX(Aux_HH!$E$4:$E$18,MATCH($B607&amp;"|"&amp;$E607,Aux_HH!$A$4:$A$18,0)))</f>
        <v>0</v>
      </c>
      <c r="I607" s="0" t="n">
        <f aca="false">IF($F607=0,0,INDEX(Aux_HH!$F$4:$F$18,MATCH($B607&amp;"|"&amp;$E607,Aux_HH!$A$4:$A$18,0)))</f>
        <v>0</v>
      </c>
      <c r="J607" s="0" t="n">
        <f aca="false">IF($F607=0,0,INDEX(Aux_HH!$G$4:$G$18,MATCH($B607&amp;"|"&amp;$E607,Aux_HH!$A$4:$A$18,0)))</f>
        <v>0</v>
      </c>
      <c r="K607" s="0" t="n">
        <f aca="false">IF($F607=0,0,INDEX(Aux_HH!$H$4:$H$18,MATCH($B607&amp;"|"&amp;$E607,Aux_HH!$A$4:$A$18,0)))</f>
        <v>0</v>
      </c>
      <c r="L607" s="0" t="n">
        <f aca="false">IF($F607=0,0,INDEX(Aux_HH!$I$4:$I$18,MATCH($B607&amp;"|"&amp;$E607,Aux_HH!$A$4:$A$18,0)))</f>
        <v>0</v>
      </c>
    </row>
    <row r="608" customFormat="false" ht="15" hidden="false" customHeight="false" outlineLevel="0" collapsed="false">
      <c r="A608" s="0" t="str">
        <f aca="false">IF(Frota!$A16="","",Frota!$A16)</f>
        <v>Fiat Toro — 5001</v>
      </c>
      <c r="B608" s="0" t="str">
        <f aca="false">IF(Frota!$A16="","",Frota!$B16)</f>
        <v>Veículo Leve</v>
      </c>
      <c r="C608" s="0" t="n">
        <v>33</v>
      </c>
      <c r="D608" s="0" t="n">
        <f aca="false">INDEX(Semanas!$E$3:$E$54,33)</f>
        <v>11</v>
      </c>
      <c r="E608" s="0" t="str">
        <f aca="false">IF(Frota!$A16="","",Cronograma!AH16)</f>
        <v/>
      </c>
      <c r="F608" s="0" t="n">
        <f aca="false">IF(OR($E608="",$E608=0),0,1)</f>
        <v>0</v>
      </c>
      <c r="G608" s="0" t="n">
        <f aca="false">IF($F608=0,0,INDEX(Aux_HH!$D$4:$D$18,MATCH($B608&amp;"|"&amp;$E608,Aux_HH!$A$4:$A$18,0)))</f>
        <v>0</v>
      </c>
      <c r="H608" s="0" t="n">
        <f aca="false">IF($F608=0,0,INDEX(Aux_HH!$E$4:$E$18,MATCH($B608&amp;"|"&amp;$E608,Aux_HH!$A$4:$A$18,0)))</f>
        <v>0</v>
      </c>
      <c r="I608" s="0" t="n">
        <f aca="false">IF($F608=0,0,INDEX(Aux_HH!$F$4:$F$18,MATCH($B608&amp;"|"&amp;$E608,Aux_HH!$A$4:$A$18,0)))</f>
        <v>0</v>
      </c>
      <c r="J608" s="0" t="n">
        <f aca="false">IF($F608=0,0,INDEX(Aux_HH!$G$4:$G$18,MATCH($B608&amp;"|"&amp;$E608,Aux_HH!$A$4:$A$18,0)))</f>
        <v>0</v>
      </c>
      <c r="K608" s="0" t="n">
        <f aca="false">IF($F608=0,0,INDEX(Aux_HH!$H$4:$H$18,MATCH($B608&amp;"|"&amp;$E608,Aux_HH!$A$4:$A$18,0)))</f>
        <v>0</v>
      </c>
      <c r="L608" s="0" t="n">
        <f aca="false">IF($F608=0,0,INDEX(Aux_HH!$I$4:$I$18,MATCH($B608&amp;"|"&amp;$E608,Aux_HH!$A$4:$A$18,0)))</f>
        <v>0</v>
      </c>
    </row>
    <row r="609" customFormat="false" ht="15" hidden="false" customHeight="false" outlineLevel="0" collapsed="false">
      <c r="A609" s="0" t="str">
        <f aca="false">IF(Frota!$A16="","",Frota!$A16)</f>
        <v>Fiat Toro — 5001</v>
      </c>
      <c r="B609" s="0" t="str">
        <f aca="false">IF(Frota!$A16="","",Frota!$B16)</f>
        <v>Veículo Leve</v>
      </c>
      <c r="C609" s="0" t="n">
        <v>34</v>
      </c>
      <c r="D609" s="0" t="n">
        <f aca="false">INDEX(Semanas!$E$3:$E$54,34)</f>
        <v>11</v>
      </c>
      <c r="E609" s="0" t="str">
        <f aca="false">IF(Frota!$A16="","",Cronograma!AI16)</f>
        <v/>
      </c>
      <c r="F609" s="0" t="n">
        <f aca="false">IF(OR($E609="",$E609=0),0,1)</f>
        <v>0</v>
      </c>
      <c r="G609" s="0" t="n">
        <f aca="false">IF($F609=0,0,INDEX(Aux_HH!$D$4:$D$18,MATCH($B609&amp;"|"&amp;$E609,Aux_HH!$A$4:$A$18,0)))</f>
        <v>0</v>
      </c>
      <c r="H609" s="0" t="n">
        <f aca="false">IF($F609=0,0,INDEX(Aux_HH!$E$4:$E$18,MATCH($B609&amp;"|"&amp;$E609,Aux_HH!$A$4:$A$18,0)))</f>
        <v>0</v>
      </c>
      <c r="I609" s="0" t="n">
        <f aca="false">IF($F609=0,0,INDEX(Aux_HH!$F$4:$F$18,MATCH($B609&amp;"|"&amp;$E609,Aux_HH!$A$4:$A$18,0)))</f>
        <v>0</v>
      </c>
      <c r="J609" s="0" t="n">
        <f aca="false">IF($F609=0,0,INDEX(Aux_HH!$G$4:$G$18,MATCH($B609&amp;"|"&amp;$E609,Aux_HH!$A$4:$A$18,0)))</f>
        <v>0</v>
      </c>
      <c r="K609" s="0" t="n">
        <f aca="false">IF($F609=0,0,INDEX(Aux_HH!$H$4:$H$18,MATCH($B609&amp;"|"&amp;$E609,Aux_HH!$A$4:$A$18,0)))</f>
        <v>0</v>
      </c>
      <c r="L609" s="0" t="n">
        <f aca="false">IF($F609=0,0,INDEX(Aux_HH!$I$4:$I$18,MATCH($B609&amp;"|"&amp;$E609,Aux_HH!$A$4:$A$18,0)))</f>
        <v>0</v>
      </c>
    </row>
    <row r="610" customFormat="false" ht="15" hidden="false" customHeight="false" outlineLevel="0" collapsed="false">
      <c r="A610" s="0" t="str">
        <f aca="false">IF(Frota!$A16="","",Frota!$A16)</f>
        <v>Fiat Toro — 5001</v>
      </c>
      <c r="B610" s="0" t="str">
        <f aca="false">IF(Frota!$A16="","",Frota!$B16)</f>
        <v>Veículo Leve</v>
      </c>
      <c r="C610" s="0" t="n">
        <v>35</v>
      </c>
      <c r="D610" s="0" t="n">
        <f aca="false">INDEX(Semanas!$E$3:$E$54,35)</f>
        <v>11</v>
      </c>
      <c r="E610" s="0" t="str">
        <f aca="false">IF(Frota!$A16="","",Cronograma!AJ16)</f>
        <v/>
      </c>
      <c r="F610" s="0" t="n">
        <f aca="false">IF(OR($E610="",$E610=0),0,1)</f>
        <v>0</v>
      </c>
      <c r="G610" s="0" t="n">
        <f aca="false">IF($F610=0,0,INDEX(Aux_HH!$D$4:$D$18,MATCH($B610&amp;"|"&amp;$E610,Aux_HH!$A$4:$A$18,0)))</f>
        <v>0</v>
      </c>
      <c r="H610" s="0" t="n">
        <f aca="false">IF($F610=0,0,INDEX(Aux_HH!$E$4:$E$18,MATCH($B610&amp;"|"&amp;$E610,Aux_HH!$A$4:$A$18,0)))</f>
        <v>0</v>
      </c>
      <c r="I610" s="0" t="n">
        <f aca="false">IF($F610=0,0,INDEX(Aux_HH!$F$4:$F$18,MATCH($B610&amp;"|"&amp;$E610,Aux_HH!$A$4:$A$18,0)))</f>
        <v>0</v>
      </c>
      <c r="J610" s="0" t="n">
        <f aca="false">IF($F610=0,0,INDEX(Aux_HH!$G$4:$G$18,MATCH($B610&amp;"|"&amp;$E610,Aux_HH!$A$4:$A$18,0)))</f>
        <v>0</v>
      </c>
      <c r="K610" s="0" t="n">
        <f aca="false">IF($F610=0,0,INDEX(Aux_HH!$H$4:$H$18,MATCH($B610&amp;"|"&amp;$E610,Aux_HH!$A$4:$A$18,0)))</f>
        <v>0</v>
      </c>
      <c r="L610" s="0" t="n">
        <f aca="false">IF($F610=0,0,INDEX(Aux_HH!$I$4:$I$18,MATCH($B610&amp;"|"&amp;$E610,Aux_HH!$A$4:$A$18,0)))</f>
        <v>0</v>
      </c>
    </row>
    <row r="611" customFormat="false" ht="15" hidden="false" customHeight="false" outlineLevel="0" collapsed="false">
      <c r="A611" s="0" t="str">
        <f aca="false">IF(Frota!$A16="","",Frota!$A16)</f>
        <v>Fiat Toro — 5001</v>
      </c>
      <c r="B611" s="0" t="str">
        <f aca="false">IF(Frota!$A16="","",Frota!$B16)</f>
        <v>Veículo Leve</v>
      </c>
      <c r="C611" s="0" t="n">
        <v>36</v>
      </c>
      <c r="D611" s="0" t="n">
        <f aca="false">INDEX(Semanas!$E$3:$E$54,36)</f>
        <v>12</v>
      </c>
      <c r="E611" s="0" t="str">
        <f aca="false">IF(Frota!$A16="","",Cronograma!AK16)</f>
        <v/>
      </c>
      <c r="F611" s="0" t="n">
        <f aca="false">IF(OR($E611="",$E611=0),0,1)</f>
        <v>0</v>
      </c>
      <c r="G611" s="0" t="n">
        <f aca="false">IF($F611=0,0,INDEX(Aux_HH!$D$4:$D$18,MATCH($B611&amp;"|"&amp;$E611,Aux_HH!$A$4:$A$18,0)))</f>
        <v>0</v>
      </c>
      <c r="H611" s="0" t="n">
        <f aca="false">IF($F611=0,0,INDEX(Aux_HH!$E$4:$E$18,MATCH($B611&amp;"|"&amp;$E611,Aux_HH!$A$4:$A$18,0)))</f>
        <v>0</v>
      </c>
      <c r="I611" s="0" t="n">
        <f aca="false">IF($F611=0,0,INDEX(Aux_HH!$F$4:$F$18,MATCH($B611&amp;"|"&amp;$E611,Aux_HH!$A$4:$A$18,0)))</f>
        <v>0</v>
      </c>
      <c r="J611" s="0" t="n">
        <f aca="false">IF($F611=0,0,INDEX(Aux_HH!$G$4:$G$18,MATCH($B611&amp;"|"&amp;$E611,Aux_HH!$A$4:$A$18,0)))</f>
        <v>0</v>
      </c>
      <c r="K611" s="0" t="n">
        <f aca="false">IF($F611=0,0,INDEX(Aux_HH!$H$4:$H$18,MATCH($B611&amp;"|"&amp;$E611,Aux_HH!$A$4:$A$18,0)))</f>
        <v>0</v>
      </c>
      <c r="L611" s="0" t="n">
        <f aca="false">IF($F611=0,0,INDEX(Aux_HH!$I$4:$I$18,MATCH($B611&amp;"|"&amp;$E611,Aux_HH!$A$4:$A$18,0)))</f>
        <v>0</v>
      </c>
    </row>
    <row r="612" customFormat="false" ht="15" hidden="false" customHeight="false" outlineLevel="0" collapsed="false">
      <c r="A612" s="0" t="str">
        <f aca="false">IF(Frota!$A16="","",Frota!$A16)</f>
        <v>Fiat Toro — 5001</v>
      </c>
      <c r="B612" s="0" t="str">
        <f aca="false">IF(Frota!$A16="","",Frota!$B16)</f>
        <v>Veículo Leve</v>
      </c>
      <c r="C612" s="0" t="n">
        <v>37</v>
      </c>
      <c r="D612" s="0" t="n">
        <f aca="false">INDEX(Semanas!$E$3:$E$54,37)</f>
        <v>12</v>
      </c>
      <c r="E612" s="0" t="str">
        <f aca="false">IF(Frota!$A16="","",Cronograma!AL16)</f>
        <v/>
      </c>
      <c r="F612" s="0" t="n">
        <f aca="false">IF(OR($E612="",$E612=0),0,1)</f>
        <v>0</v>
      </c>
      <c r="G612" s="0" t="n">
        <f aca="false">IF($F612=0,0,INDEX(Aux_HH!$D$4:$D$18,MATCH($B612&amp;"|"&amp;$E612,Aux_HH!$A$4:$A$18,0)))</f>
        <v>0</v>
      </c>
      <c r="H612" s="0" t="n">
        <f aca="false">IF($F612=0,0,INDEX(Aux_HH!$E$4:$E$18,MATCH($B612&amp;"|"&amp;$E612,Aux_HH!$A$4:$A$18,0)))</f>
        <v>0</v>
      </c>
      <c r="I612" s="0" t="n">
        <f aca="false">IF($F612=0,0,INDEX(Aux_HH!$F$4:$F$18,MATCH($B612&amp;"|"&amp;$E612,Aux_HH!$A$4:$A$18,0)))</f>
        <v>0</v>
      </c>
      <c r="J612" s="0" t="n">
        <f aca="false">IF($F612=0,0,INDEX(Aux_HH!$G$4:$G$18,MATCH($B612&amp;"|"&amp;$E612,Aux_HH!$A$4:$A$18,0)))</f>
        <v>0</v>
      </c>
      <c r="K612" s="0" t="n">
        <f aca="false">IF($F612=0,0,INDEX(Aux_HH!$H$4:$H$18,MATCH($B612&amp;"|"&amp;$E612,Aux_HH!$A$4:$A$18,0)))</f>
        <v>0</v>
      </c>
      <c r="L612" s="0" t="n">
        <f aca="false">IF($F612=0,0,INDEX(Aux_HH!$I$4:$I$18,MATCH($B612&amp;"|"&amp;$E612,Aux_HH!$A$4:$A$18,0)))</f>
        <v>0</v>
      </c>
    </row>
    <row r="613" customFormat="false" ht="15" hidden="false" customHeight="false" outlineLevel="0" collapsed="false">
      <c r="A613" s="0" t="str">
        <f aca="false">IF(Frota!$A16="","",Frota!$A16)</f>
        <v>Fiat Toro — 5001</v>
      </c>
      <c r="B613" s="0" t="str">
        <f aca="false">IF(Frota!$A16="","",Frota!$B16)</f>
        <v>Veículo Leve</v>
      </c>
      <c r="C613" s="0" t="n">
        <v>38</v>
      </c>
      <c r="D613" s="0" t="n">
        <f aca="false">INDEX(Semanas!$E$3:$E$54,38)</f>
        <v>12</v>
      </c>
      <c r="E613" s="0" t="str">
        <f aca="false">IF(Frota!$A16="","",Cronograma!AM16)</f>
        <v/>
      </c>
      <c r="F613" s="0" t="n">
        <f aca="false">IF(OR($E613="",$E613=0),0,1)</f>
        <v>0</v>
      </c>
      <c r="G613" s="0" t="n">
        <f aca="false">IF($F613=0,0,INDEX(Aux_HH!$D$4:$D$18,MATCH($B613&amp;"|"&amp;$E613,Aux_HH!$A$4:$A$18,0)))</f>
        <v>0</v>
      </c>
      <c r="H613" s="0" t="n">
        <f aca="false">IF($F613=0,0,INDEX(Aux_HH!$E$4:$E$18,MATCH($B613&amp;"|"&amp;$E613,Aux_HH!$A$4:$A$18,0)))</f>
        <v>0</v>
      </c>
      <c r="I613" s="0" t="n">
        <f aca="false">IF($F613=0,0,INDEX(Aux_HH!$F$4:$F$18,MATCH($B613&amp;"|"&amp;$E613,Aux_HH!$A$4:$A$18,0)))</f>
        <v>0</v>
      </c>
      <c r="J613" s="0" t="n">
        <f aca="false">IF($F613=0,0,INDEX(Aux_HH!$G$4:$G$18,MATCH($B613&amp;"|"&amp;$E613,Aux_HH!$A$4:$A$18,0)))</f>
        <v>0</v>
      </c>
      <c r="K613" s="0" t="n">
        <f aca="false">IF($F613=0,0,INDEX(Aux_HH!$H$4:$H$18,MATCH($B613&amp;"|"&amp;$E613,Aux_HH!$A$4:$A$18,0)))</f>
        <v>0</v>
      </c>
      <c r="L613" s="0" t="n">
        <f aca="false">IF($F613=0,0,INDEX(Aux_HH!$I$4:$I$18,MATCH($B613&amp;"|"&amp;$E613,Aux_HH!$A$4:$A$18,0)))</f>
        <v>0</v>
      </c>
    </row>
    <row r="614" customFormat="false" ht="15" hidden="false" customHeight="false" outlineLevel="0" collapsed="false">
      <c r="A614" s="0" t="str">
        <f aca="false">IF(Frota!$A16="","",Frota!$A16)</f>
        <v>Fiat Toro — 5001</v>
      </c>
      <c r="B614" s="0" t="str">
        <f aca="false">IF(Frota!$A16="","",Frota!$B16)</f>
        <v>Veículo Leve</v>
      </c>
      <c r="C614" s="0" t="n">
        <v>39</v>
      </c>
      <c r="D614" s="0" t="n">
        <f aca="false">INDEX(Semanas!$E$3:$E$54,39)</f>
        <v>12</v>
      </c>
      <c r="E614" s="0" t="str">
        <f aca="false">IF(Frota!$A16="","",Cronograma!AN16)</f>
        <v/>
      </c>
      <c r="F614" s="0" t="n">
        <f aca="false">IF(OR($E614="",$E614=0),0,1)</f>
        <v>0</v>
      </c>
      <c r="G614" s="0" t="n">
        <f aca="false">IF($F614=0,0,INDEX(Aux_HH!$D$4:$D$18,MATCH($B614&amp;"|"&amp;$E614,Aux_HH!$A$4:$A$18,0)))</f>
        <v>0</v>
      </c>
      <c r="H614" s="0" t="n">
        <f aca="false">IF($F614=0,0,INDEX(Aux_HH!$E$4:$E$18,MATCH($B614&amp;"|"&amp;$E614,Aux_HH!$A$4:$A$18,0)))</f>
        <v>0</v>
      </c>
      <c r="I614" s="0" t="n">
        <f aca="false">IF($F614=0,0,INDEX(Aux_HH!$F$4:$F$18,MATCH($B614&amp;"|"&amp;$E614,Aux_HH!$A$4:$A$18,0)))</f>
        <v>0</v>
      </c>
      <c r="J614" s="0" t="n">
        <f aca="false">IF($F614=0,0,INDEX(Aux_HH!$G$4:$G$18,MATCH($B614&amp;"|"&amp;$E614,Aux_HH!$A$4:$A$18,0)))</f>
        <v>0</v>
      </c>
      <c r="K614" s="0" t="n">
        <f aca="false">IF($F614=0,0,INDEX(Aux_HH!$H$4:$H$18,MATCH($B614&amp;"|"&amp;$E614,Aux_HH!$A$4:$A$18,0)))</f>
        <v>0</v>
      </c>
      <c r="L614" s="0" t="n">
        <f aca="false">IF($F614=0,0,INDEX(Aux_HH!$I$4:$I$18,MATCH($B614&amp;"|"&amp;$E614,Aux_HH!$A$4:$A$18,0)))</f>
        <v>0</v>
      </c>
    </row>
    <row r="615" customFormat="false" ht="15" hidden="false" customHeight="false" outlineLevel="0" collapsed="false">
      <c r="A615" s="0" t="str">
        <f aca="false">IF(Frota!$A16="","",Frota!$A16)</f>
        <v>Fiat Toro — 5001</v>
      </c>
      <c r="B615" s="0" t="str">
        <f aca="false">IF(Frota!$A16="","",Frota!$B16)</f>
        <v>Veículo Leve</v>
      </c>
      <c r="C615" s="0" t="n">
        <v>40</v>
      </c>
      <c r="D615" s="0" t="n">
        <f aca="false">INDEX(Semanas!$E$3:$E$54,40)</f>
        <v>12</v>
      </c>
      <c r="E615" s="0" t="str">
        <f aca="false">IF(Frota!$A16="","",Cronograma!AO16)</f>
        <v/>
      </c>
      <c r="F615" s="0" t="n">
        <f aca="false">IF(OR($E615="",$E615=0),0,1)</f>
        <v>0</v>
      </c>
      <c r="G615" s="0" t="n">
        <f aca="false">IF($F615=0,0,INDEX(Aux_HH!$D$4:$D$18,MATCH($B615&amp;"|"&amp;$E615,Aux_HH!$A$4:$A$18,0)))</f>
        <v>0</v>
      </c>
      <c r="H615" s="0" t="n">
        <f aca="false">IF($F615=0,0,INDEX(Aux_HH!$E$4:$E$18,MATCH($B615&amp;"|"&amp;$E615,Aux_HH!$A$4:$A$18,0)))</f>
        <v>0</v>
      </c>
      <c r="I615" s="0" t="n">
        <f aca="false">IF($F615=0,0,INDEX(Aux_HH!$F$4:$F$18,MATCH($B615&amp;"|"&amp;$E615,Aux_HH!$A$4:$A$18,0)))</f>
        <v>0</v>
      </c>
      <c r="J615" s="0" t="n">
        <f aca="false">IF($F615=0,0,INDEX(Aux_HH!$G$4:$G$18,MATCH($B615&amp;"|"&amp;$E615,Aux_HH!$A$4:$A$18,0)))</f>
        <v>0</v>
      </c>
      <c r="K615" s="0" t="n">
        <f aca="false">IF($F615=0,0,INDEX(Aux_HH!$H$4:$H$18,MATCH($B615&amp;"|"&amp;$E615,Aux_HH!$A$4:$A$18,0)))</f>
        <v>0</v>
      </c>
      <c r="L615" s="0" t="n">
        <f aca="false">IF($F615=0,0,INDEX(Aux_HH!$I$4:$I$18,MATCH($B615&amp;"|"&amp;$E615,Aux_HH!$A$4:$A$18,0)))</f>
        <v>0</v>
      </c>
    </row>
    <row r="616" customFormat="false" ht="15" hidden="false" customHeight="false" outlineLevel="0" collapsed="false">
      <c r="A616" s="0" t="str">
        <f aca="false">IF(Frota!$A16="","",Frota!$A16)</f>
        <v>Fiat Toro — 5001</v>
      </c>
      <c r="B616" s="0" t="str">
        <f aca="false">IF(Frota!$A16="","",Frota!$B16)</f>
        <v>Veículo Leve</v>
      </c>
      <c r="C616" s="0" t="n">
        <v>41</v>
      </c>
      <c r="D616" s="0" t="n">
        <f aca="false">INDEX(Semanas!$E$3:$E$54,41)</f>
        <v>1</v>
      </c>
      <c r="E616" s="0" t="str">
        <f aca="false">IF(Frota!$A16="","",Cronograma!AP16)</f>
        <v/>
      </c>
      <c r="F616" s="0" t="n">
        <f aca="false">IF(OR($E616="",$E616=0),0,1)</f>
        <v>0</v>
      </c>
      <c r="G616" s="0" t="n">
        <f aca="false">IF($F616=0,0,INDEX(Aux_HH!$D$4:$D$18,MATCH($B616&amp;"|"&amp;$E616,Aux_HH!$A$4:$A$18,0)))</f>
        <v>0</v>
      </c>
      <c r="H616" s="0" t="n">
        <f aca="false">IF($F616=0,0,INDEX(Aux_HH!$E$4:$E$18,MATCH($B616&amp;"|"&amp;$E616,Aux_HH!$A$4:$A$18,0)))</f>
        <v>0</v>
      </c>
      <c r="I616" s="0" t="n">
        <f aca="false">IF($F616=0,0,INDEX(Aux_HH!$F$4:$F$18,MATCH($B616&amp;"|"&amp;$E616,Aux_HH!$A$4:$A$18,0)))</f>
        <v>0</v>
      </c>
      <c r="J616" s="0" t="n">
        <f aca="false">IF($F616=0,0,INDEX(Aux_HH!$G$4:$G$18,MATCH($B616&amp;"|"&amp;$E616,Aux_HH!$A$4:$A$18,0)))</f>
        <v>0</v>
      </c>
      <c r="K616" s="0" t="n">
        <f aca="false">IF($F616=0,0,INDEX(Aux_HH!$H$4:$H$18,MATCH($B616&amp;"|"&amp;$E616,Aux_HH!$A$4:$A$18,0)))</f>
        <v>0</v>
      </c>
      <c r="L616" s="0" t="n">
        <f aca="false">IF($F616=0,0,INDEX(Aux_HH!$I$4:$I$18,MATCH($B616&amp;"|"&amp;$E616,Aux_HH!$A$4:$A$18,0)))</f>
        <v>0</v>
      </c>
    </row>
    <row r="617" customFormat="false" ht="15" hidden="false" customHeight="false" outlineLevel="0" collapsed="false">
      <c r="A617" s="0" t="str">
        <f aca="false">IF(Frota!$A16="","",Frota!$A16)</f>
        <v>Fiat Toro — 5001</v>
      </c>
      <c r="B617" s="0" t="str">
        <f aca="false">IF(Frota!$A16="","",Frota!$B16)</f>
        <v>Veículo Leve</v>
      </c>
      <c r="C617" s="0" t="n">
        <v>42</v>
      </c>
      <c r="D617" s="0" t="n">
        <f aca="false">INDEX(Semanas!$E$3:$E$54,42)</f>
        <v>1</v>
      </c>
      <c r="E617" s="0" t="str">
        <f aca="false">IF(Frota!$A16="","",Cronograma!AQ16)</f>
        <v/>
      </c>
      <c r="F617" s="0" t="n">
        <f aca="false">IF(OR($E617="",$E617=0),0,1)</f>
        <v>0</v>
      </c>
      <c r="G617" s="0" t="n">
        <f aca="false">IF($F617=0,0,INDEX(Aux_HH!$D$4:$D$18,MATCH($B617&amp;"|"&amp;$E617,Aux_HH!$A$4:$A$18,0)))</f>
        <v>0</v>
      </c>
      <c r="H617" s="0" t="n">
        <f aca="false">IF($F617=0,0,INDEX(Aux_HH!$E$4:$E$18,MATCH($B617&amp;"|"&amp;$E617,Aux_HH!$A$4:$A$18,0)))</f>
        <v>0</v>
      </c>
      <c r="I617" s="0" t="n">
        <f aca="false">IF($F617=0,0,INDEX(Aux_HH!$F$4:$F$18,MATCH($B617&amp;"|"&amp;$E617,Aux_HH!$A$4:$A$18,0)))</f>
        <v>0</v>
      </c>
      <c r="J617" s="0" t="n">
        <f aca="false">IF($F617=0,0,INDEX(Aux_HH!$G$4:$G$18,MATCH($B617&amp;"|"&amp;$E617,Aux_HH!$A$4:$A$18,0)))</f>
        <v>0</v>
      </c>
      <c r="K617" s="0" t="n">
        <f aca="false">IF($F617=0,0,INDEX(Aux_HH!$H$4:$H$18,MATCH($B617&amp;"|"&amp;$E617,Aux_HH!$A$4:$A$18,0)))</f>
        <v>0</v>
      </c>
      <c r="L617" s="0" t="n">
        <f aca="false">IF($F617=0,0,INDEX(Aux_HH!$I$4:$I$18,MATCH($B617&amp;"|"&amp;$E617,Aux_HH!$A$4:$A$18,0)))</f>
        <v>0</v>
      </c>
    </row>
    <row r="618" customFormat="false" ht="15" hidden="false" customHeight="false" outlineLevel="0" collapsed="false">
      <c r="A618" s="0" t="str">
        <f aca="false">IF(Frota!$A16="","",Frota!$A16)</f>
        <v>Fiat Toro — 5001</v>
      </c>
      <c r="B618" s="0" t="str">
        <f aca="false">IF(Frota!$A16="","",Frota!$B16)</f>
        <v>Veículo Leve</v>
      </c>
      <c r="C618" s="0" t="n">
        <v>43</v>
      </c>
      <c r="D618" s="0" t="n">
        <f aca="false">INDEX(Semanas!$E$3:$E$54,43)</f>
        <v>1</v>
      </c>
      <c r="E618" s="0" t="str">
        <f aca="false">IF(Frota!$A16="","",Cronograma!AR16)</f>
        <v/>
      </c>
      <c r="F618" s="0" t="n">
        <f aca="false">IF(OR($E618="",$E618=0),0,1)</f>
        <v>0</v>
      </c>
      <c r="G618" s="0" t="n">
        <f aca="false">IF($F618=0,0,INDEX(Aux_HH!$D$4:$D$18,MATCH($B618&amp;"|"&amp;$E618,Aux_HH!$A$4:$A$18,0)))</f>
        <v>0</v>
      </c>
      <c r="H618" s="0" t="n">
        <f aca="false">IF($F618=0,0,INDEX(Aux_HH!$E$4:$E$18,MATCH($B618&amp;"|"&amp;$E618,Aux_HH!$A$4:$A$18,0)))</f>
        <v>0</v>
      </c>
      <c r="I618" s="0" t="n">
        <f aca="false">IF($F618=0,0,INDEX(Aux_HH!$F$4:$F$18,MATCH($B618&amp;"|"&amp;$E618,Aux_HH!$A$4:$A$18,0)))</f>
        <v>0</v>
      </c>
      <c r="J618" s="0" t="n">
        <f aca="false">IF($F618=0,0,INDEX(Aux_HH!$G$4:$G$18,MATCH($B618&amp;"|"&amp;$E618,Aux_HH!$A$4:$A$18,0)))</f>
        <v>0</v>
      </c>
      <c r="K618" s="0" t="n">
        <f aca="false">IF($F618=0,0,INDEX(Aux_HH!$H$4:$H$18,MATCH($B618&amp;"|"&amp;$E618,Aux_HH!$A$4:$A$18,0)))</f>
        <v>0</v>
      </c>
      <c r="L618" s="0" t="n">
        <f aca="false">IF($F618=0,0,INDEX(Aux_HH!$I$4:$I$18,MATCH($B618&amp;"|"&amp;$E618,Aux_HH!$A$4:$A$18,0)))</f>
        <v>0</v>
      </c>
    </row>
    <row r="619" customFormat="false" ht="15" hidden="false" customHeight="false" outlineLevel="0" collapsed="false">
      <c r="A619" s="0" t="str">
        <f aca="false">IF(Frota!$A16="","",Frota!$A16)</f>
        <v>Fiat Toro — 5001</v>
      </c>
      <c r="B619" s="0" t="str">
        <f aca="false">IF(Frota!$A16="","",Frota!$B16)</f>
        <v>Veículo Leve</v>
      </c>
      <c r="C619" s="0" t="n">
        <v>44</v>
      </c>
      <c r="D619" s="0" t="n">
        <f aca="false">INDEX(Semanas!$E$3:$E$54,44)</f>
        <v>1</v>
      </c>
      <c r="E619" s="0" t="str">
        <f aca="false">IF(Frota!$A16="","",Cronograma!AS16)</f>
        <v>A</v>
      </c>
      <c r="F619" s="0" t="n">
        <f aca="false">IF(OR($E619="",$E619=0),0,1)</f>
        <v>1</v>
      </c>
      <c r="G619" s="0" t="n">
        <f aca="false">IF($F619=0,0,INDEX(Aux_HH!$D$4:$D$18,MATCH($B619&amp;"|"&amp;$E619,Aux_HH!$A$4:$A$18,0)))</f>
        <v>0</v>
      </c>
      <c r="H619" s="0" t="n">
        <f aca="false">IF($F619=0,0,INDEX(Aux_HH!$E$4:$E$18,MATCH($B619&amp;"|"&amp;$E619,Aux_HH!$A$4:$A$18,0)))</f>
        <v>0</v>
      </c>
      <c r="I619" s="0" t="n">
        <f aca="false">IF($F619=0,0,INDEX(Aux_HH!$F$4:$F$18,MATCH($B619&amp;"|"&amp;$E619,Aux_HH!$A$4:$A$18,0)))</f>
        <v>0</v>
      </c>
      <c r="J619" s="0" t="n">
        <f aca="false">IF($F619=0,0,INDEX(Aux_HH!$G$4:$G$18,MATCH($B619&amp;"|"&amp;$E619,Aux_HH!$A$4:$A$18,0)))</f>
        <v>0</v>
      </c>
      <c r="K619" s="0" t="n">
        <f aca="false">IF($F619=0,0,INDEX(Aux_HH!$H$4:$H$18,MATCH($B619&amp;"|"&amp;$E619,Aux_HH!$A$4:$A$18,0)))</f>
        <v>0</v>
      </c>
      <c r="L619" s="0" t="n">
        <f aca="false">IF($F619=0,0,INDEX(Aux_HH!$I$4:$I$18,MATCH($B619&amp;"|"&amp;$E619,Aux_HH!$A$4:$A$18,0)))</f>
        <v>0</v>
      </c>
    </row>
    <row r="620" customFormat="false" ht="15" hidden="false" customHeight="false" outlineLevel="0" collapsed="false">
      <c r="A620" s="0" t="str">
        <f aca="false">IF(Frota!$A16="","",Frota!$A16)</f>
        <v>Fiat Toro — 5001</v>
      </c>
      <c r="B620" s="0" t="str">
        <f aca="false">IF(Frota!$A16="","",Frota!$B16)</f>
        <v>Veículo Leve</v>
      </c>
      <c r="C620" s="0" t="n">
        <v>45</v>
      </c>
      <c r="D620" s="0" t="n">
        <f aca="false">INDEX(Semanas!$E$3:$E$54,45)</f>
        <v>2</v>
      </c>
      <c r="E620" s="0" t="str">
        <f aca="false">IF(Frota!$A16="","",Cronograma!AT16)</f>
        <v/>
      </c>
      <c r="F620" s="0" t="n">
        <f aca="false">IF(OR($E620="",$E620=0),0,1)</f>
        <v>0</v>
      </c>
      <c r="G620" s="0" t="n">
        <f aca="false">IF($F620=0,0,INDEX(Aux_HH!$D$4:$D$18,MATCH($B620&amp;"|"&amp;$E620,Aux_HH!$A$4:$A$18,0)))</f>
        <v>0</v>
      </c>
      <c r="H620" s="0" t="n">
        <f aca="false">IF($F620=0,0,INDEX(Aux_HH!$E$4:$E$18,MATCH($B620&amp;"|"&amp;$E620,Aux_HH!$A$4:$A$18,0)))</f>
        <v>0</v>
      </c>
      <c r="I620" s="0" t="n">
        <f aca="false">IF($F620=0,0,INDEX(Aux_HH!$F$4:$F$18,MATCH($B620&amp;"|"&amp;$E620,Aux_HH!$A$4:$A$18,0)))</f>
        <v>0</v>
      </c>
      <c r="J620" s="0" t="n">
        <f aca="false">IF($F620=0,0,INDEX(Aux_HH!$G$4:$G$18,MATCH($B620&amp;"|"&amp;$E620,Aux_HH!$A$4:$A$18,0)))</f>
        <v>0</v>
      </c>
      <c r="K620" s="0" t="n">
        <f aca="false">IF($F620=0,0,INDEX(Aux_HH!$H$4:$H$18,MATCH($B620&amp;"|"&amp;$E620,Aux_HH!$A$4:$A$18,0)))</f>
        <v>0</v>
      </c>
      <c r="L620" s="0" t="n">
        <f aca="false">IF($F620=0,0,INDEX(Aux_HH!$I$4:$I$18,MATCH($B620&amp;"|"&amp;$E620,Aux_HH!$A$4:$A$18,0)))</f>
        <v>0</v>
      </c>
    </row>
    <row r="621" customFormat="false" ht="15" hidden="false" customHeight="false" outlineLevel="0" collapsed="false">
      <c r="A621" s="0" t="str">
        <f aca="false">IF(Frota!$A16="","",Frota!$A16)</f>
        <v>Fiat Toro — 5001</v>
      </c>
      <c r="B621" s="0" t="str">
        <f aca="false">IF(Frota!$A16="","",Frota!$B16)</f>
        <v>Veículo Leve</v>
      </c>
      <c r="C621" s="0" t="n">
        <v>46</v>
      </c>
      <c r="D621" s="0" t="n">
        <f aca="false">INDEX(Semanas!$E$3:$E$54,46)</f>
        <v>2</v>
      </c>
      <c r="E621" s="0" t="str">
        <f aca="false">IF(Frota!$A16="","",Cronograma!AU16)</f>
        <v/>
      </c>
      <c r="F621" s="0" t="n">
        <f aca="false">IF(OR($E621="",$E621=0),0,1)</f>
        <v>0</v>
      </c>
      <c r="G621" s="0" t="n">
        <f aca="false">IF($F621=0,0,INDEX(Aux_HH!$D$4:$D$18,MATCH($B621&amp;"|"&amp;$E621,Aux_HH!$A$4:$A$18,0)))</f>
        <v>0</v>
      </c>
      <c r="H621" s="0" t="n">
        <f aca="false">IF($F621=0,0,INDEX(Aux_HH!$E$4:$E$18,MATCH($B621&amp;"|"&amp;$E621,Aux_HH!$A$4:$A$18,0)))</f>
        <v>0</v>
      </c>
      <c r="I621" s="0" t="n">
        <f aca="false">IF($F621=0,0,INDEX(Aux_HH!$F$4:$F$18,MATCH($B621&amp;"|"&amp;$E621,Aux_HH!$A$4:$A$18,0)))</f>
        <v>0</v>
      </c>
      <c r="J621" s="0" t="n">
        <f aca="false">IF($F621=0,0,INDEX(Aux_HH!$G$4:$G$18,MATCH($B621&amp;"|"&amp;$E621,Aux_HH!$A$4:$A$18,0)))</f>
        <v>0</v>
      </c>
      <c r="K621" s="0" t="n">
        <f aca="false">IF($F621=0,0,INDEX(Aux_HH!$H$4:$H$18,MATCH($B621&amp;"|"&amp;$E621,Aux_HH!$A$4:$A$18,0)))</f>
        <v>0</v>
      </c>
      <c r="L621" s="0" t="n">
        <f aca="false">IF($F621=0,0,INDEX(Aux_HH!$I$4:$I$18,MATCH($B621&amp;"|"&amp;$E621,Aux_HH!$A$4:$A$18,0)))</f>
        <v>0</v>
      </c>
    </row>
    <row r="622" customFormat="false" ht="15" hidden="false" customHeight="false" outlineLevel="0" collapsed="false">
      <c r="A622" s="0" t="str">
        <f aca="false">IF(Frota!$A16="","",Frota!$A16)</f>
        <v>Fiat Toro — 5001</v>
      </c>
      <c r="B622" s="0" t="str">
        <f aca="false">IF(Frota!$A16="","",Frota!$B16)</f>
        <v>Veículo Leve</v>
      </c>
      <c r="C622" s="0" t="n">
        <v>47</v>
      </c>
      <c r="D622" s="0" t="n">
        <f aca="false">INDEX(Semanas!$E$3:$E$54,47)</f>
        <v>2</v>
      </c>
      <c r="E622" s="0" t="str">
        <f aca="false">IF(Frota!$A16="","",Cronograma!AV16)</f>
        <v/>
      </c>
      <c r="F622" s="0" t="n">
        <f aca="false">IF(OR($E622="",$E622=0),0,1)</f>
        <v>0</v>
      </c>
      <c r="G622" s="0" t="n">
        <f aca="false">IF($F622=0,0,INDEX(Aux_HH!$D$4:$D$18,MATCH($B622&amp;"|"&amp;$E622,Aux_HH!$A$4:$A$18,0)))</f>
        <v>0</v>
      </c>
      <c r="H622" s="0" t="n">
        <f aca="false">IF($F622=0,0,INDEX(Aux_HH!$E$4:$E$18,MATCH($B622&amp;"|"&amp;$E622,Aux_HH!$A$4:$A$18,0)))</f>
        <v>0</v>
      </c>
      <c r="I622" s="0" t="n">
        <f aca="false">IF($F622=0,0,INDEX(Aux_HH!$F$4:$F$18,MATCH($B622&amp;"|"&amp;$E622,Aux_HH!$A$4:$A$18,0)))</f>
        <v>0</v>
      </c>
      <c r="J622" s="0" t="n">
        <f aca="false">IF($F622=0,0,INDEX(Aux_HH!$G$4:$G$18,MATCH($B622&amp;"|"&amp;$E622,Aux_HH!$A$4:$A$18,0)))</f>
        <v>0</v>
      </c>
      <c r="K622" s="0" t="n">
        <f aca="false">IF($F622=0,0,INDEX(Aux_HH!$H$4:$H$18,MATCH($B622&amp;"|"&amp;$E622,Aux_HH!$A$4:$A$18,0)))</f>
        <v>0</v>
      </c>
      <c r="L622" s="0" t="n">
        <f aca="false">IF($F622=0,0,INDEX(Aux_HH!$I$4:$I$18,MATCH($B622&amp;"|"&amp;$E622,Aux_HH!$A$4:$A$18,0)))</f>
        <v>0</v>
      </c>
    </row>
    <row r="623" customFormat="false" ht="15" hidden="false" customHeight="false" outlineLevel="0" collapsed="false">
      <c r="A623" s="0" t="str">
        <f aca="false">IF(Frota!$A16="","",Frota!$A16)</f>
        <v>Fiat Toro — 5001</v>
      </c>
      <c r="B623" s="0" t="str">
        <f aca="false">IF(Frota!$A16="","",Frota!$B16)</f>
        <v>Veículo Leve</v>
      </c>
      <c r="C623" s="0" t="n">
        <v>48</v>
      </c>
      <c r="D623" s="0" t="n">
        <f aca="false">INDEX(Semanas!$E$3:$E$54,48)</f>
        <v>2</v>
      </c>
      <c r="E623" s="0" t="str">
        <f aca="false">IF(Frota!$A16="","",Cronograma!AW16)</f>
        <v/>
      </c>
      <c r="F623" s="0" t="n">
        <f aca="false">IF(OR($E623="",$E623=0),0,1)</f>
        <v>0</v>
      </c>
      <c r="G623" s="0" t="n">
        <f aca="false">IF($F623=0,0,INDEX(Aux_HH!$D$4:$D$18,MATCH($B623&amp;"|"&amp;$E623,Aux_HH!$A$4:$A$18,0)))</f>
        <v>0</v>
      </c>
      <c r="H623" s="0" t="n">
        <f aca="false">IF($F623=0,0,INDEX(Aux_HH!$E$4:$E$18,MATCH($B623&amp;"|"&amp;$E623,Aux_HH!$A$4:$A$18,0)))</f>
        <v>0</v>
      </c>
      <c r="I623" s="0" t="n">
        <f aca="false">IF($F623=0,0,INDEX(Aux_HH!$F$4:$F$18,MATCH($B623&amp;"|"&amp;$E623,Aux_HH!$A$4:$A$18,0)))</f>
        <v>0</v>
      </c>
      <c r="J623" s="0" t="n">
        <f aca="false">IF($F623=0,0,INDEX(Aux_HH!$G$4:$G$18,MATCH($B623&amp;"|"&amp;$E623,Aux_HH!$A$4:$A$18,0)))</f>
        <v>0</v>
      </c>
      <c r="K623" s="0" t="n">
        <f aca="false">IF($F623=0,0,INDEX(Aux_HH!$H$4:$H$18,MATCH($B623&amp;"|"&amp;$E623,Aux_HH!$A$4:$A$18,0)))</f>
        <v>0</v>
      </c>
      <c r="L623" s="0" t="n">
        <f aca="false">IF($F623=0,0,INDEX(Aux_HH!$I$4:$I$18,MATCH($B623&amp;"|"&amp;$E623,Aux_HH!$A$4:$A$18,0)))</f>
        <v>0</v>
      </c>
    </row>
    <row r="624" customFormat="false" ht="15" hidden="false" customHeight="false" outlineLevel="0" collapsed="false">
      <c r="A624" s="0" t="str">
        <f aca="false">IF(Frota!$A16="","",Frota!$A16)</f>
        <v>Fiat Toro — 5001</v>
      </c>
      <c r="B624" s="0" t="str">
        <f aca="false">IF(Frota!$A16="","",Frota!$B16)</f>
        <v>Veículo Leve</v>
      </c>
      <c r="C624" s="0" t="n">
        <v>49</v>
      </c>
      <c r="D624" s="0" t="n">
        <f aca="false">INDEX(Semanas!$E$3:$E$54,49)</f>
        <v>3</v>
      </c>
      <c r="E624" s="0" t="str">
        <f aca="false">IF(Frota!$A16="","",Cronograma!AX16)</f>
        <v/>
      </c>
      <c r="F624" s="0" t="n">
        <f aca="false">IF(OR($E624="",$E624=0),0,1)</f>
        <v>0</v>
      </c>
      <c r="G624" s="0" t="n">
        <f aca="false">IF($F624=0,0,INDEX(Aux_HH!$D$4:$D$18,MATCH($B624&amp;"|"&amp;$E624,Aux_HH!$A$4:$A$18,0)))</f>
        <v>0</v>
      </c>
      <c r="H624" s="0" t="n">
        <f aca="false">IF($F624=0,0,INDEX(Aux_HH!$E$4:$E$18,MATCH($B624&amp;"|"&amp;$E624,Aux_HH!$A$4:$A$18,0)))</f>
        <v>0</v>
      </c>
      <c r="I624" s="0" t="n">
        <f aca="false">IF($F624=0,0,INDEX(Aux_HH!$F$4:$F$18,MATCH($B624&amp;"|"&amp;$E624,Aux_HH!$A$4:$A$18,0)))</f>
        <v>0</v>
      </c>
      <c r="J624" s="0" t="n">
        <f aca="false">IF($F624=0,0,INDEX(Aux_HH!$G$4:$G$18,MATCH($B624&amp;"|"&amp;$E624,Aux_HH!$A$4:$A$18,0)))</f>
        <v>0</v>
      </c>
      <c r="K624" s="0" t="n">
        <f aca="false">IF($F624=0,0,INDEX(Aux_HH!$H$4:$H$18,MATCH($B624&amp;"|"&amp;$E624,Aux_HH!$A$4:$A$18,0)))</f>
        <v>0</v>
      </c>
      <c r="L624" s="0" t="n">
        <f aca="false">IF($F624=0,0,INDEX(Aux_HH!$I$4:$I$18,MATCH($B624&amp;"|"&amp;$E624,Aux_HH!$A$4:$A$18,0)))</f>
        <v>0</v>
      </c>
    </row>
    <row r="625" customFormat="false" ht="15" hidden="false" customHeight="false" outlineLevel="0" collapsed="false">
      <c r="A625" s="0" t="str">
        <f aca="false">IF(Frota!$A16="","",Frota!$A16)</f>
        <v>Fiat Toro — 5001</v>
      </c>
      <c r="B625" s="0" t="str">
        <f aca="false">IF(Frota!$A16="","",Frota!$B16)</f>
        <v>Veículo Leve</v>
      </c>
      <c r="C625" s="0" t="n">
        <v>50</v>
      </c>
      <c r="D625" s="0" t="n">
        <f aca="false">INDEX(Semanas!$E$3:$E$54,50)</f>
        <v>3</v>
      </c>
      <c r="E625" s="0" t="str">
        <f aca="false">IF(Frota!$A16="","",Cronograma!AY16)</f>
        <v/>
      </c>
      <c r="F625" s="0" t="n">
        <f aca="false">IF(OR($E625="",$E625=0),0,1)</f>
        <v>0</v>
      </c>
      <c r="G625" s="0" t="n">
        <f aca="false">IF($F625=0,0,INDEX(Aux_HH!$D$4:$D$18,MATCH($B625&amp;"|"&amp;$E625,Aux_HH!$A$4:$A$18,0)))</f>
        <v>0</v>
      </c>
      <c r="H625" s="0" t="n">
        <f aca="false">IF($F625=0,0,INDEX(Aux_HH!$E$4:$E$18,MATCH($B625&amp;"|"&amp;$E625,Aux_HH!$A$4:$A$18,0)))</f>
        <v>0</v>
      </c>
      <c r="I625" s="0" t="n">
        <f aca="false">IF($F625=0,0,INDEX(Aux_HH!$F$4:$F$18,MATCH($B625&amp;"|"&amp;$E625,Aux_HH!$A$4:$A$18,0)))</f>
        <v>0</v>
      </c>
      <c r="J625" s="0" t="n">
        <f aca="false">IF($F625=0,0,INDEX(Aux_HH!$G$4:$G$18,MATCH($B625&amp;"|"&amp;$E625,Aux_HH!$A$4:$A$18,0)))</f>
        <v>0</v>
      </c>
      <c r="K625" s="0" t="n">
        <f aca="false">IF($F625=0,0,INDEX(Aux_HH!$H$4:$H$18,MATCH($B625&amp;"|"&amp;$E625,Aux_HH!$A$4:$A$18,0)))</f>
        <v>0</v>
      </c>
      <c r="L625" s="0" t="n">
        <f aca="false">IF($F625=0,0,INDEX(Aux_HH!$I$4:$I$18,MATCH($B625&amp;"|"&amp;$E625,Aux_HH!$A$4:$A$18,0)))</f>
        <v>0</v>
      </c>
    </row>
    <row r="626" customFormat="false" ht="15" hidden="false" customHeight="false" outlineLevel="0" collapsed="false">
      <c r="A626" s="0" t="str">
        <f aca="false">IF(Frota!$A16="","",Frota!$A16)</f>
        <v>Fiat Toro — 5001</v>
      </c>
      <c r="B626" s="0" t="str">
        <f aca="false">IF(Frota!$A16="","",Frota!$B16)</f>
        <v>Veículo Leve</v>
      </c>
      <c r="C626" s="0" t="n">
        <v>51</v>
      </c>
      <c r="D626" s="0" t="n">
        <f aca="false">INDEX(Semanas!$E$3:$E$54,51)</f>
        <v>3</v>
      </c>
      <c r="E626" s="0" t="str">
        <f aca="false">IF(Frota!$A16="","",Cronograma!AZ16)</f>
        <v/>
      </c>
      <c r="F626" s="0" t="n">
        <f aca="false">IF(OR($E626="",$E626=0),0,1)</f>
        <v>0</v>
      </c>
      <c r="G626" s="0" t="n">
        <f aca="false">IF($F626=0,0,INDEX(Aux_HH!$D$4:$D$18,MATCH($B626&amp;"|"&amp;$E626,Aux_HH!$A$4:$A$18,0)))</f>
        <v>0</v>
      </c>
      <c r="H626" s="0" t="n">
        <f aca="false">IF($F626=0,0,INDEX(Aux_HH!$E$4:$E$18,MATCH($B626&amp;"|"&amp;$E626,Aux_HH!$A$4:$A$18,0)))</f>
        <v>0</v>
      </c>
      <c r="I626" s="0" t="n">
        <f aca="false">IF($F626=0,0,INDEX(Aux_HH!$F$4:$F$18,MATCH($B626&amp;"|"&amp;$E626,Aux_HH!$A$4:$A$18,0)))</f>
        <v>0</v>
      </c>
      <c r="J626" s="0" t="n">
        <f aca="false">IF($F626=0,0,INDEX(Aux_HH!$G$4:$G$18,MATCH($B626&amp;"|"&amp;$E626,Aux_HH!$A$4:$A$18,0)))</f>
        <v>0</v>
      </c>
      <c r="K626" s="0" t="n">
        <f aca="false">IF($F626=0,0,INDEX(Aux_HH!$H$4:$H$18,MATCH($B626&amp;"|"&amp;$E626,Aux_HH!$A$4:$A$18,0)))</f>
        <v>0</v>
      </c>
      <c r="L626" s="0" t="n">
        <f aca="false">IF($F626=0,0,INDEX(Aux_HH!$I$4:$I$18,MATCH($B626&amp;"|"&amp;$E626,Aux_HH!$A$4:$A$18,0)))</f>
        <v>0</v>
      </c>
    </row>
    <row r="627" customFormat="false" ht="15" hidden="false" customHeight="false" outlineLevel="0" collapsed="false">
      <c r="A627" s="0" t="str">
        <f aca="false">IF(Frota!$A16="","",Frota!$A16)</f>
        <v>Fiat Toro — 5001</v>
      </c>
      <c r="B627" s="0" t="str">
        <f aca="false">IF(Frota!$A16="","",Frota!$B16)</f>
        <v>Veículo Leve</v>
      </c>
      <c r="C627" s="0" t="n">
        <v>52</v>
      </c>
      <c r="D627" s="0" t="n">
        <f aca="false">INDEX(Semanas!$E$3:$E$54,52)</f>
        <v>3</v>
      </c>
      <c r="E627" s="0" t="str">
        <f aca="false">IF(Frota!$A16="","",Cronograma!BA16)</f>
        <v/>
      </c>
      <c r="F627" s="0" t="n">
        <f aca="false">IF(OR($E627="",$E627=0),0,1)</f>
        <v>0</v>
      </c>
      <c r="G627" s="0" t="n">
        <f aca="false">IF($F627=0,0,INDEX(Aux_HH!$D$4:$D$18,MATCH($B627&amp;"|"&amp;$E627,Aux_HH!$A$4:$A$18,0)))</f>
        <v>0</v>
      </c>
      <c r="H627" s="0" t="n">
        <f aca="false">IF($F627=0,0,INDEX(Aux_HH!$E$4:$E$18,MATCH($B627&amp;"|"&amp;$E627,Aux_HH!$A$4:$A$18,0)))</f>
        <v>0</v>
      </c>
      <c r="I627" s="0" t="n">
        <f aca="false">IF($F627=0,0,INDEX(Aux_HH!$F$4:$F$18,MATCH($B627&amp;"|"&amp;$E627,Aux_HH!$A$4:$A$18,0)))</f>
        <v>0</v>
      </c>
      <c r="J627" s="0" t="n">
        <f aca="false">IF($F627=0,0,INDEX(Aux_HH!$G$4:$G$18,MATCH($B627&amp;"|"&amp;$E627,Aux_HH!$A$4:$A$18,0)))</f>
        <v>0</v>
      </c>
      <c r="K627" s="0" t="n">
        <f aca="false">IF($F627=0,0,INDEX(Aux_HH!$H$4:$H$18,MATCH($B627&amp;"|"&amp;$E627,Aux_HH!$A$4:$A$18,0)))</f>
        <v>0</v>
      </c>
      <c r="L627" s="0" t="n">
        <f aca="false">IF($F627=0,0,INDEX(Aux_HH!$I$4:$I$18,MATCH($B627&amp;"|"&amp;$E627,Aux_HH!$A$4:$A$18,0)))</f>
        <v>0</v>
      </c>
    </row>
    <row r="628" customFormat="false" ht="15" hidden="false" customHeight="false" outlineLevel="0" collapsed="false">
      <c r="A628" s="0" t="str">
        <f aca="false">IF(Frota!$A17="","",Frota!$A17)</f>
        <v>Toyota Hilux — 5002</v>
      </c>
      <c r="B628" s="0" t="str">
        <f aca="false">IF(Frota!$A17="","",Frota!$B17)</f>
        <v>Veículo Leve</v>
      </c>
      <c r="C628" s="0" t="n">
        <v>1</v>
      </c>
      <c r="D628" s="0" t="n">
        <f aca="false">INDEX(Semanas!$E$3:$E$54,1)</f>
        <v>4</v>
      </c>
      <c r="E628" s="0" t="str">
        <f aca="false">IF(Frota!$A17="","",Cronograma!B17)</f>
        <v/>
      </c>
      <c r="F628" s="0" t="n">
        <f aca="false">IF(OR($E628="",$E628=0),0,1)</f>
        <v>0</v>
      </c>
      <c r="G628" s="0" t="n">
        <f aca="false">IF($F628=0,0,INDEX(Aux_HH!$D$4:$D$18,MATCH($B628&amp;"|"&amp;$E628,Aux_HH!$A$4:$A$18,0)))</f>
        <v>0</v>
      </c>
      <c r="H628" s="0" t="n">
        <f aca="false">IF($F628=0,0,INDEX(Aux_HH!$E$4:$E$18,MATCH($B628&amp;"|"&amp;$E628,Aux_HH!$A$4:$A$18,0)))</f>
        <v>0</v>
      </c>
      <c r="I628" s="0" t="n">
        <f aca="false">IF($F628=0,0,INDEX(Aux_HH!$F$4:$F$18,MATCH($B628&amp;"|"&amp;$E628,Aux_HH!$A$4:$A$18,0)))</f>
        <v>0</v>
      </c>
      <c r="J628" s="0" t="n">
        <f aca="false">IF($F628=0,0,INDEX(Aux_HH!$G$4:$G$18,MATCH($B628&amp;"|"&amp;$E628,Aux_HH!$A$4:$A$18,0)))</f>
        <v>0</v>
      </c>
      <c r="K628" s="0" t="n">
        <f aca="false">IF($F628=0,0,INDEX(Aux_HH!$H$4:$H$18,MATCH($B628&amp;"|"&amp;$E628,Aux_HH!$A$4:$A$18,0)))</f>
        <v>0</v>
      </c>
      <c r="L628" s="0" t="n">
        <f aca="false">IF($F628=0,0,INDEX(Aux_HH!$I$4:$I$18,MATCH($B628&amp;"|"&amp;$E628,Aux_HH!$A$4:$A$18,0)))</f>
        <v>0</v>
      </c>
    </row>
    <row r="629" customFormat="false" ht="15" hidden="false" customHeight="false" outlineLevel="0" collapsed="false">
      <c r="A629" s="0" t="str">
        <f aca="false">IF(Frota!$A17="","",Frota!$A17)</f>
        <v>Toyota Hilux — 5002</v>
      </c>
      <c r="B629" s="0" t="str">
        <f aca="false">IF(Frota!$A17="","",Frota!$B17)</f>
        <v>Veículo Leve</v>
      </c>
      <c r="C629" s="0" t="n">
        <v>2</v>
      </c>
      <c r="D629" s="0" t="n">
        <f aca="false">INDEX(Semanas!$E$3:$E$54,2)</f>
        <v>4</v>
      </c>
      <c r="E629" s="0" t="str">
        <f aca="false">IF(Frota!$A17="","",Cronograma!C17)</f>
        <v/>
      </c>
      <c r="F629" s="0" t="n">
        <f aca="false">IF(OR($E629="",$E629=0),0,1)</f>
        <v>0</v>
      </c>
      <c r="G629" s="0" t="n">
        <f aca="false">IF($F629=0,0,INDEX(Aux_HH!$D$4:$D$18,MATCH($B629&amp;"|"&amp;$E629,Aux_HH!$A$4:$A$18,0)))</f>
        <v>0</v>
      </c>
      <c r="H629" s="0" t="n">
        <f aca="false">IF($F629=0,0,INDEX(Aux_HH!$E$4:$E$18,MATCH($B629&amp;"|"&amp;$E629,Aux_HH!$A$4:$A$18,0)))</f>
        <v>0</v>
      </c>
      <c r="I629" s="0" t="n">
        <f aca="false">IF($F629=0,0,INDEX(Aux_HH!$F$4:$F$18,MATCH($B629&amp;"|"&amp;$E629,Aux_HH!$A$4:$A$18,0)))</f>
        <v>0</v>
      </c>
      <c r="J629" s="0" t="n">
        <f aca="false">IF($F629=0,0,INDEX(Aux_HH!$G$4:$G$18,MATCH($B629&amp;"|"&amp;$E629,Aux_HH!$A$4:$A$18,0)))</f>
        <v>0</v>
      </c>
      <c r="K629" s="0" t="n">
        <f aca="false">IF($F629=0,0,INDEX(Aux_HH!$H$4:$H$18,MATCH($B629&amp;"|"&amp;$E629,Aux_HH!$A$4:$A$18,0)))</f>
        <v>0</v>
      </c>
      <c r="L629" s="0" t="n">
        <f aca="false">IF($F629=0,0,INDEX(Aux_HH!$I$4:$I$18,MATCH($B629&amp;"|"&amp;$E629,Aux_HH!$A$4:$A$18,0)))</f>
        <v>0</v>
      </c>
    </row>
    <row r="630" customFormat="false" ht="15" hidden="false" customHeight="false" outlineLevel="0" collapsed="false">
      <c r="A630" s="0" t="str">
        <f aca="false">IF(Frota!$A17="","",Frota!$A17)</f>
        <v>Toyota Hilux — 5002</v>
      </c>
      <c r="B630" s="0" t="str">
        <f aca="false">IF(Frota!$A17="","",Frota!$B17)</f>
        <v>Veículo Leve</v>
      </c>
      <c r="C630" s="0" t="n">
        <v>3</v>
      </c>
      <c r="D630" s="0" t="n">
        <f aca="false">INDEX(Semanas!$E$3:$E$54,3)</f>
        <v>4</v>
      </c>
      <c r="E630" s="0" t="str">
        <f aca="false">IF(Frota!$A17="","",Cronograma!D17)</f>
        <v>S</v>
      </c>
      <c r="F630" s="0" t="n">
        <f aca="false">IF(OR($E630="",$E630=0),0,1)</f>
        <v>1</v>
      </c>
      <c r="G630" s="0" t="n">
        <f aca="false">IF($F630=0,0,INDEX(Aux_HH!$D$4:$D$18,MATCH($B630&amp;"|"&amp;$E630,Aux_HH!$A$4:$A$18,0)))</f>
        <v>0</v>
      </c>
      <c r="H630" s="0" t="n">
        <f aca="false">IF($F630=0,0,INDEX(Aux_HH!$E$4:$E$18,MATCH($B630&amp;"|"&amp;$E630,Aux_HH!$A$4:$A$18,0)))</f>
        <v>0</v>
      </c>
      <c r="I630" s="0" t="n">
        <f aca="false">IF($F630=0,0,INDEX(Aux_HH!$F$4:$F$18,MATCH($B630&amp;"|"&amp;$E630,Aux_HH!$A$4:$A$18,0)))</f>
        <v>0</v>
      </c>
      <c r="J630" s="0" t="n">
        <f aca="false">IF($F630=0,0,INDEX(Aux_HH!$G$4:$G$18,MATCH($B630&amp;"|"&amp;$E630,Aux_HH!$A$4:$A$18,0)))</f>
        <v>0</v>
      </c>
      <c r="K630" s="0" t="n">
        <f aca="false">IF($F630=0,0,INDEX(Aux_HH!$H$4:$H$18,MATCH($B630&amp;"|"&amp;$E630,Aux_HH!$A$4:$A$18,0)))</f>
        <v>0</v>
      </c>
      <c r="L630" s="0" t="n">
        <f aca="false">IF($F630=0,0,INDEX(Aux_HH!$I$4:$I$18,MATCH($B630&amp;"|"&amp;$E630,Aux_HH!$A$4:$A$18,0)))</f>
        <v>0</v>
      </c>
    </row>
    <row r="631" customFormat="false" ht="15" hidden="false" customHeight="false" outlineLevel="0" collapsed="false">
      <c r="A631" s="0" t="str">
        <f aca="false">IF(Frota!$A17="","",Frota!$A17)</f>
        <v>Toyota Hilux — 5002</v>
      </c>
      <c r="B631" s="0" t="str">
        <f aca="false">IF(Frota!$A17="","",Frota!$B17)</f>
        <v>Veículo Leve</v>
      </c>
      <c r="C631" s="0" t="n">
        <v>4</v>
      </c>
      <c r="D631" s="0" t="n">
        <f aca="false">INDEX(Semanas!$E$3:$E$54,4)</f>
        <v>4</v>
      </c>
      <c r="E631" s="0" t="str">
        <f aca="false">IF(Frota!$A17="","",Cronograma!E17)</f>
        <v/>
      </c>
      <c r="F631" s="0" t="n">
        <f aca="false">IF(OR($E631="",$E631=0),0,1)</f>
        <v>0</v>
      </c>
      <c r="G631" s="0" t="n">
        <f aca="false">IF($F631=0,0,INDEX(Aux_HH!$D$4:$D$18,MATCH($B631&amp;"|"&amp;$E631,Aux_HH!$A$4:$A$18,0)))</f>
        <v>0</v>
      </c>
      <c r="H631" s="0" t="n">
        <f aca="false">IF($F631=0,0,INDEX(Aux_HH!$E$4:$E$18,MATCH($B631&amp;"|"&amp;$E631,Aux_HH!$A$4:$A$18,0)))</f>
        <v>0</v>
      </c>
      <c r="I631" s="0" t="n">
        <f aca="false">IF($F631=0,0,INDEX(Aux_HH!$F$4:$F$18,MATCH($B631&amp;"|"&amp;$E631,Aux_HH!$A$4:$A$18,0)))</f>
        <v>0</v>
      </c>
      <c r="J631" s="0" t="n">
        <f aca="false">IF($F631=0,0,INDEX(Aux_HH!$G$4:$G$18,MATCH($B631&amp;"|"&amp;$E631,Aux_HH!$A$4:$A$18,0)))</f>
        <v>0</v>
      </c>
      <c r="K631" s="0" t="n">
        <f aca="false">IF($F631=0,0,INDEX(Aux_HH!$H$4:$H$18,MATCH($B631&amp;"|"&amp;$E631,Aux_HH!$A$4:$A$18,0)))</f>
        <v>0</v>
      </c>
      <c r="L631" s="0" t="n">
        <f aca="false">IF($F631=0,0,INDEX(Aux_HH!$I$4:$I$18,MATCH($B631&amp;"|"&amp;$E631,Aux_HH!$A$4:$A$18,0)))</f>
        <v>0</v>
      </c>
    </row>
    <row r="632" customFormat="false" ht="15" hidden="false" customHeight="false" outlineLevel="0" collapsed="false">
      <c r="A632" s="0" t="str">
        <f aca="false">IF(Frota!$A17="","",Frota!$A17)</f>
        <v>Toyota Hilux — 5002</v>
      </c>
      <c r="B632" s="0" t="str">
        <f aca="false">IF(Frota!$A17="","",Frota!$B17)</f>
        <v>Veículo Leve</v>
      </c>
      <c r="C632" s="0" t="n">
        <v>5</v>
      </c>
      <c r="D632" s="0" t="n">
        <f aca="false">INDEX(Semanas!$E$3:$E$54,5)</f>
        <v>4</v>
      </c>
      <c r="E632" s="0" t="str">
        <f aca="false">IF(Frota!$A17="","",Cronograma!F17)</f>
        <v/>
      </c>
      <c r="F632" s="0" t="n">
        <f aca="false">IF(OR($E632="",$E632=0),0,1)</f>
        <v>0</v>
      </c>
      <c r="G632" s="0" t="n">
        <f aca="false">IF($F632=0,0,INDEX(Aux_HH!$D$4:$D$18,MATCH($B632&amp;"|"&amp;$E632,Aux_HH!$A$4:$A$18,0)))</f>
        <v>0</v>
      </c>
      <c r="H632" s="0" t="n">
        <f aca="false">IF($F632=0,0,INDEX(Aux_HH!$E$4:$E$18,MATCH($B632&amp;"|"&amp;$E632,Aux_HH!$A$4:$A$18,0)))</f>
        <v>0</v>
      </c>
      <c r="I632" s="0" t="n">
        <f aca="false">IF($F632=0,0,INDEX(Aux_HH!$F$4:$F$18,MATCH($B632&amp;"|"&amp;$E632,Aux_HH!$A$4:$A$18,0)))</f>
        <v>0</v>
      </c>
      <c r="J632" s="0" t="n">
        <f aca="false">IF($F632=0,0,INDEX(Aux_HH!$G$4:$G$18,MATCH($B632&amp;"|"&amp;$E632,Aux_HH!$A$4:$A$18,0)))</f>
        <v>0</v>
      </c>
      <c r="K632" s="0" t="n">
        <f aca="false">IF($F632=0,0,INDEX(Aux_HH!$H$4:$H$18,MATCH($B632&amp;"|"&amp;$E632,Aux_HH!$A$4:$A$18,0)))</f>
        <v>0</v>
      </c>
      <c r="L632" s="0" t="n">
        <f aca="false">IF($F632=0,0,INDEX(Aux_HH!$I$4:$I$18,MATCH($B632&amp;"|"&amp;$E632,Aux_HH!$A$4:$A$18,0)))</f>
        <v>0</v>
      </c>
    </row>
    <row r="633" customFormat="false" ht="15" hidden="false" customHeight="false" outlineLevel="0" collapsed="false">
      <c r="A633" s="0" t="str">
        <f aca="false">IF(Frota!$A17="","",Frota!$A17)</f>
        <v>Toyota Hilux — 5002</v>
      </c>
      <c r="B633" s="0" t="str">
        <f aca="false">IF(Frota!$A17="","",Frota!$B17)</f>
        <v>Veículo Leve</v>
      </c>
      <c r="C633" s="0" t="n">
        <v>6</v>
      </c>
      <c r="D633" s="0" t="n">
        <f aca="false">INDEX(Semanas!$E$3:$E$54,6)</f>
        <v>5</v>
      </c>
      <c r="E633" s="0" t="str">
        <f aca="false">IF(Frota!$A17="","",Cronograma!G17)</f>
        <v/>
      </c>
      <c r="F633" s="0" t="n">
        <f aca="false">IF(OR($E633="",$E633=0),0,1)</f>
        <v>0</v>
      </c>
      <c r="G633" s="0" t="n">
        <f aca="false">IF($F633=0,0,INDEX(Aux_HH!$D$4:$D$18,MATCH($B633&amp;"|"&amp;$E633,Aux_HH!$A$4:$A$18,0)))</f>
        <v>0</v>
      </c>
      <c r="H633" s="0" t="n">
        <f aca="false">IF($F633=0,0,INDEX(Aux_HH!$E$4:$E$18,MATCH($B633&amp;"|"&amp;$E633,Aux_HH!$A$4:$A$18,0)))</f>
        <v>0</v>
      </c>
      <c r="I633" s="0" t="n">
        <f aca="false">IF($F633=0,0,INDEX(Aux_HH!$F$4:$F$18,MATCH($B633&amp;"|"&amp;$E633,Aux_HH!$A$4:$A$18,0)))</f>
        <v>0</v>
      </c>
      <c r="J633" s="0" t="n">
        <f aca="false">IF($F633=0,0,INDEX(Aux_HH!$G$4:$G$18,MATCH($B633&amp;"|"&amp;$E633,Aux_HH!$A$4:$A$18,0)))</f>
        <v>0</v>
      </c>
      <c r="K633" s="0" t="n">
        <f aca="false">IF($F633=0,0,INDEX(Aux_HH!$H$4:$H$18,MATCH($B633&amp;"|"&amp;$E633,Aux_HH!$A$4:$A$18,0)))</f>
        <v>0</v>
      </c>
      <c r="L633" s="0" t="n">
        <f aca="false">IF($F633=0,0,INDEX(Aux_HH!$I$4:$I$18,MATCH($B633&amp;"|"&amp;$E633,Aux_HH!$A$4:$A$18,0)))</f>
        <v>0</v>
      </c>
    </row>
    <row r="634" customFormat="false" ht="15" hidden="false" customHeight="false" outlineLevel="0" collapsed="false">
      <c r="A634" s="0" t="str">
        <f aca="false">IF(Frota!$A17="","",Frota!$A17)</f>
        <v>Toyota Hilux — 5002</v>
      </c>
      <c r="B634" s="0" t="str">
        <f aca="false">IF(Frota!$A17="","",Frota!$B17)</f>
        <v>Veículo Leve</v>
      </c>
      <c r="C634" s="0" t="n">
        <v>7</v>
      </c>
      <c r="D634" s="0" t="n">
        <f aca="false">INDEX(Semanas!$E$3:$E$54,7)</f>
        <v>5</v>
      </c>
      <c r="E634" s="0" t="str">
        <f aca="false">IF(Frota!$A17="","",Cronograma!H17)</f>
        <v/>
      </c>
      <c r="F634" s="0" t="n">
        <f aca="false">IF(OR($E634="",$E634=0),0,1)</f>
        <v>0</v>
      </c>
      <c r="G634" s="0" t="n">
        <f aca="false">IF($F634=0,0,INDEX(Aux_HH!$D$4:$D$18,MATCH($B634&amp;"|"&amp;$E634,Aux_HH!$A$4:$A$18,0)))</f>
        <v>0</v>
      </c>
      <c r="H634" s="0" t="n">
        <f aca="false">IF($F634=0,0,INDEX(Aux_HH!$E$4:$E$18,MATCH($B634&amp;"|"&amp;$E634,Aux_HH!$A$4:$A$18,0)))</f>
        <v>0</v>
      </c>
      <c r="I634" s="0" t="n">
        <f aca="false">IF($F634=0,0,INDEX(Aux_HH!$F$4:$F$18,MATCH($B634&amp;"|"&amp;$E634,Aux_HH!$A$4:$A$18,0)))</f>
        <v>0</v>
      </c>
      <c r="J634" s="0" t="n">
        <f aca="false">IF($F634=0,0,INDEX(Aux_HH!$G$4:$G$18,MATCH($B634&amp;"|"&amp;$E634,Aux_HH!$A$4:$A$18,0)))</f>
        <v>0</v>
      </c>
      <c r="K634" s="0" t="n">
        <f aca="false">IF($F634=0,0,INDEX(Aux_HH!$H$4:$H$18,MATCH($B634&amp;"|"&amp;$E634,Aux_HH!$A$4:$A$18,0)))</f>
        <v>0</v>
      </c>
      <c r="L634" s="0" t="n">
        <f aca="false">IF($F634=0,0,INDEX(Aux_HH!$I$4:$I$18,MATCH($B634&amp;"|"&amp;$E634,Aux_HH!$A$4:$A$18,0)))</f>
        <v>0</v>
      </c>
    </row>
    <row r="635" customFormat="false" ht="15" hidden="false" customHeight="false" outlineLevel="0" collapsed="false">
      <c r="A635" s="0" t="str">
        <f aca="false">IF(Frota!$A17="","",Frota!$A17)</f>
        <v>Toyota Hilux — 5002</v>
      </c>
      <c r="B635" s="0" t="str">
        <f aca="false">IF(Frota!$A17="","",Frota!$B17)</f>
        <v>Veículo Leve</v>
      </c>
      <c r="C635" s="0" t="n">
        <v>8</v>
      </c>
      <c r="D635" s="0" t="n">
        <f aca="false">INDEX(Semanas!$E$3:$E$54,8)</f>
        <v>5</v>
      </c>
      <c r="E635" s="0" t="str">
        <f aca="false">IF(Frota!$A17="","",Cronograma!I17)</f>
        <v/>
      </c>
      <c r="F635" s="0" t="n">
        <f aca="false">IF(OR($E635="",$E635=0),0,1)</f>
        <v>0</v>
      </c>
      <c r="G635" s="0" t="n">
        <f aca="false">IF($F635=0,0,INDEX(Aux_HH!$D$4:$D$18,MATCH($B635&amp;"|"&amp;$E635,Aux_HH!$A$4:$A$18,0)))</f>
        <v>0</v>
      </c>
      <c r="H635" s="0" t="n">
        <f aca="false">IF($F635=0,0,INDEX(Aux_HH!$E$4:$E$18,MATCH($B635&amp;"|"&amp;$E635,Aux_HH!$A$4:$A$18,0)))</f>
        <v>0</v>
      </c>
      <c r="I635" s="0" t="n">
        <f aca="false">IF($F635=0,0,INDEX(Aux_HH!$F$4:$F$18,MATCH($B635&amp;"|"&amp;$E635,Aux_HH!$A$4:$A$18,0)))</f>
        <v>0</v>
      </c>
      <c r="J635" s="0" t="n">
        <f aca="false">IF($F635=0,0,INDEX(Aux_HH!$G$4:$G$18,MATCH($B635&amp;"|"&amp;$E635,Aux_HH!$A$4:$A$18,0)))</f>
        <v>0</v>
      </c>
      <c r="K635" s="0" t="n">
        <f aca="false">IF($F635=0,0,INDEX(Aux_HH!$H$4:$H$18,MATCH($B635&amp;"|"&amp;$E635,Aux_HH!$A$4:$A$18,0)))</f>
        <v>0</v>
      </c>
      <c r="L635" s="0" t="n">
        <f aca="false">IF($F635=0,0,INDEX(Aux_HH!$I$4:$I$18,MATCH($B635&amp;"|"&amp;$E635,Aux_HH!$A$4:$A$18,0)))</f>
        <v>0</v>
      </c>
    </row>
    <row r="636" customFormat="false" ht="15" hidden="false" customHeight="false" outlineLevel="0" collapsed="false">
      <c r="A636" s="0" t="str">
        <f aca="false">IF(Frota!$A17="","",Frota!$A17)</f>
        <v>Toyota Hilux — 5002</v>
      </c>
      <c r="B636" s="0" t="str">
        <f aca="false">IF(Frota!$A17="","",Frota!$B17)</f>
        <v>Veículo Leve</v>
      </c>
      <c r="C636" s="0" t="n">
        <v>9</v>
      </c>
      <c r="D636" s="0" t="n">
        <f aca="false">INDEX(Semanas!$E$3:$E$54,9)</f>
        <v>5</v>
      </c>
      <c r="E636" s="0" t="str">
        <f aca="false">IF(Frota!$A17="","",Cronograma!J17)</f>
        <v/>
      </c>
      <c r="F636" s="0" t="n">
        <f aca="false">IF(OR($E636="",$E636=0),0,1)</f>
        <v>0</v>
      </c>
      <c r="G636" s="0" t="n">
        <f aca="false">IF($F636=0,0,INDEX(Aux_HH!$D$4:$D$18,MATCH($B636&amp;"|"&amp;$E636,Aux_HH!$A$4:$A$18,0)))</f>
        <v>0</v>
      </c>
      <c r="H636" s="0" t="n">
        <f aca="false">IF($F636=0,0,INDEX(Aux_HH!$E$4:$E$18,MATCH($B636&amp;"|"&amp;$E636,Aux_HH!$A$4:$A$18,0)))</f>
        <v>0</v>
      </c>
      <c r="I636" s="0" t="n">
        <f aca="false">IF($F636=0,0,INDEX(Aux_HH!$F$4:$F$18,MATCH($B636&amp;"|"&amp;$E636,Aux_HH!$A$4:$A$18,0)))</f>
        <v>0</v>
      </c>
      <c r="J636" s="0" t="n">
        <f aca="false">IF($F636=0,0,INDEX(Aux_HH!$G$4:$G$18,MATCH($B636&amp;"|"&amp;$E636,Aux_HH!$A$4:$A$18,0)))</f>
        <v>0</v>
      </c>
      <c r="K636" s="0" t="n">
        <f aca="false">IF($F636=0,0,INDEX(Aux_HH!$H$4:$H$18,MATCH($B636&amp;"|"&amp;$E636,Aux_HH!$A$4:$A$18,0)))</f>
        <v>0</v>
      </c>
      <c r="L636" s="0" t="n">
        <f aca="false">IF($F636=0,0,INDEX(Aux_HH!$I$4:$I$18,MATCH($B636&amp;"|"&amp;$E636,Aux_HH!$A$4:$A$18,0)))</f>
        <v>0</v>
      </c>
    </row>
    <row r="637" customFormat="false" ht="15" hidden="false" customHeight="false" outlineLevel="0" collapsed="false">
      <c r="A637" s="0" t="str">
        <f aca="false">IF(Frota!$A17="","",Frota!$A17)</f>
        <v>Toyota Hilux — 5002</v>
      </c>
      <c r="B637" s="0" t="str">
        <f aca="false">IF(Frota!$A17="","",Frota!$B17)</f>
        <v>Veículo Leve</v>
      </c>
      <c r="C637" s="0" t="n">
        <v>10</v>
      </c>
      <c r="D637" s="0" t="n">
        <f aca="false">INDEX(Semanas!$E$3:$E$54,10)</f>
        <v>6</v>
      </c>
      <c r="E637" s="0" t="str">
        <f aca="false">IF(Frota!$A17="","",Cronograma!K17)</f>
        <v/>
      </c>
      <c r="F637" s="0" t="n">
        <f aca="false">IF(OR($E637="",$E637=0),0,1)</f>
        <v>0</v>
      </c>
      <c r="G637" s="0" t="n">
        <f aca="false">IF($F637=0,0,INDEX(Aux_HH!$D$4:$D$18,MATCH($B637&amp;"|"&amp;$E637,Aux_HH!$A$4:$A$18,0)))</f>
        <v>0</v>
      </c>
      <c r="H637" s="0" t="n">
        <f aca="false">IF($F637=0,0,INDEX(Aux_HH!$E$4:$E$18,MATCH($B637&amp;"|"&amp;$E637,Aux_HH!$A$4:$A$18,0)))</f>
        <v>0</v>
      </c>
      <c r="I637" s="0" t="n">
        <f aca="false">IF($F637=0,0,INDEX(Aux_HH!$F$4:$F$18,MATCH($B637&amp;"|"&amp;$E637,Aux_HH!$A$4:$A$18,0)))</f>
        <v>0</v>
      </c>
      <c r="J637" s="0" t="n">
        <f aca="false">IF($F637=0,0,INDEX(Aux_HH!$G$4:$G$18,MATCH($B637&amp;"|"&amp;$E637,Aux_HH!$A$4:$A$18,0)))</f>
        <v>0</v>
      </c>
      <c r="K637" s="0" t="n">
        <f aca="false">IF($F637=0,0,INDEX(Aux_HH!$H$4:$H$18,MATCH($B637&amp;"|"&amp;$E637,Aux_HH!$A$4:$A$18,0)))</f>
        <v>0</v>
      </c>
      <c r="L637" s="0" t="n">
        <f aca="false">IF($F637=0,0,INDEX(Aux_HH!$I$4:$I$18,MATCH($B637&amp;"|"&amp;$E637,Aux_HH!$A$4:$A$18,0)))</f>
        <v>0</v>
      </c>
    </row>
    <row r="638" customFormat="false" ht="15" hidden="false" customHeight="false" outlineLevel="0" collapsed="false">
      <c r="A638" s="0" t="str">
        <f aca="false">IF(Frota!$A17="","",Frota!$A17)</f>
        <v>Toyota Hilux — 5002</v>
      </c>
      <c r="B638" s="0" t="str">
        <f aca="false">IF(Frota!$A17="","",Frota!$B17)</f>
        <v>Veículo Leve</v>
      </c>
      <c r="C638" s="0" t="n">
        <v>11</v>
      </c>
      <c r="D638" s="0" t="n">
        <f aca="false">INDEX(Semanas!$E$3:$E$54,11)</f>
        <v>6</v>
      </c>
      <c r="E638" s="0" t="str">
        <f aca="false">IF(Frota!$A17="","",Cronograma!L17)</f>
        <v/>
      </c>
      <c r="F638" s="0" t="n">
        <f aca="false">IF(OR($E638="",$E638=0),0,1)</f>
        <v>0</v>
      </c>
      <c r="G638" s="0" t="n">
        <f aca="false">IF($F638=0,0,INDEX(Aux_HH!$D$4:$D$18,MATCH($B638&amp;"|"&amp;$E638,Aux_HH!$A$4:$A$18,0)))</f>
        <v>0</v>
      </c>
      <c r="H638" s="0" t="n">
        <f aca="false">IF($F638=0,0,INDEX(Aux_HH!$E$4:$E$18,MATCH($B638&amp;"|"&amp;$E638,Aux_HH!$A$4:$A$18,0)))</f>
        <v>0</v>
      </c>
      <c r="I638" s="0" t="n">
        <f aca="false">IF($F638=0,0,INDEX(Aux_HH!$F$4:$F$18,MATCH($B638&amp;"|"&amp;$E638,Aux_HH!$A$4:$A$18,0)))</f>
        <v>0</v>
      </c>
      <c r="J638" s="0" t="n">
        <f aca="false">IF($F638=0,0,INDEX(Aux_HH!$G$4:$G$18,MATCH($B638&amp;"|"&amp;$E638,Aux_HH!$A$4:$A$18,0)))</f>
        <v>0</v>
      </c>
      <c r="K638" s="0" t="n">
        <f aca="false">IF($F638=0,0,INDEX(Aux_HH!$H$4:$H$18,MATCH($B638&amp;"|"&amp;$E638,Aux_HH!$A$4:$A$18,0)))</f>
        <v>0</v>
      </c>
      <c r="L638" s="0" t="n">
        <f aca="false">IF($F638=0,0,INDEX(Aux_HH!$I$4:$I$18,MATCH($B638&amp;"|"&amp;$E638,Aux_HH!$A$4:$A$18,0)))</f>
        <v>0</v>
      </c>
    </row>
    <row r="639" customFormat="false" ht="15" hidden="false" customHeight="false" outlineLevel="0" collapsed="false">
      <c r="A639" s="0" t="str">
        <f aca="false">IF(Frota!$A17="","",Frota!$A17)</f>
        <v>Toyota Hilux — 5002</v>
      </c>
      <c r="B639" s="0" t="str">
        <f aca="false">IF(Frota!$A17="","",Frota!$B17)</f>
        <v>Veículo Leve</v>
      </c>
      <c r="C639" s="0" t="n">
        <v>12</v>
      </c>
      <c r="D639" s="0" t="n">
        <f aca="false">INDEX(Semanas!$E$3:$E$54,12)</f>
        <v>6</v>
      </c>
      <c r="E639" s="0" t="str">
        <f aca="false">IF(Frota!$A17="","",Cronograma!M17)</f>
        <v/>
      </c>
      <c r="F639" s="0" t="n">
        <f aca="false">IF(OR($E639="",$E639=0),0,1)</f>
        <v>0</v>
      </c>
      <c r="G639" s="0" t="n">
        <f aca="false">IF($F639=0,0,INDEX(Aux_HH!$D$4:$D$18,MATCH($B639&amp;"|"&amp;$E639,Aux_HH!$A$4:$A$18,0)))</f>
        <v>0</v>
      </c>
      <c r="H639" s="0" t="n">
        <f aca="false">IF($F639=0,0,INDEX(Aux_HH!$E$4:$E$18,MATCH($B639&amp;"|"&amp;$E639,Aux_HH!$A$4:$A$18,0)))</f>
        <v>0</v>
      </c>
      <c r="I639" s="0" t="n">
        <f aca="false">IF($F639=0,0,INDEX(Aux_HH!$F$4:$F$18,MATCH($B639&amp;"|"&amp;$E639,Aux_HH!$A$4:$A$18,0)))</f>
        <v>0</v>
      </c>
      <c r="J639" s="0" t="n">
        <f aca="false">IF($F639=0,0,INDEX(Aux_HH!$G$4:$G$18,MATCH($B639&amp;"|"&amp;$E639,Aux_HH!$A$4:$A$18,0)))</f>
        <v>0</v>
      </c>
      <c r="K639" s="0" t="n">
        <f aca="false">IF($F639=0,0,INDEX(Aux_HH!$H$4:$H$18,MATCH($B639&amp;"|"&amp;$E639,Aux_HH!$A$4:$A$18,0)))</f>
        <v>0</v>
      </c>
      <c r="L639" s="0" t="n">
        <f aca="false">IF($F639=0,0,INDEX(Aux_HH!$I$4:$I$18,MATCH($B639&amp;"|"&amp;$E639,Aux_HH!$A$4:$A$18,0)))</f>
        <v>0</v>
      </c>
    </row>
    <row r="640" customFormat="false" ht="15" hidden="false" customHeight="false" outlineLevel="0" collapsed="false">
      <c r="A640" s="0" t="str">
        <f aca="false">IF(Frota!$A17="","",Frota!$A17)</f>
        <v>Toyota Hilux — 5002</v>
      </c>
      <c r="B640" s="0" t="str">
        <f aca="false">IF(Frota!$A17="","",Frota!$B17)</f>
        <v>Veículo Leve</v>
      </c>
      <c r="C640" s="0" t="n">
        <v>13</v>
      </c>
      <c r="D640" s="0" t="n">
        <f aca="false">INDEX(Semanas!$E$3:$E$54,13)</f>
        <v>6</v>
      </c>
      <c r="E640" s="0" t="str">
        <f aca="false">IF(Frota!$A17="","",Cronograma!N17)</f>
        <v/>
      </c>
      <c r="F640" s="0" t="n">
        <f aca="false">IF(OR($E640="",$E640=0),0,1)</f>
        <v>0</v>
      </c>
      <c r="G640" s="0" t="n">
        <f aca="false">IF($F640=0,0,INDEX(Aux_HH!$D$4:$D$18,MATCH($B640&amp;"|"&amp;$E640,Aux_HH!$A$4:$A$18,0)))</f>
        <v>0</v>
      </c>
      <c r="H640" s="0" t="n">
        <f aca="false">IF($F640=0,0,INDEX(Aux_HH!$E$4:$E$18,MATCH($B640&amp;"|"&amp;$E640,Aux_HH!$A$4:$A$18,0)))</f>
        <v>0</v>
      </c>
      <c r="I640" s="0" t="n">
        <f aca="false">IF($F640=0,0,INDEX(Aux_HH!$F$4:$F$18,MATCH($B640&amp;"|"&amp;$E640,Aux_HH!$A$4:$A$18,0)))</f>
        <v>0</v>
      </c>
      <c r="J640" s="0" t="n">
        <f aca="false">IF($F640=0,0,INDEX(Aux_HH!$G$4:$G$18,MATCH($B640&amp;"|"&amp;$E640,Aux_HH!$A$4:$A$18,0)))</f>
        <v>0</v>
      </c>
      <c r="K640" s="0" t="n">
        <f aca="false">IF($F640=0,0,INDEX(Aux_HH!$H$4:$H$18,MATCH($B640&amp;"|"&amp;$E640,Aux_HH!$A$4:$A$18,0)))</f>
        <v>0</v>
      </c>
      <c r="L640" s="0" t="n">
        <f aca="false">IF($F640=0,0,INDEX(Aux_HH!$I$4:$I$18,MATCH($B640&amp;"|"&amp;$E640,Aux_HH!$A$4:$A$18,0)))</f>
        <v>0</v>
      </c>
    </row>
    <row r="641" customFormat="false" ht="15" hidden="false" customHeight="false" outlineLevel="0" collapsed="false">
      <c r="A641" s="0" t="str">
        <f aca="false">IF(Frota!$A17="","",Frota!$A17)</f>
        <v>Toyota Hilux — 5002</v>
      </c>
      <c r="B641" s="0" t="str">
        <f aca="false">IF(Frota!$A17="","",Frota!$B17)</f>
        <v>Veículo Leve</v>
      </c>
      <c r="C641" s="0" t="n">
        <v>14</v>
      </c>
      <c r="D641" s="0" t="n">
        <f aca="false">INDEX(Semanas!$E$3:$E$54,14)</f>
        <v>7</v>
      </c>
      <c r="E641" s="0" t="str">
        <f aca="false">IF(Frota!$A17="","",Cronograma!O17)</f>
        <v/>
      </c>
      <c r="F641" s="0" t="n">
        <f aca="false">IF(OR($E641="",$E641=0),0,1)</f>
        <v>0</v>
      </c>
      <c r="G641" s="0" t="n">
        <f aca="false">IF($F641=0,0,INDEX(Aux_HH!$D$4:$D$18,MATCH($B641&amp;"|"&amp;$E641,Aux_HH!$A$4:$A$18,0)))</f>
        <v>0</v>
      </c>
      <c r="H641" s="0" t="n">
        <f aca="false">IF($F641=0,0,INDEX(Aux_HH!$E$4:$E$18,MATCH($B641&amp;"|"&amp;$E641,Aux_HH!$A$4:$A$18,0)))</f>
        <v>0</v>
      </c>
      <c r="I641" s="0" t="n">
        <f aca="false">IF($F641=0,0,INDEX(Aux_HH!$F$4:$F$18,MATCH($B641&amp;"|"&amp;$E641,Aux_HH!$A$4:$A$18,0)))</f>
        <v>0</v>
      </c>
      <c r="J641" s="0" t="n">
        <f aca="false">IF($F641=0,0,INDEX(Aux_HH!$G$4:$G$18,MATCH($B641&amp;"|"&amp;$E641,Aux_HH!$A$4:$A$18,0)))</f>
        <v>0</v>
      </c>
      <c r="K641" s="0" t="n">
        <f aca="false">IF($F641=0,0,INDEX(Aux_HH!$H$4:$H$18,MATCH($B641&amp;"|"&amp;$E641,Aux_HH!$A$4:$A$18,0)))</f>
        <v>0</v>
      </c>
      <c r="L641" s="0" t="n">
        <f aca="false">IF($F641=0,0,INDEX(Aux_HH!$I$4:$I$18,MATCH($B641&amp;"|"&amp;$E641,Aux_HH!$A$4:$A$18,0)))</f>
        <v>0</v>
      </c>
    </row>
    <row r="642" customFormat="false" ht="15" hidden="false" customHeight="false" outlineLevel="0" collapsed="false">
      <c r="A642" s="0" t="str">
        <f aca="false">IF(Frota!$A17="","",Frota!$A17)</f>
        <v>Toyota Hilux — 5002</v>
      </c>
      <c r="B642" s="0" t="str">
        <f aca="false">IF(Frota!$A17="","",Frota!$B17)</f>
        <v>Veículo Leve</v>
      </c>
      <c r="C642" s="0" t="n">
        <v>15</v>
      </c>
      <c r="D642" s="0" t="n">
        <f aca="false">INDEX(Semanas!$E$3:$E$54,15)</f>
        <v>7</v>
      </c>
      <c r="E642" s="0" t="str">
        <f aca="false">IF(Frota!$A17="","",Cronograma!P17)</f>
        <v>A</v>
      </c>
      <c r="F642" s="0" t="n">
        <f aca="false">IF(OR($E642="",$E642=0),0,1)</f>
        <v>1</v>
      </c>
      <c r="G642" s="0" t="n">
        <f aca="false">IF($F642=0,0,INDEX(Aux_HH!$D$4:$D$18,MATCH($B642&amp;"|"&amp;$E642,Aux_HH!$A$4:$A$18,0)))</f>
        <v>0</v>
      </c>
      <c r="H642" s="0" t="n">
        <f aca="false">IF($F642=0,0,INDEX(Aux_HH!$E$4:$E$18,MATCH($B642&amp;"|"&amp;$E642,Aux_HH!$A$4:$A$18,0)))</f>
        <v>0</v>
      </c>
      <c r="I642" s="0" t="n">
        <f aca="false">IF($F642=0,0,INDEX(Aux_HH!$F$4:$F$18,MATCH($B642&amp;"|"&amp;$E642,Aux_HH!$A$4:$A$18,0)))</f>
        <v>0</v>
      </c>
      <c r="J642" s="0" t="n">
        <f aca="false">IF($F642=0,0,INDEX(Aux_HH!$G$4:$G$18,MATCH($B642&amp;"|"&amp;$E642,Aux_HH!$A$4:$A$18,0)))</f>
        <v>0</v>
      </c>
      <c r="K642" s="0" t="n">
        <f aca="false">IF($F642=0,0,INDEX(Aux_HH!$H$4:$H$18,MATCH($B642&amp;"|"&amp;$E642,Aux_HH!$A$4:$A$18,0)))</f>
        <v>0</v>
      </c>
      <c r="L642" s="0" t="n">
        <f aca="false">IF($F642=0,0,INDEX(Aux_HH!$I$4:$I$18,MATCH($B642&amp;"|"&amp;$E642,Aux_HH!$A$4:$A$18,0)))</f>
        <v>0</v>
      </c>
    </row>
    <row r="643" customFormat="false" ht="15" hidden="false" customHeight="false" outlineLevel="0" collapsed="false">
      <c r="A643" s="0" t="str">
        <f aca="false">IF(Frota!$A17="","",Frota!$A17)</f>
        <v>Toyota Hilux — 5002</v>
      </c>
      <c r="B643" s="0" t="str">
        <f aca="false">IF(Frota!$A17="","",Frota!$B17)</f>
        <v>Veículo Leve</v>
      </c>
      <c r="C643" s="0" t="n">
        <v>16</v>
      </c>
      <c r="D643" s="0" t="n">
        <f aca="false">INDEX(Semanas!$E$3:$E$54,16)</f>
        <v>7</v>
      </c>
      <c r="E643" s="0" t="str">
        <f aca="false">IF(Frota!$A17="","",Cronograma!Q17)</f>
        <v/>
      </c>
      <c r="F643" s="0" t="n">
        <f aca="false">IF(OR($E643="",$E643=0),0,1)</f>
        <v>0</v>
      </c>
      <c r="G643" s="0" t="n">
        <f aca="false">IF($F643=0,0,INDEX(Aux_HH!$D$4:$D$18,MATCH($B643&amp;"|"&amp;$E643,Aux_HH!$A$4:$A$18,0)))</f>
        <v>0</v>
      </c>
      <c r="H643" s="0" t="n">
        <f aca="false">IF($F643=0,0,INDEX(Aux_HH!$E$4:$E$18,MATCH($B643&amp;"|"&amp;$E643,Aux_HH!$A$4:$A$18,0)))</f>
        <v>0</v>
      </c>
      <c r="I643" s="0" t="n">
        <f aca="false">IF($F643=0,0,INDEX(Aux_HH!$F$4:$F$18,MATCH($B643&amp;"|"&amp;$E643,Aux_HH!$A$4:$A$18,0)))</f>
        <v>0</v>
      </c>
      <c r="J643" s="0" t="n">
        <f aca="false">IF($F643=0,0,INDEX(Aux_HH!$G$4:$G$18,MATCH($B643&amp;"|"&amp;$E643,Aux_HH!$A$4:$A$18,0)))</f>
        <v>0</v>
      </c>
      <c r="K643" s="0" t="n">
        <f aca="false">IF($F643=0,0,INDEX(Aux_HH!$H$4:$H$18,MATCH($B643&amp;"|"&amp;$E643,Aux_HH!$A$4:$A$18,0)))</f>
        <v>0</v>
      </c>
      <c r="L643" s="0" t="n">
        <f aca="false">IF($F643=0,0,INDEX(Aux_HH!$I$4:$I$18,MATCH($B643&amp;"|"&amp;$E643,Aux_HH!$A$4:$A$18,0)))</f>
        <v>0</v>
      </c>
    </row>
    <row r="644" customFormat="false" ht="15" hidden="false" customHeight="false" outlineLevel="0" collapsed="false">
      <c r="A644" s="0" t="str">
        <f aca="false">IF(Frota!$A17="","",Frota!$A17)</f>
        <v>Toyota Hilux — 5002</v>
      </c>
      <c r="B644" s="0" t="str">
        <f aca="false">IF(Frota!$A17="","",Frota!$B17)</f>
        <v>Veículo Leve</v>
      </c>
      <c r="C644" s="0" t="n">
        <v>17</v>
      </c>
      <c r="D644" s="0" t="n">
        <f aca="false">INDEX(Semanas!$E$3:$E$54,17)</f>
        <v>7</v>
      </c>
      <c r="E644" s="0" t="str">
        <f aca="false">IF(Frota!$A17="","",Cronograma!R17)</f>
        <v/>
      </c>
      <c r="F644" s="0" t="n">
        <f aca="false">IF(OR($E644="",$E644=0),0,1)</f>
        <v>0</v>
      </c>
      <c r="G644" s="0" t="n">
        <f aca="false">IF($F644=0,0,INDEX(Aux_HH!$D$4:$D$18,MATCH($B644&amp;"|"&amp;$E644,Aux_HH!$A$4:$A$18,0)))</f>
        <v>0</v>
      </c>
      <c r="H644" s="0" t="n">
        <f aca="false">IF($F644=0,0,INDEX(Aux_HH!$E$4:$E$18,MATCH($B644&amp;"|"&amp;$E644,Aux_HH!$A$4:$A$18,0)))</f>
        <v>0</v>
      </c>
      <c r="I644" s="0" t="n">
        <f aca="false">IF($F644=0,0,INDEX(Aux_HH!$F$4:$F$18,MATCH($B644&amp;"|"&amp;$E644,Aux_HH!$A$4:$A$18,0)))</f>
        <v>0</v>
      </c>
      <c r="J644" s="0" t="n">
        <f aca="false">IF($F644=0,0,INDEX(Aux_HH!$G$4:$G$18,MATCH($B644&amp;"|"&amp;$E644,Aux_HH!$A$4:$A$18,0)))</f>
        <v>0</v>
      </c>
      <c r="K644" s="0" t="n">
        <f aca="false">IF($F644=0,0,INDEX(Aux_HH!$H$4:$H$18,MATCH($B644&amp;"|"&amp;$E644,Aux_HH!$A$4:$A$18,0)))</f>
        <v>0</v>
      </c>
      <c r="L644" s="0" t="n">
        <f aca="false">IF($F644=0,0,INDEX(Aux_HH!$I$4:$I$18,MATCH($B644&amp;"|"&amp;$E644,Aux_HH!$A$4:$A$18,0)))</f>
        <v>0</v>
      </c>
    </row>
    <row r="645" customFormat="false" ht="15" hidden="false" customHeight="false" outlineLevel="0" collapsed="false">
      <c r="A645" s="0" t="str">
        <f aca="false">IF(Frota!$A17="","",Frota!$A17)</f>
        <v>Toyota Hilux — 5002</v>
      </c>
      <c r="B645" s="0" t="str">
        <f aca="false">IF(Frota!$A17="","",Frota!$B17)</f>
        <v>Veículo Leve</v>
      </c>
      <c r="C645" s="0" t="n">
        <v>18</v>
      </c>
      <c r="D645" s="0" t="n">
        <f aca="false">INDEX(Semanas!$E$3:$E$54,18)</f>
        <v>7</v>
      </c>
      <c r="E645" s="0" t="str">
        <f aca="false">IF(Frota!$A17="","",Cronograma!S17)</f>
        <v/>
      </c>
      <c r="F645" s="0" t="n">
        <f aca="false">IF(OR($E645="",$E645=0),0,1)</f>
        <v>0</v>
      </c>
      <c r="G645" s="0" t="n">
        <f aca="false">IF($F645=0,0,INDEX(Aux_HH!$D$4:$D$18,MATCH($B645&amp;"|"&amp;$E645,Aux_HH!$A$4:$A$18,0)))</f>
        <v>0</v>
      </c>
      <c r="H645" s="0" t="n">
        <f aca="false">IF($F645=0,0,INDEX(Aux_HH!$E$4:$E$18,MATCH($B645&amp;"|"&amp;$E645,Aux_HH!$A$4:$A$18,0)))</f>
        <v>0</v>
      </c>
      <c r="I645" s="0" t="n">
        <f aca="false">IF($F645=0,0,INDEX(Aux_HH!$F$4:$F$18,MATCH($B645&amp;"|"&amp;$E645,Aux_HH!$A$4:$A$18,0)))</f>
        <v>0</v>
      </c>
      <c r="J645" s="0" t="n">
        <f aca="false">IF($F645=0,0,INDEX(Aux_HH!$G$4:$G$18,MATCH($B645&amp;"|"&amp;$E645,Aux_HH!$A$4:$A$18,0)))</f>
        <v>0</v>
      </c>
      <c r="K645" s="0" t="n">
        <f aca="false">IF($F645=0,0,INDEX(Aux_HH!$H$4:$H$18,MATCH($B645&amp;"|"&amp;$E645,Aux_HH!$A$4:$A$18,0)))</f>
        <v>0</v>
      </c>
      <c r="L645" s="0" t="n">
        <f aca="false">IF($F645=0,0,INDEX(Aux_HH!$I$4:$I$18,MATCH($B645&amp;"|"&amp;$E645,Aux_HH!$A$4:$A$18,0)))</f>
        <v>0</v>
      </c>
    </row>
    <row r="646" customFormat="false" ht="15" hidden="false" customHeight="false" outlineLevel="0" collapsed="false">
      <c r="A646" s="0" t="str">
        <f aca="false">IF(Frota!$A17="","",Frota!$A17)</f>
        <v>Toyota Hilux — 5002</v>
      </c>
      <c r="B646" s="0" t="str">
        <f aca="false">IF(Frota!$A17="","",Frota!$B17)</f>
        <v>Veículo Leve</v>
      </c>
      <c r="C646" s="0" t="n">
        <v>19</v>
      </c>
      <c r="D646" s="0" t="n">
        <f aca="false">INDEX(Semanas!$E$3:$E$54,19)</f>
        <v>8</v>
      </c>
      <c r="E646" s="0" t="str">
        <f aca="false">IF(Frota!$A17="","",Cronograma!T17)</f>
        <v/>
      </c>
      <c r="F646" s="0" t="n">
        <f aca="false">IF(OR($E646="",$E646=0),0,1)</f>
        <v>0</v>
      </c>
      <c r="G646" s="0" t="n">
        <f aca="false">IF($F646=0,0,INDEX(Aux_HH!$D$4:$D$18,MATCH($B646&amp;"|"&amp;$E646,Aux_HH!$A$4:$A$18,0)))</f>
        <v>0</v>
      </c>
      <c r="H646" s="0" t="n">
        <f aca="false">IF($F646=0,0,INDEX(Aux_HH!$E$4:$E$18,MATCH($B646&amp;"|"&amp;$E646,Aux_HH!$A$4:$A$18,0)))</f>
        <v>0</v>
      </c>
      <c r="I646" s="0" t="n">
        <f aca="false">IF($F646=0,0,INDEX(Aux_HH!$F$4:$F$18,MATCH($B646&amp;"|"&amp;$E646,Aux_HH!$A$4:$A$18,0)))</f>
        <v>0</v>
      </c>
      <c r="J646" s="0" t="n">
        <f aca="false">IF($F646=0,0,INDEX(Aux_HH!$G$4:$G$18,MATCH($B646&amp;"|"&amp;$E646,Aux_HH!$A$4:$A$18,0)))</f>
        <v>0</v>
      </c>
      <c r="K646" s="0" t="n">
        <f aca="false">IF($F646=0,0,INDEX(Aux_HH!$H$4:$H$18,MATCH($B646&amp;"|"&amp;$E646,Aux_HH!$A$4:$A$18,0)))</f>
        <v>0</v>
      </c>
      <c r="L646" s="0" t="n">
        <f aca="false">IF($F646=0,0,INDEX(Aux_HH!$I$4:$I$18,MATCH($B646&amp;"|"&amp;$E646,Aux_HH!$A$4:$A$18,0)))</f>
        <v>0</v>
      </c>
    </row>
    <row r="647" customFormat="false" ht="15" hidden="false" customHeight="false" outlineLevel="0" collapsed="false">
      <c r="A647" s="0" t="str">
        <f aca="false">IF(Frota!$A17="","",Frota!$A17)</f>
        <v>Toyota Hilux — 5002</v>
      </c>
      <c r="B647" s="0" t="str">
        <f aca="false">IF(Frota!$A17="","",Frota!$B17)</f>
        <v>Veículo Leve</v>
      </c>
      <c r="C647" s="0" t="n">
        <v>20</v>
      </c>
      <c r="D647" s="0" t="n">
        <f aca="false">INDEX(Semanas!$E$3:$E$54,20)</f>
        <v>8</v>
      </c>
      <c r="E647" s="0" t="str">
        <f aca="false">IF(Frota!$A17="","",Cronograma!U17)</f>
        <v/>
      </c>
      <c r="F647" s="0" t="n">
        <f aca="false">IF(OR($E647="",$E647=0),0,1)</f>
        <v>0</v>
      </c>
      <c r="G647" s="0" t="n">
        <f aca="false">IF($F647=0,0,INDEX(Aux_HH!$D$4:$D$18,MATCH($B647&amp;"|"&amp;$E647,Aux_HH!$A$4:$A$18,0)))</f>
        <v>0</v>
      </c>
      <c r="H647" s="0" t="n">
        <f aca="false">IF($F647=0,0,INDEX(Aux_HH!$E$4:$E$18,MATCH($B647&amp;"|"&amp;$E647,Aux_HH!$A$4:$A$18,0)))</f>
        <v>0</v>
      </c>
      <c r="I647" s="0" t="n">
        <f aca="false">IF($F647=0,0,INDEX(Aux_HH!$F$4:$F$18,MATCH($B647&amp;"|"&amp;$E647,Aux_HH!$A$4:$A$18,0)))</f>
        <v>0</v>
      </c>
      <c r="J647" s="0" t="n">
        <f aca="false">IF($F647=0,0,INDEX(Aux_HH!$G$4:$G$18,MATCH($B647&amp;"|"&amp;$E647,Aux_HH!$A$4:$A$18,0)))</f>
        <v>0</v>
      </c>
      <c r="K647" s="0" t="n">
        <f aca="false">IF($F647=0,0,INDEX(Aux_HH!$H$4:$H$18,MATCH($B647&amp;"|"&amp;$E647,Aux_HH!$A$4:$A$18,0)))</f>
        <v>0</v>
      </c>
      <c r="L647" s="0" t="n">
        <f aca="false">IF($F647=0,0,INDEX(Aux_HH!$I$4:$I$18,MATCH($B647&amp;"|"&amp;$E647,Aux_HH!$A$4:$A$18,0)))</f>
        <v>0</v>
      </c>
    </row>
    <row r="648" customFormat="false" ht="15" hidden="false" customHeight="false" outlineLevel="0" collapsed="false">
      <c r="A648" s="0" t="str">
        <f aca="false">IF(Frota!$A17="","",Frota!$A17)</f>
        <v>Toyota Hilux — 5002</v>
      </c>
      <c r="B648" s="0" t="str">
        <f aca="false">IF(Frota!$A17="","",Frota!$B17)</f>
        <v>Veículo Leve</v>
      </c>
      <c r="C648" s="0" t="n">
        <v>21</v>
      </c>
      <c r="D648" s="0" t="n">
        <f aca="false">INDEX(Semanas!$E$3:$E$54,21)</f>
        <v>8</v>
      </c>
      <c r="E648" s="0" t="str">
        <f aca="false">IF(Frota!$A17="","",Cronograma!V17)</f>
        <v/>
      </c>
      <c r="F648" s="0" t="n">
        <f aca="false">IF(OR($E648="",$E648=0),0,1)</f>
        <v>0</v>
      </c>
      <c r="G648" s="0" t="n">
        <f aca="false">IF($F648=0,0,INDEX(Aux_HH!$D$4:$D$18,MATCH($B648&amp;"|"&amp;$E648,Aux_HH!$A$4:$A$18,0)))</f>
        <v>0</v>
      </c>
      <c r="H648" s="0" t="n">
        <f aca="false">IF($F648=0,0,INDEX(Aux_HH!$E$4:$E$18,MATCH($B648&amp;"|"&amp;$E648,Aux_HH!$A$4:$A$18,0)))</f>
        <v>0</v>
      </c>
      <c r="I648" s="0" t="n">
        <f aca="false">IF($F648=0,0,INDEX(Aux_HH!$F$4:$F$18,MATCH($B648&amp;"|"&amp;$E648,Aux_HH!$A$4:$A$18,0)))</f>
        <v>0</v>
      </c>
      <c r="J648" s="0" t="n">
        <f aca="false">IF($F648=0,0,INDEX(Aux_HH!$G$4:$G$18,MATCH($B648&amp;"|"&amp;$E648,Aux_HH!$A$4:$A$18,0)))</f>
        <v>0</v>
      </c>
      <c r="K648" s="0" t="n">
        <f aca="false">IF($F648=0,0,INDEX(Aux_HH!$H$4:$H$18,MATCH($B648&amp;"|"&amp;$E648,Aux_HH!$A$4:$A$18,0)))</f>
        <v>0</v>
      </c>
      <c r="L648" s="0" t="n">
        <f aca="false">IF($F648=0,0,INDEX(Aux_HH!$I$4:$I$18,MATCH($B648&amp;"|"&amp;$E648,Aux_HH!$A$4:$A$18,0)))</f>
        <v>0</v>
      </c>
    </row>
    <row r="649" customFormat="false" ht="15" hidden="false" customHeight="false" outlineLevel="0" collapsed="false">
      <c r="A649" s="0" t="str">
        <f aca="false">IF(Frota!$A17="","",Frota!$A17)</f>
        <v>Toyota Hilux — 5002</v>
      </c>
      <c r="B649" s="0" t="str">
        <f aca="false">IF(Frota!$A17="","",Frota!$B17)</f>
        <v>Veículo Leve</v>
      </c>
      <c r="C649" s="0" t="n">
        <v>22</v>
      </c>
      <c r="D649" s="0" t="n">
        <f aca="false">INDEX(Semanas!$E$3:$E$54,22)</f>
        <v>8</v>
      </c>
      <c r="E649" s="0" t="str">
        <f aca="false">IF(Frota!$A17="","",Cronograma!W17)</f>
        <v/>
      </c>
      <c r="F649" s="0" t="n">
        <f aca="false">IF(OR($E649="",$E649=0),0,1)</f>
        <v>0</v>
      </c>
      <c r="G649" s="0" t="n">
        <f aca="false">IF($F649=0,0,INDEX(Aux_HH!$D$4:$D$18,MATCH($B649&amp;"|"&amp;$E649,Aux_HH!$A$4:$A$18,0)))</f>
        <v>0</v>
      </c>
      <c r="H649" s="0" t="n">
        <f aca="false">IF($F649=0,0,INDEX(Aux_HH!$E$4:$E$18,MATCH($B649&amp;"|"&amp;$E649,Aux_HH!$A$4:$A$18,0)))</f>
        <v>0</v>
      </c>
      <c r="I649" s="0" t="n">
        <f aca="false">IF($F649=0,0,INDEX(Aux_HH!$F$4:$F$18,MATCH($B649&amp;"|"&amp;$E649,Aux_HH!$A$4:$A$18,0)))</f>
        <v>0</v>
      </c>
      <c r="J649" s="0" t="n">
        <f aca="false">IF($F649=0,0,INDEX(Aux_HH!$G$4:$G$18,MATCH($B649&amp;"|"&amp;$E649,Aux_HH!$A$4:$A$18,0)))</f>
        <v>0</v>
      </c>
      <c r="K649" s="0" t="n">
        <f aca="false">IF($F649=0,0,INDEX(Aux_HH!$H$4:$H$18,MATCH($B649&amp;"|"&amp;$E649,Aux_HH!$A$4:$A$18,0)))</f>
        <v>0</v>
      </c>
      <c r="L649" s="0" t="n">
        <f aca="false">IF($F649=0,0,INDEX(Aux_HH!$I$4:$I$18,MATCH($B649&amp;"|"&amp;$E649,Aux_HH!$A$4:$A$18,0)))</f>
        <v>0</v>
      </c>
    </row>
    <row r="650" customFormat="false" ht="15" hidden="false" customHeight="false" outlineLevel="0" collapsed="false">
      <c r="A650" s="0" t="str">
        <f aca="false">IF(Frota!$A17="","",Frota!$A17)</f>
        <v>Toyota Hilux — 5002</v>
      </c>
      <c r="B650" s="0" t="str">
        <f aca="false">IF(Frota!$A17="","",Frota!$B17)</f>
        <v>Veículo Leve</v>
      </c>
      <c r="C650" s="0" t="n">
        <v>23</v>
      </c>
      <c r="D650" s="0" t="n">
        <f aca="false">INDEX(Semanas!$E$3:$E$54,23)</f>
        <v>9</v>
      </c>
      <c r="E650" s="0" t="str">
        <f aca="false">IF(Frota!$A17="","",Cronograma!X17)</f>
        <v/>
      </c>
      <c r="F650" s="0" t="n">
        <f aca="false">IF(OR($E650="",$E650=0),0,1)</f>
        <v>0</v>
      </c>
      <c r="G650" s="0" t="n">
        <f aca="false">IF($F650=0,0,INDEX(Aux_HH!$D$4:$D$18,MATCH($B650&amp;"|"&amp;$E650,Aux_HH!$A$4:$A$18,0)))</f>
        <v>0</v>
      </c>
      <c r="H650" s="0" t="n">
        <f aca="false">IF($F650=0,0,INDEX(Aux_HH!$E$4:$E$18,MATCH($B650&amp;"|"&amp;$E650,Aux_HH!$A$4:$A$18,0)))</f>
        <v>0</v>
      </c>
      <c r="I650" s="0" t="n">
        <f aca="false">IF($F650=0,0,INDEX(Aux_HH!$F$4:$F$18,MATCH($B650&amp;"|"&amp;$E650,Aux_HH!$A$4:$A$18,0)))</f>
        <v>0</v>
      </c>
      <c r="J650" s="0" t="n">
        <f aca="false">IF($F650=0,0,INDEX(Aux_HH!$G$4:$G$18,MATCH($B650&amp;"|"&amp;$E650,Aux_HH!$A$4:$A$18,0)))</f>
        <v>0</v>
      </c>
      <c r="K650" s="0" t="n">
        <f aca="false">IF($F650=0,0,INDEX(Aux_HH!$H$4:$H$18,MATCH($B650&amp;"|"&amp;$E650,Aux_HH!$A$4:$A$18,0)))</f>
        <v>0</v>
      </c>
      <c r="L650" s="0" t="n">
        <f aca="false">IF($F650=0,0,INDEX(Aux_HH!$I$4:$I$18,MATCH($B650&amp;"|"&amp;$E650,Aux_HH!$A$4:$A$18,0)))</f>
        <v>0</v>
      </c>
    </row>
    <row r="651" customFormat="false" ht="15" hidden="false" customHeight="false" outlineLevel="0" collapsed="false">
      <c r="A651" s="0" t="str">
        <f aca="false">IF(Frota!$A17="","",Frota!$A17)</f>
        <v>Toyota Hilux — 5002</v>
      </c>
      <c r="B651" s="0" t="str">
        <f aca="false">IF(Frota!$A17="","",Frota!$B17)</f>
        <v>Veículo Leve</v>
      </c>
      <c r="C651" s="0" t="n">
        <v>24</v>
      </c>
      <c r="D651" s="0" t="n">
        <f aca="false">INDEX(Semanas!$E$3:$E$54,24)</f>
        <v>9</v>
      </c>
      <c r="E651" s="0" t="str">
        <f aca="false">IF(Frota!$A17="","",Cronograma!Y17)</f>
        <v/>
      </c>
      <c r="F651" s="0" t="n">
        <f aca="false">IF(OR($E651="",$E651=0),0,1)</f>
        <v>0</v>
      </c>
      <c r="G651" s="0" t="n">
        <f aca="false">IF($F651=0,0,INDEX(Aux_HH!$D$4:$D$18,MATCH($B651&amp;"|"&amp;$E651,Aux_HH!$A$4:$A$18,0)))</f>
        <v>0</v>
      </c>
      <c r="H651" s="0" t="n">
        <f aca="false">IF($F651=0,0,INDEX(Aux_HH!$E$4:$E$18,MATCH($B651&amp;"|"&amp;$E651,Aux_HH!$A$4:$A$18,0)))</f>
        <v>0</v>
      </c>
      <c r="I651" s="0" t="n">
        <f aca="false">IF($F651=0,0,INDEX(Aux_HH!$F$4:$F$18,MATCH($B651&amp;"|"&amp;$E651,Aux_HH!$A$4:$A$18,0)))</f>
        <v>0</v>
      </c>
      <c r="J651" s="0" t="n">
        <f aca="false">IF($F651=0,0,INDEX(Aux_HH!$G$4:$G$18,MATCH($B651&amp;"|"&amp;$E651,Aux_HH!$A$4:$A$18,0)))</f>
        <v>0</v>
      </c>
      <c r="K651" s="0" t="n">
        <f aca="false">IF($F651=0,0,INDEX(Aux_HH!$H$4:$H$18,MATCH($B651&amp;"|"&amp;$E651,Aux_HH!$A$4:$A$18,0)))</f>
        <v>0</v>
      </c>
      <c r="L651" s="0" t="n">
        <f aca="false">IF($F651=0,0,INDEX(Aux_HH!$I$4:$I$18,MATCH($B651&amp;"|"&amp;$E651,Aux_HH!$A$4:$A$18,0)))</f>
        <v>0</v>
      </c>
    </row>
    <row r="652" customFormat="false" ht="15" hidden="false" customHeight="false" outlineLevel="0" collapsed="false">
      <c r="A652" s="0" t="str">
        <f aca="false">IF(Frota!$A17="","",Frota!$A17)</f>
        <v>Toyota Hilux — 5002</v>
      </c>
      <c r="B652" s="0" t="str">
        <f aca="false">IF(Frota!$A17="","",Frota!$B17)</f>
        <v>Veículo Leve</v>
      </c>
      <c r="C652" s="0" t="n">
        <v>25</v>
      </c>
      <c r="D652" s="0" t="n">
        <f aca="false">INDEX(Semanas!$E$3:$E$54,25)</f>
        <v>9</v>
      </c>
      <c r="E652" s="0" t="str">
        <f aca="false">IF(Frota!$A17="","",Cronograma!Z17)</f>
        <v/>
      </c>
      <c r="F652" s="0" t="n">
        <f aca="false">IF(OR($E652="",$E652=0),0,1)</f>
        <v>0</v>
      </c>
      <c r="G652" s="0" t="n">
        <f aca="false">IF($F652=0,0,INDEX(Aux_HH!$D$4:$D$18,MATCH($B652&amp;"|"&amp;$E652,Aux_HH!$A$4:$A$18,0)))</f>
        <v>0</v>
      </c>
      <c r="H652" s="0" t="n">
        <f aca="false">IF($F652=0,0,INDEX(Aux_HH!$E$4:$E$18,MATCH($B652&amp;"|"&amp;$E652,Aux_HH!$A$4:$A$18,0)))</f>
        <v>0</v>
      </c>
      <c r="I652" s="0" t="n">
        <f aca="false">IF($F652=0,0,INDEX(Aux_HH!$F$4:$F$18,MATCH($B652&amp;"|"&amp;$E652,Aux_HH!$A$4:$A$18,0)))</f>
        <v>0</v>
      </c>
      <c r="J652" s="0" t="n">
        <f aca="false">IF($F652=0,0,INDEX(Aux_HH!$G$4:$G$18,MATCH($B652&amp;"|"&amp;$E652,Aux_HH!$A$4:$A$18,0)))</f>
        <v>0</v>
      </c>
      <c r="K652" s="0" t="n">
        <f aca="false">IF($F652=0,0,INDEX(Aux_HH!$H$4:$H$18,MATCH($B652&amp;"|"&amp;$E652,Aux_HH!$A$4:$A$18,0)))</f>
        <v>0</v>
      </c>
      <c r="L652" s="0" t="n">
        <f aca="false">IF($F652=0,0,INDEX(Aux_HH!$I$4:$I$18,MATCH($B652&amp;"|"&amp;$E652,Aux_HH!$A$4:$A$18,0)))</f>
        <v>0</v>
      </c>
    </row>
    <row r="653" customFormat="false" ht="15" hidden="false" customHeight="false" outlineLevel="0" collapsed="false">
      <c r="A653" s="0" t="str">
        <f aca="false">IF(Frota!$A17="","",Frota!$A17)</f>
        <v>Toyota Hilux — 5002</v>
      </c>
      <c r="B653" s="0" t="str">
        <f aca="false">IF(Frota!$A17="","",Frota!$B17)</f>
        <v>Veículo Leve</v>
      </c>
      <c r="C653" s="0" t="n">
        <v>26</v>
      </c>
      <c r="D653" s="0" t="n">
        <f aca="false">INDEX(Semanas!$E$3:$E$54,26)</f>
        <v>9</v>
      </c>
      <c r="E653" s="0" t="str">
        <f aca="false">IF(Frota!$A17="","",Cronograma!AA17)</f>
        <v>S</v>
      </c>
      <c r="F653" s="0" t="n">
        <f aca="false">IF(OR($E653="",$E653=0),0,1)</f>
        <v>1</v>
      </c>
      <c r="G653" s="0" t="n">
        <f aca="false">IF($F653=0,0,INDEX(Aux_HH!$D$4:$D$18,MATCH($B653&amp;"|"&amp;$E653,Aux_HH!$A$4:$A$18,0)))</f>
        <v>0</v>
      </c>
      <c r="H653" s="0" t="n">
        <f aca="false">IF($F653=0,0,INDEX(Aux_HH!$E$4:$E$18,MATCH($B653&amp;"|"&amp;$E653,Aux_HH!$A$4:$A$18,0)))</f>
        <v>0</v>
      </c>
      <c r="I653" s="0" t="n">
        <f aca="false">IF($F653=0,0,INDEX(Aux_HH!$F$4:$F$18,MATCH($B653&amp;"|"&amp;$E653,Aux_HH!$A$4:$A$18,0)))</f>
        <v>0</v>
      </c>
      <c r="J653" s="0" t="n">
        <f aca="false">IF($F653=0,0,INDEX(Aux_HH!$G$4:$G$18,MATCH($B653&amp;"|"&amp;$E653,Aux_HH!$A$4:$A$18,0)))</f>
        <v>0</v>
      </c>
      <c r="K653" s="0" t="n">
        <f aca="false">IF($F653=0,0,INDEX(Aux_HH!$H$4:$H$18,MATCH($B653&amp;"|"&amp;$E653,Aux_HH!$A$4:$A$18,0)))</f>
        <v>0</v>
      </c>
      <c r="L653" s="0" t="n">
        <f aca="false">IF($F653=0,0,INDEX(Aux_HH!$I$4:$I$18,MATCH($B653&amp;"|"&amp;$E653,Aux_HH!$A$4:$A$18,0)))</f>
        <v>0</v>
      </c>
    </row>
    <row r="654" customFormat="false" ht="15" hidden="false" customHeight="false" outlineLevel="0" collapsed="false">
      <c r="A654" s="0" t="str">
        <f aca="false">IF(Frota!$A17="","",Frota!$A17)</f>
        <v>Toyota Hilux — 5002</v>
      </c>
      <c r="B654" s="0" t="str">
        <f aca="false">IF(Frota!$A17="","",Frota!$B17)</f>
        <v>Veículo Leve</v>
      </c>
      <c r="C654" s="0" t="n">
        <v>27</v>
      </c>
      <c r="D654" s="0" t="n">
        <f aca="false">INDEX(Semanas!$E$3:$E$54,27)</f>
        <v>9</v>
      </c>
      <c r="E654" s="0" t="str">
        <f aca="false">IF(Frota!$A17="","",Cronograma!AB17)</f>
        <v/>
      </c>
      <c r="F654" s="0" t="n">
        <f aca="false">IF(OR($E654="",$E654=0),0,1)</f>
        <v>0</v>
      </c>
      <c r="G654" s="0" t="n">
        <f aca="false">IF($F654=0,0,INDEX(Aux_HH!$D$4:$D$18,MATCH($B654&amp;"|"&amp;$E654,Aux_HH!$A$4:$A$18,0)))</f>
        <v>0</v>
      </c>
      <c r="H654" s="0" t="n">
        <f aca="false">IF($F654=0,0,INDEX(Aux_HH!$E$4:$E$18,MATCH($B654&amp;"|"&amp;$E654,Aux_HH!$A$4:$A$18,0)))</f>
        <v>0</v>
      </c>
      <c r="I654" s="0" t="n">
        <f aca="false">IF($F654=0,0,INDEX(Aux_HH!$F$4:$F$18,MATCH($B654&amp;"|"&amp;$E654,Aux_HH!$A$4:$A$18,0)))</f>
        <v>0</v>
      </c>
      <c r="J654" s="0" t="n">
        <f aca="false">IF($F654=0,0,INDEX(Aux_HH!$G$4:$G$18,MATCH($B654&amp;"|"&amp;$E654,Aux_HH!$A$4:$A$18,0)))</f>
        <v>0</v>
      </c>
      <c r="K654" s="0" t="n">
        <f aca="false">IF($F654=0,0,INDEX(Aux_HH!$H$4:$H$18,MATCH($B654&amp;"|"&amp;$E654,Aux_HH!$A$4:$A$18,0)))</f>
        <v>0</v>
      </c>
      <c r="L654" s="0" t="n">
        <f aca="false">IF($F654=0,0,INDEX(Aux_HH!$I$4:$I$18,MATCH($B654&amp;"|"&amp;$E654,Aux_HH!$A$4:$A$18,0)))</f>
        <v>0</v>
      </c>
    </row>
    <row r="655" customFormat="false" ht="15" hidden="false" customHeight="false" outlineLevel="0" collapsed="false">
      <c r="A655" s="0" t="str">
        <f aca="false">IF(Frota!$A17="","",Frota!$A17)</f>
        <v>Toyota Hilux — 5002</v>
      </c>
      <c r="B655" s="0" t="str">
        <f aca="false">IF(Frota!$A17="","",Frota!$B17)</f>
        <v>Veículo Leve</v>
      </c>
      <c r="C655" s="0" t="n">
        <v>28</v>
      </c>
      <c r="D655" s="0" t="n">
        <f aca="false">INDEX(Semanas!$E$3:$E$54,28)</f>
        <v>10</v>
      </c>
      <c r="E655" s="0" t="str">
        <f aca="false">IF(Frota!$A17="","",Cronograma!AC17)</f>
        <v/>
      </c>
      <c r="F655" s="0" t="n">
        <f aca="false">IF(OR($E655="",$E655=0),0,1)</f>
        <v>0</v>
      </c>
      <c r="G655" s="0" t="n">
        <f aca="false">IF($F655=0,0,INDEX(Aux_HH!$D$4:$D$18,MATCH($B655&amp;"|"&amp;$E655,Aux_HH!$A$4:$A$18,0)))</f>
        <v>0</v>
      </c>
      <c r="H655" s="0" t="n">
        <f aca="false">IF($F655=0,0,INDEX(Aux_HH!$E$4:$E$18,MATCH($B655&amp;"|"&amp;$E655,Aux_HH!$A$4:$A$18,0)))</f>
        <v>0</v>
      </c>
      <c r="I655" s="0" t="n">
        <f aca="false">IF($F655=0,0,INDEX(Aux_HH!$F$4:$F$18,MATCH($B655&amp;"|"&amp;$E655,Aux_HH!$A$4:$A$18,0)))</f>
        <v>0</v>
      </c>
      <c r="J655" s="0" t="n">
        <f aca="false">IF($F655=0,0,INDEX(Aux_HH!$G$4:$G$18,MATCH($B655&amp;"|"&amp;$E655,Aux_HH!$A$4:$A$18,0)))</f>
        <v>0</v>
      </c>
      <c r="K655" s="0" t="n">
        <f aca="false">IF($F655=0,0,INDEX(Aux_HH!$H$4:$H$18,MATCH($B655&amp;"|"&amp;$E655,Aux_HH!$A$4:$A$18,0)))</f>
        <v>0</v>
      </c>
      <c r="L655" s="0" t="n">
        <f aca="false">IF($F655=0,0,INDEX(Aux_HH!$I$4:$I$18,MATCH($B655&amp;"|"&amp;$E655,Aux_HH!$A$4:$A$18,0)))</f>
        <v>0</v>
      </c>
    </row>
    <row r="656" customFormat="false" ht="15" hidden="false" customHeight="false" outlineLevel="0" collapsed="false">
      <c r="A656" s="0" t="str">
        <f aca="false">IF(Frota!$A17="","",Frota!$A17)</f>
        <v>Toyota Hilux — 5002</v>
      </c>
      <c r="B656" s="0" t="str">
        <f aca="false">IF(Frota!$A17="","",Frota!$B17)</f>
        <v>Veículo Leve</v>
      </c>
      <c r="C656" s="0" t="n">
        <v>29</v>
      </c>
      <c r="D656" s="0" t="n">
        <f aca="false">INDEX(Semanas!$E$3:$E$54,29)</f>
        <v>10</v>
      </c>
      <c r="E656" s="0" t="str">
        <f aca="false">IF(Frota!$A17="","",Cronograma!AD17)</f>
        <v/>
      </c>
      <c r="F656" s="0" t="n">
        <f aca="false">IF(OR($E656="",$E656=0),0,1)</f>
        <v>0</v>
      </c>
      <c r="G656" s="0" t="n">
        <f aca="false">IF($F656=0,0,INDEX(Aux_HH!$D$4:$D$18,MATCH($B656&amp;"|"&amp;$E656,Aux_HH!$A$4:$A$18,0)))</f>
        <v>0</v>
      </c>
      <c r="H656" s="0" t="n">
        <f aca="false">IF($F656=0,0,INDEX(Aux_HH!$E$4:$E$18,MATCH($B656&amp;"|"&amp;$E656,Aux_HH!$A$4:$A$18,0)))</f>
        <v>0</v>
      </c>
      <c r="I656" s="0" t="n">
        <f aca="false">IF($F656=0,0,INDEX(Aux_HH!$F$4:$F$18,MATCH($B656&amp;"|"&amp;$E656,Aux_HH!$A$4:$A$18,0)))</f>
        <v>0</v>
      </c>
      <c r="J656" s="0" t="n">
        <f aca="false">IF($F656=0,0,INDEX(Aux_HH!$G$4:$G$18,MATCH($B656&amp;"|"&amp;$E656,Aux_HH!$A$4:$A$18,0)))</f>
        <v>0</v>
      </c>
      <c r="K656" s="0" t="n">
        <f aca="false">IF($F656=0,0,INDEX(Aux_HH!$H$4:$H$18,MATCH($B656&amp;"|"&amp;$E656,Aux_HH!$A$4:$A$18,0)))</f>
        <v>0</v>
      </c>
      <c r="L656" s="0" t="n">
        <f aca="false">IF($F656=0,0,INDEX(Aux_HH!$I$4:$I$18,MATCH($B656&amp;"|"&amp;$E656,Aux_HH!$A$4:$A$18,0)))</f>
        <v>0</v>
      </c>
    </row>
    <row r="657" customFormat="false" ht="15" hidden="false" customHeight="false" outlineLevel="0" collapsed="false">
      <c r="A657" s="0" t="str">
        <f aca="false">IF(Frota!$A17="","",Frota!$A17)</f>
        <v>Toyota Hilux — 5002</v>
      </c>
      <c r="B657" s="0" t="str">
        <f aca="false">IF(Frota!$A17="","",Frota!$B17)</f>
        <v>Veículo Leve</v>
      </c>
      <c r="C657" s="0" t="n">
        <v>30</v>
      </c>
      <c r="D657" s="0" t="n">
        <f aca="false">INDEX(Semanas!$E$3:$E$54,30)</f>
        <v>10</v>
      </c>
      <c r="E657" s="0" t="str">
        <f aca="false">IF(Frota!$A17="","",Cronograma!AE17)</f>
        <v/>
      </c>
      <c r="F657" s="0" t="n">
        <f aca="false">IF(OR($E657="",$E657=0),0,1)</f>
        <v>0</v>
      </c>
      <c r="G657" s="0" t="n">
        <f aca="false">IF($F657=0,0,INDEX(Aux_HH!$D$4:$D$18,MATCH($B657&amp;"|"&amp;$E657,Aux_HH!$A$4:$A$18,0)))</f>
        <v>0</v>
      </c>
      <c r="H657" s="0" t="n">
        <f aca="false">IF($F657=0,0,INDEX(Aux_HH!$E$4:$E$18,MATCH($B657&amp;"|"&amp;$E657,Aux_HH!$A$4:$A$18,0)))</f>
        <v>0</v>
      </c>
      <c r="I657" s="0" t="n">
        <f aca="false">IF($F657=0,0,INDEX(Aux_HH!$F$4:$F$18,MATCH($B657&amp;"|"&amp;$E657,Aux_HH!$A$4:$A$18,0)))</f>
        <v>0</v>
      </c>
      <c r="J657" s="0" t="n">
        <f aca="false">IF($F657=0,0,INDEX(Aux_HH!$G$4:$G$18,MATCH($B657&amp;"|"&amp;$E657,Aux_HH!$A$4:$A$18,0)))</f>
        <v>0</v>
      </c>
      <c r="K657" s="0" t="n">
        <f aca="false">IF($F657=0,0,INDEX(Aux_HH!$H$4:$H$18,MATCH($B657&amp;"|"&amp;$E657,Aux_HH!$A$4:$A$18,0)))</f>
        <v>0</v>
      </c>
      <c r="L657" s="0" t="n">
        <f aca="false">IF($F657=0,0,INDEX(Aux_HH!$I$4:$I$18,MATCH($B657&amp;"|"&amp;$E657,Aux_HH!$A$4:$A$18,0)))</f>
        <v>0</v>
      </c>
    </row>
    <row r="658" customFormat="false" ht="15" hidden="false" customHeight="false" outlineLevel="0" collapsed="false">
      <c r="A658" s="0" t="str">
        <f aca="false">IF(Frota!$A17="","",Frota!$A17)</f>
        <v>Toyota Hilux — 5002</v>
      </c>
      <c r="B658" s="0" t="str">
        <f aca="false">IF(Frota!$A17="","",Frota!$B17)</f>
        <v>Veículo Leve</v>
      </c>
      <c r="C658" s="0" t="n">
        <v>31</v>
      </c>
      <c r="D658" s="0" t="n">
        <f aca="false">INDEX(Semanas!$E$3:$E$54,31)</f>
        <v>10</v>
      </c>
      <c r="E658" s="0" t="str">
        <f aca="false">IF(Frota!$A17="","",Cronograma!AF17)</f>
        <v/>
      </c>
      <c r="F658" s="0" t="n">
        <f aca="false">IF(OR($E658="",$E658=0),0,1)</f>
        <v>0</v>
      </c>
      <c r="G658" s="0" t="n">
        <f aca="false">IF($F658=0,0,INDEX(Aux_HH!$D$4:$D$18,MATCH($B658&amp;"|"&amp;$E658,Aux_HH!$A$4:$A$18,0)))</f>
        <v>0</v>
      </c>
      <c r="H658" s="0" t="n">
        <f aca="false">IF($F658=0,0,INDEX(Aux_HH!$E$4:$E$18,MATCH($B658&amp;"|"&amp;$E658,Aux_HH!$A$4:$A$18,0)))</f>
        <v>0</v>
      </c>
      <c r="I658" s="0" t="n">
        <f aca="false">IF($F658=0,0,INDEX(Aux_HH!$F$4:$F$18,MATCH($B658&amp;"|"&amp;$E658,Aux_HH!$A$4:$A$18,0)))</f>
        <v>0</v>
      </c>
      <c r="J658" s="0" t="n">
        <f aca="false">IF($F658=0,0,INDEX(Aux_HH!$G$4:$G$18,MATCH($B658&amp;"|"&amp;$E658,Aux_HH!$A$4:$A$18,0)))</f>
        <v>0</v>
      </c>
      <c r="K658" s="0" t="n">
        <f aca="false">IF($F658=0,0,INDEX(Aux_HH!$H$4:$H$18,MATCH($B658&amp;"|"&amp;$E658,Aux_HH!$A$4:$A$18,0)))</f>
        <v>0</v>
      </c>
      <c r="L658" s="0" t="n">
        <f aca="false">IF($F658=0,0,INDEX(Aux_HH!$I$4:$I$18,MATCH($B658&amp;"|"&amp;$E658,Aux_HH!$A$4:$A$18,0)))</f>
        <v>0</v>
      </c>
    </row>
    <row r="659" customFormat="false" ht="15" hidden="false" customHeight="false" outlineLevel="0" collapsed="false">
      <c r="A659" s="0" t="str">
        <f aca="false">IF(Frota!$A17="","",Frota!$A17)</f>
        <v>Toyota Hilux — 5002</v>
      </c>
      <c r="B659" s="0" t="str">
        <f aca="false">IF(Frota!$A17="","",Frota!$B17)</f>
        <v>Veículo Leve</v>
      </c>
      <c r="C659" s="0" t="n">
        <v>32</v>
      </c>
      <c r="D659" s="0" t="n">
        <f aca="false">INDEX(Semanas!$E$3:$E$54,32)</f>
        <v>11</v>
      </c>
      <c r="E659" s="0" t="str">
        <f aca="false">IF(Frota!$A17="","",Cronograma!AG17)</f>
        <v/>
      </c>
      <c r="F659" s="0" t="n">
        <f aca="false">IF(OR($E659="",$E659=0),0,1)</f>
        <v>0</v>
      </c>
      <c r="G659" s="0" t="n">
        <f aca="false">IF($F659=0,0,INDEX(Aux_HH!$D$4:$D$18,MATCH($B659&amp;"|"&amp;$E659,Aux_HH!$A$4:$A$18,0)))</f>
        <v>0</v>
      </c>
      <c r="H659" s="0" t="n">
        <f aca="false">IF($F659=0,0,INDEX(Aux_HH!$E$4:$E$18,MATCH($B659&amp;"|"&amp;$E659,Aux_HH!$A$4:$A$18,0)))</f>
        <v>0</v>
      </c>
      <c r="I659" s="0" t="n">
        <f aca="false">IF($F659=0,0,INDEX(Aux_HH!$F$4:$F$18,MATCH($B659&amp;"|"&amp;$E659,Aux_HH!$A$4:$A$18,0)))</f>
        <v>0</v>
      </c>
      <c r="J659" s="0" t="n">
        <f aca="false">IF($F659=0,0,INDEX(Aux_HH!$G$4:$G$18,MATCH($B659&amp;"|"&amp;$E659,Aux_HH!$A$4:$A$18,0)))</f>
        <v>0</v>
      </c>
      <c r="K659" s="0" t="n">
        <f aca="false">IF($F659=0,0,INDEX(Aux_HH!$H$4:$H$18,MATCH($B659&amp;"|"&amp;$E659,Aux_HH!$A$4:$A$18,0)))</f>
        <v>0</v>
      </c>
      <c r="L659" s="0" t="n">
        <f aca="false">IF($F659=0,0,INDEX(Aux_HH!$I$4:$I$18,MATCH($B659&amp;"|"&amp;$E659,Aux_HH!$A$4:$A$18,0)))</f>
        <v>0</v>
      </c>
    </row>
    <row r="660" customFormat="false" ht="15" hidden="false" customHeight="false" outlineLevel="0" collapsed="false">
      <c r="A660" s="0" t="str">
        <f aca="false">IF(Frota!$A17="","",Frota!$A17)</f>
        <v>Toyota Hilux — 5002</v>
      </c>
      <c r="B660" s="0" t="str">
        <f aca="false">IF(Frota!$A17="","",Frota!$B17)</f>
        <v>Veículo Leve</v>
      </c>
      <c r="C660" s="0" t="n">
        <v>33</v>
      </c>
      <c r="D660" s="0" t="n">
        <f aca="false">INDEX(Semanas!$E$3:$E$54,33)</f>
        <v>11</v>
      </c>
      <c r="E660" s="0" t="str">
        <f aca="false">IF(Frota!$A17="","",Cronograma!AH17)</f>
        <v/>
      </c>
      <c r="F660" s="0" t="n">
        <f aca="false">IF(OR($E660="",$E660=0),0,1)</f>
        <v>0</v>
      </c>
      <c r="G660" s="0" t="n">
        <f aca="false">IF($F660=0,0,INDEX(Aux_HH!$D$4:$D$18,MATCH($B660&amp;"|"&amp;$E660,Aux_HH!$A$4:$A$18,0)))</f>
        <v>0</v>
      </c>
      <c r="H660" s="0" t="n">
        <f aca="false">IF($F660=0,0,INDEX(Aux_HH!$E$4:$E$18,MATCH($B660&amp;"|"&amp;$E660,Aux_HH!$A$4:$A$18,0)))</f>
        <v>0</v>
      </c>
      <c r="I660" s="0" t="n">
        <f aca="false">IF($F660=0,0,INDEX(Aux_HH!$F$4:$F$18,MATCH($B660&amp;"|"&amp;$E660,Aux_HH!$A$4:$A$18,0)))</f>
        <v>0</v>
      </c>
      <c r="J660" s="0" t="n">
        <f aca="false">IF($F660=0,0,INDEX(Aux_HH!$G$4:$G$18,MATCH($B660&amp;"|"&amp;$E660,Aux_HH!$A$4:$A$18,0)))</f>
        <v>0</v>
      </c>
      <c r="K660" s="0" t="n">
        <f aca="false">IF($F660=0,0,INDEX(Aux_HH!$H$4:$H$18,MATCH($B660&amp;"|"&amp;$E660,Aux_HH!$A$4:$A$18,0)))</f>
        <v>0</v>
      </c>
      <c r="L660" s="0" t="n">
        <f aca="false">IF($F660=0,0,INDEX(Aux_HH!$I$4:$I$18,MATCH($B660&amp;"|"&amp;$E660,Aux_HH!$A$4:$A$18,0)))</f>
        <v>0</v>
      </c>
    </row>
    <row r="661" customFormat="false" ht="15" hidden="false" customHeight="false" outlineLevel="0" collapsed="false">
      <c r="A661" s="0" t="str">
        <f aca="false">IF(Frota!$A17="","",Frota!$A17)</f>
        <v>Toyota Hilux — 5002</v>
      </c>
      <c r="B661" s="0" t="str">
        <f aca="false">IF(Frota!$A17="","",Frota!$B17)</f>
        <v>Veículo Leve</v>
      </c>
      <c r="C661" s="0" t="n">
        <v>34</v>
      </c>
      <c r="D661" s="0" t="n">
        <f aca="false">INDEX(Semanas!$E$3:$E$54,34)</f>
        <v>11</v>
      </c>
      <c r="E661" s="0" t="str">
        <f aca="false">IF(Frota!$A17="","",Cronograma!AI17)</f>
        <v/>
      </c>
      <c r="F661" s="0" t="n">
        <f aca="false">IF(OR($E661="",$E661=0),0,1)</f>
        <v>0</v>
      </c>
      <c r="G661" s="0" t="n">
        <f aca="false">IF($F661=0,0,INDEX(Aux_HH!$D$4:$D$18,MATCH($B661&amp;"|"&amp;$E661,Aux_HH!$A$4:$A$18,0)))</f>
        <v>0</v>
      </c>
      <c r="H661" s="0" t="n">
        <f aca="false">IF($F661=0,0,INDEX(Aux_HH!$E$4:$E$18,MATCH($B661&amp;"|"&amp;$E661,Aux_HH!$A$4:$A$18,0)))</f>
        <v>0</v>
      </c>
      <c r="I661" s="0" t="n">
        <f aca="false">IF($F661=0,0,INDEX(Aux_HH!$F$4:$F$18,MATCH($B661&amp;"|"&amp;$E661,Aux_HH!$A$4:$A$18,0)))</f>
        <v>0</v>
      </c>
      <c r="J661" s="0" t="n">
        <f aca="false">IF($F661=0,0,INDEX(Aux_HH!$G$4:$G$18,MATCH($B661&amp;"|"&amp;$E661,Aux_HH!$A$4:$A$18,0)))</f>
        <v>0</v>
      </c>
      <c r="K661" s="0" t="n">
        <f aca="false">IF($F661=0,0,INDEX(Aux_HH!$H$4:$H$18,MATCH($B661&amp;"|"&amp;$E661,Aux_HH!$A$4:$A$18,0)))</f>
        <v>0</v>
      </c>
      <c r="L661" s="0" t="n">
        <f aca="false">IF($F661=0,0,INDEX(Aux_HH!$I$4:$I$18,MATCH($B661&amp;"|"&amp;$E661,Aux_HH!$A$4:$A$18,0)))</f>
        <v>0</v>
      </c>
    </row>
    <row r="662" customFormat="false" ht="15" hidden="false" customHeight="false" outlineLevel="0" collapsed="false">
      <c r="A662" s="0" t="str">
        <f aca="false">IF(Frota!$A17="","",Frota!$A17)</f>
        <v>Toyota Hilux — 5002</v>
      </c>
      <c r="B662" s="0" t="str">
        <f aca="false">IF(Frota!$A17="","",Frota!$B17)</f>
        <v>Veículo Leve</v>
      </c>
      <c r="C662" s="0" t="n">
        <v>35</v>
      </c>
      <c r="D662" s="0" t="n">
        <f aca="false">INDEX(Semanas!$E$3:$E$54,35)</f>
        <v>11</v>
      </c>
      <c r="E662" s="0" t="str">
        <f aca="false">IF(Frota!$A17="","",Cronograma!AJ17)</f>
        <v/>
      </c>
      <c r="F662" s="0" t="n">
        <f aca="false">IF(OR($E662="",$E662=0),0,1)</f>
        <v>0</v>
      </c>
      <c r="G662" s="0" t="n">
        <f aca="false">IF($F662=0,0,INDEX(Aux_HH!$D$4:$D$18,MATCH($B662&amp;"|"&amp;$E662,Aux_HH!$A$4:$A$18,0)))</f>
        <v>0</v>
      </c>
      <c r="H662" s="0" t="n">
        <f aca="false">IF($F662=0,0,INDEX(Aux_HH!$E$4:$E$18,MATCH($B662&amp;"|"&amp;$E662,Aux_HH!$A$4:$A$18,0)))</f>
        <v>0</v>
      </c>
      <c r="I662" s="0" t="n">
        <f aca="false">IF($F662=0,0,INDEX(Aux_HH!$F$4:$F$18,MATCH($B662&amp;"|"&amp;$E662,Aux_HH!$A$4:$A$18,0)))</f>
        <v>0</v>
      </c>
      <c r="J662" s="0" t="n">
        <f aca="false">IF($F662=0,0,INDEX(Aux_HH!$G$4:$G$18,MATCH($B662&amp;"|"&amp;$E662,Aux_HH!$A$4:$A$18,0)))</f>
        <v>0</v>
      </c>
      <c r="K662" s="0" t="n">
        <f aca="false">IF($F662=0,0,INDEX(Aux_HH!$H$4:$H$18,MATCH($B662&amp;"|"&amp;$E662,Aux_HH!$A$4:$A$18,0)))</f>
        <v>0</v>
      </c>
      <c r="L662" s="0" t="n">
        <f aca="false">IF($F662=0,0,INDEX(Aux_HH!$I$4:$I$18,MATCH($B662&amp;"|"&amp;$E662,Aux_HH!$A$4:$A$18,0)))</f>
        <v>0</v>
      </c>
    </row>
    <row r="663" customFormat="false" ht="15" hidden="false" customHeight="false" outlineLevel="0" collapsed="false">
      <c r="A663" s="0" t="str">
        <f aca="false">IF(Frota!$A17="","",Frota!$A17)</f>
        <v>Toyota Hilux — 5002</v>
      </c>
      <c r="B663" s="0" t="str">
        <f aca="false">IF(Frota!$A17="","",Frota!$B17)</f>
        <v>Veículo Leve</v>
      </c>
      <c r="C663" s="0" t="n">
        <v>36</v>
      </c>
      <c r="D663" s="0" t="n">
        <f aca="false">INDEX(Semanas!$E$3:$E$54,36)</f>
        <v>12</v>
      </c>
      <c r="E663" s="0" t="str">
        <f aca="false">IF(Frota!$A17="","",Cronograma!AK17)</f>
        <v/>
      </c>
      <c r="F663" s="0" t="n">
        <f aca="false">IF(OR($E663="",$E663=0),0,1)</f>
        <v>0</v>
      </c>
      <c r="G663" s="0" t="n">
        <f aca="false">IF($F663=0,0,INDEX(Aux_HH!$D$4:$D$18,MATCH($B663&amp;"|"&amp;$E663,Aux_HH!$A$4:$A$18,0)))</f>
        <v>0</v>
      </c>
      <c r="H663" s="0" t="n">
        <f aca="false">IF($F663=0,0,INDEX(Aux_HH!$E$4:$E$18,MATCH($B663&amp;"|"&amp;$E663,Aux_HH!$A$4:$A$18,0)))</f>
        <v>0</v>
      </c>
      <c r="I663" s="0" t="n">
        <f aca="false">IF($F663=0,0,INDEX(Aux_HH!$F$4:$F$18,MATCH($B663&amp;"|"&amp;$E663,Aux_HH!$A$4:$A$18,0)))</f>
        <v>0</v>
      </c>
      <c r="J663" s="0" t="n">
        <f aca="false">IF($F663=0,0,INDEX(Aux_HH!$G$4:$G$18,MATCH($B663&amp;"|"&amp;$E663,Aux_HH!$A$4:$A$18,0)))</f>
        <v>0</v>
      </c>
      <c r="K663" s="0" t="n">
        <f aca="false">IF($F663=0,0,INDEX(Aux_HH!$H$4:$H$18,MATCH($B663&amp;"|"&amp;$E663,Aux_HH!$A$4:$A$18,0)))</f>
        <v>0</v>
      </c>
      <c r="L663" s="0" t="n">
        <f aca="false">IF($F663=0,0,INDEX(Aux_HH!$I$4:$I$18,MATCH($B663&amp;"|"&amp;$E663,Aux_HH!$A$4:$A$18,0)))</f>
        <v>0</v>
      </c>
    </row>
    <row r="664" customFormat="false" ht="15" hidden="false" customHeight="false" outlineLevel="0" collapsed="false">
      <c r="A664" s="0" t="str">
        <f aca="false">IF(Frota!$A17="","",Frota!$A17)</f>
        <v>Toyota Hilux — 5002</v>
      </c>
      <c r="B664" s="0" t="str">
        <f aca="false">IF(Frota!$A17="","",Frota!$B17)</f>
        <v>Veículo Leve</v>
      </c>
      <c r="C664" s="0" t="n">
        <v>37</v>
      </c>
      <c r="D664" s="0" t="n">
        <f aca="false">INDEX(Semanas!$E$3:$E$54,37)</f>
        <v>12</v>
      </c>
      <c r="E664" s="0" t="str">
        <f aca="false">IF(Frota!$A17="","",Cronograma!AL17)</f>
        <v/>
      </c>
      <c r="F664" s="0" t="n">
        <f aca="false">IF(OR($E664="",$E664=0),0,1)</f>
        <v>0</v>
      </c>
      <c r="G664" s="0" t="n">
        <f aca="false">IF($F664=0,0,INDEX(Aux_HH!$D$4:$D$18,MATCH($B664&amp;"|"&amp;$E664,Aux_HH!$A$4:$A$18,0)))</f>
        <v>0</v>
      </c>
      <c r="H664" s="0" t="n">
        <f aca="false">IF($F664=0,0,INDEX(Aux_HH!$E$4:$E$18,MATCH($B664&amp;"|"&amp;$E664,Aux_HH!$A$4:$A$18,0)))</f>
        <v>0</v>
      </c>
      <c r="I664" s="0" t="n">
        <f aca="false">IF($F664=0,0,INDEX(Aux_HH!$F$4:$F$18,MATCH($B664&amp;"|"&amp;$E664,Aux_HH!$A$4:$A$18,0)))</f>
        <v>0</v>
      </c>
      <c r="J664" s="0" t="n">
        <f aca="false">IF($F664=0,0,INDEX(Aux_HH!$G$4:$G$18,MATCH($B664&amp;"|"&amp;$E664,Aux_HH!$A$4:$A$18,0)))</f>
        <v>0</v>
      </c>
      <c r="K664" s="0" t="n">
        <f aca="false">IF($F664=0,0,INDEX(Aux_HH!$H$4:$H$18,MATCH($B664&amp;"|"&amp;$E664,Aux_HH!$A$4:$A$18,0)))</f>
        <v>0</v>
      </c>
      <c r="L664" s="0" t="n">
        <f aca="false">IF($F664=0,0,INDEX(Aux_HH!$I$4:$I$18,MATCH($B664&amp;"|"&amp;$E664,Aux_HH!$A$4:$A$18,0)))</f>
        <v>0</v>
      </c>
    </row>
    <row r="665" customFormat="false" ht="15" hidden="false" customHeight="false" outlineLevel="0" collapsed="false">
      <c r="A665" s="0" t="str">
        <f aca="false">IF(Frota!$A17="","",Frota!$A17)</f>
        <v>Toyota Hilux — 5002</v>
      </c>
      <c r="B665" s="0" t="str">
        <f aca="false">IF(Frota!$A17="","",Frota!$B17)</f>
        <v>Veículo Leve</v>
      </c>
      <c r="C665" s="0" t="n">
        <v>38</v>
      </c>
      <c r="D665" s="0" t="n">
        <f aca="false">INDEX(Semanas!$E$3:$E$54,38)</f>
        <v>12</v>
      </c>
      <c r="E665" s="0" t="str">
        <f aca="false">IF(Frota!$A17="","",Cronograma!AM17)</f>
        <v/>
      </c>
      <c r="F665" s="0" t="n">
        <f aca="false">IF(OR($E665="",$E665=0),0,1)</f>
        <v>0</v>
      </c>
      <c r="G665" s="0" t="n">
        <f aca="false">IF($F665=0,0,INDEX(Aux_HH!$D$4:$D$18,MATCH($B665&amp;"|"&amp;$E665,Aux_HH!$A$4:$A$18,0)))</f>
        <v>0</v>
      </c>
      <c r="H665" s="0" t="n">
        <f aca="false">IF($F665=0,0,INDEX(Aux_HH!$E$4:$E$18,MATCH($B665&amp;"|"&amp;$E665,Aux_HH!$A$4:$A$18,0)))</f>
        <v>0</v>
      </c>
      <c r="I665" s="0" t="n">
        <f aca="false">IF($F665=0,0,INDEX(Aux_HH!$F$4:$F$18,MATCH($B665&amp;"|"&amp;$E665,Aux_HH!$A$4:$A$18,0)))</f>
        <v>0</v>
      </c>
      <c r="J665" s="0" t="n">
        <f aca="false">IF($F665=0,0,INDEX(Aux_HH!$G$4:$G$18,MATCH($B665&amp;"|"&amp;$E665,Aux_HH!$A$4:$A$18,0)))</f>
        <v>0</v>
      </c>
      <c r="K665" s="0" t="n">
        <f aca="false">IF($F665=0,0,INDEX(Aux_HH!$H$4:$H$18,MATCH($B665&amp;"|"&amp;$E665,Aux_HH!$A$4:$A$18,0)))</f>
        <v>0</v>
      </c>
      <c r="L665" s="0" t="n">
        <f aca="false">IF($F665=0,0,INDEX(Aux_HH!$I$4:$I$18,MATCH($B665&amp;"|"&amp;$E665,Aux_HH!$A$4:$A$18,0)))</f>
        <v>0</v>
      </c>
    </row>
    <row r="666" customFormat="false" ht="15" hidden="false" customHeight="false" outlineLevel="0" collapsed="false">
      <c r="A666" s="0" t="str">
        <f aca="false">IF(Frota!$A17="","",Frota!$A17)</f>
        <v>Toyota Hilux — 5002</v>
      </c>
      <c r="B666" s="0" t="str">
        <f aca="false">IF(Frota!$A17="","",Frota!$B17)</f>
        <v>Veículo Leve</v>
      </c>
      <c r="C666" s="0" t="n">
        <v>39</v>
      </c>
      <c r="D666" s="0" t="n">
        <f aca="false">INDEX(Semanas!$E$3:$E$54,39)</f>
        <v>12</v>
      </c>
      <c r="E666" s="0" t="str">
        <f aca="false">IF(Frota!$A17="","",Cronograma!AN17)</f>
        <v/>
      </c>
      <c r="F666" s="0" t="n">
        <f aca="false">IF(OR($E666="",$E666=0),0,1)</f>
        <v>0</v>
      </c>
      <c r="G666" s="0" t="n">
        <f aca="false">IF($F666=0,0,INDEX(Aux_HH!$D$4:$D$18,MATCH($B666&amp;"|"&amp;$E666,Aux_HH!$A$4:$A$18,0)))</f>
        <v>0</v>
      </c>
      <c r="H666" s="0" t="n">
        <f aca="false">IF($F666=0,0,INDEX(Aux_HH!$E$4:$E$18,MATCH($B666&amp;"|"&amp;$E666,Aux_HH!$A$4:$A$18,0)))</f>
        <v>0</v>
      </c>
      <c r="I666" s="0" t="n">
        <f aca="false">IF($F666=0,0,INDEX(Aux_HH!$F$4:$F$18,MATCH($B666&amp;"|"&amp;$E666,Aux_HH!$A$4:$A$18,0)))</f>
        <v>0</v>
      </c>
      <c r="J666" s="0" t="n">
        <f aca="false">IF($F666=0,0,INDEX(Aux_HH!$G$4:$G$18,MATCH($B666&amp;"|"&amp;$E666,Aux_HH!$A$4:$A$18,0)))</f>
        <v>0</v>
      </c>
      <c r="K666" s="0" t="n">
        <f aca="false">IF($F666=0,0,INDEX(Aux_HH!$H$4:$H$18,MATCH($B666&amp;"|"&amp;$E666,Aux_HH!$A$4:$A$18,0)))</f>
        <v>0</v>
      </c>
      <c r="L666" s="0" t="n">
        <f aca="false">IF($F666=0,0,INDEX(Aux_HH!$I$4:$I$18,MATCH($B666&amp;"|"&amp;$E666,Aux_HH!$A$4:$A$18,0)))</f>
        <v>0</v>
      </c>
    </row>
    <row r="667" customFormat="false" ht="15" hidden="false" customHeight="false" outlineLevel="0" collapsed="false">
      <c r="A667" s="0" t="str">
        <f aca="false">IF(Frota!$A17="","",Frota!$A17)</f>
        <v>Toyota Hilux — 5002</v>
      </c>
      <c r="B667" s="0" t="str">
        <f aca="false">IF(Frota!$A17="","",Frota!$B17)</f>
        <v>Veículo Leve</v>
      </c>
      <c r="C667" s="0" t="n">
        <v>40</v>
      </c>
      <c r="D667" s="0" t="n">
        <f aca="false">INDEX(Semanas!$E$3:$E$54,40)</f>
        <v>12</v>
      </c>
      <c r="E667" s="0" t="str">
        <f aca="false">IF(Frota!$A17="","",Cronograma!AO17)</f>
        <v>A</v>
      </c>
      <c r="F667" s="0" t="n">
        <f aca="false">IF(OR($E667="",$E667=0),0,1)</f>
        <v>1</v>
      </c>
      <c r="G667" s="0" t="n">
        <f aca="false">IF($F667=0,0,INDEX(Aux_HH!$D$4:$D$18,MATCH($B667&amp;"|"&amp;$E667,Aux_HH!$A$4:$A$18,0)))</f>
        <v>0</v>
      </c>
      <c r="H667" s="0" t="n">
        <f aca="false">IF($F667=0,0,INDEX(Aux_HH!$E$4:$E$18,MATCH($B667&amp;"|"&amp;$E667,Aux_HH!$A$4:$A$18,0)))</f>
        <v>0</v>
      </c>
      <c r="I667" s="0" t="n">
        <f aca="false">IF($F667=0,0,INDEX(Aux_HH!$F$4:$F$18,MATCH($B667&amp;"|"&amp;$E667,Aux_HH!$A$4:$A$18,0)))</f>
        <v>0</v>
      </c>
      <c r="J667" s="0" t="n">
        <f aca="false">IF($F667=0,0,INDEX(Aux_HH!$G$4:$G$18,MATCH($B667&amp;"|"&amp;$E667,Aux_HH!$A$4:$A$18,0)))</f>
        <v>0</v>
      </c>
      <c r="K667" s="0" t="n">
        <f aca="false">IF($F667=0,0,INDEX(Aux_HH!$H$4:$H$18,MATCH($B667&amp;"|"&amp;$E667,Aux_HH!$A$4:$A$18,0)))</f>
        <v>0</v>
      </c>
      <c r="L667" s="0" t="n">
        <f aca="false">IF($F667=0,0,INDEX(Aux_HH!$I$4:$I$18,MATCH($B667&amp;"|"&amp;$E667,Aux_HH!$A$4:$A$18,0)))</f>
        <v>0</v>
      </c>
    </row>
    <row r="668" customFormat="false" ht="15" hidden="false" customHeight="false" outlineLevel="0" collapsed="false">
      <c r="A668" s="0" t="str">
        <f aca="false">IF(Frota!$A17="","",Frota!$A17)</f>
        <v>Toyota Hilux — 5002</v>
      </c>
      <c r="B668" s="0" t="str">
        <f aca="false">IF(Frota!$A17="","",Frota!$B17)</f>
        <v>Veículo Leve</v>
      </c>
      <c r="C668" s="0" t="n">
        <v>41</v>
      </c>
      <c r="D668" s="0" t="n">
        <f aca="false">INDEX(Semanas!$E$3:$E$54,41)</f>
        <v>1</v>
      </c>
      <c r="E668" s="0" t="str">
        <f aca="false">IF(Frota!$A17="","",Cronograma!AP17)</f>
        <v/>
      </c>
      <c r="F668" s="0" t="n">
        <f aca="false">IF(OR($E668="",$E668=0),0,1)</f>
        <v>0</v>
      </c>
      <c r="G668" s="0" t="n">
        <f aca="false">IF($F668=0,0,INDEX(Aux_HH!$D$4:$D$18,MATCH($B668&amp;"|"&amp;$E668,Aux_HH!$A$4:$A$18,0)))</f>
        <v>0</v>
      </c>
      <c r="H668" s="0" t="n">
        <f aca="false">IF($F668=0,0,INDEX(Aux_HH!$E$4:$E$18,MATCH($B668&amp;"|"&amp;$E668,Aux_HH!$A$4:$A$18,0)))</f>
        <v>0</v>
      </c>
      <c r="I668" s="0" t="n">
        <f aca="false">IF($F668=0,0,INDEX(Aux_HH!$F$4:$F$18,MATCH($B668&amp;"|"&amp;$E668,Aux_HH!$A$4:$A$18,0)))</f>
        <v>0</v>
      </c>
      <c r="J668" s="0" t="n">
        <f aca="false">IF($F668=0,0,INDEX(Aux_HH!$G$4:$G$18,MATCH($B668&amp;"|"&amp;$E668,Aux_HH!$A$4:$A$18,0)))</f>
        <v>0</v>
      </c>
      <c r="K668" s="0" t="n">
        <f aca="false">IF($F668=0,0,INDEX(Aux_HH!$H$4:$H$18,MATCH($B668&amp;"|"&amp;$E668,Aux_HH!$A$4:$A$18,0)))</f>
        <v>0</v>
      </c>
      <c r="L668" s="0" t="n">
        <f aca="false">IF($F668=0,0,INDEX(Aux_HH!$I$4:$I$18,MATCH($B668&amp;"|"&amp;$E668,Aux_HH!$A$4:$A$18,0)))</f>
        <v>0</v>
      </c>
    </row>
    <row r="669" customFormat="false" ht="15" hidden="false" customHeight="false" outlineLevel="0" collapsed="false">
      <c r="A669" s="0" t="str">
        <f aca="false">IF(Frota!$A17="","",Frota!$A17)</f>
        <v>Toyota Hilux — 5002</v>
      </c>
      <c r="B669" s="0" t="str">
        <f aca="false">IF(Frota!$A17="","",Frota!$B17)</f>
        <v>Veículo Leve</v>
      </c>
      <c r="C669" s="0" t="n">
        <v>42</v>
      </c>
      <c r="D669" s="0" t="n">
        <f aca="false">INDEX(Semanas!$E$3:$E$54,42)</f>
        <v>1</v>
      </c>
      <c r="E669" s="0" t="str">
        <f aca="false">IF(Frota!$A17="","",Cronograma!AQ17)</f>
        <v/>
      </c>
      <c r="F669" s="0" t="n">
        <f aca="false">IF(OR($E669="",$E669=0),0,1)</f>
        <v>0</v>
      </c>
      <c r="G669" s="0" t="n">
        <f aca="false">IF($F669=0,0,INDEX(Aux_HH!$D$4:$D$18,MATCH($B669&amp;"|"&amp;$E669,Aux_HH!$A$4:$A$18,0)))</f>
        <v>0</v>
      </c>
      <c r="H669" s="0" t="n">
        <f aca="false">IF($F669=0,0,INDEX(Aux_HH!$E$4:$E$18,MATCH($B669&amp;"|"&amp;$E669,Aux_HH!$A$4:$A$18,0)))</f>
        <v>0</v>
      </c>
      <c r="I669" s="0" t="n">
        <f aca="false">IF($F669=0,0,INDEX(Aux_HH!$F$4:$F$18,MATCH($B669&amp;"|"&amp;$E669,Aux_HH!$A$4:$A$18,0)))</f>
        <v>0</v>
      </c>
      <c r="J669" s="0" t="n">
        <f aca="false">IF($F669=0,0,INDEX(Aux_HH!$G$4:$G$18,MATCH($B669&amp;"|"&amp;$E669,Aux_HH!$A$4:$A$18,0)))</f>
        <v>0</v>
      </c>
      <c r="K669" s="0" t="n">
        <f aca="false">IF($F669=0,0,INDEX(Aux_HH!$H$4:$H$18,MATCH($B669&amp;"|"&amp;$E669,Aux_HH!$A$4:$A$18,0)))</f>
        <v>0</v>
      </c>
      <c r="L669" s="0" t="n">
        <f aca="false">IF($F669=0,0,INDEX(Aux_HH!$I$4:$I$18,MATCH($B669&amp;"|"&amp;$E669,Aux_HH!$A$4:$A$18,0)))</f>
        <v>0</v>
      </c>
    </row>
    <row r="670" customFormat="false" ht="15" hidden="false" customHeight="false" outlineLevel="0" collapsed="false">
      <c r="A670" s="0" t="str">
        <f aca="false">IF(Frota!$A17="","",Frota!$A17)</f>
        <v>Toyota Hilux — 5002</v>
      </c>
      <c r="B670" s="0" t="str">
        <f aca="false">IF(Frota!$A17="","",Frota!$B17)</f>
        <v>Veículo Leve</v>
      </c>
      <c r="C670" s="0" t="n">
        <v>43</v>
      </c>
      <c r="D670" s="0" t="n">
        <f aca="false">INDEX(Semanas!$E$3:$E$54,43)</f>
        <v>1</v>
      </c>
      <c r="E670" s="0" t="str">
        <f aca="false">IF(Frota!$A17="","",Cronograma!AR17)</f>
        <v/>
      </c>
      <c r="F670" s="0" t="n">
        <f aca="false">IF(OR($E670="",$E670=0),0,1)</f>
        <v>0</v>
      </c>
      <c r="G670" s="0" t="n">
        <f aca="false">IF($F670=0,0,INDEX(Aux_HH!$D$4:$D$18,MATCH($B670&amp;"|"&amp;$E670,Aux_HH!$A$4:$A$18,0)))</f>
        <v>0</v>
      </c>
      <c r="H670" s="0" t="n">
        <f aca="false">IF($F670=0,0,INDEX(Aux_HH!$E$4:$E$18,MATCH($B670&amp;"|"&amp;$E670,Aux_HH!$A$4:$A$18,0)))</f>
        <v>0</v>
      </c>
      <c r="I670" s="0" t="n">
        <f aca="false">IF($F670=0,0,INDEX(Aux_HH!$F$4:$F$18,MATCH($B670&amp;"|"&amp;$E670,Aux_HH!$A$4:$A$18,0)))</f>
        <v>0</v>
      </c>
      <c r="J670" s="0" t="n">
        <f aca="false">IF($F670=0,0,INDEX(Aux_HH!$G$4:$G$18,MATCH($B670&amp;"|"&amp;$E670,Aux_HH!$A$4:$A$18,0)))</f>
        <v>0</v>
      </c>
      <c r="K670" s="0" t="n">
        <f aca="false">IF($F670=0,0,INDEX(Aux_HH!$H$4:$H$18,MATCH($B670&amp;"|"&amp;$E670,Aux_HH!$A$4:$A$18,0)))</f>
        <v>0</v>
      </c>
      <c r="L670" s="0" t="n">
        <f aca="false">IF($F670=0,0,INDEX(Aux_HH!$I$4:$I$18,MATCH($B670&amp;"|"&amp;$E670,Aux_HH!$A$4:$A$18,0)))</f>
        <v>0</v>
      </c>
    </row>
    <row r="671" customFormat="false" ht="15" hidden="false" customHeight="false" outlineLevel="0" collapsed="false">
      <c r="A671" s="0" t="str">
        <f aca="false">IF(Frota!$A17="","",Frota!$A17)</f>
        <v>Toyota Hilux — 5002</v>
      </c>
      <c r="B671" s="0" t="str">
        <f aca="false">IF(Frota!$A17="","",Frota!$B17)</f>
        <v>Veículo Leve</v>
      </c>
      <c r="C671" s="0" t="n">
        <v>44</v>
      </c>
      <c r="D671" s="0" t="n">
        <f aca="false">INDEX(Semanas!$E$3:$E$54,44)</f>
        <v>1</v>
      </c>
      <c r="E671" s="0" t="str">
        <f aca="false">IF(Frota!$A17="","",Cronograma!AS17)</f>
        <v/>
      </c>
      <c r="F671" s="0" t="n">
        <f aca="false">IF(OR($E671="",$E671=0),0,1)</f>
        <v>0</v>
      </c>
      <c r="G671" s="0" t="n">
        <f aca="false">IF($F671=0,0,INDEX(Aux_HH!$D$4:$D$18,MATCH($B671&amp;"|"&amp;$E671,Aux_HH!$A$4:$A$18,0)))</f>
        <v>0</v>
      </c>
      <c r="H671" s="0" t="n">
        <f aca="false">IF($F671=0,0,INDEX(Aux_HH!$E$4:$E$18,MATCH($B671&amp;"|"&amp;$E671,Aux_HH!$A$4:$A$18,0)))</f>
        <v>0</v>
      </c>
      <c r="I671" s="0" t="n">
        <f aca="false">IF($F671=0,0,INDEX(Aux_HH!$F$4:$F$18,MATCH($B671&amp;"|"&amp;$E671,Aux_HH!$A$4:$A$18,0)))</f>
        <v>0</v>
      </c>
      <c r="J671" s="0" t="n">
        <f aca="false">IF($F671=0,0,INDEX(Aux_HH!$G$4:$G$18,MATCH($B671&amp;"|"&amp;$E671,Aux_HH!$A$4:$A$18,0)))</f>
        <v>0</v>
      </c>
      <c r="K671" s="0" t="n">
        <f aca="false">IF($F671=0,0,INDEX(Aux_HH!$H$4:$H$18,MATCH($B671&amp;"|"&amp;$E671,Aux_HH!$A$4:$A$18,0)))</f>
        <v>0</v>
      </c>
      <c r="L671" s="0" t="n">
        <f aca="false">IF($F671=0,0,INDEX(Aux_HH!$I$4:$I$18,MATCH($B671&amp;"|"&amp;$E671,Aux_HH!$A$4:$A$18,0)))</f>
        <v>0</v>
      </c>
    </row>
    <row r="672" customFormat="false" ht="15" hidden="false" customHeight="false" outlineLevel="0" collapsed="false">
      <c r="A672" s="0" t="str">
        <f aca="false">IF(Frota!$A17="","",Frota!$A17)</f>
        <v>Toyota Hilux — 5002</v>
      </c>
      <c r="B672" s="0" t="str">
        <f aca="false">IF(Frota!$A17="","",Frota!$B17)</f>
        <v>Veículo Leve</v>
      </c>
      <c r="C672" s="0" t="n">
        <v>45</v>
      </c>
      <c r="D672" s="0" t="n">
        <f aca="false">INDEX(Semanas!$E$3:$E$54,45)</f>
        <v>2</v>
      </c>
      <c r="E672" s="0" t="str">
        <f aca="false">IF(Frota!$A17="","",Cronograma!AT17)</f>
        <v/>
      </c>
      <c r="F672" s="0" t="n">
        <f aca="false">IF(OR($E672="",$E672=0),0,1)</f>
        <v>0</v>
      </c>
      <c r="G672" s="0" t="n">
        <f aca="false">IF($F672=0,0,INDEX(Aux_HH!$D$4:$D$18,MATCH($B672&amp;"|"&amp;$E672,Aux_HH!$A$4:$A$18,0)))</f>
        <v>0</v>
      </c>
      <c r="H672" s="0" t="n">
        <f aca="false">IF($F672=0,0,INDEX(Aux_HH!$E$4:$E$18,MATCH($B672&amp;"|"&amp;$E672,Aux_HH!$A$4:$A$18,0)))</f>
        <v>0</v>
      </c>
      <c r="I672" s="0" t="n">
        <f aca="false">IF($F672=0,0,INDEX(Aux_HH!$F$4:$F$18,MATCH($B672&amp;"|"&amp;$E672,Aux_HH!$A$4:$A$18,0)))</f>
        <v>0</v>
      </c>
      <c r="J672" s="0" t="n">
        <f aca="false">IF($F672=0,0,INDEX(Aux_HH!$G$4:$G$18,MATCH($B672&amp;"|"&amp;$E672,Aux_HH!$A$4:$A$18,0)))</f>
        <v>0</v>
      </c>
      <c r="K672" s="0" t="n">
        <f aca="false">IF($F672=0,0,INDEX(Aux_HH!$H$4:$H$18,MATCH($B672&amp;"|"&amp;$E672,Aux_HH!$A$4:$A$18,0)))</f>
        <v>0</v>
      </c>
      <c r="L672" s="0" t="n">
        <f aca="false">IF($F672=0,0,INDEX(Aux_HH!$I$4:$I$18,MATCH($B672&amp;"|"&amp;$E672,Aux_HH!$A$4:$A$18,0)))</f>
        <v>0</v>
      </c>
    </row>
    <row r="673" customFormat="false" ht="15" hidden="false" customHeight="false" outlineLevel="0" collapsed="false">
      <c r="A673" s="0" t="str">
        <f aca="false">IF(Frota!$A17="","",Frota!$A17)</f>
        <v>Toyota Hilux — 5002</v>
      </c>
      <c r="B673" s="0" t="str">
        <f aca="false">IF(Frota!$A17="","",Frota!$B17)</f>
        <v>Veículo Leve</v>
      </c>
      <c r="C673" s="0" t="n">
        <v>46</v>
      </c>
      <c r="D673" s="0" t="n">
        <f aca="false">INDEX(Semanas!$E$3:$E$54,46)</f>
        <v>2</v>
      </c>
      <c r="E673" s="0" t="str">
        <f aca="false">IF(Frota!$A17="","",Cronograma!AU17)</f>
        <v/>
      </c>
      <c r="F673" s="0" t="n">
        <f aca="false">IF(OR($E673="",$E673=0),0,1)</f>
        <v>0</v>
      </c>
      <c r="G673" s="0" t="n">
        <f aca="false">IF($F673=0,0,INDEX(Aux_HH!$D$4:$D$18,MATCH($B673&amp;"|"&amp;$E673,Aux_HH!$A$4:$A$18,0)))</f>
        <v>0</v>
      </c>
      <c r="H673" s="0" t="n">
        <f aca="false">IF($F673=0,0,INDEX(Aux_HH!$E$4:$E$18,MATCH($B673&amp;"|"&amp;$E673,Aux_HH!$A$4:$A$18,0)))</f>
        <v>0</v>
      </c>
      <c r="I673" s="0" t="n">
        <f aca="false">IF($F673=0,0,INDEX(Aux_HH!$F$4:$F$18,MATCH($B673&amp;"|"&amp;$E673,Aux_HH!$A$4:$A$18,0)))</f>
        <v>0</v>
      </c>
      <c r="J673" s="0" t="n">
        <f aca="false">IF($F673=0,0,INDEX(Aux_HH!$G$4:$G$18,MATCH($B673&amp;"|"&amp;$E673,Aux_HH!$A$4:$A$18,0)))</f>
        <v>0</v>
      </c>
      <c r="K673" s="0" t="n">
        <f aca="false">IF($F673=0,0,INDEX(Aux_HH!$H$4:$H$18,MATCH($B673&amp;"|"&amp;$E673,Aux_HH!$A$4:$A$18,0)))</f>
        <v>0</v>
      </c>
      <c r="L673" s="0" t="n">
        <f aca="false">IF($F673=0,0,INDEX(Aux_HH!$I$4:$I$18,MATCH($B673&amp;"|"&amp;$E673,Aux_HH!$A$4:$A$18,0)))</f>
        <v>0</v>
      </c>
    </row>
    <row r="674" customFormat="false" ht="15" hidden="false" customHeight="false" outlineLevel="0" collapsed="false">
      <c r="A674" s="0" t="str">
        <f aca="false">IF(Frota!$A17="","",Frota!$A17)</f>
        <v>Toyota Hilux — 5002</v>
      </c>
      <c r="B674" s="0" t="str">
        <f aca="false">IF(Frota!$A17="","",Frota!$B17)</f>
        <v>Veículo Leve</v>
      </c>
      <c r="C674" s="0" t="n">
        <v>47</v>
      </c>
      <c r="D674" s="0" t="n">
        <f aca="false">INDEX(Semanas!$E$3:$E$54,47)</f>
        <v>2</v>
      </c>
      <c r="E674" s="0" t="str">
        <f aca="false">IF(Frota!$A17="","",Cronograma!AV17)</f>
        <v/>
      </c>
      <c r="F674" s="0" t="n">
        <f aca="false">IF(OR($E674="",$E674=0),0,1)</f>
        <v>0</v>
      </c>
      <c r="G674" s="0" t="n">
        <f aca="false">IF($F674=0,0,INDEX(Aux_HH!$D$4:$D$18,MATCH($B674&amp;"|"&amp;$E674,Aux_HH!$A$4:$A$18,0)))</f>
        <v>0</v>
      </c>
      <c r="H674" s="0" t="n">
        <f aca="false">IF($F674=0,0,INDEX(Aux_HH!$E$4:$E$18,MATCH($B674&amp;"|"&amp;$E674,Aux_HH!$A$4:$A$18,0)))</f>
        <v>0</v>
      </c>
      <c r="I674" s="0" t="n">
        <f aca="false">IF($F674=0,0,INDEX(Aux_HH!$F$4:$F$18,MATCH($B674&amp;"|"&amp;$E674,Aux_HH!$A$4:$A$18,0)))</f>
        <v>0</v>
      </c>
      <c r="J674" s="0" t="n">
        <f aca="false">IF($F674=0,0,INDEX(Aux_HH!$G$4:$G$18,MATCH($B674&amp;"|"&amp;$E674,Aux_HH!$A$4:$A$18,0)))</f>
        <v>0</v>
      </c>
      <c r="K674" s="0" t="n">
        <f aca="false">IF($F674=0,0,INDEX(Aux_HH!$H$4:$H$18,MATCH($B674&amp;"|"&amp;$E674,Aux_HH!$A$4:$A$18,0)))</f>
        <v>0</v>
      </c>
      <c r="L674" s="0" t="n">
        <f aca="false">IF($F674=0,0,INDEX(Aux_HH!$I$4:$I$18,MATCH($B674&amp;"|"&amp;$E674,Aux_HH!$A$4:$A$18,0)))</f>
        <v>0</v>
      </c>
    </row>
    <row r="675" customFormat="false" ht="15" hidden="false" customHeight="false" outlineLevel="0" collapsed="false">
      <c r="A675" s="0" t="str">
        <f aca="false">IF(Frota!$A17="","",Frota!$A17)</f>
        <v>Toyota Hilux — 5002</v>
      </c>
      <c r="B675" s="0" t="str">
        <f aca="false">IF(Frota!$A17="","",Frota!$B17)</f>
        <v>Veículo Leve</v>
      </c>
      <c r="C675" s="0" t="n">
        <v>48</v>
      </c>
      <c r="D675" s="0" t="n">
        <f aca="false">INDEX(Semanas!$E$3:$E$54,48)</f>
        <v>2</v>
      </c>
      <c r="E675" s="0" t="str">
        <f aca="false">IF(Frota!$A17="","",Cronograma!AW17)</f>
        <v/>
      </c>
      <c r="F675" s="0" t="n">
        <f aca="false">IF(OR($E675="",$E675=0),0,1)</f>
        <v>0</v>
      </c>
      <c r="G675" s="0" t="n">
        <f aca="false">IF($F675=0,0,INDEX(Aux_HH!$D$4:$D$18,MATCH($B675&amp;"|"&amp;$E675,Aux_HH!$A$4:$A$18,0)))</f>
        <v>0</v>
      </c>
      <c r="H675" s="0" t="n">
        <f aca="false">IF($F675=0,0,INDEX(Aux_HH!$E$4:$E$18,MATCH($B675&amp;"|"&amp;$E675,Aux_HH!$A$4:$A$18,0)))</f>
        <v>0</v>
      </c>
      <c r="I675" s="0" t="n">
        <f aca="false">IF($F675=0,0,INDEX(Aux_HH!$F$4:$F$18,MATCH($B675&amp;"|"&amp;$E675,Aux_HH!$A$4:$A$18,0)))</f>
        <v>0</v>
      </c>
      <c r="J675" s="0" t="n">
        <f aca="false">IF($F675=0,0,INDEX(Aux_HH!$G$4:$G$18,MATCH($B675&amp;"|"&amp;$E675,Aux_HH!$A$4:$A$18,0)))</f>
        <v>0</v>
      </c>
      <c r="K675" s="0" t="n">
        <f aca="false">IF($F675=0,0,INDEX(Aux_HH!$H$4:$H$18,MATCH($B675&amp;"|"&amp;$E675,Aux_HH!$A$4:$A$18,0)))</f>
        <v>0</v>
      </c>
      <c r="L675" s="0" t="n">
        <f aca="false">IF($F675=0,0,INDEX(Aux_HH!$I$4:$I$18,MATCH($B675&amp;"|"&amp;$E675,Aux_HH!$A$4:$A$18,0)))</f>
        <v>0</v>
      </c>
    </row>
    <row r="676" customFormat="false" ht="15" hidden="false" customHeight="false" outlineLevel="0" collapsed="false">
      <c r="A676" s="0" t="str">
        <f aca="false">IF(Frota!$A17="","",Frota!$A17)</f>
        <v>Toyota Hilux — 5002</v>
      </c>
      <c r="B676" s="0" t="str">
        <f aca="false">IF(Frota!$A17="","",Frota!$B17)</f>
        <v>Veículo Leve</v>
      </c>
      <c r="C676" s="0" t="n">
        <v>49</v>
      </c>
      <c r="D676" s="0" t="n">
        <f aca="false">INDEX(Semanas!$E$3:$E$54,49)</f>
        <v>3</v>
      </c>
      <c r="E676" s="0" t="str">
        <f aca="false">IF(Frota!$A17="","",Cronograma!AX17)</f>
        <v/>
      </c>
      <c r="F676" s="0" t="n">
        <f aca="false">IF(OR($E676="",$E676=0),0,1)</f>
        <v>0</v>
      </c>
      <c r="G676" s="0" t="n">
        <f aca="false">IF($F676=0,0,INDEX(Aux_HH!$D$4:$D$18,MATCH($B676&amp;"|"&amp;$E676,Aux_HH!$A$4:$A$18,0)))</f>
        <v>0</v>
      </c>
      <c r="H676" s="0" t="n">
        <f aca="false">IF($F676=0,0,INDEX(Aux_HH!$E$4:$E$18,MATCH($B676&amp;"|"&amp;$E676,Aux_HH!$A$4:$A$18,0)))</f>
        <v>0</v>
      </c>
      <c r="I676" s="0" t="n">
        <f aca="false">IF($F676=0,0,INDEX(Aux_HH!$F$4:$F$18,MATCH($B676&amp;"|"&amp;$E676,Aux_HH!$A$4:$A$18,0)))</f>
        <v>0</v>
      </c>
      <c r="J676" s="0" t="n">
        <f aca="false">IF($F676=0,0,INDEX(Aux_HH!$G$4:$G$18,MATCH($B676&amp;"|"&amp;$E676,Aux_HH!$A$4:$A$18,0)))</f>
        <v>0</v>
      </c>
      <c r="K676" s="0" t="n">
        <f aca="false">IF($F676=0,0,INDEX(Aux_HH!$H$4:$H$18,MATCH($B676&amp;"|"&amp;$E676,Aux_HH!$A$4:$A$18,0)))</f>
        <v>0</v>
      </c>
      <c r="L676" s="0" t="n">
        <f aca="false">IF($F676=0,0,INDEX(Aux_HH!$I$4:$I$18,MATCH($B676&amp;"|"&amp;$E676,Aux_HH!$A$4:$A$18,0)))</f>
        <v>0</v>
      </c>
    </row>
    <row r="677" customFormat="false" ht="15" hidden="false" customHeight="false" outlineLevel="0" collapsed="false">
      <c r="A677" s="0" t="str">
        <f aca="false">IF(Frota!$A17="","",Frota!$A17)</f>
        <v>Toyota Hilux — 5002</v>
      </c>
      <c r="B677" s="0" t="str">
        <f aca="false">IF(Frota!$A17="","",Frota!$B17)</f>
        <v>Veículo Leve</v>
      </c>
      <c r="C677" s="0" t="n">
        <v>50</v>
      </c>
      <c r="D677" s="0" t="n">
        <f aca="false">INDEX(Semanas!$E$3:$E$54,50)</f>
        <v>3</v>
      </c>
      <c r="E677" s="0" t="str">
        <f aca="false">IF(Frota!$A17="","",Cronograma!AY17)</f>
        <v/>
      </c>
      <c r="F677" s="0" t="n">
        <f aca="false">IF(OR($E677="",$E677=0),0,1)</f>
        <v>0</v>
      </c>
      <c r="G677" s="0" t="n">
        <f aca="false">IF($F677=0,0,INDEX(Aux_HH!$D$4:$D$18,MATCH($B677&amp;"|"&amp;$E677,Aux_HH!$A$4:$A$18,0)))</f>
        <v>0</v>
      </c>
      <c r="H677" s="0" t="n">
        <f aca="false">IF($F677=0,0,INDEX(Aux_HH!$E$4:$E$18,MATCH($B677&amp;"|"&amp;$E677,Aux_HH!$A$4:$A$18,0)))</f>
        <v>0</v>
      </c>
      <c r="I677" s="0" t="n">
        <f aca="false">IF($F677=0,0,INDEX(Aux_HH!$F$4:$F$18,MATCH($B677&amp;"|"&amp;$E677,Aux_HH!$A$4:$A$18,0)))</f>
        <v>0</v>
      </c>
      <c r="J677" s="0" t="n">
        <f aca="false">IF($F677=0,0,INDEX(Aux_HH!$G$4:$G$18,MATCH($B677&amp;"|"&amp;$E677,Aux_HH!$A$4:$A$18,0)))</f>
        <v>0</v>
      </c>
      <c r="K677" s="0" t="n">
        <f aca="false">IF($F677=0,0,INDEX(Aux_HH!$H$4:$H$18,MATCH($B677&amp;"|"&amp;$E677,Aux_HH!$A$4:$A$18,0)))</f>
        <v>0</v>
      </c>
      <c r="L677" s="0" t="n">
        <f aca="false">IF($F677=0,0,INDEX(Aux_HH!$I$4:$I$18,MATCH($B677&amp;"|"&amp;$E677,Aux_HH!$A$4:$A$18,0)))</f>
        <v>0</v>
      </c>
    </row>
    <row r="678" customFormat="false" ht="15" hidden="false" customHeight="false" outlineLevel="0" collapsed="false">
      <c r="A678" s="0" t="str">
        <f aca="false">IF(Frota!$A17="","",Frota!$A17)</f>
        <v>Toyota Hilux — 5002</v>
      </c>
      <c r="B678" s="0" t="str">
        <f aca="false">IF(Frota!$A17="","",Frota!$B17)</f>
        <v>Veículo Leve</v>
      </c>
      <c r="C678" s="0" t="n">
        <v>51</v>
      </c>
      <c r="D678" s="0" t="n">
        <f aca="false">INDEX(Semanas!$E$3:$E$54,51)</f>
        <v>3</v>
      </c>
      <c r="E678" s="0" t="str">
        <f aca="false">IF(Frota!$A17="","",Cronograma!AZ17)</f>
        <v/>
      </c>
      <c r="F678" s="0" t="n">
        <f aca="false">IF(OR($E678="",$E678=0),0,1)</f>
        <v>0</v>
      </c>
      <c r="G678" s="0" t="n">
        <f aca="false">IF($F678=0,0,INDEX(Aux_HH!$D$4:$D$18,MATCH($B678&amp;"|"&amp;$E678,Aux_HH!$A$4:$A$18,0)))</f>
        <v>0</v>
      </c>
      <c r="H678" s="0" t="n">
        <f aca="false">IF($F678=0,0,INDEX(Aux_HH!$E$4:$E$18,MATCH($B678&amp;"|"&amp;$E678,Aux_HH!$A$4:$A$18,0)))</f>
        <v>0</v>
      </c>
      <c r="I678" s="0" t="n">
        <f aca="false">IF($F678=0,0,INDEX(Aux_HH!$F$4:$F$18,MATCH($B678&amp;"|"&amp;$E678,Aux_HH!$A$4:$A$18,0)))</f>
        <v>0</v>
      </c>
      <c r="J678" s="0" t="n">
        <f aca="false">IF($F678=0,0,INDEX(Aux_HH!$G$4:$G$18,MATCH($B678&amp;"|"&amp;$E678,Aux_HH!$A$4:$A$18,0)))</f>
        <v>0</v>
      </c>
      <c r="K678" s="0" t="n">
        <f aca="false">IF($F678=0,0,INDEX(Aux_HH!$H$4:$H$18,MATCH($B678&amp;"|"&amp;$E678,Aux_HH!$A$4:$A$18,0)))</f>
        <v>0</v>
      </c>
      <c r="L678" s="0" t="n">
        <f aca="false">IF($F678=0,0,INDEX(Aux_HH!$I$4:$I$18,MATCH($B678&amp;"|"&amp;$E678,Aux_HH!$A$4:$A$18,0)))</f>
        <v>0</v>
      </c>
    </row>
    <row r="679" customFormat="false" ht="15" hidden="false" customHeight="false" outlineLevel="0" collapsed="false">
      <c r="A679" s="0" t="str">
        <f aca="false">IF(Frota!$A17="","",Frota!$A17)</f>
        <v>Toyota Hilux — 5002</v>
      </c>
      <c r="B679" s="0" t="str">
        <f aca="false">IF(Frota!$A17="","",Frota!$B17)</f>
        <v>Veículo Leve</v>
      </c>
      <c r="C679" s="0" t="n">
        <v>52</v>
      </c>
      <c r="D679" s="0" t="n">
        <f aca="false">INDEX(Semanas!$E$3:$E$54,52)</f>
        <v>3</v>
      </c>
      <c r="E679" s="0" t="str">
        <f aca="false">IF(Frota!$A17="","",Cronograma!BA17)</f>
        <v/>
      </c>
      <c r="F679" s="0" t="n">
        <f aca="false">IF(OR($E679="",$E679=0),0,1)</f>
        <v>0</v>
      </c>
      <c r="G679" s="0" t="n">
        <f aca="false">IF($F679=0,0,INDEX(Aux_HH!$D$4:$D$18,MATCH($B679&amp;"|"&amp;$E679,Aux_HH!$A$4:$A$18,0)))</f>
        <v>0</v>
      </c>
      <c r="H679" s="0" t="n">
        <f aca="false">IF($F679=0,0,INDEX(Aux_HH!$E$4:$E$18,MATCH($B679&amp;"|"&amp;$E679,Aux_HH!$A$4:$A$18,0)))</f>
        <v>0</v>
      </c>
      <c r="I679" s="0" t="n">
        <f aca="false">IF($F679=0,0,INDEX(Aux_HH!$F$4:$F$18,MATCH($B679&amp;"|"&amp;$E679,Aux_HH!$A$4:$A$18,0)))</f>
        <v>0</v>
      </c>
      <c r="J679" s="0" t="n">
        <f aca="false">IF($F679=0,0,INDEX(Aux_HH!$G$4:$G$18,MATCH($B679&amp;"|"&amp;$E679,Aux_HH!$A$4:$A$18,0)))</f>
        <v>0</v>
      </c>
      <c r="K679" s="0" t="n">
        <f aca="false">IF($F679=0,0,INDEX(Aux_HH!$H$4:$H$18,MATCH($B679&amp;"|"&amp;$E679,Aux_HH!$A$4:$A$18,0)))</f>
        <v>0</v>
      </c>
      <c r="L679" s="0" t="n">
        <f aca="false">IF($F679=0,0,INDEX(Aux_HH!$I$4:$I$18,MATCH($B679&amp;"|"&amp;$E679,Aux_HH!$A$4:$A$18,0)))</f>
        <v>0</v>
      </c>
    </row>
    <row r="680" customFormat="false" ht="15" hidden="false" customHeight="false" outlineLevel="0" collapsed="false">
      <c r="A680" s="0" t="str">
        <f aca="false">IF(Frota!$A18="","",Frota!$A18)</f>
        <v/>
      </c>
      <c r="B680" s="0" t="str">
        <f aca="false">IF(Frota!$A18="","",Frota!$B18)</f>
        <v/>
      </c>
      <c r="C680" s="0" t="n">
        <v>1</v>
      </c>
      <c r="D680" s="0" t="n">
        <f aca="false">INDEX(Semanas!$E$3:$E$54,1)</f>
        <v>4</v>
      </c>
      <c r="E680" s="0" t="str">
        <f aca="false">IF(Frota!$A18="","",Cronograma!B18)</f>
        <v/>
      </c>
      <c r="F680" s="0" t="n">
        <f aca="false">IF(OR($E680="",$E680=0),0,1)</f>
        <v>0</v>
      </c>
      <c r="G680" s="0" t="n">
        <f aca="false">IF($F680=0,0,INDEX(Aux_HH!$D$4:$D$18,MATCH($B680&amp;"|"&amp;$E680,Aux_HH!$A$4:$A$18,0)))</f>
        <v>0</v>
      </c>
      <c r="H680" s="0" t="n">
        <f aca="false">IF($F680=0,0,INDEX(Aux_HH!$E$4:$E$18,MATCH($B680&amp;"|"&amp;$E680,Aux_HH!$A$4:$A$18,0)))</f>
        <v>0</v>
      </c>
      <c r="I680" s="0" t="n">
        <f aca="false">IF($F680=0,0,INDEX(Aux_HH!$F$4:$F$18,MATCH($B680&amp;"|"&amp;$E680,Aux_HH!$A$4:$A$18,0)))</f>
        <v>0</v>
      </c>
      <c r="J680" s="0" t="n">
        <f aca="false">IF($F680=0,0,INDEX(Aux_HH!$G$4:$G$18,MATCH($B680&amp;"|"&amp;$E680,Aux_HH!$A$4:$A$18,0)))</f>
        <v>0</v>
      </c>
      <c r="K680" s="0" t="n">
        <f aca="false">IF($F680=0,0,INDEX(Aux_HH!$H$4:$H$18,MATCH($B680&amp;"|"&amp;$E680,Aux_HH!$A$4:$A$18,0)))</f>
        <v>0</v>
      </c>
      <c r="L680" s="0" t="n">
        <f aca="false">IF($F680=0,0,INDEX(Aux_HH!$I$4:$I$18,MATCH($B680&amp;"|"&amp;$E680,Aux_HH!$A$4:$A$18,0)))</f>
        <v>0</v>
      </c>
    </row>
    <row r="681" customFormat="false" ht="15" hidden="false" customHeight="false" outlineLevel="0" collapsed="false">
      <c r="A681" s="0" t="str">
        <f aca="false">IF(Frota!$A18="","",Frota!$A18)</f>
        <v/>
      </c>
      <c r="B681" s="0" t="str">
        <f aca="false">IF(Frota!$A18="","",Frota!$B18)</f>
        <v/>
      </c>
      <c r="C681" s="0" t="n">
        <v>2</v>
      </c>
      <c r="D681" s="0" t="n">
        <f aca="false">INDEX(Semanas!$E$3:$E$54,2)</f>
        <v>4</v>
      </c>
      <c r="E681" s="0" t="str">
        <f aca="false">IF(Frota!$A18="","",Cronograma!C18)</f>
        <v/>
      </c>
      <c r="F681" s="0" t="n">
        <f aca="false">IF(OR($E681="",$E681=0),0,1)</f>
        <v>0</v>
      </c>
      <c r="G681" s="0" t="n">
        <f aca="false">IF($F681=0,0,INDEX(Aux_HH!$D$4:$D$18,MATCH($B681&amp;"|"&amp;$E681,Aux_HH!$A$4:$A$18,0)))</f>
        <v>0</v>
      </c>
      <c r="H681" s="0" t="n">
        <f aca="false">IF($F681=0,0,INDEX(Aux_HH!$E$4:$E$18,MATCH($B681&amp;"|"&amp;$E681,Aux_HH!$A$4:$A$18,0)))</f>
        <v>0</v>
      </c>
      <c r="I681" s="0" t="n">
        <f aca="false">IF($F681=0,0,INDEX(Aux_HH!$F$4:$F$18,MATCH($B681&amp;"|"&amp;$E681,Aux_HH!$A$4:$A$18,0)))</f>
        <v>0</v>
      </c>
      <c r="J681" s="0" t="n">
        <f aca="false">IF($F681=0,0,INDEX(Aux_HH!$G$4:$G$18,MATCH($B681&amp;"|"&amp;$E681,Aux_HH!$A$4:$A$18,0)))</f>
        <v>0</v>
      </c>
      <c r="K681" s="0" t="n">
        <f aca="false">IF($F681=0,0,INDEX(Aux_HH!$H$4:$H$18,MATCH($B681&amp;"|"&amp;$E681,Aux_HH!$A$4:$A$18,0)))</f>
        <v>0</v>
      </c>
      <c r="L681" s="0" t="n">
        <f aca="false">IF($F681=0,0,INDEX(Aux_HH!$I$4:$I$18,MATCH($B681&amp;"|"&amp;$E681,Aux_HH!$A$4:$A$18,0)))</f>
        <v>0</v>
      </c>
    </row>
    <row r="682" customFormat="false" ht="15" hidden="false" customHeight="false" outlineLevel="0" collapsed="false">
      <c r="A682" s="0" t="str">
        <f aca="false">IF(Frota!$A18="","",Frota!$A18)</f>
        <v/>
      </c>
      <c r="B682" s="0" t="str">
        <f aca="false">IF(Frota!$A18="","",Frota!$B18)</f>
        <v/>
      </c>
      <c r="C682" s="0" t="n">
        <v>3</v>
      </c>
      <c r="D682" s="0" t="n">
        <f aca="false">INDEX(Semanas!$E$3:$E$54,3)</f>
        <v>4</v>
      </c>
      <c r="E682" s="0" t="str">
        <f aca="false">IF(Frota!$A18="","",Cronograma!D18)</f>
        <v/>
      </c>
      <c r="F682" s="0" t="n">
        <f aca="false">IF(OR($E682="",$E682=0),0,1)</f>
        <v>0</v>
      </c>
      <c r="G682" s="0" t="n">
        <f aca="false">IF($F682=0,0,INDEX(Aux_HH!$D$4:$D$18,MATCH($B682&amp;"|"&amp;$E682,Aux_HH!$A$4:$A$18,0)))</f>
        <v>0</v>
      </c>
      <c r="H682" s="0" t="n">
        <f aca="false">IF($F682=0,0,INDEX(Aux_HH!$E$4:$E$18,MATCH($B682&amp;"|"&amp;$E682,Aux_HH!$A$4:$A$18,0)))</f>
        <v>0</v>
      </c>
      <c r="I682" s="0" t="n">
        <f aca="false">IF($F682=0,0,INDEX(Aux_HH!$F$4:$F$18,MATCH($B682&amp;"|"&amp;$E682,Aux_HH!$A$4:$A$18,0)))</f>
        <v>0</v>
      </c>
      <c r="J682" s="0" t="n">
        <f aca="false">IF($F682=0,0,INDEX(Aux_HH!$G$4:$G$18,MATCH($B682&amp;"|"&amp;$E682,Aux_HH!$A$4:$A$18,0)))</f>
        <v>0</v>
      </c>
      <c r="K682" s="0" t="n">
        <f aca="false">IF($F682=0,0,INDEX(Aux_HH!$H$4:$H$18,MATCH($B682&amp;"|"&amp;$E682,Aux_HH!$A$4:$A$18,0)))</f>
        <v>0</v>
      </c>
      <c r="L682" s="0" t="n">
        <f aca="false">IF($F682=0,0,INDEX(Aux_HH!$I$4:$I$18,MATCH($B682&amp;"|"&amp;$E682,Aux_HH!$A$4:$A$18,0)))</f>
        <v>0</v>
      </c>
    </row>
    <row r="683" customFormat="false" ht="15" hidden="false" customHeight="false" outlineLevel="0" collapsed="false">
      <c r="A683" s="0" t="str">
        <f aca="false">IF(Frota!$A18="","",Frota!$A18)</f>
        <v/>
      </c>
      <c r="B683" s="0" t="str">
        <f aca="false">IF(Frota!$A18="","",Frota!$B18)</f>
        <v/>
      </c>
      <c r="C683" s="0" t="n">
        <v>4</v>
      </c>
      <c r="D683" s="0" t="n">
        <f aca="false">INDEX(Semanas!$E$3:$E$54,4)</f>
        <v>4</v>
      </c>
      <c r="E683" s="0" t="str">
        <f aca="false">IF(Frota!$A18="","",Cronograma!E18)</f>
        <v/>
      </c>
      <c r="F683" s="0" t="n">
        <f aca="false">IF(OR($E683="",$E683=0),0,1)</f>
        <v>0</v>
      </c>
      <c r="G683" s="0" t="n">
        <f aca="false">IF($F683=0,0,INDEX(Aux_HH!$D$4:$D$18,MATCH($B683&amp;"|"&amp;$E683,Aux_HH!$A$4:$A$18,0)))</f>
        <v>0</v>
      </c>
      <c r="H683" s="0" t="n">
        <f aca="false">IF($F683=0,0,INDEX(Aux_HH!$E$4:$E$18,MATCH($B683&amp;"|"&amp;$E683,Aux_HH!$A$4:$A$18,0)))</f>
        <v>0</v>
      </c>
      <c r="I683" s="0" t="n">
        <f aca="false">IF($F683=0,0,INDEX(Aux_HH!$F$4:$F$18,MATCH($B683&amp;"|"&amp;$E683,Aux_HH!$A$4:$A$18,0)))</f>
        <v>0</v>
      </c>
      <c r="J683" s="0" t="n">
        <f aca="false">IF($F683=0,0,INDEX(Aux_HH!$G$4:$G$18,MATCH($B683&amp;"|"&amp;$E683,Aux_HH!$A$4:$A$18,0)))</f>
        <v>0</v>
      </c>
      <c r="K683" s="0" t="n">
        <f aca="false">IF($F683=0,0,INDEX(Aux_HH!$H$4:$H$18,MATCH($B683&amp;"|"&amp;$E683,Aux_HH!$A$4:$A$18,0)))</f>
        <v>0</v>
      </c>
      <c r="L683" s="0" t="n">
        <f aca="false">IF($F683=0,0,INDEX(Aux_HH!$I$4:$I$18,MATCH($B683&amp;"|"&amp;$E683,Aux_HH!$A$4:$A$18,0)))</f>
        <v>0</v>
      </c>
    </row>
    <row r="684" customFormat="false" ht="15" hidden="false" customHeight="false" outlineLevel="0" collapsed="false">
      <c r="A684" s="0" t="str">
        <f aca="false">IF(Frota!$A18="","",Frota!$A18)</f>
        <v/>
      </c>
      <c r="B684" s="0" t="str">
        <f aca="false">IF(Frota!$A18="","",Frota!$B18)</f>
        <v/>
      </c>
      <c r="C684" s="0" t="n">
        <v>5</v>
      </c>
      <c r="D684" s="0" t="n">
        <f aca="false">INDEX(Semanas!$E$3:$E$54,5)</f>
        <v>4</v>
      </c>
      <c r="E684" s="0" t="str">
        <f aca="false">IF(Frota!$A18="","",Cronograma!F18)</f>
        <v/>
      </c>
      <c r="F684" s="0" t="n">
        <f aca="false">IF(OR($E684="",$E684=0),0,1)</f>
        <v>0</v>
      </c>
      <c r="G684" s="0" t="n">
        <f aca="false">IF($F684=0,0,INDEX(Aux_HH!$D$4:$D$18,MATCH($B684&amp;"|"&amp;$E684,Aux_HH!$A$4:$A$18,0)))</f>
        <v>0</v>
      </c>
      <c r="H684" s="0" t="n">
        <f aca="false">IF($F684=0,0,INDEX(Aux_HH!$E$4:$E$18,MATCH($B684&amp;"|"&amp;$E684,Aux_HH!$A$4:$A$18,0)))</f>
        <v>0</v>
      </c>
      <c r="I684" s="0" t="n">
        <f aca="false">IF($F684=0,0,INDEX(Aux_HH!$F$4:$F$18,MATCH($B684&amp;"|"&amp;$E684,Aux_HH!$A$4:$A$18,0)))</f>
        <v>0</v>
      </c>
      <c r="J684" s="0" t="n">
        <f aca="false">IF($F684=0,0,INDEX(Aux_HH!$G$4:$G$18,MATCH($B684&amp;"|"&amp;$E684,Aux_HH!$A$4:$A$18,0)))</f>
        <v>0</v>
      </c>
      <c r="K684" s="0" t="n">
        <f aca="false">IF($F684=0,0,INDEX(Aux_HH!$H$4:$H$18,MATCH($B684&amp;"|"&amp;$E684,Aux_HH!$A$4:$A$18,0)))</f>
        <v>0</v>
      </c>
      <c r="L684" s="0" t="n">
        <f aca="false">IF($F684=0,0,INDEX(Aux_HH!$I$4:$I$18,MATCH($B684&amp;"|"&amp;$E684,Aux_HH!$A$4:$A$18,0)))</f>
        <v>0</v>
      </c>
    </row>
    <row r="685" customFormat="false" ht="15" hidden="false" customHeight="false" outlineLevel="0" collapsed="false">
      <c r="A685" s="0" t="str">
        <f aca="false">IF(Frota!$A18="","",Frota!$A18)</f>
        <v/>
      </c>
      <c r="B685" s="0" t="str">
        <f aca="false">IF(Frota!$A18="","",Frota!$B18)</f>
        <v/>
      </c>
      <c r="C685" s="0" t="n">
        <v>6</v>
      </c>
      <c r="D685" s="0" t="n">
        <f aca="false">INDEX(Semanas!$E$3:$E$54,6)</f>
        <v>5</v>
      </c>
      <c r="E685" s="0" t="str">
        <f aca="false">IF(Frota!$A18="","",Cronograma!G18)</f>
        <v/>
      </c>
      <c r="F685" s="0" t="n">
        <f aca="false">IF(OR($E685="",$E685=0),0,1)</f>
        <v>0</v>
      </c>
      <c r="G685" s="0" t="n">
        <f aca="false">IF($F685=0,0,INDEX(Aux_HH!$D$4:$D$18,MATCH($B685&amp;"|"&amp;$E685,Aux_HH!$A$4:$A$18,0)))</f>
        <v>0</v>
      </c>
      <c r="H685" s="0" t="n">
        <f aca="false">IF($F685=0,0,INDEX(Aux_HH!$E$4:$E$18,MATCH($B685&amp;"|"&amp;$E685,Aux_HH!$A$4:$A$18,0)))</f>
        <v>0</v>
      </c>
      <c r="I685" s="0" t="n">
        <f aca="false">IF($F685=0,0,INDEX(Aux_HH!$F$4:$F$18,MATCH($B685&amp;"|"&amp;$E685,Aux_HH!$A$4:$A$18,0)))</f>
        <v>0</v>
      </c>
      <c r="J685" s="0" t="n">
        <f aca="false">IF($F685=0,0,INDEX(Aux_HH!$G$4:$G$18,MATCH($B685&amp;"|"&amp;$E685,Aux_HH!$A$4:$A$18,0)))</f>
        <v>0</v>
      </c>
      <c r="K685" s="0" t="n">
        <f aca="false">IF($F685=0,0,INDEX(Aux_HH!$H$4:$H$18,MATCH($B685&amp;"|"&amp;$E685,Aux_HH!$A$4:$A$18,0)))</f>
        <v>0</v>
      </c>
      <c r="L685" s="0" t="n">
        <f aca="false">IF($F685=0,0,INDEX(Aux_HH!$I$4:$I$18,MATCH($B685&amp;"|"&amp;$E685,Aux_HH!$A$4:$A$18,0)))</f>
        <v>0</v>
      </c>
    </row>
    <row r="686" customFormat="false" ht="15" hidden="false" customHeight="false" outlineLevel="0" collapsed="false">
      <c r="A686" s="0" t="str">
        <f aca="false">IF(Frota!$A18="","",Frota!$A18)</f>
        <v/>
      </c>
      <c r="B686" s="0" t="str">
        <f aca="false">IF(Frota!$A18="","",Frota!$B18)</f>
        <v/>
      </c>
      <c r="C686" s="0" t="n">
        <v>7</v>
      </c>
      <c r="D686" s="0" t="n">
        <f aca="false">INDEX(Semanas!$E$3:$E$54,7)</f>
        <v>5</v>
      </c>
      <c r="E686" s="0" t="str">
        <f aca="false">IF(Frota!$A18="","",Cronograma!H18)</f>
        <v/>
      </c>
      <c r="F686" s="0" t="n">
        <f aca="false">IF(OR($E686="",$E686=0),0,1)</f>
        <v>0</v>
      </c>
      <c r="G686" s="0" t="n">
        <f aca="false">IF($F686=0,0,INDEX(Aux_HH!$D$4:$D$18,MATCH($B686&amp;"|"&amp;$E686,Aux_HH!$A$4:$A$18,0)))</f>
        <v>0</v>
      </c>
      <c r="H686" s="0" t="n">
        <f aca="false">IF($F686=0,0,INDEX(Aux_HH!$E$4:$E$18,MATCH($B686&amp;"|"&amp;$E686,Aux_HH!$A$4:$A$18,0)))</f>
        <v>0</v>
      </c>
      <c r="I686" s="0" t="n">
        <f aca="false">IF($F686=0,0,INDEX(Aux_HH!$F$4:$F$18,MATCH($B686&amp;"|"&amp;$E686,Aux_HH!$A$4:$A$18,0)))</f>
        <v>0</v>
      </c>
      <c r="J686" s="0" t="n">
        <f aca="false">IF($F686=0,0,INDEX(Aux_HH!$G$4:$G$18,MATCH($B686&amp;"|"&amp;$E686,Aux_HH!$A$4:$A$18,0)))</f>
        <v>0</v>
      </c>
      <c r="K686" s="0" t="n">
        <f aca="false">IF($F686=0,0,INDEX(Aux_HH!$H$4:$H$18,MATCH($B686&amp;"|"&amp;$E686,Aux_HH!$A$4:$A$18,0)))</f>
        <v>0</v>
      </c>
      <c r="L686" s="0" t="n">
        <f aca="false">IF($F686=0,0,INDEX(Aux_HH!$I$4:$I$18,MATCH($B686&amp;"|"&amp;$E686,Aux_HH!$A$4:$A$18,0)))</f>
        <v>0</v>
      </c>
    </row>
    <row r="687" customFormat="false" ht="15" hidden="false" customHeight="false" outlineLevel="0" collapsed="false">
      <c r="A687" s="0" t="str">
        <f aca="false">IF(Frota!$A18="","",Frota!$A18)</f>
        <v/>
      </c>
      <c r="B687" s="0" t="str">
        <f aca="false">IF(Frota!$A18="","",Frota!$B18)</f>
        <v/>
      </c>
      <c r="C687" s="0" t="n">
        <v>8</v>
      </c>
      <c r="D687" s="0" t="n">
        <f aca="false">INDEX(Semanas!$E$3:$E$54,8)</f>
        <v>5</v>
      </c>
      <c r="E687" s="0" t="str">
        <f aca="false">IF(Frota!$A18="","",Cronograma!I18)</f>
        <v/>
      </c>
      <c r="F687" s="0" t="n">
        <f aca="false">IF(OR($E687="",$E687=0),0,1)</f>
        <v>0</v>
      </c>
      <c r="G687" s="0" t="n">
        <f aca="false">IF($F687=0,0,INDEX(Aux_HH!$D$4:$D$18,MATCH($B687&amp;"|"&amp;$E687,Aux_HH!$A$4:$A$18,0)))</f>
        <v>0</v>
      </c>
      <c r="H687" s="0" t="n">
        <f aca="false">IF($F687=0,0,INDEX(Aux_HH!$E$4:$E$18,MATCH($B687&amp;"|"&amp;$E687,Aux_HH!$A$4:$A$18,0)))</f>
        <v>0</v>
      </c>
      <c r="I687" s="0" t="n">
        <f aca="false">IF($F687=0,0,INDEX(Aux_HH!$F$4:$F$18,MATCH($B687&amp;"|"&amp;$E687,Aux_HH!$A$4:$A$18,0)))</f>
        <v>0</v>
      </c>
      <c r="J687" s="0" t="n">
        <f aca="false">IF($F687=0,0,INDEX(Aux_HH!$G$4:$G$18,MATCH($B687&amp;"|"&amp;$E687,Aux_HH!$A$4:$A$18,0)))</f>
        <v>0</v>
      </c>
      <c r="K687" s="0" t="n">
        <f aca="false">IF($F687=0,0,INDEX(Aux_HH!$H$4:$H$18,MATCH($B687&amp;"|"&amp;$E687,Aux_HH!$A$4:$A$18,0)))</f>
        <v>0</v>
      </c>
      <c r="L687" s="0" t="n">
        <f aca="false">IF($F687=0,0,INDEX(Aux_HH!$I$4:$I$18,MATCH($B687&amp;"|"&amp;$E687,Aux_HH!$A$4:$A$18,0)))</f>
        <v>0</v>
      </c>
    </row>
    <row r="688" customFormat="false" ht="15" hidden="false" customHeight="false" outlineLevel="0" collapsed="false">
      <c r="A688" s="0" t="str">
        <f aca="false">IF(Frota!$A18="","",Frota!$A18)</f>
        <v/>
      </c>
      <c r="B688" s="0" t="str">
        <f aca="false">IF(Frota!$A18="","",Frota!$B18)</f>
        <v/>
      </c>
      <c r="C688" s="0" t="n">
        <v>9</v>
      </c>
      <c r="D688" s="0" t="n">
        <f aca="false">INDEX(Semanas!$E$3:$E$54,9)</f>
        <v>5</v>
      </c>
      <c r="E688" s="0" t="str">
        <f aca="false">IF(Frota!$A18="","",Cronograma!J18)</f>
        <v/>
      </c>
      <c r="F688" s="0" t="n">
        <f aca="false">IF(OR($E688="",$E688=0),0,1)</f>
        <v>0</v>
      </c>
      <c r="G688" s="0" t="n">
        <f aca="false">IF($F688=0,0,INDEX(Aux_HH!$D$4:$D$18,MATCH($B688&amp;"|"&amp;$E688,Aux_HH!$A$4:$A$18,0)))</f>
        <v>0</v>
      </c>
      <c r="H688" s="0" t="n">
        <f aca="false">IF($F688=0,0,INDEX(Aux_HH!$E$4:$E$18,MATCH($B688&amp;"|"&amp;$E688,Aux_HH!$A$4:$A$18,0)))</f>
        <v>0</v>
      </c>
      <c r="I688" s="0" t="n">
        <f aca="false">IF($F688=0,0,INDEX(Aux_HH!$F$4:$F$18,MATCH($B688&amp;"|"&amp;$E688,Aux_HH!$A$4:$A$18,0)))</f>
        <v>0</v>
      </c>
      <c r="J688" s="0" t="n">
        <f aca="false">IF($F688=0,0,INDEX(Aux_HH!$G$4:$G$18,MATCH($B688&amp;"|"&amp;$E688,Aux_HH!$A$4:$A$18,0)))</f>
        <v>0</v>
      </c>
      <c r="K688" s="0" t="n">
        <f aca="false">IF($F688=0,0,INDEX(Aux_HH!$H$4:$H$18,MATCH($B688&amp;"|"&amp;$E688,Aux_HH!$A$4:$A$18,0)))</f>
        <v>0</v>
      </c>
      <c r="L688" s="0" t="n">
        <f aca="false">IF($F688=0,0,INDEX(Aux_HH!$I$4:$I$18,MATCH($B688&amp;"|"&amp;$E688,Aux_HH!$A$4:$A$18,0)))</f>
        <v>0</v>
      </c>
    </row>
    <row r="689" customFormat="false" ht="15" hidden="false" customHeight="false" outlineLevel="0" collapsed="false">
      <c r="A689" s="0" t="str">
        <f aca="false">IF(Frota!$A18="","",Frota!$A18)</f>
        <v/>
      </c>
      <c r="B689" s="0" t="str">
        <f aca="false">IF(Frota!$A18="","",Frota!$B18)</f>
        <v/>
      </c>
      <c r="C689" s="0" t="n">
        <v>10</v>
      </c>
      <c r="D689" s="0" t="n">
        <f aca="false">INDEX(Semanas!$E$3:$E$54,10)</f>
        <v>6</v>
      </c>
      <c r="E689" s="0" t="str">
        <f aca="false">IF(Frota!$A18="","",Cronograma!K18)</f>
        <v/>
      </c>
      <c r="F689" s="0" t="n">
        <f aca="false">IF(OR($E689="",$E689=0),0,1)</f>
        <v>0</v>
      </c>
      <c r="G689" s="0" t="n">
        <f aca="false">IF($F689=0,0,INDEX(Aux_HH!$D$4:$D$18,MATCH($B689&amp;"|"&amp;$E689,Aux_HH!$A$4:$A$18,0)))</f>
        <v>0</v>
      </c>
      <c r="H689" s="0" t="n">
        <f aca="false">IF($F689=0,0,INDEX(Aux_HH!$E$4:$E$18,MATCH($B689&amp;"|"&amp;$E689,Aux_HH!$A$4:$A$18,0)))</f>
        <v>0</v>
      </c>
      <c r="I689" s="0" t="n">
        <f aca="false">IF($F689=0,0,INDEX(Aux_HH!$F$4:$F$18,MATCH($B689&amp;"|"&amp;$E689,Aux_HH!$A$4:$A$18,0)))</f>
        <v>0</v>
      </c>
      <c r="J689" s="0" t="n">
        <f aca="false">IF($F689=0,0,INDEX(Aux_HH!$G$4:$G$18,MATCH($B689&amp;"|"&amp;$E689,Aux_HH!$A$4:$A$18,0)))</f>
        <v>0</v>
      </c>
      <c r="K689" s="0" t="n">
        <f aca="false">IF($F689=0,0,INDEX(Aux_HH!$H$4:$H$18,MATCH($B689&amp;"|"&amp;$E689,Aux_HH!$A$4:$A$18,0)))</f>
        <v>0</v>
      </c>
      <c r="L689" s="0" t="n">
        <f aca="false">IF($F689=0,0,INDEX(Aux_HH!$I$4:$I$18,MATCH($B689&amp;"|"&amp;$E689,Aux_HH!$A$4:$A$18,0)))</f>
        <v>0</v>
      </c>
    </row>
    <row r="690" customFormat="false" ht="15" hidden="false" customHeight="false" outlineLevel="0" collapsed="false">
      <c r="A690" s="0" t="str">
        <f aca="false">IF(Frota!$A18="","",Frota!$A18)</f>
        <v/>
      </c>
      <c r="B690" s="0" t="str">
        <f aca="false">IF(Frota!$A18="","",Frota!$B18)</f>
        <v/>
      </c>
      <c r="C690" s="0" t="n">
        <v>11</v>
      </c>
      <c r="D690" s="0" t="n">
        <f aca="false">INDEX(Semanas!$E$3:$E$54,11)</f>
        <v>6</v>
      </c>
      <c r="E690" s="0" t="str">
        <f aca="false">IF(Frota!$A18="","",Cronograma!L18)</f>
        <v/>
      </c>
      <c r="F690" s="0" t="n">
        <f aca="false">IF(OR($E690="",$E690=0),0,1)</f>
        <v>0</v>
      </c>
      <c r="G690" s="0" t="n">
        <f aca="false">IF($F690=0,0,INDEX(Aux_HH!$D$4:$D$18,MATCH($B690&amp;"|"&amp;$E690,Aux_HH!$A$4:$A$18,0)))</f>
        <v>0</v>
      </c>
      <c r="H690" s="0" t="n">
        <f aca="false">IF($F690=0,0,INDEX(Aux_HH!$E$4:$E$18,MATCH($B690&amp;"|"&amp;$E690,Aux_HH!$A$4:$A$18,0)))</f>
        <v>0</v>
      </c>
      <c r="I690" s="0" t="n">
        <f aca="false">IF($F690=0,0,INDEX(Aux_HH!$F$4:$F$18,MATCH($B690&amp;"|"&amp;$E690,Aux_HH!$A$4:$A$18,0)))</f>
        <v>0</v>
      </c>
      <c r="J690" s="0" t="n">
        <f aca="false">IF($F690=0,0,INDEX(Aux_HH!$G$4:$G$18,MATCH($B690&amp;"|"&amp;$E690,Aux_HH!$A$4:$A$18,0)))</f>
        <v>0</v>
      </c>
      <c r="K690" s="0" t="n">
        <f aca="false">IF($F690=0,0,INDEX(Aux_HH!$H$4:$H$18,MATCH($B690&amp;"|"&amp;$E690,Aux_HH!$A$4:$A$18,0)))</f>
        <v>0</v>
      </c>
      <c r="L690" s="0" t="n">
        <f aca="false">IF($F690=0,0,INDEX(Aux_HH!$I$4:$I$18,MATCH($B690&amp;"|"&amp;$E690,Aux_HH!$A$4:$A$18,0)))</f>
        <v>0</v>
      </c>
    </row>
    <row r="691" customFormat="false" ht="15" hidden="false" customHeight="false" outlineLevel="0" collapsed="false">
      <c r="A691" s="0" t="str">
        <f aca="false">IF(Frota!$A18="","",Frota!$A18)</f>
        <v/>
      </c>
      <c r="B691" s="0" t="str">
        <f aca="false">IF(Frota!$A18="","",Frota!$B18)</f>
        <v/>
      </c>
      <c r="C691" s="0" t="n">
        <v>12</v>
      </c>
      <c r="D691" s="0" t="n">
        <f aca="false">INDEX(Semanas!$E$3:$E$54,12)</f>
        <v>6</v>
      </c>
      <c r="E691" s="0" t="str">
        <f aca="false">IF(Frota!$A18="","",Cronograma!M18)</f>
        <v/>
      </c>
      <c r="F691" s="0" t="n">
        <f aca="false">IF(OR($E691="",$E691=0),0,1)</f>
        <v>0</v>
      </c>
      <c r="G691" s="0" t="n">
        <f aca="false">IF($F691=0,0,INDEX(Aux_HH!$D$4:$D$18,MATCH($B691&amp;"|"&amp;$E691,Aux_HH!$A$4:$A$18,0)))</f>
        <v>0</v>
      </c>
      <c r="H691" s="0" t="n">
        <f aca="false">IF($F691=0,0,INDEX(Aux_HH!$E$4:$E$18,MATCH($B691&amp;"|"&amp;$E691,Aux_HH!$A$4:$A$18,0)))</f>
        <v>0</v>
      </c>
      <c r="I691" s="0" t="n">
        <f aca="false">IF($F691=0,0,INDEX(Aux_HH!$F$4:$F$18,MATCH($B691&amp;"|"&amp;$E691,Aux_HH!$A$4:$A$18,0)))</f>
        <v>0</v>
      </c>
      <c r="J691" s="0" t="n">
        <f aca="false">IF($F691=0,0,INDEX(Aux_HH!$G$4:$G$18,MATCH($B691&amp;"|"&amp;$E691,Aux_HH!$A$4:$A$18,0)))</f>
        <v>0</v>
      </c>
      <c r="K691" s="0" t="n">
        <f aca="false">IF($F691=0,0,INDEX(Aux_HH!$H$4:$H$18,MATCH($B691&amp;"|"&amp;$E691,Aux_HH!$A$4:$A$18,0)))</f>
        <v>0</v>
      </c>
      <c r="L691" s="0" t="n">
        <f aca="false">IF($F691=0,0,INDEX(Aux_HH!$I$4:$I$18,MATCH($B691&amp;"|"&amp;$E691,Aux_HH!$A$4:$A$18,0)))</f>
        <v>0</v>
      </c>
    </row>
    <row r="692" customFormat="false" ht="15" hidden="false" customHeight="false" outlineLevel="0" collapsed="false">
      <c r="A692" s="0" t="str">
        <f aca="false">IF(Frota!$A18="","",Frota!$A18)</f>
        <v/>
      </c>
      <c r="B692" s="0" t="str">
        <f aca="false">IF(Frota!$A18="","",Frota!$B18)</f>
        <v/>
      </c>
      <c r="C692" s="0" t="n">
        <v>13</v>
      </c>
      <c r="D692" s="0" t="n">
        <f aca="false">INDEX(Semanas!$E$3:$E$54,13)</f>
        <v>6</v>
      </c>
      <c r="E692" s="0" t="str">
        <f aca="false">IF(Frota!$A18="","",Cronograma!N18)</f>
        <v/>
      </c>
      <c r="F692" s="0" t="n">
        <f aca="false">IF(OR($E692="",$E692=0),0,1)</f>
        <v>0</v>
      </c>
      <c r="G692" s="0" t="n">
        <f aca="false">IF($F692=0,0,INDEX(Aux_HH!$D$4:$D$18,MATCH($B692&amp;"|"&amp;$E692,Aux_HH!$A$4:$A$18,0)))</f>
        <v>0</v>
      </c>
      <c r="H692" s="0" t="n">
        <f aca="false">IF($F692=0,0,INDEX(Aux_HH!$E$4:$E$18,MATCH($B692&amp;"|"&amp;$E692,Aux_HH!$A$4:$A$18,0)))</f>
        <v>0</v>
      </c>
      <c r="I692" s="0" t="n">
        <f aca="false">IF($F692=0,0,INDEX(Aux_HH!$F$4:$F$18,MATCH($B692&amp;"|"&amp;$E692,Aux_HH!$A$4:$A$18,0)))</f>
        <v>0</v>
      </c>
      <c r="J692" s="0" t="n">
        <f aca="false">IF($F692=0,0,INDEX(Aux_HH!$G$4:$G$18,MATCH($B692&amp;"|"&amp;$E692,Aux_HH!$A$4:$A$18,0)))</f>
        <v>0</v>
      </c>
      <c r="K692" s="0" t="n">
        <f aca="false">IF($F692=0,0,INDEX(Aux_HH!$H$4:$H$18,MATCH($B692&amp;"|"&amp;$E692,Aux_HH!$A$4:$A$18,0)))</f>
        <v>0</v>
      </c>
      <c r="L692" s="0" t="n">
        <f aca="false">IF($F692=0,0,INDEX(Aux_HH!$I$4:$I$18,MATCH($B692&amp;"|"&amp;$E692,Aux_HH!$A$4:$A$18,0)))</f>
        <v>0</v>
      </c>
    </row>
    <row r="693" customFormat="false" ht="15" hidden="false" customHeight="false" outlineLevel="0" collapsed="false">
      <c r="A693" s="0" t="str">
        <f aca="false">IF(Frota!$A18="","",Frota!$A18)</f>
        <v/>
      </c>
      <c r="B693" s="0" t="str">
        <f aca="false">IF(Frota!$A18="","",Frota!$B18)</f>
        <v/>
      </c>
      <c r="C693" s="0" t="n">
        <v>14</v>
      </c>
      <c r="D693" s="0" t="n">
        <f aca="false">INDEX(Semanas!$E$3:$E$54,14)</f>
        <v>7</v>
      </c>
      <c r="E693" s="0" t="str">
        <f aca="false">IF(Frota!$A18="","",Cronograma!O18)</f>
        <v/>
      </c>
      <c r="F693" s="0" t="n">
        <f aca="false">IF(OR($E693="",$E693=0),0,1)</f>
        <v>0</v>
      </c>
      <c r="G693" s="0" t="n">
        <f aca="false">IF($F693=0,0,INDEX(Aux_HH!$D$4:$D$18,MATCH($B693&amp;"|"&amp;$E693,Aux_HH!$A$4:$A$18,0)))</f>
        <v>0</v>
      </c>
      <c r="H693" s="0" t="n">
        <f aca="false">IF($F693=0,0,INDEX(Aux_HH!$E$4:$E$18,MATCH($B693&amp;"|"&amp;$E693,Aux_HH!$A$4:$A$18,0)))</f>
        <v>0</v>
      </c>
      <c r="I693" s="0" t="n">
        <f aca="false">IF($F693=0,0,INDEX(Aux_HH!$F$4:$F$18,MATCH($B693&amp;"|"&amp;$E693,Aux_HH!$A$4:$A$18,0)))</f>
        <v>0</v>
      </c>
      <c r="J693" s="0" t="n">
        <f aca="false">IF($F693=0,0,INDEX(Aux_HH!$G$4:$G$18,MATCH($B693&amp;"|"&amp;$E693,Aux_HH!$A$4:$A$18,0)))</f>
        <v>0</v>
      </c>
      <c r="K693" s="0" t="n">
        <f aca="false">IF($F693=0,0,INDEX(Aux_HH!$H$4:$H$18,MATCH($B693&amp;"|"&amp;$E693,Aux_HH!$A$4:$A$18,0)))</f>
        <v>0</v>
      </c>
      <c r="L693" s="0" t="n">
        <f aca="false">IF($F693=0,0,INDEX(Aux_HH!$I$4:$I$18,MATCH($B693&amp;"|"&amp;$E693,Aux_HH!$A$4:$A$18,0)))</f>
        <v>0</v>
      </c>
    </row>
    <row r="694" customFormat="false" ht="15" hidden="false" customHeight="false" outlineLevel="0" collapsed="false">
      <c r="A694" s="0" t="str">
        <f aca="false">IF(Frota!$A18="","",Frota!$A18)</f>
        <v/>
      </c>
      <c r="B694" s="0" t="str">
        <f aca="false">IF(Frota!$A18="","",Frota!$B18)</f>
        <v/>
      </c>
      <c r="C694" s="0" t="n">
        <v>15</v>
      </c>
      <c r="D694" s="0" t="n">
        <f aca="false">INDEX(Semanas!$E$3:$E$54,15)</f>
        <v>7</v>
      </c>
      <c r="E694" s="0" t="str">
        <f aca="false">IF(Frota!$A18="","",Cronograma!P18)</f>
        <v/>
      </c>
      <c r="F694" s="0" t="n">
        <f aca="false">IF(OR($E694="",$E694=0),0,1)</f>
        <v>0</v>
      </c>
      <c r="G694" s="0" t="n">
        <f aca="false">IF($F694=0,0,INDEX(Aux_HH!$D$4:$D$18,MATCH($B694&amp;"|"&amp;$E694,Aux_HH!$A$4:$A$18,0)))</f>
        <v>0</v>
      </c>
      <c r="H694" s="0" t="n">
        <f aca="false">IF($F694=0,0,INDEX(Aux_HH!$E$4:$E$18,MATCH($B694&amp;"|"&amp;$E694,Aux_HH!$A$4:$A$18,0)))</f>
        <v>0</v>
      </c>
      <c r="I694" s="0" t="n">
        <f aca="false">IF($F694=0,0,INDEX(Aux_HH!$F$4:$F$18,MATCH($B694&amp;"|"&amp;$E694,Aux_HH!$A$4:$A$18,0)))</f>
        <v>0</v>
      </c>
      <c r="J694" s="0" t="n">
        <f aca="false">IF($F694=0,0,INDEX(Aux_HH!$G$4:$G$18,MATCH($B694&amp;"|"&amp;$E694,Aux_HH!$A$4:$A$18,0)))</f>
        <v>0</v>
      </c>
      <c r="K694" s="0" t="n">
        <f aca="false">IF($F694=0,0,INDEX(Aux_HH!$H$4:$H$18,MATCH($B694&amp;"|"&amp;$E694,Aux_HH!$A$4:$A$18,0)))</f>
        <v>0</v>
      </c>
      <c r="L694" s="0" t="n">
        <f aca="false">IF($F694=0,0,INDEX(Aux_HH!$I$4:$I$18,MATCH($B694&amp;"|"&amp;$E694,Aux_HH!$A$4:$A$18,0)))</f>
        <v>0</v>
      </c>
    </row>
    <row r="695" customFormat="false" ht="15" hidden="false" customHeight="false" outlineLevel="0" collapsed="false">
      <c r="A695" s="0" t="str">
        <f aca="false">IF(Frota!$A18="","",Frota!$A18)</f>
        <v/>
      </c>
      <c r="B695" s="0" t="str">
        <f aca="false">IF(Frota!$A18="","",Frota!$B18)</f>
        <v/>
      </c>
      <c r="C695" s="0" t="n">
        <v>16</v>
      </c>
      <c r="D695" s="0" t="n">
        <f aca="false">INDEX(Semanas!$E$3:$E$54,16)</f>
        <v>7</v>
      </c>
      <c r="E695" s="0" t="str">
        <f aca="false">IF(Frota!$A18="","",Cronograma!Q18)</f>
        <v/>
      </c>
      <c r="F695" s="0" t="n">
        <f aca="false">IF(OR($E695="",$E695=0),0,1)</f>
        <v>0</v>
      </c>
      <c r="G695" s="0" t="n">
        <f aca="false">IF($F695=0,0,INDEX(Aux_HH!$D$4:$D$18,MATCH($B695&amp;"|"&amp;$E695,Aux_HH!$A$4:$A$18,0)))</f>
        <v>0</v>
      </c>
      <c r="H695" s="0" t="n">
        <f aca="false">IF($F695=0,0,INDEX(Aux_HH!$E$4:$E$18,MATCH($B695&amp;"|"&amp;$E695,Aux_HH!$A$4:$A$18,0)))</f>
        <v>0</v>
      </c>
      <c r="I695" s="0" t="n">
        <f aca="false">IF($F695=0,0,INDEX(Aux_HH!$F$4:$F$18,MATCH($B695&amp;"|"&amp;$E695,Aux_HH!$A$4:$A$18,0)))</f>
        <v>0</v>
      </c>
      <c r="J695" s="0" t="n">
        <f aca="false">IF($F695=0,0,INDEX(Aux_HH!$G$4:$G$18,MATCH($B695&amp;"|"&amp;$E695,Aux_HH!$A$4:$A$18,0)))</f>
        <v>0</v>
      </c>
      <c r="K695" s="0" t="n">
        <f aca="false">IF($F695=0,0,INDEX(Aux_HH!$H$4:$H$18,MATCH($B695&amp;"|"&amp;$E695,Aux_HH!$A$4:$A$18,0)))</f>
        <v>0</v>
      </c>
      <c r="L695" s="0" t="n">
        <f aca="false">IF($F695=0,0,INDEX(Aux_HH!$I$4:$I$18,MATCH($B695&amp;"|"&amp;$E695,Aux_HH!$A$4:$A$18,0)))</f>
        <v>0</v>
      </c>
    </row>
    <row r="696" customFormat="false" ht="15" hidden="false" customHeight="false" outlineLevel="0" collapsed="false">
      <c r="A696" s="0" t="str">
        <f aca="false">IF(Frota!$A18="","",Frota!$A18)</f>
        <v/>
      </c>
      <c r="B696" s="0" t="str">
        <f aca="false">IF(Frota!$A18="","",Frota!$B18)</f>
        <v/>
      </c>
      <c r="C696" s="0" t="n">
        <v>17</v>
      </c>
      <c r="D696" s="0" t="n">
        <f aca="false">INDEX(Semanas!$E$3:$E$54,17)</f>
        <v>7</v>
      </c>
      <c r="E696" s="0" t="str">
        <f aca="false">IF(Frota!$A18="","",Cronograma!R18)</f>
        <v/>
      </c>
      <c r="F696" s="0" t="n">
        <f aca="false">IF(OR($E696="",$E696=0),0,1)</f>
        <v>0</v>
      </c>
      <c r="G696" s="0" t="n">
        <f aca="false">IF($F696=0,0,INDEX(Aux_HH!$D$4:$D$18,MATCH($B696&amp;"|"&amp;$E696,Aux_HH!$A$4:$A$18,0)))</f>
        <v>0</v>
      </c>
      <c r="H696" s="0" t="n">
        <f aca="false">IF($F696=0,0,INDEX(Aux_HH!$E$4:$E$18,MATCH($B696&amp;"|"&amp;$E696,Aux_HH!$A$4:$A$18,0)))</f>
        <v>0</v>
      </c>
      <c r="I696" s="0" t="n">
        <f aca="false">IF($F696=0,0,INDEX(Aux_HH!$F$4:$F$18,MATCH($B696&amp;"|"&amp;$E696,Aux_HH!$A$4:$A$18,0)))</f>
        <v>0</v>
      </c>
      <c r="J696" s="0" t="n">
        <f aca="false">IF($F696=0,0,INDEX(Aux_HH!$G$4:$G$18,MATCH($B696&amp;"|"&amp;$E696,Aux_HH!$A$4:$A$18,0)))</f>
        <v>0</v>
      </c>
      <c r="K696" s="0" t="n">
        <f aca="false">IF($F696=0,0,INDEX(Aux_HH!$H$4:$H$18,MATCH($B696&amp;"|"&amp;$E696,Aux_HH!$A$4:$A$18,0)))</f>
        <v>0</v>
      </c>
      <c r="L696" s="0" t="n">
        <f aca="false">IF($F696=0,0,INDEX(Aux_HH!$I$4:$I$18,MATCH($B696&amp;"|"&amp;$E696,Aux_HH!$A$4:$A$18,0)))</f>
        <v>0</v>
      </c>
    </row>
    <row r="697" customFormat="false" ht="15" hidden="false" customHeight="false" outlineLevel="0" collapsed="false">
      <c r="A697" s="0" t="str">
        <f aca="false">IF(Frota!$A18="","",Frota!$A18)</f>
        <v/>
      </c>
      <c r="B697" s="0" t="str">
        <f aca="false">IF(Frota!$A18="","",Frota!$B18)</f>
        <v/>
      </c>
      <c r="C697" s="0" t="n">
        <v>18</v>
      </c>
      <c r="D697" s="0" t="n">
        <f aca="false">INDEX(Semanas!$E$3:$E$54,18)</f>
        <v>7</v>
      </c>
      <c r="E697" s="0" t="str">
        <f aca="false">IF(Frota!$A18="","",Cronograma!S18)</f>
        <v/>
      </c>
      <c r="F697" s="0" t="n">
        <f aca="false">IF(OR($E697="",$E697=0),0,1)</f>
        <v>0</v>
      </c>
      <c r="G697" s="0" t="n">
        <f aca="false">IF($F697=0,0,INDEX(Aux_HH!$D$4:$D$18,MATCH($B697&amp;"|"&amp;$E697,Aux_HH!$A$4:$A$18,0)))</f>
        <v>0</v>
      </c>
      <c r="H697" s="0" t="n">
        <f aca="false">IF($F697=0,0,INDEX(Aux_HH!$E$4:$E$18,MATCH($B697&amp;"|"&amp;$E697,Aux_HH!$A$4:$A$18,0)))</f>
        <v>0</v>
      </c>
      <c r="I697" s="0" t="n">
        <f aca="false">IF($F697=0,0,INDEX(Aux_HH!$F$4:$F$18,MATCH($B697&amp;"|"&amp;$E697,Aux_HH!$A$4:$A$18,0)))</f>
        <v>0</v>
      </c>
      <c r="J697" s="0" t="n">
        <f aca="false">IF($F697=0,0,INDEX(Aux_HH!$G$4:$G$18,MATCH($B697&amp;"|"&amp;$E697,Aux_HH!$A$4:$A$18,0)))</f>
        <v>0</v>
      </c>
      <c r="K697" s="0" t="n">
        <f aca="false">IF($F697=0,0,INDEX(Aux_HH!$H$4:$H$18,MATCH($B697&amp;"|"&amp;$E697,Aux_HH!$A$4:$A$18,0)))</f>
        <v>0</v>
      </c>
      <c r="L697" s="0" t="n">
        <f aca="false">IF($F697=0,0,INDEX(Aux_HH!$I$4:$I$18,MATCH($B697&amp;"|"&amp;$E697,Aux_HH!$A$4:$A$18,0)))</f>
        <v>0</v>
      </c>
    </row>
    <row r="698" customFormat="false" ht="15" hidden="false" customHeight="false" outlineLevel="0" collapsed="false">
      <c r="A698" s="0" t="str">
        <f aca="false">IF(Frota!$A18="","",Frota!$A18)</f>
        <v/>
      </c>
      <c r="B698" s="0" t="str">
        <f aca="false">IF(Frota!$A18="","",Frota!$B18)</f>
        <v/>
      </c>
      <c r="C698" s="0" t="n">
        <v>19</v>
      </c>
      <c r="D698" s="0" t="n">
        <f aca="false">INDEX(Semanas!$E$3:$E$54,19)</f>
        <v>8</v>
      </c>
      <c r="E698" s="0" t="str">
        <f aca="false">IF(Frota!$A18="","",Cronograma!T18)</f>
        <v/>
      </c>
      <c r="F698" s="0" t="n">
        <f aca="false">IF(OR($E698="",$E698=0),0,1)</f>
        <v>0</v>
      </c>
      <c r="G698" s="0" t="n">
        <f aca="false">IF($F698=0,0,INDEX(Aux_HH!$D$4:$D$18,MATCH($B698&amp;"|"&amp;$E698,Aux_HH!$A$4:$A$18,0)))</f>
        <v>0</v>
      </c>
      <c r="H698" s="0" t="n">
        <f aca="false">IF($F698=0,0,INDEX(Aux_HH!$E$4:$E$18,MATCH($B698&amp;"|"&amp;$E698,Aux_HH!$A$4:$A$18,0)))</f>
        <v>0</v>
      </c>
      <c r="I698" s="0" t="n">
        <f aca="false">IF($F698=0,0,INDEX(Aux_HH!$F$4:$F$18,MATCH($B698&amp;"|"&amp;$E698,Aux_HH!$A$4:$A$18,0)))</f>
        <v>0</v>
      </c>
      <c r="J698" s="0" t="n">
        <f aca="false">IF($F698=0,0,INDEX(Aux_HH!$G$4:$G$18,MATCH($B698&amp;"|"&amp;$E698,Aux_HH!$A$4:$A$18,0)))</f>
        <v>0</v>
      </c>
      <c r="K698" s="0" t="n">
        <f aca="false">IF($F698=0,0,INDEX(Aux_HH!$H$4:$H$18,MATCH($B698&amp;"|"&amp;$E698,Aux_HH!$A$4:$A$18,0)))</f>
        <v>0</v>
      </c>
      <c r="L698" s="0" t="n">
        <f aca="false">IF($F698=0,0,INDEX(Aux_HH!$I$4:$I$18,MATCH($B698&amp;"|"&amp;$E698,Aux_HH!$A$4:$A$18,0)))</f>
        <v>0</v>
      </c>
    </row>
    <row r="699" customFormat="false" ht="15" hidden="false" customHeight="false" outlineLevel="0" collapsed="false">
      <c r="A699" s="0" t="str">
        <f aca="false">IF(Frota!$A18="","",Frota!$A18)</f>
        <v/>
      </c>
      <c r="B699" s="0" t="str">
        <f aca="false">IF(Frota!$A18="","",Frota!$B18)</f>
        <v/>
      </c>
      <c r="C699" s="0" t="n">
        <v>20</v>
      </c>
      <c r="D699" s="0" t="n">
        <f aca="false">INDEX(Semanas!$E$3:$E$54,20)</f>
        <v>8</v>
      </c>
      <c r="E699" s="0" t="str">
        <f aca="false">IF(Frota!$A18="","",Cronograma!U18)</f>
        <v/>
      </c>
      <c r="F699" s="0" t="n">
        <f aca="false">IF(OR($E699="",$E699=0),0,1)</f>
        <v>0</v>
      </c>
      <c r="G699" s="0" t="n">
        <f aca="false">IF($F699=0,0,INDEX(Aux_HH!$D$4:$D$18,MATCH($B699&amp;"|"&amp;$E699,Aux_HH!$A$4:$A$18,0)))</f>
        <v>0</v>
      </c>
      <c r="H699" s="0" t="n">
        <f aca="false">IF($F699=0,0,INDEX(Aux_HH!$E$4:$E$18,MATCH($B699&amp;"|"&amp;$E699,Aux_HH!$A$4:$A$18,0)))</f>
        <v>0</v>
      </c>
      <c r="I699" s="0" t="n">
        <f aca="false">IF($F699=0,0,INDEX(Aux_HH!$F$4:$F$18,MATCH($B699&amp;"|"&amp;$E699,Aux_HH!$A$4:$A$18,0)))</f>
        <v>0</v>
      </c>
      <c r="J699" s="0" t="n">
        <f aca="false">IF($F699=0,0,INDEX(Aux_HH!$G$4:$G$18,MATCH($B699&amp;"|"&amp;$E699,Aux_HH!$A$4:$A$18,0)))</f>
        <v>0</v>
      </c>
      <c r="K699" s="0" t="n">
        <f aca="false">IF($F699=0,0,INDEX(Aux_HH!$H$4:$H$18,MATCH($B699&amp;"|"&amp;$E699,Aux_HH!$A$4:$A$18,0)))</f>
        <v>0</v>
      </c>
      <c r="L699" s="0" t="n">
        <f aca="false">IF($F699=0,0,INDEX(Aux_HH!$I$4:$I$18,MATCH($B699&amp;"|"&amp;$E699,Aux_HH!$A$4:$A$18,0)))</f>
        <v>0</v>
      </c>
    </row>
    <row r="700" customFormat="false" ht="15" hidden="false" customHeight="false" outlineLevel="0" collapsed="false">
      <c r="A700" s="0" t="str">
        <f aca="false">IF(Frota!$A18="","",Frota!$A18)</f>
        <v/>
      </c>
      <c r="B700" s="0" t="str">
        <f aca="false">IF(Frota!$A18="","",Frota!$B18)</f>
        <v/>
      </c>
      <c r="C700" s="0" t="n">
        <v>21</v>
      </c>
      <c r="D700" s="0" t="n">
        <f aca="false">INDEX(Semanas!$E$3:$E$54,21)</f>
        <v>8</v>
      </c>
      <c r="E700" s="0" t="str">
        <f aca="false">IF(Frota!$A18="","",Cronograma!V18)</f>
        <v/>
      </c>
      <c r="F700" s="0" t="n">
        <f aca="false">IF(OR($E700="",$E700=0),0,1)</f>
        <v>0</v>
      </c>
      <c r="G700" s="0" t="n">
        <f aca="false">IF($F700=0,0,INDEX(Aux_HH!$D$4:$D$18,MATCH($B700&amp;"|"&amp;$E700,Aux_HH!$A$4:$A$18,0)))</f>
        <v>0</v>
      </c>
      <c r="H700" s="0" t="n">
        <f aca="false">IF($F700=0,0,INDEX(Aux_HH!$E$4:$E$18,MATCH($B700&amp;"|"&amp;$E700,Aux_HH!$A$4:$A$18,0)))</f>
        <v>0</v>
      </c>
      <c r="I700" s="0" t="n">
        <f aca="false">IF($F700=0,0,INDEX(Aux_HH!$F$4:$F$18,MATCH($B700&amp;"|"&amp;$E700,Aux_HH!$A$4:$A$18,0)))</f>
        <v>0</v>
      </c>
      <c r="J700" s="0" t="n">
        <f aca="false">IF($F700=0,0,INDEX(Aux_HH!$G$4:$G$18,MATCH($B700&amp;"|"&amp;$E700,Aux_HH!$A$4:$A$18,0)))</f>
        <v>0</v>
      </c>
      <c r="K700" s="0" t="n">
        <f aca="false">IF($F700=0,0,INDEX(Aux_HH!$H$4:$H$18,MATCH($B700&amp;"|"&amp;$E700,Aux_HH!$A$4:$A$18,0)))</f>
        <v>0</v>
      </c>
      <c r="L700" s="0" t="n">
        <f aca="false">IF($F700=0,0,INDEX(Aux_HH!$I$4:$I$18,MATCH($B700&amp;"|"&amp;$E700,Aux_HH!$A$4:$A$18,0)))</f>
        <v>0</v>
      </c>
    </row>
    <row r="701" customFormat="false" ht="15" hidden="false" customHeight="false" outlineLevel="0" collapsed="false">
      <c r="A701" s="0" t="str">
        <f aca="false">IF(Frota!$A18="","",Frota!$A18)</f>
        <v/>
      </c>
      <c r="B701" s="0" t="str">
        <f aca="false">IF(Frota!$A18="","",Frota!$B18)</f>
        <v/>
      </c>
      <c r="C701" s="0" t="n">
        <v>22</v>
      </c>
      <c r="D701" s="0" t="n">
        <f aca="false">INDEX(Semanas!$E$3:$E$54,22)</f>
        <v>8</v>
      </c>
      <c r="E701" s="0" t="str">
        <f aca="false">IF(Frota!$A18="","",Cronograma!W18)</f>
        <v/>
      </c>
      <c r="F701" s="0" t="n">
        <f aca="false">IF(OR($E701="",$E701=0),0,1)</f>
        <v>0</v>
      </c>
      <c r="G701" s="0" t="n">
        <f aca="false">IF($F701=0,0,INDEX(Aux_HH!$D$4:$D$18,MATCH($B701&amp;"|"&amp;$E701,Aux_HH!$A$4:$A$18,0)))</f>
        <v>0</v>
      </c>
      <c r="H701" s="0" t="n">
        <f aca="false">IF($F701=0,0,INDEX(Aux_HH!$E$4:$E$18,MATCH($B701&amp;"|"&amp;$E701,Aux_HH!$A$4:$A$18,0)))</f>
        <v>0</v>
      </c>
      <c r="I701" s="0" t="n">
        <f aca="false">IF($F701=0,0,INDEX(Aux_HH!$F$4:$F$18,MATCH($B701&amp;"|"&amp;$E701,Aux_HH!$A$4:$A$18,0)))</f>
        <v>0</v>
      </c>
      <c r="J701" s="0" t="n">
        <f aca="false">IF($F701=0,0,INDEX(Aux_HH!$G$4:$G$18,MATCH($B701&amp;"|"&amp;$E701,Aux_HH!$A$4:$A$18,0)))</f>
        <v>0</v>
      </c>
      <c r="K701" s="0" t="n">
        <f aca="false">IF($F701=0,0,INDEX(Aux_HH!$H$4:$H$18,MATCH($B701&amp;"|"&amp;$E701,Aux_HH!$A$4:$A$18,0)))</f>
        <v>0</v>
      </c>
      <c r="L701" s="0" t="n">
        <f aca="false">IF($F701=0,0,INDEX(Aux_HH!$I$4:$I$18,MATCH($B701&amp;"|"&amp;$E701,Aux_HH!$A$4:$A$18,0)))</f>
        <v>0</v>
      </c>
    </row>
    <row r="702" customFormat="false" ht="15" hidden="false" customHeight="false" outlineLevel="0" collapsed="false">
      <c r="A702" s="0" t="str">
        <f aca="false">IF(Frota!$A18="","",Frota!$A18)</f>
        <v/>
      </c>
      <c r="B702" s="0" t="str">
        <f aca="false">IF(Frota!$A18="","",Frota!$B18)</f>
        <v/>
      </c>
      <c r="C702" s="0" t="n">
        <v>23</v>
      </c>
      <c r="D702" s="0" t="n">
        <f aca="false">INDEX(Semanas!$E$3:$E$54,23)</f>
        <v>9</v>
      </c>
      <c r="E702" s="0" t="str">
        <f aca="false">IF(Frota!$A18="","",Cronograma!X18)</f>
        <v/>
      </c>
      <c r="F702" s="0" t="n">
        <f aca="false">IF(OR($E702="",$E702=0),0,1)</f>
        <v>0</v>
      </c>
      <c r="G702" s="0" t="n">
        <f aca="false">IF($F702=0,0,INDEX(Aux_HH!$D$4:$D$18,MATCH($B702&amp;"|"&amp;$E702,Aux_HH!$A$4:$A$18,0)))</f>
        <v>0</v>
      </c>
      <c r="H702" s="0" t="n">
        <f aca="false">IF($F702=0,0,INDEX(Aux_HH!$E$4:$E$18,MATCH($B702&amp;"|"&amp;$E702,Aux_HH!$A$4:$A$18,0)))</f>
        <v>0</v>
      </c>
      <c r="I702" s="0" t="n">
        <f aca="false">IF($F702=0,0,INDEX(Aux_HH!$F$4:$F$18,MATCH($B702&amp;"|"&amp;$E702,Aux_HH!$A$4:$A$18,0)))</f>
        <v>0</v>
      </c>
      <c r="J702" s="0" t="n">
        <f aca="false">IF($F702=0,0,INDEX(Aux_HH!$G$4:$G$18,MATCH($B702&amp;"|"&amp;$E702,Aux_HH!$A$4:$A$18,0)))</f>
        <v>0</v>
      </c>
      <c r="K702" s="0" t="n">
        <f aca="false">IF($F702=0,0,INDEX(Aux_HH!$H$4:$H$18,MATCH($B702&amp;"|"&amp;$E702,Aux_HH!$A$4:$A$18,0)))</f>
        <v>0</v>
      </c>
      <c r="L702" s="0" t="n">
        <f aca="false">IF($F702=0,0,INDEX(Aux_HH!$I$4:$I$18,MATCH($B702&amp;"|"&amp;$E702,Aux_HH!$A$4:$A$18,0)))</f>
        <v>0</v>
      </c>
    </row>
    <row r="703" customFormat="false" ht="15" hidden="false" customHeight="false" outlineLevel="0" collapsed="false">
      <c r="A703" s="0" t="str">
        <f aca="false">IF(Frota!$A18="","",Frota!$A18)</f>
        <v/>
      </c>
      <c r="B703" s="0" t="str">
        <f aca="false">IF(Frota!$A18="","",Frota!$B18)</f>
        <v/>
      </c>
      <c r="C703" s="0" t="n">
        <v>24</v>
      </c>
      <c r="D703" s="0" t="n">
        <f aca="false">INDEX(Semanas!$E$3:$E$54,24)</f>
        <v>9</v>
      </c>
      <c r="E703" s="0" t="str">
        <f aca="false">IF(Frota!$A18="","",Cronograma!Y18)</f>
        <v/>
      </c>
      <c r="F703" s="0" t="n">
        <f aca="false">IF(OR($E703="",$E703=0),0,1)</f>
        <v>0</v>
      </c>
      <c r="G703" s="0" t="n">
        <f aca="false">IF($F703=0,0,INDEX(Aux_HH!$D$4:$D$18,MATCH($B703&amp;"|"&amp;$E703,Aux_HH!$A$4:$A$18,0)))</f>
        <v>0</v>
      </c>
      <c r="H703" s="0" t="n">
        <f aca="false">IF($F703=0,0,INDEX(Aux_HH!$E$4:$E$18,MATCH($B703&amp;"|"&amp;$E703,Aux_HH!$A$4:$A$18,0)))</f>
        <v>0</v>
      </c>
      <c r="I703" s="0" t="n">
        <f aca="false">IF($F703=0,0,INDEX(Aux_HH!$F$4:$F$18,MATCH($B703&amp;"|"&amp;$E703,Aux_HH!$A$4:$A$18,0)))</f>
        <v>0</v>
      </c>
      <c r="J703" s="0" t="n">
        <f aca="false">IF($F703=0,0,INDEX(Aux_HH!$G$4:$G$18,MATCH($B703&amp;"|"&amp;$E703,Aux_HH!$A$4:$A$18,0)))</f>
        <v>0</v>
      </c>
      <c r="K703" s="0" t="n">
        <f aca="false">IF($F703=0,0,INDEX(Aux_HH!$H$4:$H$18,MATCH($B703&amp;"|"&amp;$E703,Aux_HH!$A$4:$A$18,0)))</f>
        <v>0</v>
      </c>
      <c r="L703" s="0" t="n">
        <f aca="false">IF($F703=0,0,INDEX(Aux_HH!$I$4:$I$18,MATCH($B703&amp;"|"&amp;$E703,Aux_HH!$A$4:$A$18,0)))</f>
        <v>0</v>
      </c>
    </row>
    <row r="704" customFormat="false" ht="15" hidden="false" customHeight="false" outlineLevel="0" collapsed="false">
      <c r="A704" s="0" t="str">
        <f aca="false">IF(Frota!$A18="","",Frota!$A18)</f>
        <v/>
      </c>
      <c r="B704" s="0" t="str">
        <f aca="false">IF(Frota!$A18="","",Frota!$B18)</f>
        <v/>
      </c>
      <c r="C704" s="0" t="n">
        <v>25</v>
      </c>
      <c r="D704" s="0" t="n">
        <f aca="false">INDEX(Semanas!$E$3:$E$54,25)</f>
        <v>9</v>
      </c>
      <c r="E704" s="0" t="str">
        <f aca="false">IF(Frota!$A18="","",Cronograma!Z18)</f>
        <v/>
      </c>
      <c r="F704" s="0" t="n">
        <f aca="false">IF(OR($E704="",$E704=0),0,1)</f>
        <v>0</v>
      </c>
      <c r="G704" s="0" t="n">
        <f aca="false">IF($F704=0,0,INDEX(Aux_HH!$D$4:$D$18,MATCH($B704&amp;"|"&amp;$E704,Aux_HH!$A$4:$A$18,0)))</f>
        <v>0</v>
      </c>
      <c r="H704" s="0" t="n">
        <f aca="false">IF($F704=0,0,INDEX(Aux_HH!$E$4:$E$18,MATCH($B704&amp;"|"&amp;$E704,Aux_HH!$A$4:$A$18,0)))</f>
        <v>0</v>
      </c>
      <c r="I704" s="0" t="n">
        <f aca="false">IF($F704=0,0,INDEX(Aux_HH!$F$4:$F$18,MATCH($B704&amp;"|"&amp;$E704,Aux_HH!$A$4:$A$18,0)))</f>
        <v>0</v>
      </c>
      <c r="J704" s="0" t="n">
        <f aca="false">IF($F704=0,0,INDEX(Aux_HH!$G$4:$G$18,MATCH($B704&amp;"|"&amp;$E704,Aux_HH!$A$4:$A$18,0)))</f>
        <v>0</v>
      </c>
      <c r="K704" s="0" t="n">
        <f aca="false">IF($F704=0,0,INDEX(Aux_HH!$H$4:$H$18,MATCH($B704&amp;"|"&amp;$E704,Aux_HH!$A$4:$A$18,0)))</f>
        <v>0</v>
      </c>
      <c r="L704" s="0" t="n">
        <f aca="false">IF($F704=0,0,INDEX(Aux_HH!$I$4:$I$18,MATCH($B704&amp;"|"&amp;$E704,Aux_HH!$A$4:$A$18,0)))</f>
        <v>0</v>
      </c>
    </row>
    <row r="705" customFormat="false" ht="15" hidden="false" customHeight="false" outlineLevel="0" collapsed="false">
      <c r="A705" s="0" t="str">
        <f aca="false">IF(Frota!$A18="","",Frota!$A18)</f>
        <v/>
      </c>
      <c r="B705" s="0" t="str">
        <f aca="false">IF(Frota!$A18="","",Frota!$B18)</f>
        <v/>
      </c>
      <c r="C705" s="0" t="n">
        <v>26</v>
      </c>
      <c r="D705" s="0" t="n">
        <f aca="false">INDEX(Semanas!$E$3:$E$54,26)</f>
        <v>9</v>
      </c>
      <c r="E705" s="0" t="str">
        <f aca="false">IF(Frota!$A18="","",Cronograma!AA18)</f>
        <v/>
      </c>
      <c r="F705" s="0" t="n">
        <f aca="false">IF(OR($E705="",$E705=0),0,1)</f>
        <v>0</v>
      </c>
      <c r="G705" s="0" t="n">
        <f aca="false">IF($F705=0,0,INDEX(Aux_HH!$D$4:$D$18,MATCH($B705&amp;"|"&amp;$E705,Aux_HH!$A$4:$A$18,0)))</f>
        <v>0</v>
      </c>
      <c r="H705" s="0" t="n">
        <f aca="false">IF($F705=0,0,INDEX(Aux_HH!$E$4:$E$18,MATCH($B705&amp;"|"&amp;$E705,Aux_HH!$A$4:$A$18,0)))</f>
        <v>0</v>
      </c>
      <c r="I705" s="0" t="n">
        <f aca="false">IF($F705=0,0,INDEX(Aux_HH!$F$4:$F$18,MATCH($B705&amp;"|"&amp;$E705,Aux_HH!$A$4:$A$18,0)))</f>
        <v>0</v>
      </c>
      <c r="J705" s="0" t="n">
        <f aca="false">IF($F705=0,0,INDEX(Aux_HH!$G$4:$G$18,MATCH($B705&amp;"|"&amp;$E705,Aux_HH!$A$4:$A$18,0)))</f>
        <v>0</v>
      </c>
      <c r="K705" s="0" t="n">
        <f aca="false">IF($F705=0,0,INDEX(Aux_HH!$H$4:$H$18,MATCH($B705&amp;"|"&amp;$E705,Aux_HH!$A$4:$A$18,0)))</f>
        <v>0</v>
      </c>
      <c r="L705" s="0" t="n">
        <f aca="false">IF($F705=0,0,INDEX(Aux_HH!$I$4:$I$18,MATCH($B705&amp;"|"&amp;$E705,Aux_HH!$A$4:$A$18,0)))</f>
        <v>0</v>
      </c>
    </row>
    <row r="706" customFormat="false" ht="15" hidden="false" customHeight="false" outlineLevel="0" collapsed="false">
      <c r="A706" s="0" t="str">
        <f aca="false">IF(Frota!$A18="","",Frota!$A18)</f>
        <v/>
      </c>
      <c r="B706" s="0" t="str">
        <f aca="false">IF(Frota!$A18="","",Frota!$B18)</f>
        <v/>
      </c>
      <c r="C706" s="0" t="n">
        <v>27</v>
      </c>
      <c r="D706" s="0" t="n">
        <f aca="false">INDEX(Semanas!$E$3:$E$54,27)</f>
        <v>9</v>
      </c>
      <c r="E706" s="0" t="str">
        <f aca="false">IF(Frota!$A18="","",Cronograma!AB18)</f>
        <v/>
      </c>
      <c r="F706" s="0" t="n">
        <f aca="false">IF(OR($E706="",$E706=0),0,1)</f>
        <v>0</v>
      </c>
      <c r="G706" s="0" t="n">
        <f aca="false">IF($F706=0,0,INDEX(Aux_HH!$D$4:$D$18,MATCH($B706&amp;"|"&amp;$E706,Aux_HH!$A$4:$A$18,0)))</f>
        <v>0</v>
      </c>
      <c r="H706" s="0" t="n">
        <f aca="false">IF($F706=0,0,INDEX(Aux_HH!$E$4:$E$18,MATCH($B706&amp;"|"&amp;$E706,Aux_HH!$A$4:$A$18,0)))</f>
        <v>0</v>
      </c>
      <c r="I706" s="0" t="n">
        <f aca="false">IF($F706=0,0,INDEX(Aux_HH!$F$4:$F$18,MATCH($B706&amp;"|"&amp;$E706,Aux_HH!$A$4:$A$18,0)))</f>
        <v>0</v>
      </c>
      <c r="J706" s="0" t="n">
        <f aca="false">IF($F706=0,0,INDEX(Aux_HH!$G$4:$G$18,MATCH($B706&amp;"|"&amp;$E706,Aux_HH!$A$4:$A$18,0)))</f>
        <v>0</v>
      </c>
      <c r="K706" s="0" t="n">
        <f aca="false">IF($F706=0,0,INDEX(Aux_HH!$H$4:$H$18,MATCH($B706&amp;"|"&amp;$E706,Aux_HH!$A$4:$A$18,0)))</f>
        <v>0</v>
      </c>
      <c r="L706" s="0" t="n">
        <f aca="false">IF($F706=0,0,INDEX(Aux_HH!$I$4:$I$18,MATCH($B706&amp;"|"&amp;$E706,Aux_HH!$A$4:$A$18,0)))</f>
        <v>0</v>
      </c>
    </row>
    <row r="707" customFormat="false" ht="15" hidden="false" customHeight="false" outlineLevel="0" collapsed="false">
      <c r="A707" s="0" t="str">
        <f aca="false">IF(Frota!$A18="","",Frota!$A18)</f>
        <v/>
      </c>
      <c r="B707" s="0" t="str">
        <f aca="false">IF(Frota!$A18="","",Frota!$B18)</f>
        <v/>
      </c>
      <c r="C707" s="0" t="n">
        <v>28</v>
      </c>
      <c r="D707" s="0" t="n">
        <f aca="false">INDEX(Semanas!$E$3:$E$54,28)</f>
        <v>10</v>
      </c>
      <c r="E707" s="0" t="str">
        <f aca="false">IF(Frota!$A18="","",Cronograma!AC18)</f>
        <v/>
      </c>
      <c r="F707" s="0" t="n">
        <f aca="false">IF(OR($E707="",$E707=0),0,1)</f>
        <v>0</v>
      </c>
      <c r="G707" s="0" t="n">
        <f aca="false">IF($F707=0,0,INDEX(Aux_HH!$D$4:$D$18,MATCH($B707&amp;"|"&amp;$E707,Aux_HH!$A$4:$A$18,0)))</f>
        <v>0</v>
      </c>
      <c r="H707" s="0" t="n">
        <f aca="false">IF($F707=0,0,INDEX(Aux_HH!$E$4:$E$18,MATCH($B707&amp;"|"&amp;$E707,Aux_HH!$A$4:$A$18,0)))</f>
        <v>0</v>
      </c>
      <c r="I707" s="0" t="n">
        <f aca="false">IF($F707=0,0,INDEX(Aux_HH!$F$4:$F$18,MATCH($B707&amp;"|"&amp;$E707,Aux_HH!$A$4:$A$18,0)))</f>
        <v>0</v>
      </c>
      <c r="J707" s="0" t="n">
        <f aca="false">IF($F707=0,0,INDEX(Aux_HH!$G$4:$G$18,MATCH($B707&amp;"|"&amp;$E707,Aux_HH!$A$4:$A$18,0)))</f>
        <v>0</v>
      </c>
      <c r="K707" s="0" t="n">
        <f aca="false">IF($F707=0,0,INDEX(Aux_HH!$H$4:$H$18,MATCH($B707&amp;"|"&amp;$E707,Aux_HH!$A$4:$A$18,0)))</f>
        <v>0</v>
      </c>
      <c r="L707" s="0" t="n">
        <f aca="false">IF($F707=0,0,INDEX(Aux_HH!$I$4:$I$18,MATCH($B707&amp;"|"&amp;$E707,Aux_HH!$A$4:$A$18,0)))</f>
        <v>0</v>
      </c>
    </row>
    <row r="708" customFormat="false" ht="15" hidden="false" customHeight="false" outlineLevel="0" collapsed="false">
      <c r="A708" s="0" t="str">
        <f aca="false">IF(Frota!$A18="","",Frota!$A18)</f>
        <v/>
      </c>
      <c r="B708" s="0" t="str">
        <f aca="false">IF(Frota!$A18="","",Frota!$B18)</f>
        <v/>
      </c>
      <c r="C708" s="0" t="n">
        <v>29</v>
      </c>
      <c r="D708" s="0" t="n">
        <f aca="false">INDEX(Semanas!$E$3:$E$54,29)</f>
        <v>10</v>
      </c>
      <c r="E708" s="0" t="str">
        <f aca="false">IF(Frota!$A18="","",Cronograma!AD18)</f>
        <v/>
      </c>
      <c r="F708" s="0" t="n">
        <f aca="false">IF(OR($E708="",$E708=0),0,1)</f>
        <v>0</v>
      </c>
      <c r="G708" s="0" t="n">
        <f aca="false">IF($F708=0,0,INDEX(Aux_HH!$D$4:$D$18,MATCH($B708&amp;"|"&amp;$E708,Aux_HH!$A$4:$A$18,0)))</f>
        <v>0</v>
      </c>
      <c r="H708" s="0" t="n">
        <f aca="false">IF($F708=0,0,INDEX(Aux_HH!$E$4:$E$18,MATCH($B708&amp;"|"&amp;$E708,Aux_HH!$A$4:$A$18,0)))</f>
        <v>0</v>
      </c>
      <c r="I708" s="0" t="n">
        <f aca="false">IF($F708=0,0,INDEX(Aux_HH!$F$4:$F$18,MATCH($B708&amp;"|"&amp;$E708,Aux_HH!$A$4:$A$18,0)))</f>
        <v>0</v>
      </c>
      <c r="J708" s="0" t="n">
        <f aca="false">IF($F708=0,0,INDEX(Aux_HH!$G$4:$G$18,MATCH($B708&amp;"|"&amp;$E708,Aux_HH!$A$4:$A$18,0)))</f>
        <v>0</v>
      </c>
      <c r="K708" s="0" t="n">
        <f aca="false">IF($F708=0,0,INDEX(Aux_HH!$H$4:$H$18,MATCH($B708&amp;"|"&amp;$E708,Aux_HH!$A$4:$A$18,0)))</f>
        <v>0</v>
      </c>
      <c r="L708" s="0" t="n">
        <f aca="false">IF($F708=0,0,INDEX(Aux_HH!$I$4:$I$18,MATCH($B708&amp;"|"&amp;$E708,Aux_HH!$A$4:$A$18,0)))</f>
        <v>0</v>
      </c>
    </row>
    <row r="709" customFormat="false" ht="15" hidden="false" customHeight="false" outlineLevel="0" collapsed="false">
      <c r="A709" s="0" t="str">
        <f aca="false">IF(Frota!$A18="","",Frota!$A18)</f>
        <v/>
      </c>
      <c r="B709" s="0" t="str">
        <f aca="false">IF(Frota!$A18="","",Frota!$B18)</f>
        <v/>
      </c>
      <c r="C709" s="0" t="n">
        <v>30</v>
      </c>
      <c r="D709" s="0" t="n">
        <f aca="false">INDEX(Semanas!$E$3:$E$54,30)</f>
        <v>10</v>
      </c>
      <c r="E709" s="0" t="str">
        <f aca="false">IF(Frota!$A18="","",Cronograma!AE18)</f>
        <v/>
      </c>
      <c r="F709" s="0" t="n">
        <f aca="false">IF(OR($E709="",$E709=0),0,1)</f>
        <v>0</v>
      </c>
      <c r="G709" s="0" t="n">
        <f aca="false">IF($F709=0,0,INDEX(Aux_HH!$D$4:$D$18,MATCH($B709&amp;"|"&amp;$E709,Aux_HH!$A$4:$A$18,0)))</f>
        <v>0</v>
      </c>
      <c r="H709" s="0" t="n">
        <f aca="false">IF($F709=0,0,INDEX(Aux_HH!$E$4:$E$18,MATCH($B709&amp;"|"&amp;$E709,Aux_HH!$A$4:$A$18,0)))</f>
        <v>0</v>
      </c>
      <c r="I709" s="0" t="n">
        <f aca="false">IF($F709=0,0,INDEX(Aux_HH!$F$4:$F$18,MATCH($B709&amp;"|"&amp;$E709,Aux_HH!$A$4:$A$18,0)))</f>
        <v>0</v>
      </c>
      <c r="J709" s="0" t="n">
        <f aca="false">IF($F709=0,0,INDEX(Aux_HH!$G$4:$G$18,MATCH($B709&amp;"|"&amp;$E709,Aux_HH!$A$4:$A$18,0)))</f>
        <v>0</v>
      </c>
      <c r="K709" s="0" t="n">
        <f aca="false">IF($F709=0,0,INDEX(Aux_HH!$H$4:$H$18,MATCH($B709&amp;"|"&amp;$E709,Aux_HH!$A$4:$A$18,0)))</f>
        <v>0</v>
      </c>
      <c r="L709" s="0" t="n">
        <f aca="false">IF($F709=0,0,INDEX(Aux_HH!$I$4:$I$18,MATCH($B709&amp;"|"&amp;$E709,Aux_HH!$A$4:$A$18,0)))</f>
        <v>0</v>
      </c>
    </row>
    <row r="710" customFormat="false" ht="15" hidden="false" customHeight="false" outlineLevel="0" collapsed="false">
      <c r="A710" s="0" t="str">
        <f aca="false">IF(Frota!$A18="","",Frota!$A18)</f>
        <v/>
      </c>
      <c r="B710" s="0" t="str">
        <f aca="false">IF(Frota!$A18="","",Frota!$B18)</f>
        <v/>
      </c>
      <c r="C710" s="0" t="n">
        <v>31</v>
      </c>
      <c r="D710" s="0" t="n">
        <f aca="false">INDEX(Semanas!$E$3:$E$54,31)</f>
        <v>10</v>
      </c>
      <c r="E710" s="0" t="str">
        <f aca="false">IF(Frota!$A18="","",Cronograma!AF18)</f>
        <v/>
      </c>
      <c r="F710" s="0" t="n">
        <f aca="false">IF(OR($E710="",$E710=0),0,1)</f>
        <v>0</v>
      </c>
      <c r="G710" s="0" t="n">
        <f aca="false">IF($F710=0,0,INDEX(Aux_HH!$D$4:$D$18,MATCH($B710&amp;"|"&amp;$E710,Aux_HH!$A$4:$A$18,0)))</f>
        <v>0</v>
      </c>
      <c r="H710" s="0" t="n">
        <f aca="false">IF($F710=0,0,INDEX(Aux_HH!$E$4:$E$18,MATCH($B710&amp;"|"&amp;$E710,Aux_HH!$A$4:$A$18,0)))</f>
        <v>0</v>
      </c>
      <c r="I710" s="0" t="n">
        <f aca="false">IF($F710=0,0,INDEX(Aux_HH!$F$4:$F$18,MATCH($B710&amp;"|"&amp;$E710,Aux_HH!$A$4:$A$18,0)))</f>
        <v>0</v>
      </c>
      <c r="J710" s="0" t="n">
        <f aca="false">IF($F710=0,0,INDEX(Aux_HH!$G$4:$G$18,MATCH($B710&amp;"|"&amp;$E710,Aux_HH!$A$4:$A$18,0)))</f>
        <v>0</v>
      </c>
      <c r="K710" s="0" t="n">
        <f aca="false">IF($F710=0,0,INDEX(Aux_HH!$H$4:$H$18,MATCH($B710&amp;"|"&amp;$E710,Aux_HH!$A$4:$A$18,0)))</f>
        <v>0</v>
      </c>
      <c r="L710" s="0" t="n">
        <f aca="false">IF($F710=0,0,INDEX(Aux_HH!$I$4:$I$18,MATCH($B710&amp;"|"&amp;$E710,Aux_HH!$A$4:$A$18,0)))</f>
        <v>0</v>
      </c>
    </row>
    <row r="711" customFormat="false" ht="15" hidden="false" customHeight="false" outlineLevel="0" collapsed="false">
      <c r="A711" s="0" t="str">
        <f aca="false">IF(Frota!$A18="","",Frota!$A18)</f>
        <v/>
      </c>
      <c r="B711" s="0" t="str">
        <f aca="false">IF(Frota!$A18="","",Frota!$B18)</f>
        <v/>
      </c>
      <c r="C711" s="0" t="n">
        <v>32</v>
      </c>
      <c r="D711" s="0" t="n">
        <f aca="false">INDEX(Semanas!$E$3:$E$54,32)</f>
        <v>11</v>
      </c>
      <c r="E711" s="0" t="str">
        <f aca="false">IF(Frota!$A18="","",Cronograma!AG18)</f>
        <v/>
      </c>
      <c r="F711" s="0" t="n">
        <f aca="false">IF(OR($E711="",$E711=0),0,1)</f>
        <v>0</v>
      </c>
      <c r="G711" s="0" t="n">
        <f aca="false">IF($F711=0,0,INDEX(Aux_HH!$D$4:$D$18,MATCH($B711&amp;"|"&amp;$E711,Aux_HH!$A$4:$A$18,0)))</f>
        <v>0</v>
      </c>
      <c r="H711" s="0" t="n">
        <f aca="false">IF($F711=0,0,INDEX(Aux_HH!$E$4:$E$18,MATCH($B711&amp;"|"&amp;$E711,Aux_HH!$A$4:$A$18,0)))</f>
        <v>0</v>
      </c>
      <c r="I711" s="0" t="n">
        <f aca="false">IF($F711=0,0,INDEX(Aux_HH!$F$4:$F$18,MATCH($B711&amp;"|"&amp;$E711,Aux_HH!$A$4:$A$18,0)))</f>
        <v>0</v>
      </c>
      <c r="J711" s="0" t="n">
        <f aca="false">IF($F711=0,0,INDEX(Aux_HH!$G$4:$G$18,MATCH($B711&amp;"|"&amp;$E711,Aux_HH!$A$4:$A$18,0)))</f>
        <v>0</v>
      </c>
      <c r="K711" s="0" t="n">
        <f aca="false">IF($F711=0,0,INDEX(Aux_HH!$H$4:$H$18,MATCH($B711&amp;"|"&amp;$E711,Aux_HH!$A$4:$A$18,0)))</f>
        <v>0</v>
      </c>
      <c r="L711" s="0" t="n">
        <f aca="false">IF($F711=0,0,INDEX(Aux_HH!$I$4:$I$18,MATCH($B711&amp;"|"&amp;$E711,Aux_HH!$A$4:$A$18,0)))</f>
        <v>0</v>
      </c>
    </row>
    <row r="712" customFormat="false" ht="15" hidden="false" customHeight="false" outlineLevel="0" collapsed="false">
      <c r="A712" s="0" t="str">
        <f aca="false">IF(Frota!$A18="","",Frota!$A18)</f>
        <v/>
      </c>
      <c r="B712" s="0" t="str">
        <f aca="false">IF(Frota!$A18="","",Frota!$B18)</f>
        <v/>
      </c>
      <c r="C712" s="0" t="n">
        <v>33</v>
      </c>
      <c r="D712" s="0" t="n">
        <f aca="false">INDEX(Semanas!$E$3:$E$54,33)</f>
        <v>11</v>
      </c>
      <c r="E712" s="0" t="str">
        <f aca="false">IF(Frota!$A18="","",Cronograma!AH18)</f>
        <v/>
      </c>
      <c r="F712" s="0" t="n">
        <f aca="false">IF(OR($E712="",$E712=0),0,1)</f>
        <v>0</v>
      </c>
      <c r="G712" s="0" t="n">
        <f aca="false">IF($F712=0,0,INDEX(Aux_HH!$D$4:$D$18,MATCH($B712&amp;"|"&amp;$E712,Aux_HH!$A$4:$A$18,0)))</f>
        <v>0</v>
      </c>
      <c r="H712" s="0" t="n">
        <f aca="false">IF($F712=0,0,INDEX(Aux_HH!$E$4:$E$18,MATCH($B712&amp;"|"&amp;$E712,Aux_HH!$A$4:$A$18,0)))</f>
        <v>0</v>
      </c>
      <c r="I712" s="0" t="n">
        <f aca="false">IF($F712=0,0,INDEX(Aux_HH!$F$4:$F$18,MATCH($B712&amp;"|"&amp;$E712,Aux_HH!$A$4:$A$18,0)))</f>
        <v>0</v>
      </c>
      <c r="J712" s="0" t="n">
        <f aca="false">IF($F712=0,0,INDEX(Aux_HH!$G$4:$G$18,MATCH($B712&amp;"|"&amp;$E712,Aux_HH!$A$4:$A$18,0)))</f>
        <v>0</v>
      </c>
      <c r="K712" s="0" t="n">
        <f aca="false">IF($F712=0,0,INDEX(Aux_HH!$H$4:$H$18,MATCH($B712&amp;"|"&amp;$E712,Aux_HH!$A$4:$A$18,0)))</f>
        <v>0</v>
      </c>
      <c r="L712" s="0" t="n">
        <f aca="false">IF($F712=0,0,INDEX(Aux_HH!$I$4:$I$18,MATCH($B712&amp;"|"&amp;$E712,Aux_HH!$A$4:$A$18,0)))</f>
        <v>0</v>
      </c>
    </row>
    <row r="713" customFormat="false" ht="15" hidden="false" customHeight="false" outlineLevel="0" collapsed="false">
      <c r="A713" s="0" t="str">
        <f aca="false">IF(Frota!$A18="","",Frota!$A18)</f>
        <v/>
      </c>
      <c r="B713" s="0" t="str">
        <f aca="false">IF(Frota!$A18="","",Frota!$B18)</f>
        <v/>
      </c>
      <c r="C713" s="0" t="n">
        <v>34</v>
      </c>
      <c r="D713" s="0" t="n">
        <f aca="false">INDEX(Semanas!$E$3:$E$54,34)</f>
        <v>11</v>
      </c>
      <c r="E713" s="0" t="str">
        <f aca="false">IF(Frota!$A18="","",Cronograma!AI18)</f>
        <v/>
      </c>
      <c r="F713" s="0" t="n">
        <f aca="false">IF(OR($E713="",$E713=0),0,1)</f>
        <v>0</v>
      </c>
      <c r="G713" s="0" t="n">
        <f aca="false">IF($F713=0,0,INDEX(Aux_HH!$D$4:$D$18,MATCH($B713&amp;"|"&amp;$E713,Aux_HH!$A$4:$A$18,0)))</f>
        <v>0</v>
      </c>
      <c r="H713" s="0" t="n">
        <f aca="false">IF($F713=0,0,INDEX(Aux_HH!$E$4:$E$18,MATCH($B713&amp;"|"&amp;$E713,Aux_HH!$A$4:$A$18,0)))</f>
        <v>0</v>
      </c>
      <c r="I713" s="0" t="n">
        <f aca="false">IF($F713=0,0,INDEX(Aux_HH!$F$4:$F$18,MATCH($B713&amp;"|"&amp;$E713,Aux_HH!$A$4:$A$18,0)))</f>
        <v>0</v>
      </c>
      <c r="J713" s="0" t="n">
        <f aca="false">IF($F713=0,0,INDEX(Aux_HH!$G$4:$G$18,MATCH($B713&amp;"|"&amp;$E713,Aux_HH!$A$4:$A$18,0)))</f>
        <v>0</v>
      </c>
      <c r="K713" s="0" t="n">
        <f aca="false">IF($F713=0,0,INDEX(Aux_HH!$H$4:$H$18,MATCH($B713&amp;"|"&amp;$E713,Aux_HH!$A$4:$A$18,0)))</f>
        <v>0</v>
      </c>
      <c r="L713" s="0" t="n">
        <f aca="false">IF($F713=0,0,INDEX(Aux_HH!$I$4:$I$18,MATCH($B713&amp;"|"&amp;$E713,Aux_HH!$A$4:$A$18,0)))</f>
        <v>0</v>
      </c>
    </row>
    <row r="714" customFormat="false" ht="15" hidden="false" customHeight="false" outlineLevel="0" collapsed="false">
      <c r="A714" s="0" t="str">
        <f aca="false">IF(Frota!$A18="","",Frota!$A18)</f>
        <v/>
      </c>
      <c r="B714" s="0" t="str">
        <f aca="false">IF(Frota!$A18="","",Frota!$B18)</f>
        <v/>
      </c>
      <c r="C714" s="0" t="n">
        <v>35</v>
      </c>
      <c r="D714" s="0" t="n">
        <f aca="false">INDEX(Semanas!$E$3:$E$54,35)</f>
        <v>11</v>
      </c>
      <c r="E714" s="0" t="str">
        <f aca="false">IF(Frota!$A18="","",Cronograma!AJ18)</f>
        <v/>
      </c>
      <c r="F714" s="0" t="n">
        <f aca="false">IF(OR($E714="",$E714=0),0,1)</f>
        <v>0</v>
      </c>
      <c r="G714" s="0" t="n">
        <f aca="false">IF($F714=0,0,INDEX(Aux_HH!$D$4:$D$18,MATCH($B714&amp;"|"&amp;$E714,Aux_HH!$A$4:$A$18,0)))</f>
        <v>0</v>
      </c>
      <c r="H714" s="0" t="n">
        <f aca="false">IF($F714=0,0,INDEX(Aux_HH!$E$4:$E$18,MATCH($B714&amp;"|"&amp;$E714,Aux_HH!$A$4:$A$18,0)))</f>
        <v>0</v>
      </c>
      <c r="I714" s="0" t="n">
        <f aca="false">IF($F714=0,0,INDEX(Aux_HH!$F$4:$F$18,MATCH($B714&amp;"|"&amp;$E714,Aux_HH!$A$4:$A$18,0)))</f>
        <v>0</v>
      </c>
      <c r="J714" s="0" t="n">
        <f aca="false">IF($F714=0,0,INDEX(Aux_HH!$G$4:$G$18,MATCH($B714&amp;"|"&amp;$E714,Aux_HH!$A$4:$A$18,0)))</f>
        <v>0</v>
      </c>
      <c r="K714" s="0" t="n">
        <f aca="false">IF($F714=0,0,INDEX(Aux_HH!$H$4:$H$18,MATCH($B714&amp;"|"&amp;$E714,Aux_HH!$A$4:$A$18,0)))</f>
        <v>0</v>
      </c>
      <c r="L714" s="0" t="n">
        <f aca="false">IF($F714=0,0,INDEX(Aux_HH!$I$4:$I$18,MATCH($B714&amp;"|"&amp;$E714,Aux_HH!$A$4:$A$18,0)))</f>
        <v>0</v>
      </c>
    </row>
    <row r="715" customFormat="false" ht="15" hidden="false" customHeight="false" outlineLevel="0" collapsed="false">
      <c r="A715" s="0" t="str">
        <f aca="false">IF(Frota!$A18="","",Frota!$A18)</f>
        <v/>
      </c>
      <c r="B715" s="0" t="str">
        <f aca="false">IF(Frota!$A18="","",Frota!$B18)</f>
        <v/>
      </c>
      <c r="C715" s="0" t="n">
        <v>36</v>
      </c>
      <c r="D715" s="0" t="n">
        <f aca="false">INDEX(Semanas!$E$3:$E$54,36)</f>
        <v>12</v>
      </c>
      <c r="E715" s="0" t="str">
        <f aca="false">IF(Frota!$A18="","",Cronograma!AK18)</f>
        <v/>
      </c>
      <c r="F715" s="0" t="n">
        <f aca="false">IF(OR($E715="",$E715=0),0,1)</f>
        <v>0</v>
      </c>
      <c r="G715" s="0" t="n">
        <f aca="false">IF($F715=0,0,INDEX(Aux_HH!$D$4:$D$18,MATCH($B715&amp;"|"&amp;$E715,Aux_HH!$A$4:$A$18,0)))</f>
        <v>0</v>
      </c>
      <c r="H715" s="0" t="n">
        <f aca="false">IF($F715=0,0,INDEX(Aux_HH!$E$4:$E$18,MATCH($B715&amp;"|"&amp;$E715,Aux_HH!$A$4:$A$18,0)))</f>
        <v>0</v>
      </c>
      <c r="I715" s="0" t="n">
        <f aca="false">IF($F715=0,0,INDEX(Aux_HH!$F$4:$F$18,MATCH($B715&amp;"|"&amp;$E715,Aux_HH!$A$4:$A$18,0)))</f>
        <v>0</v>
      </c>
      <c r="J715" s="0" t="n">
        <f aca="false">IF($F715=0,0,INDEX(Aux_HH!$G$4:$G$18,MATCH($B715&amp;"|"&amp;$E715,Aux_HH!$A$4:$A$18,0)))</f>
        <v>0</v>
      </c>
      <c r="K715" s="0" t="n">
        <f aca="false">IF($F715=0,0,INDEX(Aux_HH!$H$4:$H$18,MATCH($B715&amp;"|"&amp;$E715,Aux_HH!$A$4:$A$18,0)))</f>
        <v>0</v>
      </c>
      <c r="L715" s="0" t="n">
        <f aca="false">IF($F715=0,0,INDEX(Aux_HH!$I$4:$I$18,MATCH($B715&amp;"|"&amp;$E715,Aux_HH!$A$4:$A$18,0)))</f>
        <v>0</v>
      </c>
    </row>
    <row r="716" customFormat="false" ht="15" hidden="false" customHeight="false" outlineLevel="0" collapsed="false">
      <c r="A716" s="0" t="str">
        <f aca="false">IF(Frota!$A18="","",Frota!$A18)</f>
        <v/>
      </c>
      <c r="B716" s="0" t="str">
        <f aca="false">IF(Frota!$A18="","",Frota!$B18)</f>
        <v/>
      </c>
      <c r="C716" s="0" t="n">
        <v>37</v>
      </c>
      <c r="D716" s="0" t="n">
        <f aca="false">INDEX(Semanas!$E$3:$E$54,37)</f>
        <v>12</v>
      </c>
      <c r="E716" s="0" t="str">
        <f aca="false">IF(Frota!$A18="","",Cronograma!AL18)</f>
        <v/>
      </c>
      <c r="F716" s="0" t="n">
        <f aca="false">IF(OR($E716="",$E716=0),0,1)</f>
        <v>0</v>
      </c>
      <c r="G716" s="0" t="n">
        <f aca="false">IF($F716=0,0,INDEX(Aux_HH!$D$4:$D$18,MATCH($B716&amp;"|"&amp;$E716,Aux_HH!$A$4:$A$18,0)))</f>
        <v>0</v>
      </c>
      <c r="H716" s="0" t="n">
        <f aca="false">IF($F716=0,0,INDEX(Aux_HH!$E$4:$E$18,MATCH($B716&amp;"|"&amp;$E716,Aux_HH!$A$4:$A$18,0)))</f>
        <v>0</v>
      </c>
      <c r="I716" s="0" t="n">
        <f aca="false">IF($F716=0,0,INDEX(Aux_HH!$F$4:$F$18,MATCH($B716&amp;"|"&amp;$E716,Aux_HH!$A$4:$A$18,0)))</f>
        <v>0</v>
      </c>
      <c r="J716" s="0" t="n">
        <f aca="false">IF($F716=0,0,INDEX(Aux_HH!$G$4:$G$18,MATCH($B716&amp;"|"&amp;$E716,Aux_HH!$A$4:$A$18,0)))</f>
        <v>0</v>
      </c>
      <c r="K716" s="0" t="n">
        <f aca="false">IF($F716=0,0,INDEX(Aux_HH!$H$4:$H$18,MATCH($B716&amp;"|"&amp;$E716,Aux_HH!$A$4:$A$18,0)))</f>
        <v>0</v>
      </c>
      <c r="L716" s="0" t="n">
        <f aca="false">IF($F716=0,0,INDEX(Aux_HH!$I$4:$I$18,MATCH($B716&amp;"|"&amp;$E716,Aux_HH!$A$4:$A$18,0)))</f>
        <v>0</v>
      </c>
    </row>
    <row r="717" customFormat="false" ht="15" hidden="false" customHeight="false" outlineLevel="0" collapsed="false">
      <c r="A717" s="0" t="str">
        <f aca="false">IF(Frota!$A18="","",Frota!$A18)</f>
        <v/>
      </c>
      <c r="B717" s="0" t="str">
        <f aca="false">IF(Frota!$A18="","",Frota!$B18)</f>
        <v/>
      </c>
      <c r="C717" s="0" t="n">
        <v>38</v>
      </c>
      <c r="D717" s="0" t="n">
        <f aca="false">INDEX(Semanas!$E$3:$E$54,38)</f>
        <v>12</v>
      </c>
      <c r="E717" s="0" t="str">
        <f aca="false">IF(Frota!$A18="","",Cronograma!AM18)</f>
        <v/>
      </c>
      <c r="F717" s="0" t="n">
        <f aca="false">IF(OR($E717="",$E717=0),0,1)</f>
        <v>0</v>
      </c>
      <c r="G717" s="0" t="n">
        <f aca="false">IF($F717=0,0,INDEX(Aux_HH!$D$4:$D$18,MATCH($B717&amp;"|"&amp;$E717,Aux_HH!$A$4:$A$18,0)))</f>
        <v>0</v>
      </c>
      <c r="H717" s="0" t="n">
        <f aca="false">IF($F717=0,0,INDEX(Aux_HH!$E$4:$E$18,MATCH($B717&amp;"|"&amp;$E717,Aux_HH!$A$4:$A$18,0)))</f>
        <v>0</v>
      </c>
      <c r="I717" s="0" t="n">
        <f aca="false">IF($F717=0,0,INDEX(Aux_HH!$F$4:$F$18,MATCH($B717&amp;"|"&amp;$E717,Aux_HH!$A$4:$A$18,0)))</f>
        <v>0</v>
      </c>
      <c r="J717" s="0" t="n">
        <f aca="false">IF($F717=0,0,INDEX(Aux_HH!$G$4:$G$18,MATCH($B717&amp;"|"&amp;$E717,Aux_HH!$A$4:$A$18,0)))</f>
        <v>0</v>
      </c>
      <c r="K717" s="0" t="n">
        <f aca="false">IF($F717=0,0,INDEX(Aux_HH!$H$4:$H$18,MATCH($B717&amp;"|"&amp;$E717,Aux_HH!$A$4:$A$18,0)))</f>
        <v>0</v>
      </c>
      <c r="L717" s="0" t="n">
        <f aca="false">IF($F717=0,0,INDEX(Aux_HH!$I$4:$I$18,MATCH($B717&amp;"|"&amp;$E717,Aux_HH!$A$4:$A$18,0)))</f>
        <v>0</v>
      </c>
    </row>
    <row r="718" customFormat="false" ht="15" hidden="false" customHeight="false" outlineLevel="0" collapsed="false">
      <c r="A718" s="0" t="str">
        <f aca="false">IF(Frota!$A18="","",Frota!$A18)</f>
        <v/>
      </c>
      <c r="B718" s="0" t="str">
        <f aca="false">IF(Frota!$A18="","",Frota!$B18)</f>
        <v/>
      </c>
      <c r="C718" s="0" t="n">
        <v>39</v>
      </c>
      <c r="D718" s="0" t="n">
        <f aca="false">INDEX(Semanas!$E$3:$E$54,39)</f>
        <v>12</v>
      </c>
      <c r="E718" s="0" t="str">
        <f aca="false">IF(Frota!$A18="","",Cronograma!AN18)</f>
        <v/>
      </c>
      <c r="F718" s="0" t="n">
        <f aca="false">IF(OR($E718="",$E718=0),0,1)</f>
        <v>0</v>
      </c>
      <c r="G718" s="0" t="n">
        <f aca="false">IF($F718=0,0,INDEX(Aux_HH!$D$4:$D$18,MATCH($B718&amp;"|"&amp;$E718,Aux_HH!$A$4:$A$18,0)))</f>
        <v>0</v>
      </c>
      <c r="H718" s="0" t="n">
        <f aca="false">IF($F718=0,0,INDEX(Aux_HH!$E$4:$E$18,MATCH($B718&amp;"|"&amp;$E718,Aux_HH!$A$4:$A$18,0)))</f>
        <v>0</v>
      </c>
      <c r="I718" s="0" t="n">
        <f aca="false">IF($F718=0,0,INDEX(Aux_HH!$F$4:$F$18,MATCH($B718&amp;"|"&amp;$E718,Aux_HH!$A$4:$A$18,0)))</f>
        <v>0</v>
      </c>
      <c r="J718" s="0" t="n">
        <f aca="false">IF($F718=0,0,INDEX(Aux_HH!$G$4:$G$18,MATCH($B718&amp;"|"&amp;$E718,Aux_HH!$A$4:$A$18,0)))</f>
        <v>0</v>
      </c>
      <c r="K718" s="0" t="n">
        <f aca="false">IF($F718=0,0,INDEX(Aux_HH!$H$4:$H$18,MATCH($B718&amp;"|"&amp;$E718,Aux_HH!$A$4:$A$18,0)))</f>
        <v>0</v>
      </c>
      <c r="L718" s="0" t="n">
        <f aca="false">IF($F718=0,0,INDEX(Aux_HH!$I$4:$I$18,MATCH($B718&amp;"|"&amp;$E718,Aux_HH!$A$4:$A$18,0)))</f>
        <v>0</v>
      </c>
    </row>
    <row r="719" customFormat="false" ht="15" hidden="false" customHeight="false" outlineLevel="0" collapsed="false">
      <c r="A719" s="0" t="str">
        <f aca="false">IF(Frota!$A18="","",Frota!$A18)</f>
        <v/>
      </c>
      <c r="B719" s="0" t="str">
        <f aca="false">IF(Frota!$A18="","",Frota!$B18)</f>
        <v/>
      </c>
      <c r="C719" s="0" t="n">
        <v>40</v>
      </c>
      <c r="D719" s="0" t="n">
        <f aca="false">INDEX(Semanas!$E$3:$E$54,40)</f>
        <v>12</v>
      </c>
      <c r="E719" s="0" t="str">
        <f aca="false">IF(Frota!$A18="","",Cronograma!AO18)</f>
        <v/>
      </c>
      <c r="F719" s="0" t="n">
        <f aca="false">IF(OR($E719="",$E719=0),0,1)</f>
        <v>0</v>
      </c>
      <c r="G719" s="0" t="n">
        <f aca="false">IF($F719=0,0,INDEX(Aux_HH!$D$4:$D$18,MATCH($B719&amp;"|"&amp;$E719,Aux_HH!$A$4:$A$18,0)))</f>
        <v>0</v>
      </c>
      <c r="H719" s="0" t="n">
        <f aca="false">IF($F719=0,0,INDEX(Aux_HH!$E$4:$E$18,MATCH($B719&amp;"|"&amp;$E719,Aux_HH!$A$4:$A$18,0)))</f>
        <v>0</v>
      </c>
      <c r="I719" s="0" t="n">
        <f aca="false">IF($F719=0,0,INDEX(Aux_HH!$F$4:$F$18,MATCH($B719&amp;"|"&amp;$E719,Aux_HH!$A$4:$A$18,0)))</f>
        <v>0</v>
      </c>
      <c r="J719" s="0" t="n">
        <f aca="false">IF($F719=0,0,INDEX(Aux_HH!$G$4:$G$18,MATCH($B719&amp;"|"&amp;$E719,Aux_HH!$A$4:$A$18,0)))</f>
        <v>0</v>
      </c>
      <c r="K719" s="0" t="n">
        <f aca="false">IF($F719=0,0,INDEX(Aux_HH!$H$4:$H$18,MATCH($B719&amp;"|"&amp;$E719,Aux_HH!$A$4:$A$18,0)))</f>
        <v>0</v>
      </c>
      <c r="L719" s="0" t="n">
        <f aca="false">IF($F719=0,0,INDEX(Aux_HH!$I$4:$I$18,MATCH($B719&amp;"|"&amp;$E719,Aux_HH!$A$4:$A$18,0)))</f>
        <v>0</v>
      </c>
    </row>
    <row r="720" customFormat="false" ht="15" hidden="false" customHeight="false" outlineLevel="0" collapsed="false">
      <c r="A720" s="0" t="str">
        <f aca="false">IF(Frota!$A18="","",Frota!$A18)</f>
        <v/>
      </c>
      <c r="B720" s="0" t="str">
        <f aca="false">IF(Frota!$A18="","",Frota!$B18)</f>
        <v/>
      </c>
      <c r="C720" s="0" t="n">
        <v>41</v>
      </c>
      <c r="D720" s="0" t="n">
        <f aca="false">INDEX(Semanas!$E$3:$E$54,41)</f>
        <v>1</v>
      </c>
      <c r="E720" s="0" t="str">
        <f aca="false">IF(Frota!$A18="","",Cronograma!AP18)</f>
        <v/>
      </c>
      <c r="F720" s="0" t="n">
        <f aca="false">IF(OR($E720="",$E720=0),0,1)</f>
        <v>0</v>
      </c>
      <c r="G720" s="0" t="n">
        <f aca="false">IF($F720=0,0,INDEX(Aux_HH!$D$4:$D$18,MATCH($B720&amp;"|"&amp;$E720,Aux_HH!$A$4:$A$18,0)))</f>
        <v>0</v>
      </c>
      <c r="H720" s="0" t="n">
        <f aca="false">IF($F720=0,0,INDEX(Aux_HH!$E$4:$E$18,MATCH($B720&amp;"|"&amp;$E720,Aux_HH!$A$4:$A$18,0)))</f>
        <v>0</v>
      </c>
      <c r="I720" s="0" t="n">
        <f aca="false">IF($F720=0,0,INDEX(Aux_HH!$F$4:$F$18,MATCH($B720&amp;"|"&amp;$E720,Aux_HH!$A$4:$A$18,0)))</f>
        <v>0</v>
      </c>
      <c r="J720" s="0" t="n">
        <f aca="false">IF($F720=0,0,INDEX(Aux_HH!$G$4:$G$18,MATCH($B720&amp;"|"&amp;$E720,Aux_HH!$A$4:$A$18,0)))</f>
        <v>0</v>
      </c>
      <c r="K720" s="0" t="n">
        <f aca="false">IF($F720=0,0,INDEX(Aux_HH!$H$4:$H$18,MATCH($B720&amp;"|"&amp;$E720,Aux_HH!$A$4:$A$18,0)))</f>
        <v>0</v>
      </c>
      <c r="L720" s="0" t="n">
        <f aca="false">IF($F720=0,0,INDEX(Aux_HH!$I$4:$I$18,MATCH($B720&amp;"|"&amp;$E720,Aux_HH!$A$4:$A$18,0)))</f>
        <v>0</v>
      </c>
    </row>
    <row r="721" customFormat="false" ht="15" hidden="false" customHeight="false" outlineLevel="0" collapsed="false">
      <c r="A721" s="0" t="str">
        <f aca="false">IF(Frota!$A18="","",Frota!$A18)</f>
        <v/>
      </c>
      <c r="B721" s="0" t="str">
        <f aca="false">IF(Frota!$A18="","",Frota!$B18)</f>
        <v/>
      </c>
      <c r="C721" s="0" t="n">
        <v>42</v>
      </c>
      <c r="D721" s="0" t="n">
        <f aca="false">INDEX(Semanas!$E$3:$E$54,42)</f>
        <v>1</v>
      </c>
      <c r="E721" s="0" t="str">
        <f aca="false">IF(Frota!$A18="","",Cronograma!AQ18)</f>
        <v/>
      </c>
      <c r="F721" s="0" t="n">
        <f aca="false">IF(OR($E721="",$E721=0),0,1)</f>
        <v>0</v>
      </c>
      <c r="G721" s="0" t="n">
        <f aca="false">IF($F721=0,0,INDEX(Aux_HH!$D$4:$D$18,MATCH($B721&amp;"|"&amp;$E721,Aux_HH!$A$4:$A$18,0)))</f>
        <v>0</v>
      </c>
      <c r="H721" s="0" t="n">
        <f aca="false">IF($F721=0,0,INDEX(Aux_HH!$E$4:$E$18,MATCH($B721&amp;"|"&amp;$E721,Aux_HH!$A$4:$A$18,0)))</f>
        <v>0</v>
      </c>
      <c r="I721" s="0" t="n">
        <f aca="false">IF($F721=0,0,INDEX(Aux_HH!$F$4:$F$18,MATCH($B721&amp;"|"&amp;$E721,Aux_HH!$A$4:$A$18,0)))</f>
        <v>0</v>
      </c>
      <c r="J721" s="0" t="n">
        <f aca="false">IF($F721=0,0,INDEX(Aux_HH!$G$4:$G$18,MATCH($B721&amp;"|"&amp;$E721,Aux_HH!$A$4:$A$18,0)))</f>
        <v>0</v>
      </c>
      <c r="K721" s="0" t="n">
        <f aca="false">IF($F721=0,0,INDEX(Aux_HH!$H$4:$H$18,MATCH($B721&amp;"|"&amp;$E721,Aux_HH!$A$4:$A$18,0)))</f>
        <v>0</v>
      </c>
      <c r="L721" s="0" t="n">
        <f aca="false">IF($F721=0,0,INDEX(Aux_HH!$I$4:$I$18,MATCH($B721&amp;"|"&amp;$E721,Aux_HH!$A$4:$A$18,0)))</f>
        <v>0</v>
      </c>
    </row>
    <row r="722" customFormat="false" ht="15" hidden="false" customHeight="false" outlineLevel="0" collapsed="false">
      <c r="A722" s="0" t="str">
        <f aca="false">IF(Frota!$A18="","",Frota!$A18)</f>
        <v/>
      </c>
      <c r="B722" s="0" t="str">
        <f aca="false">IF(Frota!$A18="","",Frota!$B18)</f>
        <v/>
      </c>
      <c r="C722" s="0" t="n">
        <v>43</v>
      </c>
      <c r="D722" s="0" t="n">
        <f aca="false">INDEX(Semanas!$E$3:$E$54,43)</f>
        <v>1</v>
      </c>
      <c r="E722" s="0" t="str">
        <f aca="false">IF(Frota!$A18="","",Cronograma!AR18)</f>
        <v/>
      </c>
      <c r="F722" s="0" t="n">
        <f aca="false">IF(OR($E722="",$E722=0),0,1)</f>
        <v>0</v>
      </c>
      <c r="G722" s="0" t="n">
        <f aca="false">IF($F722=0,0,INDEX(Aux_HH!$D$4:$D$18,MATCH($B722&amp;"|"&amp;$E722,Aux_HH!$A$4:$A$18,0)))</f>
        <v>0</v>
      </c>
      <c r="H722" s="0" t="n">
        <f aca="false">IF($F722=0,0,INDEX(Aux_HH!$E$4:$E$18,MATCH($B722&amp;"|"&amp;$E722,Aux_HH!$A$4:$A$18,0)))</f>
        <v>0</v>
      </c>
      <c r="I722" s="0" t="n">
        <f aca="false">IF($F722=0,0,INDEX(Aux_HH!$F$4:$F$18,MATCH($B722&amp;"|"&amp;$E722,Aux_HH!$A$4:$A$18,0)))</f>
        <v>0</v>
      </c>
      <c r="J722" s="0" t="n">
        <f aca="false">IF($F722=0,0,INDEX(Aux_HH!$G$4:$G$18,MATCH($B722&amp;"|"&amp;$E722,Aux_HH!$A$4:$A$18,0)))</f>
        <v>0</v>
      </c>
      <c r="K722" s="0" t="n">
        <f aca="false">IF($F722=0,0,INDEX(Aux_HH!$H$4:$H$18,MATCH($B722&amp;"|"&amp;$E722,Aux_HH!$A$4:$A$18,0)))</f>
        <v>0</v>
      </c>
      <c r="L722" s="0" t="n">
        <f aca="false">IF($F722=0,0,INDEX(Aux_HH!$I$4:$I$18,MATCH($B722&amp;"|"&amp;$E722,Aux_HH!$A$4:$A$18,0)))</f>
        <v>0</v>
      </c>
    </row>
    <row r="723" customFormat="false" ht="15" hidden="false" customHeight="false" outlineLevel="0" collapsed="false">
      <c r="A723" s="0" t="str">
        <f aca="false">IF(Frota!$A18="","",Frota!$A18)</f>
        <v/>
      </c>
      <c r="B723" s="0" t="str">
        <f aca="false">IF(Frota!$A18="","",Frota!$B18)</f>
        <v/>
      </c>
      <c r="C723" s="0" t="n">
        <v>44</v>
      </c>
      <c r="D723" s="0" t="n">
        <f aca="false">INDEX(Semanas!$E$3:$E$54,44)</f>
        <v>1</v>
      </c>
      <c r="E723" s="0" t="str">
        <f aca="false">IF(Frota!$A18="","",Cronograma!AS18)</f>
        <v/>
      </c>
      <c r="F723" s="0" t="n">
        <f aca="false">IF(OR($E723="",$E723=0),0,1)</f>
        <v>0</v>
      </c>
      <c r="G723" s="0" t="n">
        <f aca="false">IF($F723=0,0,INDEX(Aux_HH!$D$4:$D$18,MATCH($B723&amp;"|"&amp;$E723,Aux_HH!$A$4:$A$18,0)))</f>
        <v>0</v>
      </c>
      <c r="H723" s="0" t="n">
        <f aca="false">IF($F723=0,0,INDEX(Aux_HH!$E$4:$E$18,MATCH($B723&amp;"|"&amp;$E723,Aux_HH!$A$4:$A$18,0)))</f>
        <v>0</v>
      </c>
      <c r="I723" s="0" t="n">
        <f aca="false">IF($F723=0,0,INDEX(Aux_HH!$F$4:$F$18,MATCH($B723&amp;"|"&amp;$E723,Aux_HH!$A$4:$A$18,0)))</f>
        <v>0</v>
      </c>
      <c r="J723" s="0" t="n">
        <f aca="false">IF($F723=0,0,INDEX(Aux_HH!$G$4:$G$18,MATCH($B723&amp;"|"&amp;$E723,Aux_HH!$A$4:$A$18,0)))</f>
        <v>0</v>
      </c>
      <c r="K723" s="0" t="n">
        <f aca="false">IF($F723=0,0,INDEX(Aux_HH!$H$4:$H$18,MATCH($B723&amp;"|"&amp;$E723,Aux_HH!$A$4:$A$18,0)))</f>
        <v>0</v>
      </c>
      <c r="L723" s="0" t="n">
        <f aca="false">IF($F723=0,0,INDEX(Aux_HH!$I$4:$I$18,MATCH($B723&amp;"|"&amp;$E723,Aux_HH!$A$4:$A$18,0)))</f>
        <v>0</v>
      </c>
    </row>
    <row r="724" customFormat="false" ht="15" hidden="false" customHeight="false" outlineLevel="0" collapsed="false">
      <c r="A724" s="0" t="str">
        <f aca="false">IF(Frota!$A18="","",Frota!$A18)</f>
        <v/>
      </c>
      <c r="B724" s="0" t="str">
        <f aca="false">IF(Frota!$A18="","",Frota!$B18)</f>
        <v/>
      </c>
      <c r="C724" s="0" t="n">
        <v>45</v>
      </c>
      <c r="D724" s="0" t="n">
        <f aca="false">INDEX(Semanas!$E$3:$E$54,45)</f>
        <v>2</v>
      </c>
      <c r="E724" s="0" t="str">
        <f aca="false">IF(Frota!$A18="","",Cronograma!AT18)</f>
        <v/>
      </c>
      <c r="F724" s="0" t="n">
        <f aca="false">IF(OR($E724="",$E724=0),0,1)</f>
        <v>0</v>
      </c>
      <c r="G724" s="0" t="n">
        <f aca="false">IF($F724=0,0,INDEX(Aux_HH!$D$4:$D$18,MATCH($B724&amp;"|"&amp;$E724,Aux_HH!$A$4:$A$18,0)))</f>
        <v>0</v>
      </c>
      <c r="H724" s="0" t="n">
        <f aca="false">IF($F724=0,0,INDEX(Aux_HH!$E$4:$E$18,MATCH($B724&amp;"|"&amp;$E724,Aux_HH!$A$4:$A$18,0)))</f>
        <v>0</v>
      </c>
      <c r="I724" s="0" t="n">
        <f aca="false">IF($F724=0,0,INDEX(Aux_HH!$F$4:$F$18,MATCH($B724&amp;"|"&amp;$E724,Aux_HH!$A$4:$A$18,0)))</f>
        <v>0</v>
      </c>
      <c r="J724" s="0" t="n">
        <f aca="false">IF($F724=0,0,INDEX(Aux_HH!$G$4:$G$18,MATCH($B724&amp;"|"&amp;$E724,Aux_HH!$A$4:$A$18,0)))</f>
        <v>0</v>
      </c>
      <c r="K724" s="0" t="n">
        <f aca="false">IF($F724=0,0,INDEX(Aux_HH!$H$4:$H$18,MATCH($B724&amp;"|"&amp;$E724,Aux_HH!$A$4:$A$18,0)))</f>
        <v>0</v>
      </c>
      <c r="L724" s="0" t="n">
        <f aca="false">IF($F724=0,0,INDEX(Aux_HH!$I$4:$I$18,MATCH($B724&amp;"|"&amp;$E724,Aux_HH!$A$4:$A$18,0)))</f>
        <v>0</v>
      </c>
    </row>
    <row r="725" customFormat="false" ht="15" hidden="false" customHeight="false" outlineLevel="0" collapsed="false">
      <c r="A725" s="0" t="str">
        <f aca="false">IF(Frota!$A18="","",Frota!$A18)</f>
        <v/>
      </c>
      <c r="B725" s="0" t="str">
        <f aca="false">IF(Frota!$A18="","",Frota!$B18)</f>
        <v/>
      </c>
      <c r="C725" s="0" t="n">
        <v>46</v>
      </c>
      <c r="D725" s="0" t="n">
        <f aca="false">INDEX(Semanas!$E$3:$E$54,46)</f>
        <v>2</v>
      </c>
      <c r="E725" s="0" t="str">
        <f aca="false">IF(Frota!$A18="","",Cronograma!AU18)</f>
        <v/>
      </c>
      <c r="F725" s="0" t="n">
        <f aca="false">IF(OR($E725="",$E725=0),0,1)</f>
        <v>0</v>
      </c>
      <c r="G725" s="0" t="n">
        <f aca="false">IF($F725=0,0,INDEX(Aux_HH!$D$4:$D$18,MATCH($B725&amp;"|"&amp;$E725,Aux_HH!$A$4:$A$18,0)))</f>
        <v>0</v>
      </c>
      <c r="H725" s="0" t="n">
        <f aca="false">IF($F725=0,0,INDEX(Aux_HH!$E$4:$E$18,MATCH($B725&amp;"|"&amp;$E725,Aux_HH!$A$4:$A$18,0)))</f>
        <v>0</v>
      </c>
      <c r="I725" s="0" t="n">
        <f aca="false">IF($F725=0,0,INDEX(Aux_HH!$F$4:$F$18,MATCH($B725&amp;"|"&amp;$E725,Aux_HH!$A$4:$A$18,0)))</f>
        <v>0</v>
      </c>
      <c r="J725" s="0" t="n">
        <f aca="false">IF($F725=0,0,INDEX(Aux_HH!$G$4:$G$18,MATCH($B725&amp;"|"&amp;$E725,Aux_HH!$A$4:$A$18,0)))</f>
        <v>0</v>
      </c>
      <c r="K725" s="0" t="n">
        <f aca="false">IF($F725=0,0,INDEX(Aux_HH!$H$4:$H$18,MATCH($B725&amp;"|"&amp;$E725,Aux_HH!$A$4:$A$18,0)))</f>
        <v>0</v>
      </c>
      <c r="L725" s="0" t="n">
        <f aca="false">IF($F725=0,0,INDEX(Aux_HH!$I$4:$I$18,MATCH($B725&amp;"|"&amp;$E725,Aux_HH!$A$4:$A$18,0)))</f>
        <v>0</v>
      </c>
    </row>
    <row r="726" customFormat="false" ht="15" hidden="false" customHeight="false" outlineLevel="0" collapsed="false">
      <c r="A726" s="0" t="str">
        <f aca="false">IF(Frota!$A18="","",Frota!$A18)</f>
        <v/>
      </c>
      <c r="B726" s="0" t="str">
        <f aca="false">IF(Frota!$A18="","",Frota!$B18)</f>
        <v/>
      </c>
      <c r="C726" s="0" t="n">
        <v>47</v>
      </c>
      <c r="D726" s="0" t="n">
        <f aca="false">INDEX(Semanas!$E$3:$E$54,47)</f>
        <v>2</v>
      </c>
      <c r="E726" s="0" t="str">
        <f aca="false">IF(Frota!$A18="","",Cronograma!AV18)</f>
        <v/>
      </c>
      <c r="F726" s="0" t="n">
        <f aca="false">IF(OR($E726="",$E726=0),0,1)</f>
        <v>0</v>
      </c>
      <c r="G726" s="0" t="n">
        <f aca="false">IF($F726=0,0,INDEX(Aux_HH!$D$4:$D$18,MATCH($B726&amp;"|"&amp;$E726,Aux_HH!$A$4:$A$18,0)))</f>
        <v>0</v>
      </c>
      <c r="H726" s="0" t="n">
        <f aca="false">IF($F726=0,0,INDEX(Aux_HH!$E$4:$E$18,MATCH($B726&amp;"|"&amp;$E726,Aux_HH!$A$4:$A$18,0)))</f>
        <v>0</v>
      </c>
      <c r="I726" s="0" t="n">
        <f aca="false">IF($F726=0,0,INDEX(Aux_HH!$F$4:$F$18,MATCH($B726&amp;"|"&amp;$E726,Aux_HH!$A$4:$A$18,0)))</f>
        <v>0</v>
      </c>
      <c r="J726" s="0" t="n">
        <f aca="false">IF($F726=0,0,INDEX(Aux_HH!$G$4:$G$18,MATCH($B726&amp;"|"&amp;$E726,Aux_HH!$A$4:$A$18,0)))</f>
        <v>0</v>
      </c>
      <c r="K726" s="0" t="n">
        <f aca="false">IF($F726=0,0,INDEX(Aux_HH!$H$4:$H$18,MATCH($B726&amp;"|"&amp;$E726,Aux_HH!$A$4:$A$18,0)))</f>
        <v>0</v>
      </c>
      <c r="L726" s="0" t="n">
        <f aca="false">IF($F726=0,0,INDEX(Aux_HH!$I$4:$I$18,MATCH($B726&amp;"|"&amp;$E726,Aux_HH!$A$4:$A$18,0)))</f>
        <v>0</v>
      </c>
    </row>
    <row r="727" customFormat="false" ht="15" hidden="false" customHeight="false" outlineLevel="0" collapsed="false">
      <c r="A727" s="0" t="str">
        <f aca="false">IF(Frota!$A18="","",Frota!$A18)</f>
        <v/>
      </c>
      <c r="B727" s="0" t="str">
        <f aca="false">IF(Frota!$A18="","",Frota!$B18)</f>
        <v/>
      </c>
      <c r="C727" s="0" t="n">
        <v>48</v>
      </c>
      <c r="D727" s="0" t="n">
        <f aca="false">INDEX(Semanas!$E$3:$E$54,48)</f>
        <v>2</v>
      </c>
      <c r="E727" s="0" t="str">
        <f aca="false">IF(Frota!$A18="","",Cronograma!AW18)</f>
        <v/>
      </c>
      <c r="F727" s="0" t="n">
        <f aca="false">IF(OR($E727="",$E727=0),0,1)</f>
        <v>0</v>
      </c>
      <c r="G727" s="0" t="n">
        <f aca="false">IF($F727=0,0,INDEX(Aux_HH!$D$4:$D$18,MATCH($B727&amp;"|"&amp;$E727,Aux_HH!$A$4:$A$18,0)))</f>
        <v>0</v>
      </c>
      <c r="H727" s="0" t="n">
        <f aca="false">IF($F727=0,0,INDEX(Aux_HH!$E$4:$E$18,MATCH($B727&amp;"|"&amp;$E727,Aux_HH!$A$4:$A$18,0)))</f>
        <v>0</v>
      </c>
      <c r="I727" s="0" t="n">
        <f aca="false">IF($F727=0,0,INDEX(Aux_HH!$F$4:$F$18,MATCH($B727&amp;"|"&amp;$E727,Aux_HH!$A$4:$A$18,0)))</f>
        <v>0</v>
      </c>
      <c r="J727" s="0" t="n">
        <f aca="false">IF($F727=0,0,INDEX(Aux_HH!$G$4:$G$18,MATCH($B727&amp;"|"&amp;$E727,Aux_HH!$A$4:$A$18,0)))</f>
        <v>0</v>
      </c>
      <c r="K727" s="0" t="n">
        <f aca="false">IF($F727=0,0,INDEX(Aux_HH!$H$4:$H$18,MATCH($B727&amp;"|"&amp;$E727,Aux_HH!$A$4:$A$18,0)))</f>
        <v>0</v>
      </c>
      <c r="L727" s="0" t="n">
        <f aca="false">IF($F727=0,0,INDEX(Aux_HH!$I$4:$I$18,MATCH($B727&amp;"|"&amp;$E727,Aux_HH!$A$4:$A$18,0)))</f>
        <v>0</v>
      </c>
    </row>
    <row r="728" customFormat="false" ht="15" hidden="false" customHeight="false" outlineLevel="0" collapsed="false">
      <c r="A728" s="0" t="str">
        <f aca="false">IF(Frota!$A18="","",Frota!$A18)</f>
        <v/>
      </c>
      <c r="B728" s="0" t="str">
        <f aca="false">IF(Frota!$A18="","",Frota!$B18)</f>
        <v/>
      </c>
      <c r="C728" s="0" t="n">
        <v>49</v>
      </c>
      <c r="D728" s="0" t="n">
        <f aca="false">INDEX(Semanas!$E$3:$E$54,49)</f>
        <v>3</v>
      </c>
      <c r="E728" s="0" t="str">
        <f aca="false">IF(Frota!$A18="","",Cronograma!AX18)</f>
        <v/>
      </c>
      <c r="F728" s="0" t="n">
        <f aca="false">IF(OR($E728="",$E728=0),0,1)</f>
        <v>0</v>
      </c>
      <c r="G728" s="0" t="n">
        <f aca="false">IF($F728=0,0,INDEX(Aux_HH!$D$4:$D$18,MATCH($B728&amp;"|"&amp;$E728,Aux_HH!$A$4:$A$18,0)))</f>
        <v>0</v>
      </c>
      <c r="H728" s="0" t="n">
        <f aca="false">IF($F728=0,0,INDEX(Aux_HH!$E$4:$E$18,MATCH($B728&amp;"|"&amp;$E728,Aux_HH!$A$4:$A$18,0)))</f>
        <v>0</v>
      </c>
      <c r="I728" s="0" t="n">
        <f aca="false">IF($F728=0,0,INDEX(Aux_HH!$F$4:$F$18,MATCH($B728&amp;"|"&amp;$E728,Aux_HH!$A$4:$A$18,0)))</f>
        <v>0</v>
      </c>
      <c r="J728" s="0" t="n">
        <f aca="false">IF($F728=0,0,INDEX(Aux_HH!$G$4:$G$18,MATCH($B728&amp;"|"&amp;$E728,Aux_HH!$A$4:$A$18,0)))</f>
        <v>0</v>
      </c>
      <c r="K728" s="0" t="n">
        <f aca="false">IF($F728=0,0,INDEX(Aux_HH!$H$4:$H$18,MATCH($B728&amp;"|"&amp;$E728,Aux_HH!$A$4:$A$18,0)))</f>
        <v>0</v>
      </c>
      <c r="L728" s="0" t="n">
        <f aca="false">IF($F728=0,0,INDEX(Aux_HH!$I$4:$I$18,MATCH($B728&amp;"|"&amp;$E728,Aux_HH!$A$4:$A$18,0)))</f>
        <v>0</v>
      </c>
    </row>
    <row r="729" customFormat="false" ht="15" hidden="false" customHeight="false" outlineLevel="0" collapsed="false">
      <c r="A729" s="0" t="str">
        <f aca="false">IF(Frota!$A18="","",Frota!$A18)</f>
        <v/>
      </c>
      <c r="B729" s="0" t="str">
        <f aca="false">IF(Frota!$A18="","",Frota!$B18)</f>
        <v/>
      </c>
      <c r="C729" s="0" t="n">
        <v>50</v>
      </c>
      <c r="D729" s="0" t="n">
        <f aca="false">INDEX(Semanas!$E$3:$E$54,50)</f>
        <v>3</v>
      </c>
      <c r="E729" s="0" t="str">
        <f aca="false">IF(Frota!$A18="","",Cronograma!AY18)</f>
        <v/>
      </c>
      <c r="F729" s="0" t="n">
        <f aca="false">IF(OR($E729="",$E729=0),0,1)</f>
        <v>0</v>
      </c>
      <c r="G729" s="0" t="n">
        <f aca="false">IF($F729=0,0,INDEX(Aux_HH!$D$4:$D$18,MATCH($B729&amp;"|"&amp;$E729,Aux_HH!$A$4:$A$18,0)))</f>
        <v>0</v>
      </c>
      <c r="H729" s="0" t="n">
        <f aca="false">IF($F729=0,0,INDEX(Aux_HH!$E$4:$E$18,MATCH($B729&amp;"|"&amp;$E729,Aux_HH!$A$4:$A$18,0)))</f>
        <v>0</v>
      </c>
      <c r="I729" s="0" t="n">
        <f aca="false">IF($F729=0,0,INDEX(Aux_HH!$F$4:$F$18,MATCH($B729&amp;"|"&amp;$E729,Aux_HH!$A$4:$A$18,0)))</f>
        <v>0</v>
      </c>
      <c r="J729" s="0" t="n">
        <f aca="false">IF($F729=0,0,INDEX(Aux_HH!$G$4:$G$18,MATCH($B729&amp;"|"&amp;$E729,Aux_HH!$A$4:$A$18,0)))</f>
        <v>0</v>
      </c>
      <c r="K729" s="0" t="n">
        <f aca="false">IF($F729=0,0,INDEX(Aux_HH!$H$4:$H$18,MATCH($B729&amp;"|"&amp;$E729,Aux_HH!$A$4:$A$18,0)))</f>
        <v>0</v>
      </c>
      <c r="L729" s="0" t="n">
        <f aca="false">IF($F729=0,0,INDEX(Aux_HH!$I$4:$I$18,MATCH($B729&amp;"|"&amp;$E729,Aux_HH!$A$4:$A$18,0)))</f>
        <v>0</v>
      </c>
    </row>
    <row r="730" customFormat="false" ht="15" hidden="false" customHeight="false" outlineLevel="0" collapsed="false">
      <c r="A730" s="0" t="str">
        <f aca="false">IF(Frota!$A18="","",Frota!$A18)</f>
        <v/>
      </c>
      <c r="B730" s="0" t="str">
        <f aca="false">IF(Frota!$A18="","",Frota!$B18)</f>
        <v/>
      </c>
      <c r="C730" s="0" t="n">
        <v>51</v>
      </c>
      <c r="D730" s="0" t="n">
        <f aca="false">INDEX(Semanas!$E$3:$E$54,51)</f>
        <v>3</v>
      </c>
      <c r="E730" s="0" t="str">
        <f aca="false">IF(Frota!$A18="","",Cronograma!AZ18)</f>
        <v/>
      </c>
      <c r="F730" s="0" t="n">
        <f aca="false">IF(OR($E730="",$E730=0),0,1)</f>
        <v>0</v>
      </c>
      <c r="G730" s="0" t="n">
        <f aca="false">IF($F730=0,0,INDEX(Aux_HH!$D$4:$D$18,MATCH($B730&amp;"|"&amp;$E730,Aux_HH!$A$4:$A$18,0)))</f>
        <v>0</v>
      </c>
      <c r="H730" s="0" t="n">
        <f aca="false">IF($F730=0,0,INDEX(Aux_HH!$E$4:$E$18,MATCH($B730&amp;"|"&amp;$E730,Aux_HH!$A$4:$A$18,0)))</f>
        <v>0</v>
      </c>
      <c r="I730" s="0" t="n">
        <f aca="false">IF($F730=0,0,INDEX(Aux_HH!$F$4:$F$18,MATCH($B730&amp;"|"&amp;$E730,Aux_HH!$A$4:$A$18,0)))</f>
        <v>0</v>
      </c>
      <c r="J730" s="0" t="n">
        <f aca="false">IF($F730=0,0,INDEX(Aux_HH!$G$4:$G$18,MATCH($B730&amp;"|"&amp;$E730,Aux_HH!$A$4:$A$18,0)))</f>
        <v>0</v>
      </c>
      <c r="K730" s="0" t="n">
        <f aca="false">IF($F730=0,0,INDEX(Aux_HH!$H$4:$H$18,MATCH($B730&amp;"|"&amp;$E730,Aux_HH!$A$4:$A$18,0)))</f>
        <v>0</v>
      </c>
      <c r="L730" s="0" t="n">
        <f aca="false">IF($F730=0,0,INDEX(Aux_HH!$I$4:$I$18,MATCH($B730&amp;"|"&amp;$E730,Aux_HH!$A$4:$A$18,0)))</f>
        <v>0</v>
      </c>
    </row>
    <row r="731" customFormat="false" ht="15" hidden="false" customHeight="false" outlineLevel="0" collapsed="false">
      <c r="A731" s="0" t="str">
        <f aca="false">IF(Frota!$A18="","",Frota!$A18)</f>
        <v/>
      </c>
      <c r="B731" s="0" t="str">
        <f aca="false">IF(Frota!$A18="","",Frota!$B18)</f>
        <v/>
      </c>
      <c r="C731" s="0" t="n">
        <v>52</v>
      </c>
      <c r="D731" s="0" t="n">
        <f aca="false">INDEX(Semanas!$E$3:$E$54,52)</f>
        <v>3</v>
      </c>
      <c r="E731" s="0" t="str">
        <f aca="false">IF(Frota!$A18="","",Cronograma!BA18)</f>
        <v/>
      </c>
      <c r="F731" s="0" t="n">
        <f aca="false">IF(OR($E731="",$E731=0),0,1)</f>
        <v>0</v>
      </c>
      <c r="G731" s="0" t="n">
        <f aca="false">IF($F731=0,0,INDEX(Aux_HH!$D$4:$D$18,MATCH($B731&amp;"|"&amp;$E731,Aux_HH!$A$4:$A$18,0)))</f>
        <v>0</v>
      </c>
      <c r="H731" s="0" t="n">
        <f aca="false">IF($F731=0,0,INDEX(Aux_HH!$E$4:$E$18,MATCH($B731&amp;"|"&amp;$E731,Aux_HH!$A$4:$A$18,0)))</f>
        <v>0</v>
      </c>
      <c r="I731" s="0" t="n">
        <f aca="false">IF($F731=0,0,INDEX(Aux_HH!$F$4:$F$18,MATCH($B731&amp;"|"&amp;$E731,Aux_HH!$A$4:$A$18,0)))</f>
        <v>0</v>
      </c>
      <c r="J731" s="0" t="n">
        <f aca="false">IF($F731=0,0,INDEX(Aux_HH!$G$4:$G$18,MATCH($B731&amp;"|"&amp;$E731,Aux_HH!$A$4:$A$18,0)))</f>
        <v>0</v>
      </c>
      <c r="K731" s="0" t="n">
        <f aca="false">IF($F731=0,0,INDEX(Aux_HH!$H$4:$H$18,MATCH($B731&amp;"|"&amp;$E731,Aux_HH!$A$4:$A$18,0)))</f>
        <v>0</v>
      </c>
      <c r="L731" s="0" t="n">
        <f aca="false">IF($F731=0,0,INDEX(Aux_HH!$I$4:$I$18,MATCH($B731&amp;"|"&amp;$E731,Aux_HH!$A$4:$A$18,0)))</f>
        <v>0</v>
      </c>
    </row>
    <row r="732" customFormat="false" ht="15" hidden="false" customHeight="false" outlineLevel="0" collapsed="false">
      <c r="A732" s="0" t="str">
        <f aca="false">IF(Frota!$A19="","",Frota!$A19)</f>
        <v/>
      </c>
      <c r="B732" s="0" t="str">
        <f aca="false">IF(Frota!$A19="","",Frota!$B19)</f>
        <v/>
      </c>
      <c r="C732" s="0" t="n">
        <v>1</v>
      </c>
      <c r="D732" s="0" t="n">
        <f aca="false">INDEX(Semanas!$E$3:$E$54,1)</f>
        <v>4</v>
      </c>
      <c r="E732" s="0" t="str">
        <f aca="false">IF(Frota!$A19="","",Cronograma!B19)</f>
        <v/>
      </c>
      <c r="F732" s="0" t="n">
        <f aca="false">IF(OR($E732="",$E732=0),0,1)</f>
        <v>0</v>
      </c>
      <c r="G732" s="0" t="n">
        <f aca="false">IF($F732=0,0,INDEX(Aux_HH!$D$4:$D$18,MATCH($B732&amp;"|"&amp;$E732,Aux_HH!$A$4:$A$18,0)))</f>
        <v>0</v>
      </c>
      <c r="H732" s="0" t="n">
        <f aca="false">IF($F732=0,0,INDEX(Aux_HH!$E$4:$E$18,MATCH($B732&amp;"|"&amp;$E732,Aux_HH!$A$4:$A$18,0)))</f>
        <v>0</v>
      </c>
      <c r="I732" s="0" t="n">
        <f aca="false">IF($F732=0,0,INDEX(Aux_HH!$F$4:$F$18,MATCH($B732&amp;"|"&amp;$E732,Aux_HH!$A$4:$A$18,0)))</f>
        <v>0</v>
      </c>
      <c r="J732" s="0" t="n">
        <f aca="false">IF($F732=0,0,INDEX(Aux_HH!$G$4:$G$18,MATCH($B732&amp;"|"&amp;$E732,Aux_HH!$A$4:$A$18,0)))</f>
        <v>0</v>
      </c>
      <c r="K732" s="0" t="n">
        <f aca="false">IF($F732=0,0,INDEX(Aux_HH!$H$4:$H$18,MATCH($B732&amp;"|"&amp;$E732,Aux_HH!$A$4:$A$18,0)))</f>
        <v>0</v>
      </c>
      <c r="L732" s="0" t="n">
        <f aca="false">IF($F732=0,0,INDEX(Aux_HH!$I$4:$I$18,MATCH($B732&amp;"|"&amp;$E732,Aux_HH!$A$4:$A$18,0)))</f>
        <v>0</v>
      </c>
    </row>
    <row r="733" customFormat="false" ht="15" hidden="false" customHeight="false" outlineLevel="0" collapsed="false">
      <c r="A733" s="0" t="str">
        <f aca="false">IF(Frota!$A19="","",Frota!$A19)</f>
        <v/>
      </c>
      <c r="B733" s="0" t="str">
        <f aca="false">IF(Frota!$A19="","",Frota!$B19)</f>
        <v/>
      </c>
      <c r="C733" s="0" t="n">
        <v>2</v>
      </c>
      <c r="D733" s="0" t="n">
        <f aca="false">INDEX(Semanas!$E$3:$E$54,2)</f>
        <v>4</v>
      </c>
      <c r="E733" s="0" t="str">
        <f aca="false">IF(Frota!$A19="","",Cronograma!C19)</f>
        <v/>
      </c>
      <c r="F733" s="0" t="n">
        <f aca="false">IF(OR($E733="",$E733=0),0,1)</f>
        <v>0</v>
      </c>
      <c r="G733" s="0" t="n">
        <f aca="false">IF($F733=0,0,INDEX(Aux_HH!$D$4:$D$18,MATCH($B733&amp;"|"&amp;$E733,Aux_HH!$A$4:$A$18,0)))</f>
        <v>0</v>
      </c>
      <c r="H733" s="0" t="n">
        <f aca="false">IF($F733=0,0,INDEX(Aux_HH!$E$4:$E$18,MATCH($B733&amp;"|"&amp;$E733,Aux_HH!$A$4:$A$18,0)))</f>
        <v>0</v>
      </c>
      <c r="I733" s="0" t="n">
        <f aca="false">IF($F733=0,0,INDEX(Aux_HH!$F$4:$F$18,MATCH($B733&amp;"|"&amp;$E733,Aux_HH!$A$4:$A$18,0)))</f>
        <v>0</v>
      </c>
      <c r="J733" s="0" t="n">
        <f aca="false">IF($F733=0,0,INDEX(Aux_HH!$G$4:$G$18,MATCH($B733&amp;"|"&amp;$E733,Aux_HH!$A$4:$A$18,0)))</f>
        <v>0</v>
      </c>
      <c r="K733" s="0" t="n">
        <f aca="false">IF($F733=0,0,INDEX(Aux_HH!$H$4:$H$18,MATCH($B733&amp;"|"&amp;$E733,Aux_HH!$A$4:$A$18,0)))</f>
        <v>0</v>
      </c>
      <c r="L733" s="0" t="n">
        <f aca="false">IF($F733=0,0,INDEX(Aux_HH!$I$4:$I$18,MATCH($B733&amp;"|"&amp;$E733,Aux_HH!$A$4:$A$18,0)))</f>
        <v>0</v>
      </c>
    </row>
    <row r="734" customFormat="false" ht="15" hidden="false" customHeight="false" outlineLevel="0" collapsed="false">
      <c r="A734" s="0" t="str">
        <f aca="false">IF(Frota!$A19="","",Frota!$A19)</f>
        <v/>
      </c>
      <c r="B734" s="0" t="str">
        <f aca="false">IF(Frota!$A19="","",Frota!$B19)</f>
        <v/>
      </c>
      <c r="C734" s="0" t="n">
        <v>3</v>
      </c>
      <c r="D734" s="0" t="n">
        <f aca="false">INDEX(Semanas!$E$3:$E$54,3)</f>
        <v>4</v>
      </c>
      <c r="E734" s="0" t="str">
        <f aca="false">IF(Frota!$A19="","",Cronograma!D19)</f>
        <v/>
      </c>
      <c r="F734" s="0" t="n">
        <f aca="false">IF(OR($E734="",$E734=0),0,1)</f>
        <v>0</v>
      </c>
      <c r="G734" s="0" t="n">
        <f aca="false">IF($F734=0,0,INDEX(Aux_HH!$D$4:$D$18,MATCH($B734&amp;"|"&amp;$E734,Aux_HH!$A$4:$A$18,0)))</f>
        <v>0</v>
      </c>
      <c r="H734" s="0" t="n">
        <f aca="false">IF($F734=0,0,INDEX(Aux_HH!$E$4:$E$18,MATCH($B734&amp;"|"&amp;$E734,Aux_HH!$A$4:$A$18,0)))</f>
        <v>0</v>
      </c>
      <c r="I734" s="0" t="n">
        <f aca="false">IF($F734=0,0,INDEX(Aux_HH!$F$4:$F$18,MATCH($B734&amp;"|"&amp;$E734,Aux_HH!$A$4:$A$18,0)))</f>
        <v>0</v>
      </c>
      <c r="J734" s="0" t="n">
        <f aca="false">IF($F734=0,0,INDEX(Aux_HH!$G$4:$G$18,MATCH($B734&amp;"|"&amp;$E734,Aux_HH!$A$4:$A$18,0)))</f>
        <v>0</v>
      </c>
      <c r="K734" s="0" t="n">
        <f aca="false">IF($F734=0,0,INDEX(Aux_HH!$H$4:$H$18,MATCH($B734&amp;"|"&amp;$E734,Aux_HH!$A$4:$A$18,0)))</f>
        <v>0</v>
      </c>
      <c r="L734" s="0" t="n">
        <f aca="false">IF($F734=0,0,INDEX(Aux_HH!$I$4:$I$18,MATCH($B734&amp;"|"&amp;$E734,Aux_HH!$A$4:$A$18,0)))</f>
        <v>0</v>
      </c>
    </row>
    <row r="735" customFormat="false" ht="15" hidden="false" customHeight="false" outlineLevel="0" collapsed="false">
      <c r="A735" s="0" t="str">
        <f aca="false">IF(Frota!$A19="","",Frota!$A19)</f>
        <v/>
      </c>
      <c r="B735" s="0" t="str">
        <f aca="false">IF(Frota!$A19="","",Frota!$B19)</f>
        <v/>
      </c>
      <c r="C735" s="0" t="n">
        <v>4</v>
      </c>
      <c r="D735" s="0" t="n">
        <f aca="false">INDEX(Semanas!$E$3:$E$54,4)</f>
        <v>4</v>
      </c>
      <c r="E735" s="0" t="str">
        <f aca="false">IF(Frota!$A19="","",Cronograma!E19)</f>
        <v/>
      </c>
      <c r="F735" s="0" t="n">
        <f aca="false">IF(OR($E735="",$E735=0),0,1)</f>
        <v>0</v>
      </c>
      <c r="G735" s="0" t="n">
        <f aca="false">IF($F735=0,0,INDEX(Aux_HH!$D$4:$D$18,MATCH($B735&amp;"|"&amp;$E735,Aux_HH!$A$4:$A$18,0)))</f>
        <v>0</v>
      </c>
      <c r="H735" s="0" t="n">
        <f aca="false">IF($F735=0,0,INDEX(Aux_HH!$E$4:$E$18,MATCH($B735&amp;"|"&amp;$E735,Aux_HH!$A$4:$A$18,0)))</f>
        <v>0</v>
      </c>
      <c r="I735" s="0" t="n">
        <f aca="false">IF($F735=0,0,INDEX(Aux_HH!$F$4:$F$18,MATCH($B735&amp;"|"&amp;$E735,Aux_HH!$A$4:$A$18,0)))</f>
        <v>0</v>
      </c>
      <c r="J735" s="0" t="n">
        <f aca="false">IF($F735=0,0,INDEX(Aux_HH!$G$4:$G$18,MATCH($B735&amp;"|"&amp;$E735,Aux_HH!$A$4:$A$18,0)))</f>
        <v>0</v>
      </c>
      <c r="K735" s="0" t="n">
        <f aca="false">IF($F735=0,0,INDEX(Aux_HH!$H$4:$H$18,MATCH($B735&amp;"|"&amp;$E735,Aux_HH!$A$4:$A$18,0)))</f>
        <v>0</v>
      </c>
      <c r="L735" s="0" t="n">
        <f aca="false">IF($F735=0,0,INDEX(Aux_HH!$I$4:$I$18,MATCH($B735&amp;"|"&amp;$E735,Aux_HH!$A$4:$A$18,0)))</f>
        <v>0</v>
      </c>
    </row>
    <row r="736" customFormat="false" ht="15" hidden="false" customHeight="false" outlineLevel="0" collapsed="false">
      <c r="A736" s="0" t="str">
        <f aca="false">IF(Frota!$A19="","",Frota!$A19)</f>
        <v/>
      </c>
      <c r="B736" s="0" t="str">
        <f aca="false">IF(Frota!$A19="","",Frota!$B19)</f>
        <v/>
      </c>
      <c r="C736" s="0" t="n">
        <v>5</v>
      </c>
      <c r="D736" s="0" t="n">
        <f aca="false">INDEX(Semanas!$E$3:$E$54,5)</f>
        <v>4</v>
      </c>
      <c r="E736" s="0" t="str">
        <f aca="false">IF(Frota!$A19="","",Cronograma!F19)</f>
        <v/>
      </c>
      <c r="F736" s="0" t="n">
        <f aca="false">IF(OR($E736="",$E736=0),0,1)</f>
        <v>0</v>
      </c>
      <c r="G736" s="0" t="n">
        <f aca="false">IF($F736=0,0,INDEX(Aux_HH!$D$4:$D$18,MATCH($B736&amp;"|"&amp;$E736,Aux_HH!$A$4:$A$18,0)))</f>
        <v>0</v>
      </c>
      <c r="H736" s="0" t="n">
        <f aca="false">IF($F736=0,0,INDEX(Aux_HH!$E$4:$E$18,MATCH($B736&amp;"|"&amp;$E736,Aux_HH!$A$4:$A$18,0)))</f>
        <v>0</v>
      </c>
      <c r="I736" s="0" t="n">
        <f aca="false">IF($F736=0,0,INDEX(Aux_HH!$F$4:$F$18,MATCH($B736&amp;"|"&amp;$E736,Aux_HH!$A$4:$A$18,0)))</f>
        <v>0</v>
      </c>
      <c r="J736" s="0" t="n">
        <f aca="false">IF($F736=0,0,INDEX(Aux_HH!$G$4:$G$18,MATCH($B736&amp;"|"&amp;$E736,Aux_HH!$A$4:$A$18,0)))</f>
        <v>0</v>
      </c>
      <c r="K736" s="0" t="n">
        <f aca="false">IF($F736=0,0,INDEX(Aux_HH!$H$4:$H$18,MATCH($B736&amp;"|"&amp;$E736,Aux_HH!$A$4:$A$18,0)))</f>
        <v>0</v>
      </c>
      <c r="L736" s="0" t="n">
        <f aca="false">IF($F736=0,0,INDEX(Aux_HH!$I$4:$I$18,MATCH($B736&amp;"|"&amp;$E736,Aux_HH!$A$4:$A$18,0)))</f>
        <v>0</v>
      </c>
    </row>
    <row r="737" customFormat="false" ht="15" hidden="false" customHeight="false" outlineLevel="0" collapsed="false">
      <c r="A737" s="0" t="str">
        <f aca="false">IF(Frota!$A19="","",Frota!$A19)</f>
        <v/>
      </c>
      <c r="B737" s="0" t="str">
        <f aca="false">IF(Frota!$A19="","",Frota!$B19)</f>
        <v/>
      </c>
      <c r="C737" s="0" t="n">
        <v>6</v>
      </c>
      <c r="D737" s="0" t="n">
        <f aca="false">INDEX(Semanas!$E$3:$E$54,6)</f>
        <v>5</v>
      </c>
      <c r="E737" s="0" t="str">
        <f aca="false">IF(Frota!$A19="","",Cronograma!G19)</f>
        <v/>
      </c>
      <c r="F737" s="0" t="n">
        <f aca="false">IF(OR($E737="",$E737=0),0,1)</f>
        <v>0</v>
      </c>
      <c r="G737" s="0" t="n">
        <f aca="false">IF($F737=0,0,INDEX(Aux_HH!$D$4:$D$18,MATCH($B737&amp;"|"&amp;$E737,Aux_HH!$A$4:$A$18,0)))</f>
        <v>0</v>
      </c>
      <c r="H737" s="0" t="n">
        <f aca="false">IF($F737=0,0,INDEX(Aux_HH!$E$4:$E$18,MATCH($B737&amp;"|"&amp;$E737,Aux_HH!$A$4:$A$18,0)))</f>
        <v>0</v>
      </c>
      <c r="I737" s="0" t="n">
        <f aca="false">IF($F737=0,0,INDEX(Aux_HH!$F$4:$F$18,MATCH($B737&amp;"|"&amp;$E737,Aux_HH!$A$4:$A$18,0)))</f>
        <v>0</v>
      </c>
      <c r="J737" s="0" t="n">
        <f aca="false">IF($F737=0,0,INDEX(Aux_HH!$G$4:$G$18,MATCH($B737&amp;"|"&amp;$E737,Aux_HH!$A$4:$A$18,0)))</f>
        <v>0</v>
      </c>
      <c r="K737" s="0" t="n">
        <f aca="false">IF($F737=0,0,INDEX(Aux_HH!$H$4:$H$18,MATCH($B737&amp;"|"&amp;$E737,Aux_HH!$A$4:$A$18,0)))</f>
        <v>0</v>
      </c>
      <c r="L737" s="0" t="n">
        <f aca="false">IF($F737=0,0,INDEX(Aux_HH!$I$4:$I$18,MATCH($B737&amp;"|"&amp;$E737,Aux_HH!$A$4:$A$18,0)))</f>
        <v>0</v>
      </c>
    </row>
    <row r="738" customFormat="false" ht="15" hidden="false" customHeight="false" outlineLevel="0" collapsed="false">
      <c r="A738" s="0" t="str">
        <f aca="false">IF(Frota!$A19="","",Frota!$A19)</f>
        <v/>
      </c>
      <c r="B738" s="0" t="str">
        <f aca="false">IF(Frota!$A19="","",Frota!$B19)</f>
        <v/>
      </c>
      <c r="C738" s="0" t="n">
        <v>7</v>
      </c>
      <c r="D738" s="0" t="n">
        <f aca="false">INDEX(Semanas!$E$3:$E$54,7)</f>
        <v>5</v>
      </c>
      <c r="E738" s="0" t="str">
        <f aca="false">IF(Frota!$A19="","",Cronograma!H19)</f>
        <v/>
      </c>
      <c r="F738" s="0" t="n">
        <f aca="false">IF(OR($E738="",$E738=0),0,1)</f>
        <v>0</v>
      </c>
      <c r="G738" s="0" t="n">
        <f aca="false">IF($F738=0,0,INDEX(Aux_HH!$D$4:$D$18,MATCH($B738&amp;"|"&amp;$E738,Aux_HH!$A$4:$A$18,0)))</f>
        <v>0</v>
      </c>
      <c r="H738" s="0" t="n">
        <f aca="false">IF($F738=0,0,INDEX(Aux_HH!$E$4:$E$18,MATCH($B738&amp;"|"&amp;$E738,Aux_HH!$A$4:$A$18,0)))</f>
        <v>0</v>
      </c>
      <c r="I738" s="0" t="n">
        <f aca="false">IF($F738=0,0,INDEX(Aux_HH!$F$4:$F$18,MATCH($B738&amp;"|"&amp;$E738,Aux_HH!$A$4:$A$18,0)))</f>
        <v>0</v>
      </c>
      <c r="J738" s="0" t="n">
        <f aca="false">IF($F738=0,0,INDEX(Aux_HH!$G$4:$G$18,MATCH($B738&amp;"|"&amp;$E738,Aux_HH!$A$4:$A$18,0)))</f>
        <v>0</v>
      </c>
      <c r="K738" s="0" t="n">
        <f aca="false">IF($F738=0,0,INDEX(Aux_HH!$H$4:$H$18,MATCH($B738&amp;"|"&amp;$E738,Aux_HH!$A$4:$A$18,0)))</f>
        <v>0</v>
      </c>
      <c r="L738" s="0" t="n">
        <f aca="false">IF($F738=0,0,INDEX(Aux_HH!$I$4:$I$18,MATCH($B738&amp;"|"&amp;$E738,Aux_HH!$A$4:$A$18,0)))</f>
        <v>0</v>
      </c>
    </row>
    <row r="739" customFormat="false" ht="15" hidden="false" customHeight="false" outlineLevel="0" collapsed="false">
      <c r="A739" s="0" t="str">
        <f aca="false">IF(Frota!$A19="","",Frota!$A19)</f>
        <v/>
      </c>
      <c r="B739" s="0" t="str">
        <f aca="false">IF(Frota!$A19="","",Frota!$B19)</f>
        <v/>
      </c>
      <c r="C739" s="0" t="n">
        <v>8</v>
      </c>
      <c r="D739" s="0" t="n">
        <f aca="false">INDEX(Semanas!$E$3:$E$54,8)</f>
        <v>5</v>
      </c>
      <c r="E739" s="0" t="str">
        <f aca="false">IF(Frota!$A19="","",Cronograma!I19)</f>
        <v/>
      </c>
      <c r="F739" s="0" t="n">
        <f aca="false">IF(OR($E739="",$E739=0),0,1)</f>
        <v>0</v>
      </c>
      <c r="G739" s="0" t="n">
        <f aca="false">IF($F739=0,0,INDEX(Aux_HH!$D$4:$D$18,MATCH($B739&amp;"|"&amp;$E739,Aux_HH!$A$4:$A$18,0)))</f>
        <v>0</v>
      </c>
      <c r="H739" s="0" t="n">
        <f aca="false">IF($F739=0,0,INDEX(Aux_HH!$E$4:$E$18,MATCH($B739&amp;"|"&amp;$E739,Aux_HH!$A$4:$A$18,0)))</f>
        <v>0</v>
      </c>
      <c r="I739" s="0" t="n">
        <f aca="false">IF($F739=0,0,INDEX(Aux_HH!$F$4:$F$18,MATCH($B739&amp;"|"&amp;$E739,Aux_HH!$A$4:$A$18,0)))</f>
        <v>0</v>
      </c>
      <c r="J739" s="0" t="n">
        <f aca="false">IF($F739=0,0,INDEX(Aux_HH!$G$4:$G$18,MATCH($B739&amp;"|"&amp;$E739,Aux_HH!$A$4:$A$18,0)))</f>
        <v>0</v>
      </c>
      <c r="K739" s="0" t="n">
        <f aca="false">IF($F739=0,0,INDEX(Aux_HH!$H$4:$H$18,MATCH($B739&amp;"|"&amp;$E739,Aux_HH!$A$4:$A$18,0)))</f>
        <v>0</v>
      </c>
      <c r="L739" s="0" t="n">
        <f aca="false">IF($F739=0,0,INDEX(Aux_HH!$I$4:$I$18,MATCH($B739&amp;"|"&amp;$E739,Aux_HH!$A$4:$A$18,0)))</f>
        <v>0</v>
      </c>
    </row>
    <row r="740" customFormat="false" ht="15" hidden="false" customHeight="false" outlineLevel="0" collapsed="false">
      <c r="A740" s="0" t="str">
        <f aca="false">IF(Frota!$A19="","",Frota!$A19)</f>
        <v/>
      </c>
      <c r="B740" s="0" t="str">
        <f aca="false">IF(Frota!$A19="","",Frota!$B19)</f>
        <v/>
      </c>
      <c r="C740" s="0" t="n">
        <v>9</v>
      </c>
      <c r="D740" s="0" t="n">
        <f aca="false">INDEX(Semanas!$E$3:$E$54,9)</f>
        <v>5</v>
      </c>
      <c r="E740" s="0" t="str">
        <f aca="false">IF(Frota!$A19="","",Cronograma!J19)</f>
        <v/>
      </c>
      <c r="F740" s="0" t="n">
        <f aca="false">IF(OR($E740="",$E740=0),0,1)</f>
        <v>0</v>
      </c>
      <c r="G740" s="0" t="n">
        <f aca="false">IF($F740=0,0,INDEX(Aux_HH!$D$4:$D$18,MATCH($B740&amp;"|"&amp;$E740,Aux_HH!$A$4:$A$18,0)))</f>
        <v>0</v>
      </c>
      <c r="H740" s="0" t="n">
        <f aca="false">IF($F740=0,0,INDEX(Aux_HH!$E$4:$E$18,MATCH($B740&amp;"|"&amp;$E740,Aux_HH!$A$4:$A$18,0)))</f>
        <v>0</v>
      </c>
      <c r="I740" s="0" t="n">
        <f aca="false">IF($F740=0,0,INDEX(Aux_HH!$F$4:$F$18,MATCH($B740&amp;"|"&amp;$E740,Aux_HH!$A$4:$A$18,0)))</f>
        <v>0</v>
      </c>
      <c r="J740" s="0" t="n">
        <f aca="false">IF($F740=0,0,INDEX(Aux_HH!$G$4:$G$18,MATCH($B740&amp;"|"&amp;$E740,Aux_HH!$A$4:$A$18,0)))</f>
        <v>0</v>
      </c>
      <c r="K740" s="0" t="n">
        <f aca="false">IF($F740=0,0,INDEX(Aux_HH!$H$4:$H$18,MATCH($B740&amp;"|"&amp;$E740,Aux_HH!$A$4:$A$18,0)))</f>
        <v>0</v>
      </c>
      <c r="L740" s="0" t="n">
        <f aca="false">IF($F740=0,0,INDEX(Aux_HH!$I$4:$I$18,MATCH($B740&amp;"|"&amp;$E740,Aux_HH!$A$4:$A$18,0)))</f>
        <v>0</v>
      </c>
    </row>
    <row r="741" customFormat="false" ht="15" hidden="false" customHeight="false" outlineLevel="0" collapsed="false">
      <c r="A741" s="0" t="str">
        <f aca="false">IF(Frota!$A19="","",Frota!$A19)</f>
        <v/>
      </c>
      <c r="B741" s="0" t="str">
        <f aca="false">IF(Frota!$A19="","",Frota!$B19)</f>
        <v/>
      </c>
      <c r="C741" s="0" t="n">
        <v>10</v>
      </c>
      <c r="D741" s="0" t="n">
        <f aca="false">INDEX(Semanas!$E$3:$E$54,10)</f>
        <v>6</v>
      </c>
      <c r="E741" s="0" t="str">
        <f aca="false">IF(Frota!$A19="","",Cronograma!K19)</f>
        <v/>
      </c>
      <c r="F741" s="0" t="n">
        <f aca="false">IF(OR($E741="",$E741=0),0,1)</f>
        <v>0</v>
      </c>
      <c r="G741" s="0" t="n">
        <f aca="false">IF($F741=0,0,INDEX(Aux_HH!$D$4:$D$18,MATCH($B741&amp;"|"&amp;$E741,Aux_HH!$A$4:$A$18,0)))</f>
        <v>0</v>
      </c>
      <c r="H741" s="0" t="n">
        <f aca="false">IF($F741=0,0,INDEX(Aux_HH!$E$4:$E$18,MATCH($B741&amp;"|"&amp;$E741,Aux_HH!$A$4:$A$18,0)))</f>
        <v>0</v>
      </c>
      <c r="I741" s="0" t="n">
        <f aca="false">IF($F741=0,0,INDEX(Aux_HH!$F$4:$F$18,MATCH($B741&amp;"|"&amp;$E741,Aux_HH!$A$4:$A$18,0)))</f>
        <v>0</v>
      </c>
      <c r="J741" s="0" t="n">
        <f aca="false">IF($F741=0,0,INDEX(Aux_HH!$G$4:$G$18,MATCH($B741&amp;"|"&amp;$E741,Aux_HH!$A$4:$A$18,0)))</f>
        <v>0</v>
      </c>
      <c r="K741" s="0" t="n">
        <f aca="false">IF($F741=0,0,INDEX(Aux_HH!$H$4:$H$18,MATCH($B741&amp;"|"&amp;$E741,Aux_HH!$A$4:$A$18,0)))</f>
        <v>0</v>
      </c>
      <c r="L741" s="0" t="n">
        <f aca="false">IF($F741=0,0,INDEX(Aux_HH!$I$4:$I$18,MATCH($B741&amp;"|"&amp;$E741,Aux_HH!$A$4:$A$18,0)))</f>
        <v>0</v>
      </c>
    </row>
    <row r="742" customFormat="false" ht="15" hidden="false" customHeight="false" outlineLevel="0" collapsed="false">
      <c r="A742" s="0" t="str">
        <f aca="false">IF(Frota!$A19="","",Frota!$A19)</f>
        <v/>
      </c>
      <c r="B742" s="0" t="str">
        <f aca="false">IF(Frota!$A19="","",Frota!$B19)</f>
        <v/>
      </c>
      <c r="C742" s="0" t="n">
        <v>11</v>
      </c>
      <c r="D742" s="0" t="n">
        <f aca="false">INDEX(Semanas!$E$3:$E$54,11)</f>
        <v>6</v>
      </c>
      <c r="E742" s="0" t="str">
        <f aca="false">IF(Frota!$A19="","",Cronograma!L19)</f>
        <v/>
      </c>
      <c r="F742" s="0" t="n">
        <f aca="false">IF(OR($E742="",$E742=0),0,1)</f>
        <v>0</v>
      </c>
      <c r="G742" s="0" t="n">
        <f aca="false">IF($F742=0,0,INDEX(Aux_HH!$D$4:$D$18,MATCH($B742&amp;"|"&amp;$E742,Aux_HH!$A$4:$A$18,0)))</f>
        <v>0</v>
      </c>
      <c r="H742" s="0" t="n">
        <f aca="false">IF($F742=0,0,INDEX(Aux_HH!$E$4:$E$18,MATCH($B742&amp;"|"&amp;$E742,Aux_HH!$A$4:$A$18,0)))</f>
        <v>0</v>
      </c>
      <c r="I742" s="0" t="n">
        <f aca="false">IF($F742=0,0,INDEX(Aux_HH!$F$4:$F$18,MATCH($B742&amp;"|"&amp;$E742,Aux_HH!$A$4:$A$18,0)))</f>
        <v>0</v>
      </c>
      <c r="J742" s="0" t="n">
        <f aca="false">IF($F742=0,0,INDEX(Aux_HH!$G$4:$G$18,MATCH($B742&amp;"|"&amp;$E742,Aux_HH!$A$4:$A$18,0)))</f>
        <v>0</v>
      </c>
      <c r="K742" s="0" t="n">
        <f aca="false">IF($F742=0,0,INDEX(Aux_HH!$H$4:$H$18,MATCH($B742&amp;"|"&amp;$E742,Aux_HH!$A$4:$A$18,0)))</f>
        <v>0</v>
      </c>
      <c r="L742" s="0" t="n">
        <f aca="false">IF($F742=0,0,INDEX(Aux_HH!$I$4:$I$18,MATCH($B742&amp;"|"&amp;$E742,Aux_HH!$A$4:$A$18,0)))</f>
        <v>0</v>
      </c>
    </row>
    <row r="743" customFormat="false" ht="15" hidden="false" customHeight="false" outlineLevel="0" collapsed="false">
      <c r="A743" s="0" t="str">
        <f aca="false">IF(Frota!$A19="","",Frota!$A19)</f>
        <v/>
      </c>
      <c r="B743" s="0" t="str">
        <f aca="false">IF(Frota!$A19="","",Frota!$B19)</f>
        <v/>
      </c>
      <c r="C743" s="0" t="n">
        <v>12</v>
      </c>
      <c r="D743" s="0" t="n">
        <f aca="false">INDEX(Semanas!$E$3:$E$54,12)</f>
        <v>6</v>
      </c>
      <c r="E743" s="0" t="str">
        <f aca="false">IF(Frota!$A19="","",Cronograma!M19)</f>
        <v/>
      </c>
      <c r="F743" s="0" t="n">
        <f aca="false">IF(OR($E743="",$E743=0),0,1)</f>
        <v>0</v>
      </c>
      <c r="G743" s="0" t="n">
        <f aca="false">IF($F743=0,0,INDEX(Aux_HH!$D$4:$D$18,MATCH($B743&amp;"|"&amp;$E743,Aux_HH!$A$4:$A$18,0)))</f>
        <v>0</v>
      </c>
      <c r="H743" s="0" t="n">
        <f aca="false">IF($F743=0,0,INDEX(Aux_HH!$E$4:$E$18,MATCH($B743&amp;"|"&amp;$E743,Aux_HH!$A$4:$A$18,0)))</f>
        <v>0</v>
      </c>
      <c r="I743" s="0" t="n">
        <f aca="false">IF($F743=0,0,INDEX(Aux_HH!$F$4:$F$18,MATCH($B743&amp;"|"&amp;$E743,Aux_HH!$A$4:$A$18,0)))</f>
        <v>0</v>
      </c>
      <c r="J743" s="0" t="n">
        <f aca="false">IF($F743=0,0,INDEX(Aux_HH!$G$4:$G$18,MATCH($B743&amp;"|"&amp;$E743,Aux_HH!$A$4:$A$18,0)))</f>
        <v>0</v>
      </c>
      <c r="K743" s="0" t="n">
        <f aca="false">IF($F743=0,0,INDEX(Aux_HH!$H$4:$H$18,MATCH($B743&amp;"|"&amp;$E743,Aux_HH!$A$4:$A$18,0)))</f>
        <v>0</v>
      </c>
      <c r="L743" s="0" t="n">
        <f aca="false">IF($F743=0,0,INDEX(Aux_HH!$I$4:$I$18,MATCH($B743&amp;"|"&amp;$E743,Aux_HH!$A$4:$A$18,0)))</f>
        <v>0</v>
      </c>
    </row>
    <row r="744" customFormat="false" ht="15" hidden="false" customHeight="false" outlineLevel="0" collapsed="false">
      <c r="A744" s="0" t="str">
        <f aca="false">IF(Frota!$A19="","",Frota!$A19)</f>
        <v/>
      </c>
      <c r="B744" s="0" t="str">
        <f aca="false">IF(Frota!$A19="","",Frota!$B19)</f>
        <v/>
      </c>
      <c r="C744" s="0" t="n">
        <v>13</v>
      </c>
      <c r="D744" s="0" t="n">
        <f aca="false">INDEX(Semanas!$E$3:$E$54,13)</f>
        <v>6</v>
      </c>
      <c r="E744" s="0" t="str">
        <f aca="false">IF(Frota!$A19="","",Cronograma!N19)</f>
        <v/>
      </c>
      <c r="F744" s="0" t="n">
        <f aca="false">IF(OR($E744="",$E744=0),0,1)</f>
        <v>0</v>
      </c>
      <c r="G744" s="0" t="n">
        <f aca="false">IF($F744=0,0,INDEX(Aux_HH!$D$4:$D$18,MATCH($B744&amp;"|"&amp;$E744,Aux_HH!$A$4:$A$18,0)))</f>
        <v>0</v>
      </c>
      <c r="H744" s="0" t="n">
        <f aca="false">IF($F744=0,0,INDEX(Aux_HH!$E$4:$E$18,MATCH($B744&amp;"|"&amp;$E744,Aux_HH!$A$4:$A$18,0)))</f>
        <v>0</v>
      </c>
      <c r="I744" s="0" t="n">
        <f aca="false">IF($F744=0,0,INDEX(Aux_HH!$F$4:$F$18,MATCH($B744&amp;"|"&amp;$E744,Aux_HH!$A$4:$A$18,0)))</f>
        <v>0</v>
      </c>
      <c r="J744" s="0" t="n">
        <f aca="false">IF($F744=0,0,INDEX(Aux_HH!$G$4:$G$18,MATCH($B744&amp;"|"&amp;$E744,Aux_HH!$A$4:$A$18,0)))</f>
        <v>0</v>
      </c>
      <c r="K744" s="0" t="n">
        <f aca="false">IF($F744=0,0,INDEX(Aux_HH!$H$4:$H$18,MATCH($B744&amp;"|"&amp;$E744,Aux_HH!$A$4:$A$18,0)))</f>
        <v>0</v>
      </c>
      <c r="L744" s="0" t="n">
        <f aca="false">IF($F744=0,0,INDEX(Aux_HH!$I$4:$I$18,MATCH($B744&amp;"|"&amp;$E744,Aux_HH!$A$4:$A$18,0)))</f>
        <v>0</v>
      </c>
    </row>
    <row r="745" customFormat="false" ht="15" hidden="false" customHeight="false" outlineLevel="0" collapsed="false">
      <c r="A745" s="0" t="str">
        <f aca="false">IF(Frota!$A19="","",Frota!$A19)</f>
        <v/>
      </c>
      <c r="B745" s="0" t="str">
        <f aca="false">IF(Frota!$A19="","",Frota!$B19)</f>
        <v/>
      </c>
      <c r="C745" s="0" t="n">
        <v>14</v>
      </c>
      <c r="D745" s="0" t="n">
        <f aca="false">INDEX(Semanas!$E$3:$E$54,14)</f>
        <v>7</v>
      </c>
      <c r="E745" s="0" t="str">
        <f aca="false">IF(Frota!$A19="","",Cronograma!O19)</f>
        <v/>
      </c>
      <c r="F745" s="0" t="n">
        <f aca="false">IF(OR($E745="",$E745=0),0,1)</f>
        <v>0</v>
      </c>
      <c r="G745" s="0" t="n">
        <f aca="false">IF($F745=0,0,INDEX(Aux_HH!$D$4:$D$18,MATCH($B745&amp;"|"&amp;$E745,Aux_HH!$A$4:$A$18,0)))</f>
        <v>0</v>
      </c>
      <c r="H745" s="0" t="n">
        <f aca="false">IF($F745=0,0,INDEX(Aux_HH!$E$4:$E$18,MATCH($B745&amp;"|"&amp;$E745,Aux_HH!$A$4:$A$18,0)))</f>
        <v>0</v>
      </c>
      <c r="I745" s="0" t="n">
        <f aca="false">IF($F745=0,0,INDEX(Aux_HH!$F$4:$F$18,MATCH($B745&amp;"|"&amp;$E745,Aux_HH!$A$4:$A$18,0)))</f>
        <v>0</v>
      </c>
      <c r="J745" s="0" t="n">
        <f aca="false">IF($F745=0,0,INDEX(Aux_HH!$G$4:$G$18,MATCH($B745&amp;"|"&amp;$E745,Aux_HH!$A$4:$A$18,0)))</f>
        <v>0</v>
      </c>
      <c r="K745" s="0" t="n">
        <f aca="false">IF($F745=0,0,INDEX(Aux_HH!$H$4:$H$18,MATCH($B745&amp;"|"&amp;$E745,Aux_HH!$A$4:$A$18,0)))</f>
        <v>0</v>
      </c>
      <c r="L745" s="0" t="n">
        <f aca="false">IF($F745=0,0,INDEX(Aux_HH!$I$4:$I$18,MATCH($B745&amp;"|"&amp;$E745,Aux_HH!$A$4:$A$18,0)))</f>
        <v>0</v>
      </c>
    </row>
    <row r="746" customFormat="false" ht="15" hidden="false" customHeight="false" outlineLevel="0" collapsed="false">
      <c r="A746" s="0" t="str">
        <f aca="false">IF(Frota!$A19="","",Frota!$A19)</f>
        <v/>
      </c>
      <c r="B746" s="0" t="str">
        <f aca="false">IF(Frota!$A19="","",Frota!$B19)</f>
        <v/>
      </c>
      <c r="C746" s="0" t="n">
        <v>15</v>
      </c>
      <c r="D746" s="0" t="n">
        <f aca="false">INDEX(Semanas!$E$3:$E$54,15)</f>
        <v>7</v>
      </c>
      <c r="E746" s="0" t="str">
        <f aca="false">IF(Frota!$A19="","",Cronograma!P19)</f>
        <v/>
      </c>
      <c r="F746" s="0" t="n">
        <f aca="false">IF(OR($E746="",$E746=0),0,1)</f>
        <v>0</v>
      </c>
      <c r="G746" s="0" t="n">
        <f aca="false">IF($F746=0,0,INDEX(Aux_HH!$D$4:$D$18,MATCH($B746&amp;"|"&amp;$E746,Aux_HH!$A$4:$A$18,0)))</f>
        <v>0</v>
      </c>
      <c r="H746" s="0" t="n">
        <f aca="false">IF($F746=0,0,INDEX(Aux_HH!$E$4:$E$18,MATCH($B746&amp;"|"&amp;$E746,Aux_HH!$A$4:$A$18,0)))</f>
        <v>0</v>
      </c>
      <c r="I746" s="0" t="n">
        <f aca="false">IF($F746=0,0,INDEX(Aux_HH!$F$4:$F$18,MATCH($B746&amp;"|"&amp;$E746,Aux_HH!$A$4:$A$18,0)))</f>
        <v>0</v>
      </c>
      <c r="J746" s="0" t="n">
        <f aca="false">IF($F746=0,0,INDEX(Aux_HH!$G$4:$G$18,MATCH($B746&amp;"|"&amp;$E746,Aux_HH!$A$4:$A$18,0)))</f>
        <v>0</v>
      </c>
      <c r="K746" s="0" t="n">
        <f aca="false">IF($F746=0,0,INDEX(Aux_HH!$H$4:$H$18,MATCH($B746&amp;"|"&amp;$E746,Aux_HH!$A$4:$A$18,0)))</f>
        <v>0</v>
      </c>
      <c r="L746" s="0" t="n">
        <f aca="false">IF($F746=0,0,INDEX(Aux_HH!$I$4:$I$18,MATCH($B746&amp;"|"&amp;$E746,Aux_HH!$A$4:$A$18,0)))</f>
        <v>0</v>
      </c>
    </row>
    <row r="747" customFormat="false" ht="15" hidden="false" customHeight="false" outlineLevel="0" collapsed="false">
      <c r="A747" s="0" t="str">
        <f aca="false">IF(Frota!$A19="","",Frota!$A19)</f>
        <v/>
      </c>
      <c r="B747" s="0" t="str">
        <f aca="false">IF(Frota!$A19="","",Frota!$B19)</f>
        <v/>
      </c>
      <c r="C747" s="0" t="n">
        <v>16</v>
      </c>
      <c r="D747" s="0" t="n">
        <f aca="false">INDEX(Semanas!$E$3:$E$54,16)</f>
        <v>7</v>
      </c>
      <c r="E747" s="0" t="str">
        <f aca="false">IF(Frota!$A19="","",Cronograma!Q19)</f>
        <v/>
      </c>
      <c r="F747" s="0" t="n">
        <f aca="false">IF(OR($E747="",$E747=0),0,1)</f>
        <v>0</v>
      </c>
      <c r="G747" s="0" t="n">
        <f aca="false">IF($F747=0,0,INDEX(Aux_HH!$D$4:$D$18,MATCH($B747&amp;"|"&amp;$E747,Aux_HH!$A$4:$A$18,0)))</f>
        <v>0</v>
      </c>
      <c r="H747" s="0" t="n">
        <f aca="false">IF($F747=0,0,INDEX(Aux_HH!$E$4:$E$18,MATCH($B747&amp;"|"&amp;$E747,Aux_HH!$A$4:$A$18,0)))</f>
        <v>0</v>
      </c>
      <c r="I747" s="0" t="n">
        <f aca="false">IF($F747=0,0,INDEX(Aux_HH!$F$4:$F$18,MATCH($B747&amp;"|"&amp;$E747,Aux_HH!$A$4:$A$18,0)))</f>
        <v>0</v>
      </c>
      <c r="J747" s="0" t="n">
        <f aca="false">IF($F747=0,0,INDEX(Aux_HH!$G$4:$G$18,MATCH($B747&amp;"|"&amp;$E747,Aux_HH!$A$4:$A$18,0)))</f>
        <v>0</v>
      </c>
      <c r="K747" s="0" t="n">
        <f aca="false">IF($F747=0,0,INDEX(Aux_HH!$H$4:$H$18,MATCH($B747&amp;"|"&amp;$E747,Aux_HH!$A$4:$A$18,0)))</f>
        <v>0</v>
      </c>
      <c r="L747" s="0" t="n">
        <f aca="false">IF($F747=0,0,INDEX(Aux_HH!$I$4:$I$18,MATCH($B747&amp;"|"&amp;$E747,Aux_HH!$A$4:$A$18,0)))</f>
        <v>0</v>
      </c>
    </row>
    <row r="748" customFormat="false" ht="15" hidden="false" customHeight="false" outlineLevel="0" collapsed="false">
      <c r="A748" s="0" t="str">
        <f aca="false">IF(Frota!$A19="","",Frota!$A19)</f>
        <v/>
      </c>
      <c r="B748" s="0" t="str">
        <f aca="false">IF(Frota!$A19="","",Frota!$B19)</f>
        <v/>
      </c>
      <c r="C748" s="0" t="n">
        <v>17</v>
      </c>
      <c r="D748" s="0" t="n">
        <f aca="false">INDEX(Semanas!$E$3:$E$54,17)</f>
        <v>7</v>
      </c>
      <c r="E748" s="0" t="str">
        <f aca="false">IF(Frota!$A19="","",Cronograma!R19)</f>
        <v/>
      </c>
      <c r="F748" s="0" t="n">
        <f aca="false">IF(OR($E748="",$E748=0),0,1)</f>
        <v>0</v>
      </c>
      <c r="G748" s="0" t="n">
        <f aca="false">IF($F748=0,0,INDEX(Aux_HH!$D$4:$D$18,MATCH($B748&amp;"|"&amp;$E748,Aux_HH!$A$4:$A$18,0)))</f>
        <v>0</v>
      </c>
      <c r="H748" s="0" t="n">
        <f aca="false">IF($F748=0,0,INDEX(Aux_HH!$E$4:$E$18,MATCH($B748&amp;"|"&amp;$E748,Aux_HH!$A$4:$A$18,0)))</f>
        <v>0</v>
      </c>
      <c r="I748" s="0" t="n">
        <f aca="false">IF($F748=0,0,INDEX(Aux_HH!$F$4:$F$18,MATCH($B748&amp;"|"&amp;$E748,Aux_HH!$A$4:$A$18,0)))</f>
        <v>0</v>
      </c>
      <c r="J748" s="0" t="n">
        <f aca="false">IF($F748=0,0,INDEX(Aux_HH!$G$4:$G$18,MATCH($B748&amp;"|"&amp;$E748,Aux_HH!$A$4:$A$18,0)))</f>
        <v>0</v>
      </c>
      <c r="K748" s="0" t="n">
        <f aca="false">IF($F748=0,0,INDEX(Aux_HH!$H$4:$H$18,MATCH($B748&amp;"|"&amp;$E748,Aux_HH!$A$4:$A$18,0)))</f>
        <v>0</v>
      </c>
      <c r="L748" s="0" t="n">
        <f aca="false">IF($F748=0,0,INDEX(Aux_HH!$I$4:$I$18,MATCH($B748&amp;"|"&amp;$E748,Aux_HH!$A$4:$A$18,0)))</f>
        <v>0</v>
      </c>
    </row>
    <row r="749" customFormat="false" ht="15" hidden="false" customHeight="false" outlineLevel="0" collapsed="false">
      <c r="A749" s="0" t="str">
        <f aca="false">IF(Frota!$A19="","",Frota!$A19)</f>
        <v/>
      </c>
      <c r="B749" s="0" t="str">
        <f aca="false">IF(Frota!$A19="","",Frota!$B19)</f>
        <v/>
      </c>
      <c r="C749" s="0" t="n">
        <v>18</v>
      </c>
      <c r="D749" s="0" t="n">
        <f aca="false">INDEX(Semanas!$E$3:$E$54,18)</f>
        <v>7</v>
      </c>
      <c r="E749" s="0" t="str">
        <f aca="false">IF(Frota!$A19="","",Cronograma!S19)</f>
        <v/>
      </c>
      <c r="F749" s="0" t="n">
        <f aca="false">IF(OR($E749="",$E749=0),0,1)</f>
        <v>0</v>
      </c>
      <c r="G749" s="0" t="n">
        <f aca="false">IF($F749=0,0,INDEX(Aux_HH!$D$4:$D$18,MATCH($B749&amp;"|"&amp;$E749,Aux_HH!$A$4:$A$18,0)))</f>
        <v>0</v>
      </c>
      <c r="H749" s="0" t="n">
        <f aca="false">IF($F749=0,0,INDEX(Aux_HH!$E$4:$E$18,MATCH($B749&amp;"|"&amp;$E749,Aux_HH!$A$4:$A$18,0)))</f>
        <v>0</v>
      </c>
      <c r="I749" s="0" t="n">
        <f aca="false">IF($F749=0,0,INDEX(Aux_HH!$F$4:$F$18,MATCH($B749&amp;"|"&amp;$E749,Aux_HH!$A$4:$A$18,0)))</f>
        <v>0</v>
      </c>
      <c r="J749" s="0" t="n">
        <f aca="false">IF($F749=0,0,INDEX(Aux_HH!$G$4:$G$18,MATCH($B749&amp;"|"&amp;$E749,Aux_HH!$A$4:$A$18,0)))</f>
        <v>0</v>
      </c>
      <c r="K749" s="0" t="n">
        <f aca="false">IF($F749=0,0,INDEX(Aux_HH!$H$4:$H$18,MATCH($B749&amp;"|"&amp;$E749,Aux_HH!$A$4:$A$18,0)))</f>
        <v>0</v>
      </c>
      <c r="L749" s="0" t="n">
        <f aca="false">IF($F749=0,0,INDEX(Aux_HH!$I$4:$I$18,MATCH($B749&amp;"|"&amp;$E749,Aux_HH!$A$4:$A$18,0)))</f>
        <v>0</v>
      </c>
    </row>
    <row r="750" customFormat="false" ht="15" hidden="false" customHeight="false" outlineLevel="0" collapsed="false">
      <c r="A750" s="0" t="str">
        <f aca="false">IF(Frota!$A19="","",Frota!$A19)</f>
        <v/>
      </c>
      <c r="B750" s="0" t="str">
        <f aca="false">IF(Frota!$A19="","",Frota!$B19)</f>
        <v/>
      </c>
      <c r="C750" s="0" t="n">
        <v>19</v>
      </c>
      <c r="D750" s="0" t="n">
        <f aca="false">INDEX(Semanas!$E$3:$E$54,19)</f>
        <v>8</v>
      </c>
      <c r="E750" s="0" t="str">
        <f aca="false">IF(Frota!$A19="","",Cronograma!T19)</f>
        <v/>
      </c>
      <c r="F750" s="0" t="n">
        <f aca="false">IF(OR($E750="",$E750=0),0,1)</f>
        <v>0</v>
      </c>
      <c r="G750" s="0" t="n">
        <f aca="false">IF($F750=0,0,INDEX(Aux_HH!$D$4:$D$18,MATCH($B750&amp;"|"&amp;$E750,Aux_HH!$A$4:$A$18,0)))</f>
        <v>0</v>
      </c>
      <c r="H750" s="0" t="n">
        <f aca="false">IF($F750=0,0,INDEX(Aux_HH!$E$4:$E$18,MATCH($B750&amp;"|"&amp;$E750,Aux_HH!$A$4:$A$18,0)))</f>
        <v>0</v>
      </c>
      <c r="I750" s="0" t="n">
        <f aca="false">IF($F750=0,0,INDEX(Aux_HH!$F$4:$F$18,MATCH($B750&amp;"|"&amp;$E750,Aux_HH!$A$4:$A$18,0)))</f>
        <v>0</v>
      </c>
      <c r="J750" s="0" t="n">
        <f aca="false">IF($F750=0,0,INDEX(Aux_HH!$G$4:$G$18,MATCH($B750&amp;"|"&amp;$E750,Aux_HH!$A$4:$A$18,0)))</f>
        <v>0</v>
      </c>
      <c r="K750" s="0" t="n">
        <f aca="false">IF($F750=0,0,INDEX(Aux_HH!$H$4:$H$18,MATCH($B750&amp;"|"&amp;$E750,Aux_HH!$A$4:$A$18,0)))</f>
        <v>0</v>
      </c>
      <c r="L750" s="0" t="n">
        <f aca="false">IF($F750=0,0,INDEX(Aux_HH!$I$4:$I$18,MATCH($B750&amp;"|"&amp;$E750,Aux_HH!$A$4:$A$18,0)))</f>
        <v>0</v>
      </c>
    </row>
    <row r="751" customFormat="false" ht="15" hidden="false" customHeight="false" outlineLevel="0" collapsed="false">
      <c r="A751" s="0" t="str">
        <f aca="false">IF(Frota!$A19="","",Frota!$A19)</f>
        <v/>
      </c>
      <c r="B751" s="0" t="str">
        <f aca="false">IF(Frota!$A19="","",Frota!$B19)</f>
        <v/>
      </c>
      <c r="C751" s="0" t="n">
        <v>20</v>
      </c>
      <c r="D751" s="0" t="n">
        <f aca="false">INDEX(Semanas!$E$3:$E$54,20)</f>
        <v>8</v>
      </c>
      <c r="E751" s="0" t="str">
        <f aca="false">IF(Frota!$A19="","",Cronograma!U19)</f>
        <v/>
      </c>
      <c r="F751" s="0" t="n">
        <f aca="false">IF(OR($E751="",$E751=0),0,1)</f>
        <v>0</v>
      </c>
      <c r="G751" s="0" t="n">
        <f aca="false">IF($F751=0,0,INDEX(Aux_HH!$D$4:$D$18,MATCH($B751&amp;"|"&amp;$E751,Aux_HH!$A$4:$A$18,0)))</f>
        <v>0</v>
      </c>
      <c r="H751" s="0" t="n">
        <f aca="false">IF($F751=0,0,INDEX(Aux_HH!$E$4:$E$18,MATCH($B751&amp;"|"&amp;$E751,Aux_HH!$A$4:$A$18,0)))</f>
        <v>0</v>
      </c>
      <c r="I751" s="0" t="n">
        <f aca="false">IF($F751=0,0,INDEX(Aux_HH!$F$4:$F$18,MATCH($B751&amp;"|"&amp;$E751,Aux_HH!$A$4:$A$18,0)))</f>
        <v>0</v>
      </c>
      <c r="J751" s="0" t="n">
        <f aca="false">IF($F751=0,0,INDEX(Aux_HH!$G$4:$G$18,MATCH($B751&amp;"|"&amp;$E751,Aux_HH!$A$4:$A$18,0)))</f>
        <v>0</v>
      </c>
      <c r="K751" s="0" t="n">
        <f aca="false">IF($F751=0,0,INDEX(Aux_HH!$H$4:$H$18,MATCH($B751&amp;"|"&amp;$E751,Aux_HH!$A$4:$A$18,0)))</f>
        <v>0</v>
      </c>
      <c r="L751" s="0" t="n">
        <f aca="false">IF($F751=0,0,INDEX(Aux_HH!$I$4:$I$18,MATCH($B751&amp;"|"&amp;$E751,Aux_HH!$A$4:$A$18,0)))</f>
        <v>0</v>
      </c>
    </row>
    <row r="752" customFormat="false" ht="15" hidden="false" customHeight="false" outlineLevel="0" collapsed="false">
      <c r="A752" s="0" t="str">
        <f aca="false">IF(Frota!$A19="","",Frota!$A19)</f>
        <v/>
      </c>
      <c r="B752" s="0" t="str">
        <f aca="false">IF(Frota!$A19="","",Frota!$B19)</f>
        <v/>
      </c>
      <c r="C752" s="0" t="n">
        <v>21</v>
      </c>
      <c r="D752" s="0" t="n">
        <f aca="false">INDEX(Semanas!$E$3:$E$54,21)</f>
        <v>8</v>
      </c>
      <c r="E752" s="0" t="str">
        <f aca="false">IF(Frota!$A19="","",Cronograma!V19)</f>
        <v/>
      </c>
      <c r="F752" s="0" t="n">
        <f aca="false">IF(OR($E752="",$E752=0),0,1)</f>
        <v>0</v>
      </c>
      <c r="G752" s="0" t="n">
        <f aca="false">IF($F752=0,0,INDEX(Aux_HH!$D$4:$D$18,MATCH($B752&amp;"|"&amp;$E752,Aux_HH!$A$4:$A$18,0)))</f>
        <v>0</v>
      </c>
      <c r="H752" s="0" t="n">
        <f aca="false">IF($F752=0,0,INDEX(Aux_HH!$E$4:$E$18,MATCH($B752&amp;"|"&amp;$E752,Aux_HH!$A$4:$A$18,0)))</f>
        <v>0</v>
      </c>
      <c r="I752" s="0" t="n">
        <f aca="false">IF($F752=0,0,INDEX(Aux_HH!$F$4:$F$18,MATCH($B752&amp;"|"&amp;$E752,Aux_HH!$A$4:$A$18,0)))</f>
        <v>0</v>
      </c>
      <c r="J752" s="0" t="n">
        <f aca="false">IF($F752=0,0,INDEX(Aux_HH!$G$4:$G$18,MATCH($B752&amp;"|"&amp;$E752,Aux_HH!$A$4:$A$18,0)))</f>
        <v>0</v>
      </c>
      <c r="K752" s="0" t="n">
        <f aca="false">IF($F752=0,0,INDEX(Aux_HH!$H$4:$H$18,MATCH($B752&amp;"|"&amp;$E752,Aux_HH!$A$4:$A$18,0)))</f>
        <v>0</v>
      </c>
      <c r="L752" s="0" t="n">
        <f aca="false">IF($F752=0,0,INDEX(Aux_HH!$I$4:$I$18,MATCH($B752&amp;"|"&amp;$E752,Aux_HH!$A$4:$A$18,0)))</f>
        <v>0</v>
      </c>
    </row>
    <row r="753" customFormat="false" ht="15" hidden="false" customHeight="false" outlineLevel="0" collapsed="false">
      <c r="A753" s="0" t="str">
        <f aca="false">IF(Frota!$A19="","",Frota!$A19)</f>
        <v/>
      </c>
      <c r="B753" s="0" t="str">
        <f aca="false">IF(Frota!$A19="","",Frota!$B19)</f>
        <v/>
      </c>
      <c r="C753" s="0" t="n">
        <v>22</v>
      </c>
      <c r="D753" s="0" t="n">
        <f aca="false">INDEX(Semanas!$E$3:$E$54,22)</f>
        <v>8</v>
      </c>
      <c r="E753" s="0" t="str">
        <f aca="false">IF(Frota!$A19="","",Cronograma!W19)</f>
        <v/>
      </c>
      <c r="F753" s="0" t="n">
        <f aca="false">IF(OR($E753="",$E753=0),0,1)</f>
        <v>0</v>
      </c>
      <c r="G753" s="0" t="n">
        <f aca="false">IF($F753=0,0,INDEX(Aux_HH!$D$4:$D$18,MATCH($B753&amp;"|"&amp;$E753,Aux_HH!$A$4:$A$18,0)))</f>
        <v>0</v>
      </c>
      <c r="H753" s="0" t="n">
        <f aca="false">IF($F753=0,0,INDEX(Aux_HH!$E$4:$E$18,MATCH($B753&amp;"|"&amp;$E753,Aux_HH!$A$4:$A$18,0)))</f>
        <v>0</v>
      </c>
      <c r="I753" s="0" t="n">
        <f aca="false">IF($F753=0,0,INDEX(Aux_HH!$F$4:$F$18,MATCH($B753&amp;"|"&amp;$E753,Aux_HH!$A$4:$A$18,0)))</f>
        <v>0</v>
      </c>
      <c r="J753" s="0" t="n">
        <f aca="false">IF($F753=0,0,INDEX(Aux_HH!$G$4:$G$18,MATCH($B753&amp;"|"&amp;$E753,Aux_HH!$A$4:$A$18,0)))</f>
        <v>0</v>
      </c>
      <c r="K753" s="0" t="n">
        <f aca="false">IF($F753=0,0,INDEX(Aux_HH!$H$4:$H$18,MATCH($B753&amp;"|"&amp;$E753,Aux_HH!$A$4:$A$18,0)))</f>
        <v>0</v>
      </c>
      <c r="L753" s="0" t="n">
        <f aca="false">IF($F753=0,0,INDEX(Aux_HH!$I$4:$I$18,MATCH($B753&amp;"|"&amp;$E753,Aux_HH!$A$4:$A$18,0)))</f>
        <v>0</v>
      </c>
    </row>
    <row r="754" customFormat="false" ht="15" hidden="false" customHeight="false" outlineLevel="0" collapsed="false">
      <c r="A754" s="0" t="str">
        <f aca="false">IF(Frota!$A19="","",Frota!$A19)</f>
        <v/>
      </c>
      <c r="B754" s="0" t="str">
        <f aca="false">IF(Frota!$A19="","",Frota!$B19)</f>
        <v/>
      </c>
      <c r="C754" s="0" t="n">
        <v>23</v>
      </c>
      <c r="D754" s="0" t="n">
        <f aca="false">INDEX(Semanas!$E$3:$E$54,23)</f>
        <v>9</v>
      </c>
      <c r="E754" s="0" t="str">
        <f aca="false">IF(Frota!$A19="","",Cronograma!X19)</f>
        <v/>
      </c>
      <c r="F754" s="0" t="n">
        <f aca="false">IF(OR($E754="",$E754=0),0,1)</f>
        <v>0</v>
      </c>
      <c r="G754" s="0" t="n">
        <f aca="false">IF($F754=0,0,INDEX(Aux_HH!$D$4:$D$18,MATCH($B754&amp;"|"&amp;$E754,Aux_HH!$A$4:$A$18,0)))</f>
        <v>0</v>
      </c>
      <c r="H754" s="0" t="n">
        <f aca="false">IF($F754=0,0,INDEX(Aux_HH!$E$4:$E$18,MATCH($B754&amp;"|"&amp;$E754,Aux_HH!$A$4:$A$18,0)))</f>
        <v>0</v>
      </c>
      <c r="I754" s="0" t="n">
        <f aca="false">IF($F754=0,0,INDEX(Aux_HH!$F$4:$F$18,MATCH($B754&amp;"|"&amp;$E754,Aux_HH!$A$4:$A$18,0)))</f>
        <v>0</v>
      </c>
      <c r="J754" s="0" t="n">
        <f aca="false">IF($F754=0,0,INDEX(Aux_HH!$G$4:$G$18,MATCH($B754&amp;"|"&amp;$E754,Aux_HH!$A$4:$A$18,0)))</f>
        <v>0</v>
      </c>
      <c r="K754" s="0" t="n">
        <f aca="false">IF($F754=0,0,INDEX(Aux_HH!$H$4:$H$18,MATCH($B754&amp;"|"&amp;$E754,Aux_HH!$A$4:$A$18,0)))</f>
        <v>0</v>
      </c>
      <c r="L754" s="0" t="n">
        <f aca="false">IF($F754=0,0,INDEX(Aux_HH!$I$4:$I$18,MATCH($B754&amp;"|"&amp;$E754,Aux_HH!$A$4:$A$18,0)))</f>
        <v>0</v>
      </c>
    </row>
    <row r="755" customFormat="false" ht="15" hidden="false" customHeight="false" outlineLevel="0" collapsed="false">
      <c r="A755" s="0" t="str">
        <f aca="false">IF(Frota!$A19="","",Frota!$A19)</f>
        <v/>
      </c>
      <c r="B755" s="0" t="str">
        <f aca="false">IF(Frota!$A19="","",Frota!$B19)</f>
        <v/>
      </c>
      <c r="C755" s="0" t="n">
        <v>24</v>
      </c>
      <c r="D755" s="0" t="n">
        <f aca="false">INDEX(Semanas!$E$3:$E$54,24)</f>
        <v>9</v>
      </c>
      <c r="E755" s="0" t="str">
        <f aca="false">IF(Frota!$A19="","",Cronograma!Y19)</f>
        <v/>
      </c>
      <c r="F755" s="0" t="n">
        <f aca="false">IF(OR($E755="",$E755=0),0,1)</f>
        <v>0</v>
      </c>
      <c r="G755" s="0" t="n">
        <f aca="false">IF($F755=0,0,INDEX(Aux_HH!$D$4:$D$18,MATCH($B755&amp;"|"&amp;$E755,Aux_HH!$A$4:$A$18,0)))</f>
        <v>0</v>
      </c>
      <c r="H755" s="0" t="n">
        <f aca="false">IF($F755=0,0,INDEX(Aux_HH!$E$4:$E$18,MATCH($B755&amp;"|"&amp;$E755,Aux_HH!$A$4:$A$18,0)))</f>
        <v>0</v>
      </c>
      <c r="I755" s="0" t="n">
        <f aca="false">IF($F755=0,0,INDEX(Aux_HH!$F$4:$F$18,MATCH($B755&amp;"|"&amp;$E755,Aux_HH!$A$4:$A$18,0)))</f>
        <v>0</v>
      </c>
      <c r="J755" s="0" t="n">
        <f aca="false">IF($F755=0,0,INDEX(Aux_HH!$G$4:$G$18,MATCH($B755&amp;"|"&amp;$E755,Aux_HH!$A$4:$A$18,0)))</f>
        <v>0</v>
      </c>
      <c r="K755" s="0" t="n">
        <f aca="false">IF($F755=0,0,INDEX(Aux_HH!$H$4:$H$18,MATCH($B755&amp;"|"&amp;$E755,Aux_HH!$A$4:$A$18,0)))</f>
        <v>0</v>
      </c>
      <c r="L755" s="0" t="n">
        <f aca="false">IF($F755=0,0,INDEX(Aux_HH!$I$4:$I$18,MATCH($B755&amp;"|"&amp;$E755,Aux_HH!$A$4:$A$18,0)))</f>
        <v>0</v>
      </c>
    </row>
    <row r="756" customFormat="false" ht="15" hidden="false" customHeight="false" outlineLevel="0" collapsed="false">
      <c r="A756" s="0" t="str">
        <f aca="false">IF(Frota!$A19="","",Frota!$A19)</f>
        <v/>
      </c>
      <c r="B756" s="0" t="str">
        <f aca="false">IF(Frota!$A19="","",Frota!$B19)</f>
        <v/>
      </c>
      <c r="C756" s="0" t="n">
        <v>25</v>
      </c>
      <c r="D756" s="0" t="n">
        <f aca="false">INDEX(Semanas!$E$3:$E$54,25)</f>
        <v>9</v>
      </c>
      <c r="E756" s="0" t="str">
        <f aca="false">IF(Frota!$A19="","",Cronograma!Z19)</f>
        <v/>
      </c>
      <c r="F756" s="0" t="n">
        <f aca="false">IF(OR($E756="",$E756=0),0,1)</f>
        <v>0</v>
      </c>
      <c r="G756" s="0" t="n">
        <f aca="false">IF($F756=0,0,INDEX(Aux_HH!$D$4:$D$18,MATCH($B756&amp;"|"&amp;$E756,Aux_HH!$A$4:$A$18,0)))</f>
        <v>0</v>
      </c>
      <c r="H756" s="0" t="n">
        <f aca="false">IF($F756=0,0,INDEX(Aux_HH!$E$4:$E$18,MATCH($B756&amp;"|"&amp;$E756,Aux_HH!$A$4:$A$18,0)))</f>
        <v>0</v>
      </c>
      <c r="I756" s="0" t="n">
        <f aca="false">IF($F756=0,0,INDEX(Aux_HH!$F$4:$F$18,MATCH($B756&amp;"|"&amp;$E756,Aux_HH!$A$4:$A$18,0)))</f>
        <v>0</v>
      </c>
      <c r="J756" s="0" t="n">
        <f aca="false">IF($F756=0,0,INDEX(Aux_HH!$G$4:$G$18,MATCH($B756&amp;"|"&amp;$E756,Aux_HH!$A$4:$A$18,0)))</f>
        <v>0</v>
      </c>
      <c r="K756" s="0" t="n">
        <f aca="false">IF($F756=0,0,INDEX(Aux_HH!$H$4:$H$18,MATCH($B756&amp;"|"&amp;$E756,Aux_HH!$A$4:$A$18,0)))</f>
        <v>0</v>
      </c>
      <c r="L756" s="0" t="n">
        <f aca="false">IF($F756=0,0,INDEX(Aux_HH!$I$4:$I$18,MATCH($B756&amp;"|"&amp;$E756,Aux_HH!$A$4:$A$18,0)))</f>
        <v>0</v>
      </c>
    </row>
    <row r="757" customFormat="false" ht="15" hidden="false" customHeight="false" outlineLevel="0" collapsed="false">
      <c r="A757" s="0" t="str">
        <f aca="false">IF(Frota!$A19="","",Frota!$A19)</f>
        <v/>
      </c>
      <c r="B757" s="0" t="str">
        <f aca="false">IF(Frota!$A19="","",Frota!$B19)</f>
        <v/>
      </c>
      <c r="C757" s="0" t="n">
        <v>26</v>
      </c>
      <c r="D757" s="0" t="n">
        <f aca="false">INDEX(Semanas!$E$3:$E$54,26)</f>
        <v>9</v>
      </c>
      <c r="E757" s="0" t="str">
        <f aca="false">IF(Frota!$A19="","",Cronograma!AA19)</f>
        <v/>
      </c>
      <c r="F757" s="0" t="n">
        <f aca="false">IF(OR($E757="",$E757=0),0,1)</f>
        <v>0</v>
      </c>
      <c r="G757" s="0" t="n">
        <f aca="false">IF($F757=0,0,INDEX(Aux_HH!$D$4:$D$18,MATCH($B757&amp;"|"&amp;$E757,Aux_HH!$A$4:$A$18,0)))</f>
        <v>0</v>
      </c>
      <c r="H757" s="0" t="n">
        <f aca="false">IF($F757=0,0,INDEX(Aux_HH!$E$4:$E$18,MATCH($B757&amp;"|"&amp;$E757,Aux_HH!$A$4:$A$18,0)))</f>
        <v>0</v>
      </c>
      <c r="I757" s="0" t="n">
        <f aca="false">IF($F757=0,0,INDEX(Aux_HH!$F$4:$F$18,MATCH($B757&amp;"|"&amp;$E757,Aux_HH!$A$4:$A$18,0)))</f>
        <v>0</v>
      </c>
      <c r="J757" s="0" t="n">
        <f aca="false">IF($F757=0,0,INDEX(Aux_HH!$G$4:$G$18,MATCH($B757&amp;"|"&amp;$E757,Aux_HH!$A$4:$A$18,0)))</f>
        <v>0</v>
      </c>
      <c r="K757" s="0" t="n">
        <f aca="false">IF($F757=0,0,INDEX(Aux_HH!$H$4:$H$18,MATCH($B757&amp;"|"&amp;$E757,Aux_HH!$A$4:$A$18,0)))</f>
        <v>0</v>
      </c>
      <c r="L757" s="0" t="n">
        <f aca="false">IF($F757=0,0,INDEX(Aux_HH!$I$4:$I$18,MATCH($B757&amp;"|"&amp;$E757,Aux_HH!$A$4:$A$18,0)))</f>
        <v>0</v>
      </c>
    </row>
    <row r="758" customFormat="false" ht="15" hidden="false" customHeight="false" outlineLevel="0" collapsed="false">
      <c r="A758" s="0" t="str">
        <f aca="false">IF(Frota!$A19="","",Frota!$A19)</f>
        <v/>
      </c>
      <c r="B758" s="0" t="str">
        <f aca="false">IF(Frota!$A19="","",Frota!$B19)</f>
        <v/>
      </c>
      <c r="C758" s="0" t="n">
        <v>27</v>
      </c>
      <c r="D758" s="0" t="n">
        <f aca="false">INDEX(Semanas!$E$3:$E$54,27)</f>
        <v>9</v>
      </c>
      <c r="E758" s="0" t="str">
        <f aca="false">IF(Frota!$A19="","",Cronograma!AB19)</f>
        <v/>
      </c>
      <c r="F758" s="0" t="n">
        <f aca="false">IF(OR($E758="",$E758=0),0,1)</f>
        <v>0</v>
      </c>
      <c r="G758" s="0" t="n">
        <f aca="false">IF($F758=0,0,INDEX(Aux_HH!$D$4:$D$18,MATCH($B758&amp;"|"&amp;$E758,Aux_HH!$A$4:$A$18,0)))</f>
        <v>0</v>
      </c>
      <c r="H758" s="0" t="n">
        <f aca="false">IF($F758=0,0,INDEX(Aux_HH!$E$4:$E$18,MATCH($B758&amp;"|"&amp;$E758,Aux_HH!$A$4:$A$18,0)))</f>
        <v>0</v>
      </c>
      <c r="I758" s="0" t="n">
        <f aca="false">IF($F758=0,0,INDEX(Aux_HH!$F$4:$F$18,MATCH($B758&amp;"|"&amp;$E758,Aux_HH!$A$4:$A$18,0)))</f>
        <v>0</v>
      </c>
      <c r="J758" s="0" t="n">
        <f aca="false">IF($F758=0,0,INDEX(Aux_HH!$G$4:$G$18,MATCH($B758&amp;"|"&amp;$E758,Aux_HH!$A$4:$A$18,0)))</f>
        <v>0</v>
      </c>
      <c r="K758" s="0" t="n">
        <f aca="false">IF($F758=0,0,INDEX(Aux_HH!$H$4:$H$18,MATCH($B758&amp;"|"&amp;$E758,Aux_HH!$A$4:$A$18,0)))</f>
        <v>0</v>
      </c>
      <c r="L758" s="0" t="n">
        <f aca="false">IF($F758=0,0,INDEX(Aux_HH!$I$4:$I$18,MATCH($B758&amp;"|"&amp;$E758,Aux_HH!$A$4:$A$18,0)))</f>
        <v>0</v>
      </c>
    </row>
    <row r="759" customFormat="false" ht="15" hidden="false" customHeight="false" outlineLevel="0" collapsed="false">
      <c r="A759" s="0" t="str">
        <f aca="false">IF(Frota!$A19="","",Frota!$A19)</f>
        <v/>
      </c>
      <c r="B759" s="0" t="str">
        <f aca="false">IF(Frota!$A19="","",Frota!$B19)</f>
        <v/>
      </c>
      <c r="C759" s="0" t="n">
        <v>28</v>
      </c>
      <c r="D759" s="0" t="n">
        <f aca="false">INDEX(Semanas!$E$3:$E$54,28)</f>
        <v>10</v>
      </c>
      <c r="E759" s="0" t="str">
        <f aca="false">IF(Frota!$A19="","",Cronograma!AC19)</f>
        <v/>
      </c>
      <c r="F759" s="0" t="n">
        <f aca="false">IF(OR($E759="",$E759=0),0,1)</f>
        <v>0</v>
      </c>
      <c r="G759" s="0" t="n">
        <f aca="false">IF($F759=0,0,INDEX(Aux_HH!$D$4:$D$18,MATCH($B759&amp;"|"&amp;$E759,Aux_HH!$A$4:$A$18,0)))</f>
        <v>0</v>
      </c>
      <c r="H759" s="0" t="n">
        <f aca="false">IF($F759=0,0,INDEX(Aux_HH!$E$4:$E$18,MATCH($B759&amp;"|"&amp;$E759,Aux_HH!$A$4:$A$18,0)))</f>
        <v>0</v>
      </c>
      <c r="I759" s="0" t="n">
        <f aca="false">IF($F759=0,0,INDEX(Aux_HH!$F$4:$F$18,MATCH($B759&amp;"|"&amp;$E759,Aux_HH!$A$4:$A$18,0)))</f>
        <v>0</v>
      </c>
      <c r="J759" s="0" t="n">
        <f aca="false">IF($F759=0,0,INDEX(Aux_HH!$G$4:$G$18,MATCH($B759&amp;"|"&amp;$E759,Aux_HH!$A$4:$A$18,0)))</f>
        <v>0</v>
      </c>
      <c r="K759" s="0" t="n">
        <f aca="false">IF($F759=0,0,INDEX(Aux_HH!$H$4:$H$18,MATCH($B759&amp;"|"&amp;$E759,Aux_HH!$A$4:$A$18,0)))</f>
        <v>0</v>
      </c>
      <c r="L759" s="0" t="n">
        <f aca="false">IF($F759=0,0,INDEX(Aux_HH!$I$4:$I$18,MATCH($B759&amp;"|"&amp;$E759,Aux_HH!$A$4:$A$18,0)))</f>
        <v>0</v>
      </c>
    </row>
    <row r="760" customFormat="false" ht="15" hidden="false" customHeight="false" outlineLevel="0" collapsed="false">
      <c r="A760" s="0" t="str">
        <f aca="false">IF(Frota!$A19="","",Frota!$A19)</f>
        <v/>
      </c>
      <c r="B760" s="0" t="str">
        <f aca="false">IF(Frota!$A19="","",Frota!$B19)</f>
        <v/>
      </c>
      <c r="C760" s="0" t="n">
        <v>29</v>
      </c>
      <c r="D760" s="0" t="n">
        <f aca="false">INDEX(Semanas!$E$3:$E$54,29)</f>
        <v>10</v>
      </c>
      <c r="E760" s="0" t="str">
        <f aca="false">IF(Frota!$A19="","",Cronograma!AD19)</f>
        <v/>
      </c>
      <c r="F760" s="0" t="n">
        <f aca="false">IF(OR($E760="",$E760=0),0,1)</f>
        <v>0</v>
      </c>
      <c r="G760" s="0" t="n">
        <f aca="false">IF($F760=0,0,INDEX(Aux_HH!$D$4:$D$18,MATCH($B760&amp;"|"&amp;$E760,Aux_HH!$A$4:$A$18,0)))</f>
        <v>0</v>
      </c>
      <c r="H760" s="0" t="n">
        <f aca="false">IF($F760=0,0,INDEX(Aux_HH!$E$4:$E$18,MATCH($B760&amp;"|"&amp;$E760,Aux_HH!$A$4:$A$18,0)))</f>
        <v>0</v>
      </c>
      <c r="I760" s="0" t="n">
        <f aca="false">IF($F760=0,0,INDEX(Aux_HH!$F$4:$F$18,MATCH($B760&amp;"|"&amp;$E760,Aux_HH!$A$4:$A$18,0)))</f>
        <v>0</v>
      </c>
      <c r="J760" s="0" t="n">
        <f aca="false">IF($F760=0,0,INDEX(Aux_HH!$G$4:$G$18,MATCH($B760&amp;"|"&amp;$E760,Aux_HH!$A$4:$A$18,0)))</f>
        <v>0</v>
      </c>
      <c r="K760" s="0" t="n">
        <f aca="false">IF($F760=0,0,INDEX(Aux_HH!$H$4:$H$18,MATCH($B760&amp;"|"&amp;$E760,Aux_HH!$A$4:$A$18,0)))</f>
        <v>0</v>
      </c>
      <c r="L760" s="0" t="n">
        <f aca="false">IF($F760=0,0,INDEX(Aux_HH!$I$4:$I$18,MATCH($B760&amp;"|"&amp;$E760,Aux_HH!$A$4:$A$18,0)))</f>
        <v>0</v>
      </c>
    </row>
    <row r="761" customFormat="false" ht="15" hidden="false" customHeight="false" outlineLevel="0" collapsed="false">
      <c r="A761" s="0" t="str">
        <f aca="false">IF(Frota!$A19="","",Frota!$A19)</f>
        <v/>
      </c>
      <c r="B761" s="0" t="str">
        <f aca="false">IF(Frota!$A19="","",Frota!$B19)</f>
        <v/>
      </c>
      <c r="C761" s="0" t="n">
        <v>30</v>
      </c>
      <c r="D761" s="0" t="n">
        <f aca="false">INDEX(Semanas!$E$3:$E$54,30)</f>
        <v>10</v>
      </c>
      <c r="E761" s="0" t="str">
        <f aca="false">IF(Frota!$A19="","",Cronograma!AE19)</f>
        <v/>
      </c>
      <c r="F761" s="0" t="n">
        <f aca="false">IF(OR($E761="",$E761=0),0,1)</f>
        <v>0</v>
      </c>
      <c r="G761" s="0" t="n">
        <f aca="false">IF($F761=0,0,INDEX(Aux_HH!$D$4:$D$18,MATCH($B761&amp;"|"&amp;$E761,Aux_HH!$A$4:$A$18,0)))</f>
        <v>0</v>
      </c>
      <c r="H761" s="0" t="n">
        <f aca="false">IF($F761=0,0,INDEX(Aux_HH!$E$4:$E$18,MATCH($B761&amp;"|"&amp;$E761,Aux_HH!$A$4:$A$18,0)))</f>
        <v>0</v>
      </c>
      <c r="I761" s="0" t="n">
        <f aca="false">IF($F761=0,0,INDEX(Aux_HH!$F$4:$F$18,MATCH($B761&amp;"|"&amp;$E761,Aux_HH!$A$4:$A$18,0)))</f>
        <v>0</v>
      </c>
      <c r="J761" s="0" t="n">
        <f aca="false">IF($F761=0,0,INDEX(Aux_HH!$G$4:$G$18,MATCH($B761&amp;"|"&amp;$E761,Aux_HH!$A$4:$A$18,0)))</f>
        <v>0</v>
      </c>
      <c r="K761" s="0" t="n">
        <f aca="false">IF($F761=0,0,INDEX(Aux_HH!$H$4:$H$18,MATCH($B761&amp;"|"&amp;$E761,Aux_HH!$A$4:$A$18,0)))</f>
        <v>0</v>
      </c>
      <c r="L761" s="0" t="n">
        <f aca="false">IF($F761=0,0,INDEX(Aux_HH!$I$4:$I$18,MATCH($B761&amp;"|"&amp;$E761,Aux_HH!$A$4:$A$18,0)))</f>
        <v>0</v>
      </c>
    </row>
    <row r="762" customFormat="false" ht="15" hidden="false" customHeight="false" outlineLevel="0" collapsed="false">
      <c r="A762" s="0" t="str">
        <f aca="false">IF(Frota!$A19="","",Frota!$A19)</f>
        <v/>
      </c>
      <c r="B762" s="0" t="str">
        <f aca="false">IF(Frota!$A19="","",Frota!$B19)</f>
        <v/>
      </c>
      <c r="C762" s="0" t="n">
        <v>31</v>
      </c>
      <c r="D762" s="0" t="n">
        <f aca="false">INDEX(Semanas!$E$3:$E$54,31)</f>
        <v>10</v>
      </c>
      <c r="E762" s="0" t="str">
        <f aca="false">IF(Frota!$A19="","",Cronograma!AF19)</f>
        <v/>
      </c>
      <c r="F762" s="0" t="n">
        <f aca="false">IF(OR($E762="",$E762=0),0,1)</f>
        <v>0</v>
      </c>
      <c r="G762" s="0" t="n">
        <f aca="false">IF($F762=0,0,INDEX(Aux_HH!$D$4:$D$18,MATCH($B762&amp;"|"&amp;$E762,Aux_HH!$A$4:$A$18,0)))</f>
        <v>0</v>
      </c>
      <c r="H762" s="0" t="n">
        <f aca="false">IF($F762=0,0,INDEX(Aux_HH!$E$4:$E$18,MATCH($B762&amp;"|"&amp;$E762,Aux_HH!$A$4:$A$18,0)))</f>
        <v>0</v>
      </c>
      <c r="I762" s="0" t="n">
        <f aca="false">IF($F762=0,0,INDEX(Aux_HH!$F$4:$F$18,MATCH($B762&amp;"|"&amp;$E762,Aux_HH!$A$4:$A$18,0)))</f>
        <v>0</v>
      </c>
      <c r="J762" s="0" t="n">
        <f aca="false">IF($F762=0,0,INDEX(Aux_HH!$G$4:$G$18,MATCH($B762&amp;"|"&amp;$E762,Aux_HH!$A$4:$A$18,0)))</f>
        <v>0</v>
      </c>
      <c r="K762" s="0" t="n">
        <f aca="false">IF($F762=0,0,INDEX(Aux_HH!$H$4:$H$18,MATCH($B762&amp;"|"&amp;$E762,Aux_HH!$A$4:$A$18,0)))</f>
        <v>0</v>
      </c>
      <c r="L762" s="0" t="n">
        <f aca="false">IF($F762=0,0,INDEX(Aux_HH!$I$4:$I$18,MATCH($B762&amp;"|"&amp;$E762,Aux_HH!$A$4:$A$18,0)))</f>
        <v>0</v>
      </c>
    </row>
    <row r="763" customFormat="false" ht="15" hidden="false" customHeight="false" outlineLevel="0" collapsed="false">
      <c r="A763" s="0" t="str">
        <f aca="false">IF(Frota!$A19="","",Frota!$A19)</f>
        <v/>
      </c>
      <c r="B763" s="0" t="str">
        <f aca="false">IF(Frota!$A19="","",Frota!$B19)</f>
        <v/>
      </c>
      <c r="C763" s="0" t="n">
        <v>32</v>
      </c>
      <c r="D763" s="0" t="n">
        <f aca="false">INDEX(Semanas!$E$3:$E$54,32)</f>
        <v>11</v>
      </c>
      <c r="E763" s="0" t="str">
        <f aca="false">IF(Frota!$A19="","",Cronograma!AG19)</f>
        <v/>
      </c>
      <c r="F763" s="0" t="n">
        <f aca="false">IF(OR($E763="",$E763=0),0,1)</f>
        <v>0</v>
      </c>
      <c r="G763" s="0" t="n">
        <f aca="false">IF($F763=0,0,INDEX(Aux_HH!$D$4:$D$18,MATCH($B763&amp;"|"&amp;$E763,Aux_HH!$A$4:$A$18,0)))</f>
        <v>0</v>
      </c>
      <c r="H763" s="0" t="n">
        <f aca="false">IF($F763=0,0,INDEX(Aux_HH!$E$4:$E$18,MATCH($B763&amp;"|"&amp;$E763,Aux_HH!$A$4:$A$18,0)))</f>
        <v>0</v>
      </c>
      <c r="I763" s="0" t="n">
        <f aca="false">IF($F763=0,0,INDEX(Aux_HH!$F$4:$F$18,MATCH($B763&amp;"|"&amp;$E763,Aux_HH!$A$4:$A$18,0)))</f>
        <v>0</v>
      </c>
      <c r="J763" s="0" t="n">
        <f aca="false">IF($F763=0,0,INDEX(Aux_HH!$G$4:$G$18,MATCH($B763&amp;"|"&amp;$E763,Aux_HH!$A$4:$A$18,0)))</f>
        <v>0</v>
      </c>
      <c r="K763" s="0" t="n">
        <f aca="false">IF($F763=0,0,INDEX(Aux_HH!$H$4:$H$18,MATCH($B763&amp;"|"&amp;$E763,Aux_HH!$A$4:$A$18,0)))</f>
        <v>0</v>
      </c>
      <c r="L763" s="0" t="n">
        <f aca="false">IF($F763=0,0,INDEX(Aux_HH!$I$4:$I$18,MATCH($B763&amp;"|"&amp;$E763,Aux_HH!$A$4:$A$18,0)))</f>
        <v>0</v>
      </c>
    </row>
    <row r="764" customFormat="false" ht="15" hidden="false" customHeight="false" outlineLevel="0" collapsed="false">
      <c r="A764" s="0" t="str">
        <f aca="false">IF(Frota!$A19="","",Frota!$A19)</f>
        <v/>
      </c>
      <c r="B764" s="0" t="str">
        <f aca="false">IF(Frota!$A19="","",Frota!$B19)</f>
        <v/>
      </c>
      <c r="C764" s="0" t="n">
        <v>33</v>
      </c>
      <c r="D764" s="0" t="n">
        <f aca="false">INDEX(Semanas!$E$3:$E$54,33)</f>
        <v>11</v>
      </c>
      <c r="E764" s="0" t="str">
        <f aca="false">IF(Frota!$A19="","",Cronograma!AH19)</f>
        <v/>
      </c>
      <c r="F764" s="0" t="n">
        <f aca="false">IF(OR($E764="",$E764=0),0,1)</f>
        <v>0</v>
      </c>
      <c r="G764" s="0" t="n">
        <f aca="false">IF($F764=0,0,INDEX(Aux_HH!$D$4:$D$18,MATCH($B764&amp;"|"&amp;$E764,Aux_HH!$A$4:$A$18,0)))</f>
        <v>0</v>
      </c>
      <c r="H764" s="0" t="n">
        <f aca="false">IF($F764=0,0,INDEX(Aux_HH!$E$4:$E$18,MATCH($B764&amp;"|"&amp;$E764,Aux_HH!$A$4:$A$18,0)))</f>
        <v>0</v>
      </c>
      <c r="I764" s="0" t="n">
        <f aca="false">IF($F764=0,0,INDEX(Aux_HH!$F$4:$F$18,MATCH($B764&amp;"|"&amp;$E764,Aux_HH!$A$4:$A$18,0)))</f>
        <v>0</v>
      </c>
      <c r="J764" s="0" t="n">
        <f aca="false">IF($F764=0,0,INDEX(Aux_HH!$G$4:$G$18,MATCH($B764&amp;"|"&amp;$E764,Aux_HH!$A$4:$A$18,0)))</f>
        <v>0</v>
      </c>
      <c r="K764" s="0" t="n">
        <f aca="false">IF($F764=0,0,INDEX(Aux_HH!$H$4:$H$18,MATCH($B764&amp;"|"&amp;$E764,Aux_HH!$A$4:$A$18,0)))</f>
        <v>0</v>
      </c>
      <c r="L764" s="0" t="n">
        <f aca="false">IF($F764=0,0,INDEX(Aux_HH!$I$4:$I$18,MATCH($B764&amp;"|"&amp;$E764,Aux_HH!$A$4:$A$18,0)))</f>
        <v>0</v>
      </c>
    </row>
    <row r="765" customFormat="false" ht="15" hidden="false" customHeight="false" outlineLevel="0" collapsed="false">
      <c r="A765" s="0" t="str">
        <f aca="false">IF(Frota!$A19="","",Frota!$A19)</f>
        <v/>
      </c>
      <c r="B765" s="0" t="str">
        <f aca="false">IF(Frota!$A19="","",Frota!$B19)</f>
        <v/>
      </c>
      <c r="C765" s="0" t="n">
        <v>34</v>
      </c>
      <c r="D765" s="0" t="n">
        <f aca="false">INDEX(Semanas!$E$3:$E$54,34)</f>
        <v>11</v>
      </c>
      <c r="E765" s="0" t="str">
        <f aca="false">IF(Frota!$A19="","",Cronograma!AI19)</f>
        <v/>
      </c>
      <c r="F765" s="0" t="n">
        <f aca="false">IF(OR($E765="",$E765=0),0,1)</f>
        <v>0</v>
      </c>
      <c r="G765" s="0" t="n">
        <f aca="false">IF($F765=0,0,INDEX(Aux_HH!$D$4:$D$18,MATCH($B765&amp;"|"&amp;$E765,Aux_HH!$A$4:$A$18,0)))</f>
        <v>0</v>
      </c>
      <c r="H765" s="0" t="n">
        <f aca="false">IF($F765=0,0,INDEX(Aux_HH!$E$4:$E$18,MATCH($B765&amp;"|"&amp;$E765,Aux_HH!$A$4:$A$18,0)))</f>
        <v>0</v>
      </c>
      <c r="I765" s="0" t="n">
        <f aca="false">IF($F765=0,0,INDEX(Aux_HH!$F$4:$F$18,MATCH($B765&amp;"|"&amp;$E765,Aux_HH!$A$4:$A$18,0)))</f>
        <v>0</v>
      </c>
      <c r="J765" s="0" t="n">
        <f aca="false">IF($F765=0,0,INDEX(Aux_HH!$G$4:$G$18,MATCH($B765&amp;"|"&amp;$E765,Aux_HH!$A$4:$A$18,0)))</f>
        <v>0</v>
      </c>
      <c r="K765" s="0" t="n">
        <f aca="false">IF($F765=0,0,INDEX(Aux_HH!$H$4:$H$18,MATCH($B765&amp;"|"&amp;$E765,Aux_HH!$A$4:$A$18,0)))</f>
        <v>0</v>
      </c>
      <c r="L765" s="0" t="n">
        <f aca="false">IF($F765=0,0,INDEX(Aux_HH!$I$4:$I$18,MATCH($B765&amp;"|"&amp;$E765,Aux_HH!$A$4:$A$18,0)))</f>
        <v>0</v>
      </c>
    </row>
    <row r="766" customFormat="false" ht="15" hidden="false" customHeight="false" outlineLevel="0" collapsed="false">
      <c r="A766" s="0" t="str">
        <f aca="false">IF(Frota!$A19="","",Frota!$A19)</f>
        <v/>
      </c>
      <c r="B766" s="0" t="str">
        <f aca="false">IF(Frota!$A19="","",Frota!$B19)</f>
        <v/>
      </c>
      <c r="C766" s="0" t="n">
        <v>35</v>
      </c>
      <c r="D766" s="0" t="n">
        <f aca="false">INDEX(Semanas!$E$3:$E$54,35)</f>
        <v>11</v>
      </c>
      <c r="E766" s="0" t="str">
        <f aca="false">IF(Frota!$A19="","",Cronograma!AJ19)</f>
        <v/>
      </c>
      <c r="F766" s="0" t="n">
        <f aca="false">IF(OR($E766="",$E766=0),0,1)</f>
        <v>0</v>
      </c>
      <c r="G766" s="0" t="n">
        <f aca="false">IF($F766=0,0,INDEX(Aux_HH!$D$4:$D$18,MATCH($B766&amp;"|"&amp;$E766,Aux_HH!$A$4:$A$18,0)))</f>
        <v>0</v>
      </c>
      <c r="H766" s="0" t="n">
        <f aca="false">IF($F766=0,0,INDEX(Aux_HH!$E$4:$E$18,MATCH($B766&amp;"|"&amp;$E766,Aux_HH!$A$4:$A$18,0)))</f>
        <v>0</v>
      </c>
      <c r="I766" s="0" t="n">
        <f aca="false">IF($F766=0,0,INDEX(Aux_HH!$F$4:$F$18,MATCH($B766&amp;"|"&amp;$E766,Aux_HH!$A$4:$A$18,0)))</f>
        <v>0</v>
      </c>
      <c r="J766" s="0" t="n">
        <f aca="false">IF($F766=0,0,INDEX(Aux_HH!$G$4:$G$18,MATCH($B766&amp;"|"&amp;$E766,Aux_HH!$A$4:$A$18,0)))</f>
        <v>0</v>
      </c>
      <c r="K766" s="0" t="n">
        <f aca="false">IF($F766=0,0,INDEX(Aux_HH!$H$4:$H$18,MATCH($B766&amp;"|"&amp;$E766,Aux_HH!$A$4:$A$18,0)))</f>
        <v>0</v>
      </c>
      <c r="L766" s="0" t="n">
        <f aca="false">IF($F766=0,0,INDEX(Aux_HH!$I$4:$I$18,MATCH($B766&amp;"|"&amp;$E766,Aux_HH!$A$4:$A$18,0)))</f>
        <v>0</v>
      </c>
    </row>
    <row r="767" customFormat="false" ht="15" hidden="false" customHeight="false" outlineLevel="0" collapsed="false">
      <c r="A767" s="0" t="str">
        <f aca="false">IF(Frota!$A19="","",Frota!$A19)</f>
        <v/>
      </c>
      <c r="B767" s="0" t="str">
        <f aca="false">IF(Frota!$A19="","",Frota!$B19)</f>
        <v/>
      </c>
      <c r="C767" s="0" t="n">
        <v>36</v>
      </c>
      <c r="D767" s="0" t="n">
        <f aca="false">INDEX(Semanas!$E$3:$E$54,36)</f>
        <v>12</v>
      </c>
      <c r="E767" s="0" t="str">
        <f aca="false">IF(Frota!$A19="","",Cronograma!AK19)</f>
        <v/>
      </c>
      <c r="F767" s="0" t="n">
        <f aca="false">IF(OR($E767="",$E767=0),0,1)</f>
        <v>0</v>
      </c>
      <c r="G767" s="0" t="n">
        <f aca="false">IF($F767=0,0,INDEX(Aux_HH!$D$4:$D$18,MATCH($B767&amp;"|"&amp;$E767,Aux_HH!$A$4:$A$18,0)))</f>
        <v>0</v>
      </c>
      <c r="H767" s="0" t="n">
        <f aca="false">IF($F767=0,0,INDEX(Aux_HH!$E$4:$E$18,MATCH($B767&amp;"|"&amp;$E767,Aux_HH!$A$4:$A$18,0)))</f>
        <v>0</v>
      </c>
      <c r="I767" s="0" t="n">
        <f aca="false">IF($F767=0,0,INDEX(Aux_HH!$F$4:$F$18,MATCH($B767&amp;"|"&amp;$E767,Aux_HH!$A$4:$A$18,0)))</f>
        <v>0</v>
      </c>
      <c r="J767" s="0" t="n">
        <f aca="false">IF($F767=0,0,INDEX(Aux_HH!$G$4:$G$18,MATCH($B767&amp;"|"&amp;$E767,Aux_HH!$A$4:$A$18,0)))</f>
        <v>0</v>
      </c>
      <c r="K767" s="0" t="n">
        <f aca="false">IF($F767=0,0,INDEX(Aux_HH!$H$4:$H$18,MATCH($B767&amp;"|"&amp;$E767,Aux_HH!$A$4:$A$18,0)))</f>
        <v>0</v>
      </c>
      <c r="L767" s="0" t="n">
        <f aca="false">IF($F767=0,0,INDEX(Aux_HH!$I$4:$I$18,MATCH($B767&amp;"|"&amp;$E767,Aux_HH!$A$4:$A$18,0)))</f>
        <v>0</v>
      </c>
    </row>
    <row r="768" customFormat="false" ht="15" hidden="false" customHeight="false" outlineLevel="0" collapsed="false">
      <c r="A768" s="0" t="str">
        <f aca="false">IF(Frota!$A19="","",Frota!$A19)</f>
        <v/>
      </c>
      <c r="B768" s="0" t="str">
        <f aca="false">IF(Frota!$A19="","",Frota!$B19)</f>
        <v/>
      </c>
      <c r="C768" s="0" t="n">
        <v>37</v>
      </c>
      <c r="D768" s="0" t="n">
        <f aca="false">INDEX(Semanas!$E$3:$E$54,37)</f>
        <v>12</v>
      </c>
      <c r="E768" s="0" t="str">
        <f aca="false">IF(Frota!$A19="","",Cronograma!AL19)</f>
        <v/>
      </c>
      <c r="F768" s="0" t="n">
        <f aca="false">IF(OR($E768="",$E768=0),0,1)</f>
        <v>0</v>
      </c>
      <c r="G768" s="0" t="n">
        <f aca="false">IF($F768=0,0,INDEX(Aux_HH!$D$4:$D$18,MATCH($B768&amp;"|"&amp;$E768,Aux_HH!$A$4:$A$18,0)))</f>
        <v>0</v>
      </c>
      <c r="H768" s="0" t="n">
        <f aca="false">IF($F768=0,0,INDEX(Aux_HH!$E$4:$E$18,MATCH($B768&amp;"|"&amp;$E768,Aux_HH!$A$4:$A$18,0)))</f>
        <v>0</v>
      </c>
      <c r="I768" s="0" t="n">
        <f aca="false">IF($F768=0,0,INDEX(Aux_HH!$F$4:$F$18,MATCH($B768&amp;"|"&amp;$E768,Aux_HH!$A$4:$A$18,0)))</f>
        <v>0</v>
      </c>
      <c r="J768" s="0" t="n">
        <f aca="false">IF($F768=0,0,INDEX(Aux_HH!$G$4:$G$18,MATCH($B768&amp;"|"&amp;$E768,Aux_HH!$A$4:$A$18,0)))</f>
        <v>0</v>
      </c>
      <c r="K768" s="0" t="n">
        <f aca="false">IF($F768=0,0,INDEX(Aux_HH!$H$4:$H$18,MATCH($B768&amp;"|"&amp;$E768,Aux_HH!$A$4:$A$18,0)))</f>
        <v>0</v>
      </c>
      <c r="L768" s="0" t="n">
        <f aca="false">IF($F768=0,0,INDEX(Aux_HH!$I$4:$I$18,MATCH($B768&amp;"|"&amp;$E768,Aux_HH!$A$4:$A$18,0)))</f>
        <v>0</v>
      </c>
    </row>
    <row r="769" customFormat="false" ht="15" hidden="false" customHeight="false" outlineLevel="0" collapsed="false">
      <c r="A769" s="0" t="str">
        <f aca="false">IF(Frota!$A19="","",Frota!$A19)</f>
        <v/>
      </c>
      <c r="B769" s="0" t="str">
        <f aca="false">IF(Frota!$A19="","",Frota!$B19)</f>
        <v/>
      </c>
      <c r="C769" s="0" t="n">
        <v>38</v>
      </c>
      <c r="D769" s="0" t="n">
        <f aca="false">INDEX(Semanas!$E$3:$E$54,38)</f>
        <v>12</v>
      </c>
      <c r="E769" s="0" t="str">
        <f aca="false">IF(Frota!$A19="","",Cronograma!AM19)</f>
        <v/>
      </c>
      <c r="F769" s="0" t="n">
        <f aca="false">IF(OR($E769="",$E769=0),0,1)</f>
        <v>0</v>
      </c>
      <c r="G769" s="0" t="n">
        <f aca="false">IF($F769=0,0,INDEX(Aux_HH!$D$4:$D$18,MATCH($B769&amp;"|"&amp;$E769,Aux_HH!$A$4:$A$18,0)))</f>
        <v>0</v>
      </c>
      <c r="H769" s="0" t="n">
        <f aca="false">IF($F769=0,0,INDEX(Aux_HH!$E$4:$E$18,MATCH($B769&amp;"|"&amp;$E769,Aux_HH!$A$4:$A$18,0)))</f>
        <v>0</v>
      </c>
      <c r="I769" s="0" t="n">
        <f aca="false">IF($F769=0,0,INDEX(Aux_HH!$F$4:$F$18,MATCH($B769&amp;"|"&amp;$E769,Aux_HH!$A$4:$A$18,0)))</f>
        <v>0</v>
      </c>
      <c r="J769" s="0" t="n">
        <f aca="false">IF($F769=0,0,INDEX(Aux_HH!$G$4:$G$18,MATCH($B769&amp;"|"&amp;$E769,Aux_HH!$A$4:$A$18,0)))</f>
        <v>0</v>
      </c>
      <c r="K769" s="0" t="n">
        <f aca="false">IF($F769=0,0,INDEX(Aux_HH!$H$4:$H$18,MATCH($B769&amp;"|"&amp;$E769,Aux_HH!$A$4:$A$18,0)))</f>
        <v>0</v>
      </c>
      <c r="L769" s="0" t="n">
        <f aca="false">IF($F769=0,0,INDEX(Aux_HH!$I$4:$I$18,MATCH($B769&amp;"|"&amp;$E769,Aux_HH!$A$4:$A$18,0)))</f>
        <v>0</v>
      </c>
    </row>
    <row r="770" customFormat="false" ht="15" hidden="false" customHeight="false" outlineLevel="0" collapsed="false">
      <c r="A770" s="0" t="str">
        <f aca="false">IF(Frota!$A19="","",Frota!$A19)</f>
        <v/>
      </c>
      <c r="B770" s="0" t="str">
        <f aca="false">IF(Frota!$A19="","",Frota!$B19)</f>
        <v/>
      </c>
      <c r="C770" s="0" t="n">
        <v>39</v>
      </c>
      <c r="D770" s="0" t="n">
        <f aca="false">INDEX(Semanas!$E$3:$E$54,39)</f>
        <v>12</v>
      </c>
      <c r="E770" s="0" t="str">
        <f aca="false">IF(Frota!$A19="","",Cronograma!AN19)</f>
        <v/>
      </c>
      <c r="F770" s="0" t="n">
        <f aca="false">IF(OR($E770="",$E770=0),0,1)</f>
        <v>0</v>
      </c>
      <c r="G770" s="0" t="n">
        <f aca="false">IF($F770=0,0,INDEX(Aux_HH!$D$4:$D$18,MATCH($B770&amp;"|"&amp;$E770,Aux_HH!$A$4:$A$18,0)))</f>
        <v>0</v>
      </c>
      <c r="H770" s="0" t="n">
        <f aca="false">IF($F770=0,0,INDEX(Aux_HH!$E$4:$E$18,MATCH($B770&amp;"|"&amp;$E770,Aux_HH!$A$4:$A$18,0)))</f>
        <v>0</v>
      </c>
      <c r="I770" s="0" t="n">
        <f aca="false">IF($F770=0,0,INDEX(Aux_HH!$F$4:$F$18,MATCH($B770&amp;"|"&amp;$E770,Aux_HH!$A$4:$A$18,0)))</f>
        <v>0</v>
      </c>
      <c r="J770" s="0" t="n">
        <f aca="false">IF($F770=0,0,INDEX(Aux_HH!$G$4:$G$18,MATCH($B770&amp;"|"&amp;$E770,Aux_HH!$A$4:$A$18,0)))</f>
        <v>0</v>
      </c>
      <c r="K770" s="0" t="n">
        <f aca="false">IF($F770=0,0,INDEX(Aux_HH!$H$4:$H$18,MATCH($B770&amp;"|"&amp;$E770,Aux_HH!$A$4:$A$18,0)))</f>
        <v>0</v>
      </c>
      <c r="L770" s="0" t="n">
        <f aca="false">IF($F770=0,0,INDEX(Aux_HH!$I$4:$I$18,MATCH($B770&amp;"|"&amp;$E770,Aux_HH!$A$4:$A$18,0)))</f>
        <v>0</v>
      </c>
    </row>
    <row r="771" customFormat="false" ht="15" hidden="false" customHeight="false" outlineLevel="0" collapsed="false">
      <c r="A771" s="0" t="str">
        <f aca="false">IF(Frota!$A19="","",Frota!$A19)</f>
        <v/>
      </c>
      <c r="B771" s="0" t="str">
        <f aca="false">IF(Frota!$A19="","",Frota!$B19)</f>
        <v/>
      </c>
      <c r="C771" s="0" t="n">
        <v>40</v>
      </c>
      <c r="D771" s="0" t="n">
        <f aca="false">INDEX(Semanas!$E$3:$E$54,40)</f>
        <v>12</v>
      </c>
      <c r="E771" s="0" t="str">
        <f aca="false">IF(Frota!$A19="","",Cronograma!AO19)</f>
        <v/>
      </c>
      <c r="F771" s="0" t="n">
        <f aca="false">IF(OR($E771="",$E771=0),0,1)</f>
        <v>0</v>
      </c>
      <c r="G771" s="0" t="n">
        <f aca="false">IF($F771=0,0,INDEX(Aux_HH!$D$4:$D$18,MATCH($B771&amp;"|"&amp;$E771,Aux_HH!$A$4:$A$18,0)))</f>
        <v>0</v>
      </c>
      <c r="H771" s="0" t="n">
        <f aca="false">IF($F771=0,0,INDEX(Aux_HH!$E$4:$E$18,MATCH($B771&amp;"|"&amp;$E771,Aux_HH!$A$4:$A$18,0)))</f>
        <v>0</v>
      </c>
      <c r="I771" s="0" t="n">
        <f aca="false">IF($F771=0,0,INDEX(Aux_HH!$F$4:$F$18,MATCH($B771&amp;"|"&amp;$E771,Aux_HH!$A$4:$A$18,0)))</f>
        <v>0</v>
      </c>
      <c r="J771" s="0" t="n">
        <f aca="false">IF($F771=0,0,INDEX(Aux_HH!$G$4:$G$18,MATCH($B771&amp;"|"&amp;$E771,Aux_HH!$A$4:$A$18,0)))</f>
        <v>0</v>
      </c>
      <c r="K771" s="0" t="n">
        <f aca="false">IF($F771=0,0,INDEX(Aux_HH!$H$4:$H$18,MATCH($B771&amp;"|"&amp;$E771,Aux_HH!$A$4:$A$18,0)))</f>
        <v>0</v>
      </c>
      <c r="L771" s="0" t="n">
        <f aca="false">IF($F771=0,0,INDEX(Aux_HH!$I$4:$I$18,MATCH($B771&amp;"|"&amp;$E771,Aux_HH!$A$4:$A$18,0)))</f>
        <v>0</v>
      </c>
    </row>
    <row r="772" customFormat="false" ht="15" hidden="false" customHeight="false" outlineLevel="0" collapsed="false">
      <c r="A772" s="0" t="str">
        <f aca="false">IF(Frota!$A19="","",Frota!$A19)</f>
        <v/>
      </c>
      <c r="B772" s="0" t="str">
        <f aca="false">IF(Frota!$A19="","",Frota!$B19)</f>
        <v/>
      </c>
      <c r="C772" s="0" t="n">
        <v>41</v>
      </c>
      <c r="D772" s="0" t="n">
        <f aca="false">INDEX(Semanas!$E$3:$E$54,41)</f>
        <v>1</v>
      </c>
      <c r="E772" s="0" t="str">
        <f aca="false">IF(Frota!$A19="","",Cronograma!AP19)</f>
        <v/>
      </c>
      <c r="F772" s="0" t="n">
        <f aca="false">IF(OR($E772="",$E772=0),0,1)</f>
        <v>0</v>
      </c>
      <c r="G772" s="0" t="n">
        <f aca="false">IF($F772=0,0,INDEX(Aux_HH!$D$4:$D$18,MATCH($B772&amp;"|"&amp;$E772,Aux_HH!$A$4:$A$18,0)))</f>
        <v>0</v>
      </c>
      <c r="H772" s="0" t="n">
        <f aca="false">IF($F772=0,0,INDEX(Aux_HH!$E$4:$E$18,MATCH($B772&amp;"|"&amp;$E772,Aux_HH!$A$4:$A$18,0)))</f>
        <v>0</v>
      </c>
      <c r="I772" s="0" t="n">
        <f aca="false">IF($F772=0,0,INDEX(Aux_HH!$F$4:$F$18,MATCH($B772&amp;"|"&amp;$E772,Aux_HH!$A$4:$A$18,0)))</f>
        <v>0</v>
      </c>
      <c r="J772" s="0" t="n">
        <f aca="false">IF($F772=0,0,INDEX(Aux_HH!$G$4:$G$18,MATCH($B772&amp;"|"&amp;$E772,Aux_HH!$A$4:$A$18,0)))</f>
        <v>0</v>
      </c>
      <c r="K772" s="0" t="n">
        <f aca="false">IF($F772=0,0,INDEX(Aux_HH!$H$4:$H$18,MATCH($B772&amp;"|"&amp;$E772,Aux_HH!$A$4:$A$18,0)))</f>
        <v>0</v>
      </c>
      <c r="L772" s="0" t="n">
        <f aca="false">IF($F772=0,0,INDEX(Aux_HH!$I$4:$I$18,MATCH($B772&amp;"|"&amp;$E772,Aux_HH!$A$4:$A$18,0)))</f>
        <v>0</v>
      </c>
    </row>
    <row r="773" customFormat="false" ht="15" hidden="false" customHeight="false" outlineLevel="0" collapsed="false">
      <c r="A773" s="0" t="str">
        <f aca="false">IF(Frota!$A19="","",Frota!$A19)</f>
        <v/>
      </c>
      <c r="B773" s="0" t="str">
        <f aca="false">IF(Frota!$A19="","",Frota!$B19)</f>
        <v/>
      </c>
      <c r="C773" s="0" t="n">
        <v>42</v>
      </c>
      <c r="D773" s="0" t="n">
        <f aca="false">INDEX(Semanas!$E$3:$E$54,42)</f>
        <v>1</v>
      </c>
      <c r="E773" s="0" t="str">
        <f aca="false">IF(Frota!$A19="","",Cronograma!AQ19)</f>
        <v/>
      </c>
      <c r="F773" s="0" t="n">
        <f aca="false">IF(OR($E773="",$E773=0),0,1)</f>
        <v>0</v>
      </c>
      <c r="G773" s="0" t="n">
        <f aca="false">IF($F773=0,0,INDEX(Aux_HH!$D$4:$D$18,MATCH($B773&amp;"|"&amp;$E773,Aux_HH!$A$4:$A$18,0)))</f>
        <v>0</v>
      </c>
      <c r="H773" s="0" t="n">
        <f aca="false">IF($F773=0,0,INDEX(Aux_HH!$E$4:$E$18,MATCH($B773&amp;"|"&amp;$E773,Aux_HH!$A$4:$A$18,0)))</f>
        <v>0</v>
      </c>
      <c r="I773" s="0" t="n">
        <f aca="false">IF($F773=0,0,INDEX(Aux_HH!$F$4:$F$18,MATCH($B773&amp;"|"&amp;$E773,Aux_HH!$A$4:$A$18,0)))</f>
        <v>0</v>
      </c>
      <c r="J773" s="0" t="n">
        <f aca="false">IF($F773=0,0,INDEX(Aux_HH!$G$4:$G$18,MATCH($B773&amp;"|"&amp;$E773,Aux_HH!$A$4:$A$18,0)))</f>
        <v>0</v>
      </c>
      <c r="K773" s="0" t="n">
        <f aca="false">IF($F773=0,0,INDEX(Aux_HH!$H$4:$H$18,MATCH($B773&amp;"|"&amp;$E773,Aux_HH!$A$4:$A$18,0)))</f>
        <v>0</v>
      </c>
      <c r="L773" s="0" t="n">
        <f aca="false">IF($F773=0,0,INDEX(Aux_HH!$I$4:$I$18,MATCH($B773&amp;"|"&amp;$E773,Aux_HH!$A$4:$A$18,0)))</f>
        <v>0</v>
      </c>
    </row>
    <row r="774" customFormat="false" ht="15" hidden="false" customHeight="false" outlineLevel="0" collapsed="false">
      <c r="A774" s="0" t="str">
        <f aca="false">IF(Frota!$A19="","",Frota!$A19)</f>
        <v/>
      </c>
      <c r="B774" s="0" t="str">
        <f aca="false">IF(Frota!$A19="","",Frota!$B19)</f>
        <v/>
      </c>
      <c r="C774" s="0" t="n">
        <v>43</v>
      </c>
      <c r="D774" s="0" t="n">
        <f aca="false">INDEX(Semanas!$E$3:$E$54,43)</f>
        <v>1</v>
      </c>
      <c r="E774" s="0" t="str">
        <f aca="false">IF(Frota!$A19="","",Cronograma!AR19)</f>
        <v/>
      </c>
      <c r="F774" s="0" t="n">
        <f aca="false">IF(OR($E774="",$E774=0),0,1)</f>
        <v>0</v>
      </c>
      <c r="G774" s="0" t="n">
        <f aca="false">IF($F774=0,0,INDEX(Aux_HH!$D$4:$D$18,MATCH($B774&amp;"|"&amp;$E774,Aux_HH!$A$4:$A$18,0)))</f>
        <v>0</v>
      </c>
      <c r="H774" s="0" t="n">
        <f aca="false">IF($F774=0,0,INDEX(Aux_HH!$E$4:$E$18,MATCH($B774&amp;"|"&amp;$E774,Aux_HH!$A$4:$A$18,0)))</f>
        <v>0</v>
      </c>
      <c r="I774" s="0" t="n">
        <f aca="false">IF($F774=0,0,INDEX(Aux_HH!$F$4:$F$18,MATCH($B774&amp;"|"&amp;$E774,Aux_HH!$A$4:$A$18,0)))</f>
        <v>0</v>
      </c>
      <c r="J774" s="0" t="n">
        <f aca="false">IF($F774=0,0,INDEX(Aux_HH!$G$4:$G$18,MATCH($B774&amp;"|"&amp;$E774,Aux_HH!$A$4:$A$18,0)))</f>
        <v>0</v>
      </c>
      <c r="K774" s="0" t="n">
        <f aca="false">IF($F774=0,0,INDEX(Aux_HH!$H$4:$H$18,MATCH($B774&amp;"|"&amp;$E774,Aux_HH!$A$4:$A$18,0)))</f>
        <v>0</v>
      </c>
      <c r="L774" s="0" t="n">
        <f aca="false">IF($F774=0,0,INDEX(Aux_HH!$I$4:$I$18,MATCH($B774&amp;"|"&amp;$E774,Aux_HH!$A$4:$A$18,0)))</f>
        <v>0</v>
      </c>
    </row>
    <row r="775" customFormat="false" ht="15" hidden="false" customHeight="false" outlineLevel="0" collapsed="false">
      <c r="A775" s="0" t="str">
        <f aca="false">IF(Frota!$A19="","",Frota!$A19)</f>
        <v/>
      </c>
      <c r="B775" s="0" t="str">
        <f aca="false">IF(Frota!$A19="","",Frota!$B19)</f>
        <v/>
      </c>
      <c r="C775" s="0" t="n">
        <v>44</v>
      </c>
      <c r="D775" s="0" t="n">
        <f aca="false">INDEX(Semanas!$E$3:$E$54,44)</f>
        <v>1</v>
      </c>
      <c r="E775" s="0" t="str">
        <f aca="false">IF(Frota!$A19="","",Cronograma!AS19)</f>
        <v/>
      </c>
      <c r="F775" s="0" t="n">
        <f aca="false">IF(OR($E775="",$E775=0),0,1)</f>
        <v>0</v>
      </c>
      <c r="G775" s="0" t="n">
        <f aca="false">IF($F775=0,0,INDEX(Aux_HH!$D$4:$D$18,MATCH($B775&amp;"|"&amp;$E775,Aux_HH!$A$4:$A$18,0)))</f>
        <v>0</v>
      </c>
      <c r="H775" s="0" t="n">
        <f aca="false">IF($F775=0,0,INDEX(Aux_HH!$E$4:$E$18,MATCH($B775&amp;"|"&amp;$E775,Aux_HH!$A$4:$A$18,0)))</f>
        <v>0</v>
      </c>
      <c r="I775" s="0" t="n">
        <f aca="false">IF($F775=0,0,INDEX(Aux_HH!$F$4:$F$18,MATCH($B775&amp;"|"&amp;$E775,Aux_HH!$A$4:$A$18,0)))</f>
        <v>0</v>
      </c>
      <c r="J775" s="0" t="n">
        <f aca="false">IF($F775=0,0,INDEX(Aux_HH!$G$4:$G$18,MATCH($B775&amp;"|"&amp;$E775,Aux_HH!$A$4:$A$18,0)))</f>
        <v>0</v>
      </c>
      <c r="K775" s="0" t="n">
        <f aca="false">IF($F775=0,0,INDEX(Aux_HH!$H$4:$H$18,MATCH($B775&amp;"|"&amp;$E775,Aux_HH!$A$4:$A$18,0)))</f>
        <v>0</v>
      </c>
      <c r="L775" s="0" t="n">
        <f aca="false">IF($F775=0,0,INDEX(Aux_HH!$I$4:$I$18,MATCH($B775&amp;"|"&amp;$E775,Aux_HH!$A$4:$A$18,0)))</f>
        <v>0</v>
      </c>
    </row>
    <row r="776" customFormat="false" ht="15" hidden="false" customHeight="false" outlineLevel="0" collapsed="false">
      <c r="A776" s="0" t="str">
        <f aca="false">IF(Frota!$A19="","",Frota!$A19)</f>
        <v/>
      </c>
      <c r="B776" s="0" t="str">
        <f aca="false">IF(Frota!$A19="","",Frota!$B19)</f>
        <v/>
      </c>
      <c r="C776" s="0" t="n">
        <v>45</v>
      </c>
      <c r="D776" s="0" t="n">
        <f aca="false">INDEX(Semanas!$E$3:$E$54,45)</f>
        <v>2</v>
      </c>
      <c r="E776" s="0" t="str">
        <f aca="false">IF(Frota!$A19="","",Cronograma!AT19)</f>
        <v/>
      </c>
      <c r="F776" s="0" t="n">
        <f aca="false">IF(OR($E776="",$E776=0),0,1)</f>
        <v>0</v>
      </c>
      <c r="G776" s="0" t="n">
        <f aca="false">IF($F776=0,0,INDEX(Aux_HH!$D$4:$D$18,MATCH($B776&amp;"|"&amp;$E776,Aux_HH!$A$4:$A$18,0)))</f>
        <v>0</v>
      </c>
      <c r="H776" s="0" t="n">
        <f aca="false">IF($F776=0,0,INDEX(Aux_HH!$E$4:$E$18,MATCH($B776&amp;"|"&amp;$E776,Aux_HH!$A$4:$A$18,0)))</f>
        <v>0</v>
      </c>
      <c r="I776" s="0" t="n">
        <f aca="false">IF($F776=0,0,INDEX(Aux_HH!$F$4:$F$18,MATCH($B776&amp;"|"&amp;$E776,Aux_HH!$A$4:$A$18,0)))</f>
        <v>0</v>
      </c>
      <c r="J776" s="0" t="n">
        <f aca="false">IF($F776=0,0,INDEX(Aux_HH!$G$4:$G$18,MATCH($B776&amp;"|"&amp;$E776,Aux_HH!$A$4:$A$18,0)))</f>
        <v>0</v>
      </c>
      <c r="K776" s="0" t="n">
        <f aca="false">IF($F776=0,0,INDEX(Aux_HH!$H$4:$H$18,MATCH($B776&amp;"|"&amp;$E776,Aux_HH!$A$4:$A$18,0)))</f>
        <v>0</v>
      </c>
      <c r="L776" s="0" t="n">
        <f aca="false">IF($F776=0,0,INDEX(Aux_HH!$I$4:$I$18,MATCH($B776&amp;"|"&amp;$E776,Aux_HH!$A$4:$A$18,0)))</f>
        <v>0</v>
      </c>
    </row>
    <row r="777" customFormat="false" ht="15" hidden="false" customHeight="false" outlineLevel="0" collapsed="false">
      <c r="A777" s="0" t="str">
        <f aca="false">IF(Frota!$A19="","",Frota!$A19)</f>
        <v/>
      </c>
      <c r="B777" s="0" t="str">
        <f aca="false">IF(Frota!$A19="","",Frota!$B19)</f>
        <v/>
      </c>
      <c r="C777" s="0" t="n">
        <v>46</v>
      </c>
      <c r="D777" s="0" t="n">
        <f aca="false">INDEX(Semanas!$E$3:$E$54,46)</f>
        <v>2</v>
      </c>
      <c r="E777" s="0" t="str">
        <f aca="false">IF(Frota!$A19="","",Cronograma!AU19)</f>
        <v/>
      </c>
      <c r="F777" s="0" t="n">
        <f aca="false">IF(OR($E777="",$E777=0),0,1)</f>
        <v>0</v>
      </c>
      <c r="G777" s="0" t="n">
        <f aca="false">IF($F777=0,0,INDEX(Aux_HH!$D$4:$D$18,MATCH($B777&amp;"|"&amp;$E777,Aux_HH!$A$4:$A$18,0)))</f>
        <v>0</v>
      </c>
      <c r="H777" s="0" t="n">
        <f aca="false">IF($F777=0,0,INDEX(Aux_HH!$E$4:$E$18,MATCH($B777&amp;"|"&amp;$E777,Aux_HH!$A$4:$A$18,0)))</f>
        <v>0</v>
      </c>
      <c r="I777" s="0" t="n">
        <f aca="false">IF($F777=0,0,INDEX(Aux_HH!$F$4:$F$18,MATCH($B777&amp;"|"&amp;$E777,Aux_HH!$A$4:$A$18,0)))</f>
        <v>0</v>
      </c>
      <c r="J777" s="0" t="n">
        <f aca="false">IF($F777=0,0,INDEX(Aux_HH!$G$4:$G$18,MATCH($B777&amp;"|"&amp;$E777,Aux_HH!$A$4:$A$18,0)))</f>
        <v>0</v>
      </c>
      <c r="K777" s="0" t="n">
        <f aca="false">IF($F777=0,0,INDEX(Aux_HH!$H$4:$H$18,MATCH($B777&amp;"|"&amp;$E777,Aux_HH!$A$4:$A$18,0)))</f>
        <v>0</v>
      </c>
      <c r="L777" s="0" t="n">
        <f aca="false">IF($F777=0,0,INDEX(Aux_HH!$I$4:$I$18,MATCH($B777&amp;"|"&amp;$E777,Aux_HH!$A$4:$A$18,0)))</f>
        <v>0</v>
      </c>
    </row>
    <row r="778" customFormat="false" ht="15" hidden="false" customHeight="false" outlineLevel="0" collapsed="false">
      <c r="A778" s="0" t="str">
        <f aca="false">IF(Frota!$A19="","",Frota!$A19)</f>
        <v/>
      </c>
      <c r="B778" s="0" t="str">
        <f aca="false">IF(Frota!$A19="","",Frota!$B19)</f>
        <v/>
      </c>
      <c r="C778" s="0" t="n">
        <v>47</v>
      </c>
      <c r="D778" s="0" t="n">
        <f aca="false">INDEX(Semanas!$E$3:$E$54,47)</f>
        <v>2</v>
      </c>
      <c r="E778" s="0" t="str">
        <f aca="false">IF(Frota!$A19="","",Cronograma!AV19)</f>
        <v/>
      </c>
      <c r="F778" s="0" t="n">
        <f aca="false">IF(OR($E778="",$E778=0),0,1)</f>
        <v>0</v>
      </c>
      <c r="G778" s="0" t="n">
        <f aca="false">IF($F778=0,0,INDEX(Aux_HH!$D$4:$D$18,MATCH($B778&amp;"|"&amp;$E778,Aux_HH!$A$4:$A$18,0)))</f>
        <v>0</v>
      </c>
      <c r="H778" s="0" t="n">
        <f aca="false">IF($F778=0,0,INDEX(Aux_HH!$E$4:$E$18,MATCH($B778&amp;"|"&amp;$E778,Aux_HH!$A$4:$A$18,0)))</f>
        <v>0</v>
      </c>
      <c r="I778" s="0" t="n">
        <f aca="false">IF($F778=0,0,INDEX(Aux_HH!$F$4:$F$18,MATCH($B778&amp;"|"&amp;$E778,Aux_HH!$A$4:$A$18,0)))</f>
        <v>0</v>
      </c>
      <c r="J778" s="0" t="n">
        <f aca="false">IF($F778=0,0,INDEX(Aux_HH!$G$4:$G$18,MATCH($B778&amp;"|"&amp;$E778,Aux_HH!$A$4:$A$18,0)))</f>
        <v>0</v>
      </c>
      <c r="K778" s="0" t="n">
        <f aca="false">IF($F778=0,0,INDEX(Aux_HH!$H$4:$H$18,MATCH($B778&amp;"|"&amp;$E778,Aux_HH!$A$4:$A$18,0)))</f>
        <v>0</v>
      </c>
      <c r="L778" s="0" t="n">
        <f aca="false">IF($F778=0,0,INDEX(Aux_HH!$I$4:$I$18,MATCH($B778&amp;"|"&amp;$E778,Aux_HH!$A$4:$A$18,0)))</f>
        <v>0</v>
      </c>
    </row>
    <row r="779" customFormat="false" ht="15" hidden="false" customHeight="false" outlineLevel="0" collapsed="false">
      <c r="A779" s="0" t="str">
        <f aca="false">IF(Frota!$A19="","",Frota!$A19)</f>
        <v/>
      </c>
      <c r="B779" s="0" t="str">
        <f aca="false">IF(Frota!$A19="","",Frota!$B19)</f>
        <v/>
      </c>
      <c r="C779" s="0" t="n">
        <v>48</v>
      </c>
      <c r="D779" s="0" t="n">
        <f aca="false">INDEX(Semanas!$E$3:$E$54,48)</f>
        <v>2</v>
      </c>
      <c r="E779" s="0" t="str">
        <f aca="false">IF(Frota!$A19="","",Cronograma!AW19)</f>
        <v/>
      </c>
      <c r="F779" s="0" t="n">
        <f aca="false">IF(OR($E779="",$E779=0),0,1)</f>
        <v>0</v>
      </c>
      <c r="G779" s="0" t="n">
        <f aca="false">IF($F779=0,0,INDEX(Aux_HH!$D$4:$D$18,MATCH($B779&amp;"|"&amp;$E779,Aux_HH!$A$4:$A$18,0)))</f>
        <v>0</v>
      </c>
      <c r="H779" s="0" t="n">
        <f aca="false">IF($F779=0,0,INDEX(Aux_HH!$E$4:$E$18,MATCH($B779&amp;"|"&amp;$E779,Aux_HH!$A$4:$A$18,0)))</f>
        <v>0</v>
      </c>
      <c r="I779" s="0" t="n">
        <f aca="false">IF($F779=0,0,INDEX(Aux_HH!$F$4:$F$18,MATCH($B779&amp;"|"&amp;$E779,Aux_HH!$A$4:$A$18,0)))</f>
        <v>0</v>
      </c>
      <c r="J779" s="0" t="n">
        <f aca="false">IF($F779=0,0,INDEX(Aux_HH!$G$4:$G$18,MATCH($B779&amp;"|"&amp;$E779,Aux_HH!$A$4:$A$18,0)))</f>
        <v>0</v>
      </c>
      <c r="K779" s="0" t="n">
        <f aca="false">IF($F779=0,0,INDEX(Aux_HH!$H$4:$H$18,MATCH($B779&amp;"|"&amp;$E779,Aux_HH!$A$4:$A$18,0)))</f>
        <v>0</v>
      </c>
      <c r="L779" s="0" t="n">
        <f aca="false">IF($F779=0,0,INDEX(Aux_HH!$I$4:$I$18,MATCH($B779&amp;"|"&amp;$E779,Aux_HH!$A$4:$A$18,0)))</f>
        <v>0</v>
      </c>
    </row>
    <row r="780" customFormat="false" ht="15" hidden="false" customHeight="false" outlineLevel="0" collapsed="false">
      <c r="A780" s="0" t="str">
        <f aca="false">IF(Frota!$A19="","",Frota!$A19)</f>
        <v/>
      </c>
      <c r="B780" s="0" t="str">
        <f aca="false">IF(Frota!$A19="","",Frota!$B19)</f>
        <v/>
      </c>
      <c r="C780" s="0" t="n">
        <v>49</v>
      </c>
      <c r="D780" s="0" t="n">
        <f aca="false">INDEX(Semanas!$E$3:$E$54,49)</f>
        <v>3</v>
      </c>
      <c r="E780" s="0" t="str">
        <f aca="false">IF(Frota!$A19="","",Cronograma!AX19)</f>
        <v/>
      </c>
      <c r="F780" s="0" t="n">
        <f aca="false">IF(OR($E780="",$E780=0),0,1)</f>
        <v>0</v>
      </c>
      <c r="G780" s="0" t="n">
        <f aca="false">IF($F780=0,0,INDEX(Aux_HH!$D$4:$D$18,MATCH($B780&amp;"|"&amp;$E780,Aux_HH!$A$4:$A$18,0)))</f>
        <v>0</v>
      </c>
      <c r="H780" s="0" t="n">
        <f aca="false">IF($F780=0,0,INDEX(Aux_HH!$E$4:$E$18,MATCH($B780&amp;"|"&amp;$E780,Aux_HH!$A$4:$A$18,0)))</f>
        <v>0</v>
      </c>
      <c r="I780" s="0" t="n">
        <f aca="false">IF($F780=0,0,INDEX(Aux_HH!$F$4:$F$18,MATCH($B780&amp;"|"&amp;$E780,Aux_HH!$A$4:$A$18,0)))</f>
        <v>0</v>
      </c>
      <c r="J780" s="0" t="n">
        <f aca="false">IF($F780=0,0,INDEX(Aux_HH!$G$4:$G$18,MATCH($B780&amp;"|"&amp;$E780,Aux_HH!$A$4:$A$18,0)))</f>
        <v>0</v>
      </c>
      <c r="K780" s="0" t="n">
        <f aca="false">IF($F780=0,0,INDEX(Aux_HH!$H$4:$H$18,MATCH($B780&amp;"|"&amp;$E780,Aux_HH!$A$4:$A$18,0)))</f>
        <v>0</v>
      </c>
      <c r="L780" s="0" t="n">
        <f aca="false">IF($F780=0,0,INDEX(Aux_HH!$I$4:$I$18,MATCH($B780&amp;"|"&amp;$E780,Aux_HH!$A$4:$A$18,0)))</f>
        <v>0</v>
      </c>
    </row>
    <row r="781" customFormat="false" ht="15" hidden="false" customHeight="false" outlineLevel="0" collapsed="false">
      <c r="A781" s="0" t="str">
        <f aca="false">IF(Frota!$A19="","",Frota!$A19)</f>
        <v/>
      </c>
      <c r="B781" s="0" t="str">
        <f aca="false">IF(Frota!$A19="","",Frota!$B19)</f>
        <v/>
      </c>
      <c r="C781" s="0" t="n">
        <v>50</v>
      </c>
      <c r="D781" s="0" t="n">
        <f aca="false">INDEX(Semanas!$E$3:$E$54,50)</f>
        <v>3</v>
      </c>
      <c r="E781" s="0" t="str">
        <f aca="false">IF(Frota!$A19="","",Cronograma!AY19)</f>
        <v/>
      </c>
      <c r="F781" s="0" t="n">
        <f aca="false">IF(OR($E781="",$E781=0),0,1)</f>
        <v>0</v>
      </c>
      <c r="G781" s="0" t="n">
        <f aca="false">IF($F781=0,0,INDEX(Aux_HH!$D$4:$D$18,MATCH($B781&amp;"|"&amp;$E781,Aux_HH!$A$4:$A$18,0)))</f>
        <v>0</v>
      </c>
      <c r="H781" s="0" t="n">
        <f aca="false">IF($F781=0,0,INDEX(Aux_HH!$E$4:$E$18,MATCH($B781&amp;"|"&amp;$E781,Aux_HH!$A$4:$A$18,0)))</f>
        <v>0</v>
      </c>
      <c r="I781" s="0" t="n">
        <f aca="false">IF($F781=0,0,INDEX(Aux_HH!$F$4:$F$18,MATCH($B781&amp;"|"&amp;$E781,Aux_HH!$A$4:$A$18,0)))</f>
        <v>0</v>
      </c>
      <c r="J781" s="0" t="n">
        <f aca="false">IF($F781=0,0,INDEX(Aux_HH!$G$4:$G$18,MATCH($B781&amp;"|"&amp;$E781,Aux_HH!$A$4:$A$18,0)))</f>
        <v>0</v>
      </c>
      <c r="K781" s="0" t="n">
        <f aca="false">IF($F781=0,0,INDEX(Aux_HH!$H$4:$H$18,MATCH($B781&amp;"|"&amp;$E781,Aux_HH!$A$4:$A$18,0)))</f>
        <v>0</v>
      </c>
      <c r="L781" s="0" t="n">
        <f aca="false">IF($F781=0,0,INDEX(Aux_HH!$I$4:$I$18,MATCH($B781&amp;"|"&amp;$E781,Aux_HH!$A$4:$A$18,0)))</f>
        <v>0</v>
      </c>
    </row>
    <row r="782" customFormat="false" ht="15" hidden="false" customHeight="false" outlineLevel="0" collapsed="false">
      <c r="A782" s="0" t="str">
        <f aca="false">IF(Frota!$A19="","",Frota!$A19)</f>
        <v/>
      </c>
      <c r="B782" s="0" t="str">
        <f aca="false">IF(Frota!$A19="","",Frota!$B19)</f>
        <v/>
      </c>
      <c r="C782" s="0" t="n">
        <v>51</v>
      </c>
      <c r="D782" s="0" t="n">
        <f aca="false">INDEX(Semanas!$E$3:$E$54,51)</f>
        <v>3</v>
      </c>
      <c r="E782" s="0" t="str">
        <f aca="false">IF(Frota!$A19="","",Cronograma!AZ19)</f>
        <v/>
      </c>
      <c r="F782" s="0" t="n">
        <f aca="false">IF(OR($E782="",$E782=0),0,1)</f>
        <v>0</v>
      </c>
      <c r="G782" s="0" t="n">
        <f aca="false">IF($F782=0,0,INDEX(Aux_HH!$D$4:$D$18,MATCH($B782&amp;"|"&amp;$E782,Aux_HH!$A$4:$A$18,0)))</f>
        <v>0</v>
      </c>
      <c r="H782" s="0" t="n">
        <f aca="false">IF($F782=0,0,INDEX(Aux_HH!$E$4:$E$18,MATCH($B782&amp;"|"&amp;$E782,Aux_HH!$A$4:$A$18,0)))</f>
        <v>0</v>
      </c>
      <c r="I782" s="0" t="n">
        <f aca="false">IF($F782=0,0,INDEX(Aux_HH!$F$4:$F$18,MATCH($B782&amp;"|"&amp;$E782,Aux_HH!$A$4:$A$18,0)))</f>
        <v>0</v>
      </c>
      <c r="J782" s="0" t="n">
        <f aca="false">IF($F782=0,0,INDEX(Aux_HH!$G$4:$G$18,MATCH($B782&amp;"|"&amp;$E782,Aux_HH!$A$4:$A$18,0)))</f>
        <v>0</v>
      </c>
      <c r="K782" s="0" t="n">
        <f aca="false">IF($F782=0,0,INDEX(Aux_HH!$H$4:$H$18,MATCH($B782&amp;"|"&amp;$E782,Aux_HH!$A$4:$A$18,0)))</f>
        <v>0</v>
      </c>
      <c r="L782" s="0" t="n">
        <f aca="false">IF($F782=0,0,INDEX(Aux_HH!$I$4:$I$18,MATCH($B782&amp;"|"&amp;$E782,Aux_HH!$A$4:$A$18,0)))</f>
        <v>0</v>
      </c>
    </row>
    <row r="783" customFormat="false" ht="15" hidden="false" customHeight="false" outlineLevel="0" collapsed="false">
      <c r="A783" s="0" t="str">
        <f aca="false">IF(Frota!$A19="","",Frota!$A19)</f>
        <v/>
      </c>
      <c r="B783" s="0" t="str">
        <f aca="false">IF(Frota!$A19="","",Frota!$B19)</f>
        <v/>
      </c>
      <c r="C783" s="0" t="n">
        <v>52</v>
      </c>
      <c r="D783" s="0" t="n">
        <f aca="false">INDEX(Semanas!$E$3:$E$54,52)</f>
        <v>3</v>
      </c>
      <c r="E783" s="0" t="str">
        <f aca="false">IF(Frota!$A19="","",Cronograma!BA19)</f>
        <v/>
      </c>
      <c r="F783" s="0" t="n">
        <f aca="false">IF(OR($E783="",$E783=0),0,1)</f>
        <v>0</v>
      </c>
      <c r="G783" s="0" t="n">
        <f aca="false">IF($F783=0,0,INDEX(Aux_HH!$D$4:$D$18,MATCH($B783&amp;"|"&amp;$E783,Aux_HH!$A$4:$A$18,0)))</f>
        <v>0</v>
      </c>
      <c r="H783" s="0" t="n">
        <f aca="false">IF($F783=0,0,INDEX(Aux_HH!$E$4:$E$18,MATCH($B783&amp;"|"&amp;$E783,Aux_HH!$A$4:$A$18,0)))</f>
        <v>0</v>
      </c>
      <c r="I783" s="0" t="n">
        <f aca="false">IF($F783=0,0,INDEX(Aux_HH!$F$4:$F$18,MATCH($B783&amp;"|"&amp;$E783,Aux_HH!$A$4:$A$18,0)))</f>
        <v>0</v>
      </c>
      <c r="J783" s="0" t="n">
        <f aca="false">IF($F783=0,0,INDEX(Aux_HH!$G$4:$G$18,MATCH($B783&amp;"|"&amp;$E783,Aux_HH!$A$4:$A$18,0)))</f>
        <v>0</v>
      </c>
      <c r="K783" s="0" t="n">
        <f aca="false">IF($F783=0,0,INDEX(Aux_HH!$H$4:$H$18,MATCH($B783&amp;"|"&amp;$E783,Aux_HH!$A$4:$A$18,0)))</f>
        <v>0</v>
      </c>
      <c r="L783" s="0" t="n">
        <f aca="false">IF($F783=0,0,INDEX(Aux_HH!$I$4:$I$18,MATCH($B783&amp;"|"&amp;$E783,Aux_HH!$A$4:$A$18,0)))</f>
        <v>0</v>
      </c>
    </row>
    <row r="784" customFormat="false" ht="15" hidden="false" customHeight="false" outlineLevel="0" collapsed="false">
      <c r="A784" s="0" t="str">
        <f aca="false">IF(Frota!$A20="","",Frota!$A20)</f>
        <v/>
      </c>
      <c r="B784" s="0" t="str">
        <f aca="false">IF(Frota!$A20="","",Frota!$B20)</f>
        <v/>
      </c>
      <c r="C784" s="0" t="n">
        <v>1</v>
      </c>
      <c r="D784" s="0" t="n">
        <f aca="false">INDEX(Semanas!$E$3:$E$54,1)</f>
        <v>4</v>
      </c>
      <c r="E784" s="0" t="str">
        <f aca="false">IF(Frota!$A20="","",Cronograma!B20)</f>
        <v/>
      </c>
      <c r="F784" s="0" t="n">
        <f aca="false">IF(OR($E784="",$E784=0),0,1)</f>
        <v>0</v>
      </c>
      <c r="G784" s="0" t="n">
        <f aca="false">IF($F784=0,0,INDEX(Aux_HH!$D$4:$D$18,MATCH($B784&amp;"|"&amp;$E784,Aux_HH!$A$4:$A$18,0)))</f>
        <v>0</v>
      </c>
      <c r="H784" s="0" t="n">
        <f aca="false">IF($F784=0,0,INDEX(Aux_HH!$E$4:$E$18,MATCH($B784&amp;"|"&amp;$E784,Aux_HH!$A$4:$A$18,0)))</f>
        <v>0</v>
      </c>
      <c r="I784" s="0" t="n">
        <f aca="false">IF($F784=0,0,INDEX(Aux_HH!$F$4:$F$18,MATCH($B784&amp;"|"&amp;$E784,Aux_HH!$A$4:$A$18,0)))</f>
        <v>0</v>
      </c>
      <c r="J784" s="0" t="n">
        <f aca="false">IF($F784=0,0,INDEX(Aux_HH!$G$4:$G$18,MATCH($B784&amp;"|"&amp;$E784,Aux_HH!$A$4:$A$18,0)))</f>
        <v>0</v>
      </c>
      <c r="K784" s="0" t="n">
        <f aca="false">IF($F784=0,0,INDEX(Aux_HH!$H$4:$H$18,MATCH($B784&amp;"|"&amp;$E784,Aux_HH!$A$4:$A$18,0)))</f>
        <v>0</v>
      </c>
      <c r="L784" s="0" t="n">
        <f aca="false">IF($F784=0,0,INDEX(Aux_HH!$I$4:$I$18,MATCH($B784&amp;"|"&amp;$E784,Aux_HH!$A$4:$A$18,0)))</f>
        <v>0</v>
      </c>
    </row>
    <row r="785" customFormat="false" ht="15" hidden="false" customHeight="false" outlineLevel="0" collapsed="false">
      <c r="A785" s="0" t="str">
        <f aca="false">IF(Frota!$A20="","",Frota!$A20)</f>
        <v/>
      </c>
      <c r="B785" s="0" t="str">
        <f aca="false">IF(Frota!$A20="","",Frota!$B20)</f>
        <v/>
      </c>
      <c r="C785" s="0" t="n">
        <v>2</v>
      </c>
      <c r="D785" s="0" t="n">
        <f aca="false">INDEX(Semanas!$E$3:$E$54,2)</f>
        <v>4</v>
      </c>
      <c r="E785" s="0" t="str">
        <f aca="false">IF(Frota!$A20="","",Cronograma!C20)</f>
        <v/>
      </c>
      <c r="F785" s="0" t="n">
        <f aca="false">IF(OR($E785="",$E785=0),0,1)</f>
        <v>0</v>
      </c>
      <c r="G785" s="0" t="n">
        <f aca="false">IF($F785=0,0,INDEX(Aux_HH!$D$4:$D$18,MATCH($B785&amp;"|"&amp;$E785,Aux_HH!$A$4:$A$18,0)))</f>
        <v>0</v>
      </c>
      <c r="H785" s="0" t="n">
        <f aca="false">IF($F785=0,0,INDEX(Aux_HH!$E$4:$E$18,MATCH($B785&amp;"|"&amp;$E785,Aux_HH!$A$4:$A$18,0)))</f>
        <v>0</v>
      </c>
      <c r="I785" s="0" t="n">
        <f aca="false">IF($F785=0,0,INDEX(Aux_HH!$F$4:$F$18,MATCH($B785&amp;"|"&amp;$E785,Aux_HH!$A$4:$A$18,0)))</f>
        <v>0</v>
      </c>
      <c r="J785" s="0" t="n">
        <f aca="false">IF($F785=0,0,INDEX(Aux_HH!$G$4:$G$18,MATCH($B785&amp;"|"&amp;$E785,Aux_HH!$A$4:$A$18,0)))</f>
        <v>0</v>
      </c>
      <c r="K785" s="0" t="n">
        <f aca="false">IF($F785=0,0,INDEX(Aux_HH!$H$4:$H$18,MATCH($B785&amp;"|"&amp;$E785,Aux_HH!$A$4:$A$18,0)))</f>
        <v>0</v>
      </c>
      <c r="L785" s="0" t="n">
        <f aca="false">IF($F785=0,0,INDEX(Aux_HH!$I$4:$I$18,MATCH($B785&amp;"|"&amp;$E785,Aux_HH!$A$4:$A$18,0)))</f>
        <v>0</v>
      </c>
    </row>
    <row r="786" customFormat="false" ht="15" hidden="false" customHeight="false" outlineLevel="0" collapsed="false">
      <c r="A786" s="0" t="str">
        <f aca="false">IF(Frota!$A20="","",Frota!$A20)</f>
        <v/>
      </c>
      <c r="B786" s="0" t="str">
        <f aca="false">IF(Frota!$A20="","",Frota!$B20)</f>
        <v/>
      </c>
      <c r="C786" s="0" t="n">
        <v>3</v>
      </c>
      <c r="D786" s="0" t="n">
        <f aca="false">INDEX(Semanas!$E$3:$E$54,3)</f>
        <v>4</v>
      </c>
      <c r="E786" s="0" t="str">
        <f aca="false">IF(Frota!$A20="","",Cronograma!D20)</f>
        <v/>
      </c>
      <c r="F786" s="0" t="n">
        <f aca="false">IF(OR($E786="",$E786=0),0,1)</f>
        <v>0</v>
      </c>
      <c r="G786" s="0" t="n">
        <f aca="false">IF($F786=0,0,INDEX(Aux_HH!$D$4:$D$18,MATCH($B786&amp;"|"&amp;$E786,Aux_HH!$A$4:$A$18,0)))</f>
        <v>0</v>
      </c>
      <c r="H786" s="0" t="n">
        <f aca="false">IF($F786=0,0,INDEX(Aux_HH!$E$4:$E$18,MATCH($B786&amp;"|"&amp;$E786,Aux_HH!$A$4:$A$18,0)))</f>
        <v>0</v>
      </c>
      <c r="I786" s="0" t="n">
        <f aca="false">IF($F786=0,0,INDEX(Aux_HH!$F$4:$F$18,MATCH($B786&amp;"|"&amp;$E786,Aux_HH!$A$4:$A$18,0)))</f>
        <v>0</v>
      </c>
      <c r="J786" s="0" t="n">
        <f aca="false">IF($F786=0,0,INDEX(Aux_HH!$G$4:$G$18,MATCH($B786&amp;"|"&amp;$E786,Aux_HH!$A$4:$A$18,0)))</f>
        <v>0</v>
      </c>
      <c r="K786" s="0" t="n">
        <f aca="false">IF($F786=0,0,INDEX(Aux_HH!$H$4:$H$18,MATCH($B786&amp;"|"&amp;$E786,Aux_HH!$A$4:$A$18,0)))</f>
        <v>0</v>
      </c>
      <c r="L786" s="0" t="n">
        <f aca="false">IF($F786=0,0,INDEX(Aux_HH!$I$4:$I$18,MATCH($B786&amp;"|"&amp;$E786,Aux_HH!$A$4:$A$18,0)))</f>
        <v>0</v>
      </c>
    </row>
    <row r="787" customFormat="false" ht="15" hidden="false" customHeight="false" outlineLevel="0" collapsed="false">
      <c r="A787" s="0" t="str">
        <f aca="false">IF(Frota!$A20="","",Frota!$A20)</f>
        <v/>
      </c>
      <c r="B787" s="0" t="str">
        <f aca="false">IF(Frota!$A20="","",Frota!$B20)</f>
        <v/>
      </c>
      <c r="C787" s="0" t="n">
        <v>4</v>
      </c>
      <c r="D787" s="0" t="n">
        <f aca="false">INDEX(Semanas!$E$3:$E$54,4)</f>
        <v>4</v>
      </c>
      <c r="E787" s="0" t="str">
        <f aca="false">IF(Frota!$A20="","",Cronograma!E20)</f>
        <v/>
      </c>
      <c r="F787" s="0" t="n">
        <f aca="false">IF(OR($E787="",$E787=0),0,1)</f>
        <v>0</v>
      </c>
      <c r="G787" s="0" t="n">
        <f aca="false">IF($F787=0,0,INDEX(Aux_HH!$D$4:$D$18,MATCH($B787&amp;"|"&amp;$E787,Aux_HH!$A$4:$A$18,0)))</f>
        <v>0</v>
      </c>
      <c r="H787" s="0" t="n">
        <f aca="false">IF($F787=0,0,INDEX(Aux_HH!$E$4:$E$18,MATCH($B787&amp;"|"&amp;$E787,Aux_HH!$A$4:$A$18,0)))</f>
        <v>0</v>
      </c>
      <c r="I787" s="0" t="n">
        <f aca="false">IF($F787=0,0,INDEX(Aux_HH!$F$4:$F$18,MATCH($B787&amp;"|"&amp;$E787,Aux_HH!$A$4:$A$18,0)))</f>
        <v>0</v>
      </c>
      <c r="J787" s="0" t="n">
        <f aca="false">IF($F787=0,0,INDEX(Aux_HH!$G$4:$G$18,MATCH($B787&amp;"|"&amp;$E787,Aux_HH!$A$4:$A$18,0)))</f>
        <v>0</v>
      </c>
      <c r="K787" s="0" t="n">
        <f aca="false">IF($F787=0,0,INDEX(Aux_HH!$H$4:$H$18,MATCH($B787&amp;"|"&amp;$E787,Aux_HH!$A$4:$A$18,0)))</f>
        <v>0</v>
      </c>
      <c r="L787" s="0" t="n">
        <f aca="false">IF($F787=0,0,INDEX(Aux_HH!$I$4:$I$18,MATCH($B787&amp;"|"&amp;$E787,Aux_HH!$A$4:$A$18,0)))</f>
        <v>0</v>
      </c>
    </row>
    <row r="788" customFormat="false" ht="15" hidden="false" customHeight="false" outlineLevel="0" collapsed="false">
      <c r="A788" s="0" t="str">
        <f aca="false">IF(Frota!$A20="","",Frota!$A20)</f>
        <v/>
      </c>
      <c r="B788" s="0" t="str">
        <f aca="false">IF(Frota!$A20="","",Frota!$B20)</f>
        <v/>
      </c>
      <c r="C788" s="0" t="n">
        <v>5</v>
      </c>
      <c r="D788" s="0" t="n">
        <f aca="false">INDEX(Semanas!$E$3:$E$54,5)</f>
        <v>4</v>
      </c>
      <c r="E788" s="0" t="str">
        <f aca="false">IF(Frota!$A20="","",Cronograma!F20)</f>
        <v/>
      </c>
      <c r="F788" s="0" t="n">
        <f aca="false">IF(OR($E788="",$E788=0),0,1)</f>
        <v>0</v>
      </c>
      <c r="G788" s="0" t="n">
        <f aca="false">IF($F788=0,0,INDEX(Aux_HH!$D$4:$D$18,MATCH($B788&amp;"|"&amp;$E788,Aux_HH!$A$4:$A$18,0)))</f>
        <v>0</v>
      </c>
      <c r="H788" s="0" t="n">
        <f aca="false">IF($F788=0,0,INDEX(Aux_HH!$E$4:$E$18,MATCH($B788&amp;"|"&amp;$E788,Aux_HH!$A$4:$A$18,0)))</f>
        <v>0</v>
      </c>
      <c r="I788" s="0" t="n">
        <f aca="false">IF($F788=0,0,INDEX(Aux_HH!$F$4:$F$18,MATCH($B788&amp;"|"&amp;$E788,Aux_HH!$A$4:$A$18,0)))</f>
        <v>0</v>
      </c>
      <c r="J788" s="0" t="n">
        <f aca="false">IF($F788=0,0,INDEX(Aux_HH!$G$4:$G$18,MATCH($B788&amp;"|"&amp;$E788,Aux_HH!$A$4:$A$18,0)))</f>
        <v>0</v>
      </c>
      <c r="K788" s="0" t="n">
        <f aca="false">IF($F788=0,0,INDEX(Aux_HH!$H$4:$H$18,MATCH($B788&amp;"|"&amp;$E788,Aux_HH!$A$4:$A$18,0)))</f>
        <v>0</v>
      </c>
      <c r="L788" s="0" t="n">
        <f aca="false">IF($F788=0,0,INDEX(Aux_HH!$I$4:$I$18,MATCH($B788&amp;"|"&amp;$E788,Aux_HH!$A$4:$A$18,0)))</f>
        <v>0</v>
      </c>
    </row>
    <row r="789" customFormat="false" ht="15" hidden="false" customHeight="false" outlineLevel="0" collapsed="false">
      <c r="A789" s="0" t="str">
        <f aca="false">IF(Frota!$A20="","",Frota!$A20)</f>
        <v/>
      </c>
      <c r="B789" s="0" t="str">
        <f aca="false">IF(Frota!$A20="","",Frota!$B20)</f>
        <v/>
      </c>
      <c r="C789" s="0" t="n">
        <v>6</v>
      </c>
      <c r="D789" s="0" t="n">
        <f aca="false">INDEX(Semanas!$E$3:$E$54,6)</f>
        <v>5</v>
      </c>
      <c r="E789" s="0" t="str">
        <f aca="false">IF(Frota!$A20="","",Cronograma!G20)</f>
        <v/>
      </c>
      <c r="F789" s="0" t="n">
        <f aca="false">IF(OR($E789="",$E789=0),0,1)</f>
        <v>0</v>
      </c>
      <c r="G789" s="0" t="n">
        <f aca="false">IF($F789=0,0,INDEX(Aux_HH!$D$4:$D$18,MATCH($B789&amp;"|"&amp;$E789,Aux_HH!$A$4:$A$18,0)))</f>
        <v>0</v>
      </c>
      <c r="H789" s="0" t="n">
        <f aca="false">IF($F789=0,0,INDEX(Aux_HH!$E$4:$E$18,MATCH($B789&amp;"|"&amp;$E789,Aux_HH!$A$4:$A$18,0)))</f>
        <v>0</v>
      </c>
      <c r="I789" s="0" t="n">
        <f aca="false">IF($F789=0,0,INDEX(Aux_HH!$F$4:$F$18,MATCH($B789&amp;"|"&amp;$E789,Aux_HH!$A$4:$A$18,0)))</f>
        <v>0</v>
      </c>
      <c r="J789" s="0" t="n">
        <f aca="false">IF($F789=0,0,INDEX(Aux_HH!$G$4:$G$18,MATCH($B789&amp;"|"&amp;$E789,Aux_HH!$A$4:$A$18,0)))</f>
        <v>0</v>
      </c>
      <c r="K789" s="0" t="n">
        <f aca="false">IF($F789=0,0,INDEX(Aux_HH!$H$4:$H$18,MATCH($B789&amp;"|"&amp;$E789,Aux_HH!$A$4:$A$18,0)))</f>
        <v>0</v>
      </c>
      <c r="L789" s="0" t="n">
        <f aca="false">IF($F789=0,0,INDEX(Aux_HH!$I$4:$I$18,MATCH($B789&amp;"|"&amp;$E789,Aux_HH!$A$4:$A$18,0)))</f>
        <v>0</v>
      </c>
    </row>
    <row r="790" customFormat="false" ht="15" hidden="false" customHeight="false" outlineLevel="0" collapsed="false">
      <c r="A790" s="0" t="str">
        <f aca="false">IF(Frota!$A20="","",Frota!$A20)</f>
        <v/>
      </c>
      <c r="B790" s="0" t="str">
        <f aca="false">IF(Frota!$A20="","",Frota!$B20)</f>
        <v/>
      </c>
      <c r="C790" s="0" t="n">
        <v>7</v>
      </c>
      <c r="D790" s="0" t="n">
        <f aca="false">INDEX(Semanas!$E$3:$E$54,7)</f>
        <v>5</v>
      </c>
      <c r="E790" s="0" t="str">
        <f aca="false">IF(Frota!$A20="","",Cronograma!H20)</f>
        <v/>
      </c>
      <c r="F790" s="0" t="n">
        <f aca="false">IF(OR($E790="",$E790=0),0,1)</f>
        <v>0</v>
      </c>
      <c r="G790" s="0" t="n">
        <f aca="false">IF($F790=0,0,INDEX(Aux_HH!$D$4:$D$18,MATCH($B790&amp;"|"&amp;$E790,Aux_HH!$A$4:$A$18,0)))</f>
        <v>0</v>
      </c>
      <c r="H790" s="0" t="n">
        <f aca="false">IF($F790=0,0,INDEX(Aux_HH!$E$4:$E$18,MATCH($B790&amp;"|"&amp;$E790,Aux_HH!$A$4:$A$18,0)))</f>
        <v>0</v>
      </c>
      <c r="I790" s="0" t="n">
        <f aca="false">IF($F790=0,0,INDEX(Aux_HH!$F$4:$F$18,MATCH($B790&amp;"|"&amp;$E790,Aux_HH!$A$4:$A$18,0)))</f>
        <v>0</v>
      </c>
      <c r="J790" s="0" t="n">
        <f aca="false">IF($F790=0,0,INDEX(Aux_HH!$G$4:$G$18,MATCH($B790&amp;"|"&amp;$E790,Aux_HH!$A$4:$A$18,0)))</f>
        <v>0</v>
      </c>
      <c r="K790" s="0" t="n">
        <f aca="false">IF($F790=0,0,INDEX(Aux_HH!$H$4:$H$18,MATCH($B790&amp;"|"&amp;$E790,Aux_HH!$A$4:$A$18,0)))</f>
        <v>0</v>
      </c>
      <c r="L790" s="0" t="n">
        <f aca="false">IF($F790=0,0,INDEX(Aux_HH!$I$4:$I$18,MATCH($B790&amp;"|"&amp;$E790,Aux_HH!$A$4:$A$18,0)))</f>
        <v>0</v>
      </c>
    </row>
    <row r="791" customFormat="false" ht="15" hidden="false" customHeight="false" outlineLevel="0" collapsed="false">
      <c r="A791" s="0" t="str">
        <f aca="false">IF(Frota!$A20="","",Frota!$A20)</f>
        <v/>
      </c>
      <c r="B791" s="0" t="str">
        <f aca="false">IF(Frota!$A20="","",Frota!$B20)</f>
        <v/>
      </c>
      <c r="C791" s="0" t="n">
        <v>8</v>
      </c>
      <c r="D791" s="0" t="n">
        <f aca="false">INDEX(Semanas!$E$3:$E$54,8)</f>
        <v>5</v>
      </c>
      <c r="E791" s="0" t="str">
        <f aca="false">IF(Frota!$A20="","",Cronograma!I20)</f>
        <v/>
      </c>
      <c r="F791" s="0" t="n">
        <f aca="false">IF(OR($E791="",$E791=0),0,1)</f>
        <v>0</v>
      </c>
      <c r="G791" s="0" t="n">
        <f aca="false">IF($F791=0,0,INDEX(Aux_HH!$D$4:$D$18,MATCH($B791&amp;"|"&amp;$E791,Aux_HH!$A$4:$A$18,0)))</f>
        <v>0</v>
      </c>
      <c r="H791" s="0" t="n">
        <f aca="false">IF($F791=0,0,INDEX(Aux_HH!$E$4:$E$18,MATCH($B791&amp;"|"&amp;$E791,Aux_HH!$A$4:$A$18,0)))</f>
        <v>0</v>
      </c>
      <c r="I791" s="0" t="n">
        <f aca="false">IF($F791=0,0,INDEX(Aux_HH!$F$4:$F$18,MATCH($B791&amp;"|"&amp;$E791,Aux_HH!$A$4:$A$18,0)))</f>
        <v>0</v>
      </c>
      <c r="J791" s="0" t="n">
        <f aca="false">IF($F791=0,0,INDEX(Aux_HH!$G$4:$G$18,MATCH($B791&amp;"|"&amp;$E791,Aux_HH!$A$4:$A$18,0)))</f>
        <v>0</v>
      </c>
      <c r="K791" s="0" t="n">
        <f aca="false">IF($F791=0,0,INDEX(Aux_HH!$H$4:$H$18,MATCH($B791&amp;"|"&amp;$E791,Aux_HH!$A$4:$A$18,0)))</f>
        <v>0</v>
      </c>
      <c r="L791" s="0" t="n">
        <f aca="false">IF($F791=0,0,INDEX(Aux_HH!$I$4:$I$18,MATCH($B791&amp;"|"&amp;$E791,Aux_HH!$A$4:$A$18,0)))</f>
        <v>0</v>
      </c>
    </row>
    <row r="792" customFormat="false" ht="15" hidden="false" customHeight="false" outlineLevel="0" collapsed="false">
      <c r="A792" s="0" t="str">
        <f aca="false">IF(Frota!$A20="","",Frota!$A20)</f>
        <v/>
      </c>
      <c r="B792" s="0" t="str">
        <f aca="false">IF(Frota!$A20="","",Frota!$B20)</f>
        <v/>
      </c>
      <c r="C792" s="0" t="n">
        <v>9</v>
      </c>
      <c r="D792" s="0" t="n">
        <f aca="false">INDEX(Semanas!$E$3:$E$54,9)</f>
        <v>5</v>
      </c>
      <c r="E792" s="0" t="str">
        <f aca="false">IF(Frota!$A20="","",Cronograma!J20)</f>
        <v/>
      </c>
      <c r="F792" s="0" t="n">
        <f aca="false">IF(OR($E792="",$E792=0),0,1)</f>
        <v>0</v>
      </c>
      <c r="G792" s="0" t="n">
        <f aca="false">IF($F792=0,0,INDEX(Aux_HH!$D$4:$D$18,MATCH($B792&amp;"|"&amp;$E792,Aux_HH!$A$4:$A$18,0)))</f>
        <v>0</v>
      </c>
      <c r="H792" s="0" t="n">
        <f aca="false">IF($F792=0,0,INDEX(Aux_HH!$E$4:$E$18,MATCH($B792&amp;"|"&amp;$E792,Aux_HH!$A$4:$A$18,0)))</f>
        <v>0</v>
      </c>
      <c r="I792" s="0" t="n">
        <f aca="false">IF($F792=0,0,INDEX(Aux_HH!$F$4:$F$18,MATCH($B792&amp;"|"&amp;$E792,Aux_HH!$A$4:$A$18,0)))</f>
        <v>0</v>
      </c>
      <c r="J792" s="0" t="n">
        <f aca="false">IF($F792=0,0,INDEX(Aux_HH!$G$4:$G$18,MATCH($B792&amp;"|"&amp;$E792,Aux_HH!$A$4:$A$18,0)))</f>
        <v>0</v>
      </c>
      <c r="K792" s="0" t="n">
        <f aca="false">IF($F792=0,0,INDEX(Aux_HH!$H$4:$H$18,MATCH($B792&amp;"|"&amp;$E792,Aux_HH!$A$4:$A$18,0)))</f>
        <v>0</v>
      </c>
      <c r="L792" s="0" t="n">
        <f aca="false">IF($F792=0,0,INDEX(Aux_HH!$I$4:$I$18,MATCH($B792&amp;"|"&amp;$E792,Aux_HH!$A$4:$A$18,0)))</f>
        <v>0</v>
      </c>
    </row>
    <row r="793" customFormat="false" ht="15" hidden="false" customHeight="false" outlineLevel="0" collapsed="false">
      <c r="A793" s="0" t="str">
        <f aca="false">IF(Frota!$A20="","",Frota!$A20)</f>
        <v/>
      </c>
      <c r="B793" s="0" t="str">
        <f aca="false">IF(Frota!$A20="","",Frota!$B20)</f>
        <v/>
      </c>
      <c r="C793" s="0" t="n">
        <v>10</v>
      </c>
      <c r="D793" s="0" t="n">
        <f aca="false">INDEX(Semanas!$E$3:$E$54,10)</f>
        <v>6</v>
      </c>
      <c r="E793" s="0" t="str">
        <f aca="false">IF(Frota!$A20="","",Cronograma!K20)</f>
        <v/>
      </c>
      <c r="F793" s="0" t="n">
        <f aca="false">IF(OR($E793="",$E793=0),0,1)</f>
        <v>0</v>
      </c>
      <c r="G793" s="0" t="n">
        <f aca="false">IF($F793=0,0,INDEX(Aux_HH!$D$4:$D$18,MATCH($B793&amp;"|"&amp;$E793,Aux_HH!$A$4:$A$18,0)))</f>
        <v>0</v>
      </c>
      <c r="H793" s="0" t="n">
        <f aca="false">IF($F793=0,0,INDEX(Aux_HH!$E$4:$E$18,MATCH($B793&amp;"|"&amp;$E793,Aux_HH!$A$4:$A$18,0)))</f>
        <v>0</v>
      </c>
      <c r="I793" s="0" t="n">
        <f aca="false">IF($F793=0,0,INDEX(Aux_HH!$F$4:$F$18,MATCH($B793&amp;"|"&amp;$E793,Aux_HH!$A$4:$A$18,0)))</f>
        <v>0</v>
      </c>
      <c r="J793" s="0" t="n">
        <f aca="false">IF($F793=0,0,INDEX(Aux_HH!$G$4:$G$18,MATCH($B793&amp;"|"&amp;$E793,Aux_HH!$A$4:$A$18,0)))</f>
        <v>0</v>
      </c>
      <c r="K793" s="0" t="n">
        <f aca="false">IF($F793=0,0,INDEX(Aux_HH!$H$4:$H$18,MATCH($B793&amp;"|"&amp;$E793,Aux_HH!$A$4:$A$18,0)))</f>
        <v>0</v>
      </c>
      <c r="L793" s="0" t="n">
        <f aca="false">IF($F793=0,0,INDEX(Aux_HH!$I$4:$I$18,MATCH($B793&amp;"|"&amp;$E793,Aux_HH!$A$4:$A$18,0)))</f>
        <v>0</v>
      </c>
    </row>
    <row r="794" customFormat="false" ht="15" hidden="false" customHeight="false" outlineLevel="0" collapsed="false">
      <c r="A794" s="0" t="str">
        <f aca="false">IF(Frota!$A20="","",Frota!$A20)</f>
        <v/>
      </c>
      <c r="B794" s="0" t="str">
        <f aca="false">IF(Frota!$A20="","",Frota!$B20)</f>
        <v/>
      </c>
      <c r="C794" s="0" t="n">
        <v>11</v>
      </c>
      <c r="D794" s="0" t="n">
        <f aca="false">INDEX(Semanas!$E$3:$E$54,11)</f>
        <v>6</v>
      </c>
      <c r="E794" s="0" t="str">
        <f aca="false">IF(Frota!$A20="","",Cronograma!L20)</f>
        <v/>
      </c>
      <c r="F794" s="0" t="n">
        <f aca="false">IF(OR($E794="",$E794=0),0,1)</f>
        <v>0</v>
      </c>
      <c r="G794" s="0" t="n">
        <f aca="false">IF($F794=0,0,INDEX(Aux_HH!$D$4:$D$18,MATCH($B794&amp;"|"&amp;$E794,Aux_HH!$A$4:$A$18,0)))</f>
        <v>0</v>
      </c>
      <c r="H794" s="0" t="n">
        <f aca="false">IF($F794=0,0,INDEX(Aux_HH!$E$4:$E$18,MATCH($B794&amp;"|"&amp;$E794,Aux_HH!$A$4:$A$18,0)))</f>
        <v>0</v>
      </c>
      <c r="I794" s="0" t="n">
        <f aca="false">IF($F794=0,0,INDEX(Aux_HH!$F$4:$F$18,MATCH($B794&amp;"|"&amp;$E794,Aux_HH!$A$4:$A$18,0)))</f>
        <v>0</v>
      </c>
      <c r="J794" s="0" t="n">
        <f aca="false">IF($F794=0,0,INDEX(Aux_HH!$G$4:$G$18,MATCH($B794&amp;"|"&amp;$E794,Aux_HH!$A$4:$A$18,0)))</f>
        <v>0</v>
      </c>
      <c r="K794" s="0" t="n">
        <f aca="false">IF($F794=0,0,INDEX(Aux_HH!$H$4:$H$18,MATCH($B794&amp;"|"&amp;$E794,Aux_HH!$A$4:$A$18,0)))</f>
        <v>0</v>
      </c>
      <c r="L794" s="0" t="n">
        <f aca="false">IF($F794=0,0,INDEX(Aux_HH!$I$4:$I$18,MATCH($B794&amp;"|"&amp;$E794,Aux_HH!$A$4:$A$18,0)))</f>
        <v>0</v>
      </c>
    </row>
    <row r="795" customFormat="false" ht="15" hidden="false" customHeight="false" outlineLevel="0" collapsed="false">
      <c r="A795" s="0" t="str">
        <f aca="false">IF(Frota!$A20="","",Frota!$A20)</f>
        <v/>
      </c>
      <c r="B795" s="0" t="str">
        <f aca="false">IF(Frota!$A20="","",Frota!$B20)</f>
        <v/>
      </c>
      <c r="C795" s="0" t="n">
        <v>12</v>
      </c>
      <c r="D795" s="0" t="n">
        <f aca="false">INDEX(Semanas!$E$3:$E$54,12)</f>
        <v>6</v>
      </c>
      <c r="E795" s="0" t="str">
        <f aca="false">IF(Frota!$A20="","",Cronograma!M20)</f>
        <v/>
      </c>
      <c r="F795" s="0" t="n">
        <f aca="false">IF(OR($E795="",$E795=0),0,1)</f>
        <v>0</v>
      </c>
      <c r="G795" s="0" t="n">
        <f aca="false">IF($F795=0,0,INDEX(Aux_HH!$D$4:$D$18,MATCH($B795&amp;"|"&amp;$E795,Aux_HH!$A$4:$A$18,0)))</f>
        <v>0</v>
      </c>
      <c r="H795" s="0" t="n">
        <f aca="false">IF($F795=0,0,INDEX(Aux_HH!$E$4:$E$18,MATCH($B795&amp;"|"&amp;$E795,Aux_HH!$A$4:$A$18,0)))</f>
        <v>0</v>
      </c>
      <c r="I795" s="0" t="n">
        <f aca="false">IF($F795=0,0,INDEX(Aux_HH!$F$4:$F$18,MATCH($B795&amp;"|"&amp;$E795,Aux_HH!$A$4:$A$18,0)))</f>
        <v>0</v>
      </c>
      <c r="J795" s="0" t="n">
        <f aca="false">IF($F795=0,0,INDEX(Aux_HH!$G$4:$G$18,MATCH($B795&amp;"|"&amp;$E795,Aux_HH!$A$4:$A$18,0)))</f>
        <v>0</v>
      </c>
      <c r="K795" s="0" t="n">
        <f aca="false">IF($F795=0,0,INDEX(Aux_HH!$H$4:$H$18,MATCH($B795&amp;"|"&amp;$E795,Aux_HH!$A$4:$A$18,0)))</f>
        <v>0</v>
      </c>
      <c r="L795" s="0" t="n">
        <f aca="false">IF($F795=0,0,INDEX(Aux_HH!$I$4:$I$18,MATCH($B795&amp;"|"&amp;$E795,Aux_HH!$A$4:$A$18,0)))</f>
        <v>0</v>
      </c>
    </row>
    <row r="796" customFormat="false" ht="15" hidden="false" customHeight="false" outlineLevel="0" collapsed="false">
      <c r="A796" s="0" t="str">
        <f aca="false">IF(Frota!$A20="","",Frota!$A20)</f>
        <v/>
      </c>
      <c r="B796" s="0" t="str">
        <f aca="false">IF(Frota!$A20="","",Frota!$B20)</f>
        <v/>
      </c>
      <c r="C796" s="0" t="n">
        <v>13</v>
      </c>
      <c r="D796" s="0" t="n">
        <f aca="false">INDEX(Semanas!$E$3:$E$54,13)</f>
        <v>6</v>
      </c>
      <c r="E796" s="0" t="str">
        <f aca="false">IF(Frota!$A20="","",Cronograma!N20)</f>
        <v/>
      </c>
      <c r="F796" s="0" t="n">
        <f aca="false">IF(OR($E796="",$E796=0),0,1)</f>
        <v>0</v>
      </c>
      <c r="G796" s="0" t="n">
        <f aca="false">IF($F796=0,0,INDEX(Aux_HH!$D$4:$D$18,MATCH($B796&amp;"|"&amp;$E796,Aux_HH!$A$4:$A$18,0)))</f>
        <v>0</v>
      </c>
      <c r="H796" s="0" t="n">
        <f aca="false">IF($F796=0,0,INDEX(Aux_HH!$E$4:$E$18,MATCH($B796&amp;"|"&amp;$E796,Aux_HH!$A$4:$A$18,0)))</f>
        <v>0</v>
      </c>
      <c r="I796" s="0" t="n">
        <f aca="false">IF($F796=0,0,INDEX(Aux_HH!$F$4:$F$18,MATCH($B796&amp;"|"&amp;$E796,Aux_HH!$A$4:$A$18,0)))</f>
        <v>0</v>
      </c>
      <c r="J796" s="0" t="n">
        <f aca="false">IF($F796=0,0,INDEX(Aux_HH!$G$4:$G$18,MATCH($B796&amp;"|"&amp;$E796,Aux_HH!$A$4:$A$18,0)))</f>
        <v>0</v>
      </c>
      <c r="K796" s="0" t="n">
        <f aca="false">IF($F796=0,0,INDEX(Aux_HH!$H$4:$H$18,MATCH($B796&amp;"|"&amp;$E796,Aux_HH!$A$4:$A$18,0)))</f>
        <v>0</v>
      </c>
      <c r="L796" s="0" t="n">
        <f aca="false">IF($F796=0,0,INDEX(Aux_HH!$I$4:$I$18,MATCH($B796&amp;"|"&amp;$E796,Aux_HH!$A$4:$A$18,0)))</f>
        <v>0</v>
      </c>
    </row>
    <row r="797" customFormat="false" ht="15" hidden="false" customHeight="false" outlineLevel="0" collapsed="false">
      <c r="A797" s="0" t="str">
        <f aca="false">IF(Frota!$A20="","",Frota!$A20)</f>
        <v/>
      </c>
      <c r="B797" s="0" t="str">
        <f aca="false">IF(Frota!$A20="","",Frota!$B20)</f>
        <v/>
      </c>
      <c r="C797" s="0" t="n">
        <v>14</v>
      </c>
      <c r="D797" s="0" t="n">
        <f aca="false">INDEX(Semanas!$E$3:$E$54,14)</f>
        <v>7</v>
      </c>
      <c r="E797" s="0" t="str">
        <f aca="false">IF(Frota!$A20="","",Cronograma!O20)</f>
        <v/>
      </c>
      <c r="F797" s="0" t="n">
        <f aca="false">IF(OR($E797="",$E797=0),0,1)</f>
        <v>0</v>
      </c>
      <c r="G797" s="0" t="n">
        <f aca="false">IF($F797=0,0,INDEX(Aux_HH!$D$4:$D$18,MATCH($B797&amp;"|"&amp;$E797,Aux_HH!$A$4:$A$18,0)))</f>
        <v>0</v>
      </c>
      <c r="H797" s="0" t="n">
        <f aca="false">IF($F797=0,0,INDEX(Aux_HH!$E$4:$E$18,MATCH($B797&amp;"|"&amp;$E797,Aux_HH!$A$4:$A$18,0)))</f>
        <v>0</v>
      </c>
      <c r="I797" s="0" t="n">
        <f aca="false">IF($F797=0,0,INDEX(Aux_HH!$F$4:$F$18,MATCH($B797&amp;"|"&amp;$E797,Aux_HH!$A$4:$A$18,0)))</f>
        <v>0</v>
      </c>
      <c r="J797" s="0" t="n">
        <f aca="false">IF($F797=0,0,INDEX(Aux_HH!$G$4:$G$18,MATCH($B797&amp;"|"&amp;$E797,Aux_HH!$A$4:$A$18,0)))</f>
        <v>0</v>
      </c>
      <c r="K797" s="0" t="n">
        <f aca="false">IF($F797=0,0,INDEX(Aux_HH!$H$4:$H$18,MATCH($B797&amp;"|"&amp;$E797,Aux_HH!$A$4:$A$18,0)))</f>
        <v>0</v>
      </c>
      <c r="L797" s="0" t="n">
        <f aca="false">IF($F797=0,0,INDEX(Aux_HH!$I$4:$I$18,MATCH($B797&amp;"|"&amp;$E797,Aux_HH!$A$4:$A$18,0)))</f>
        <v>0</v>
      </c>
    </row>
    <row r="798" customFormat="false" ht="15" hidden="false" customHeight="false" outlineLevel="0" collapsed="false">
      <c r="A798" s="0" t="str">
        <f aca="false">IF(Frota!$A20="","",Frota!$A20)</f>
        <v/>
      </c>
      <c r="B798" s="0" t="str">
        <f aca="false">IF(Frota!$A20="","",Frota!$B20)</f>
        <v/>
      </c>
      <c r="C798" s="0" t="n">
        <v>15</v>
      </c>
      <c r="D798" s="0" t="n">
        <f aca="false">INDEX(Semanas!$E$3:$E$54,15)</f>
        <v>7</v>
      </c>
      <c r="E798" s="0" t="str">
        <f aca="false">IF(Frota!$A20="","",Cronograma!P20)</f>
        <v/>
      </c>
      <c r="F798" s="0" t="n">
        <f aca="false">IF(OR($E798="",$E798=0),0,1)</f>
        <v>0</v>
      </c>
      <c r="G798" s="0" t="n">
        <f aca="false">IF($F798=0,0,INDEX(Aux_HH!$D$4:$D$18,MATCH($B798&amp;"|"&amp;$E798,Aux_HH!$A$4:$A$18,0)))</f>
        <v>0</v>
      </c>
      <c r="H798" s="0" t="n">
        <f aca="false">IF($F798=0,0,INDEX(Aux_HH!$E$4:$E$18,MATCH($B798&amp;"|"&amp;$E798,Aux_HH!$A$4:$A$18,0)))</f>
        <v>0</v>
      </c>
      <c r="I798" s="0" t="n">
        <f aca="false">IF($F798=0,0,INDEX(Aux_HH!$F$4:$F$18,MATCH($B798&amp;"|"&amp;$E798,Aux_HH!$A$4:$A$18,0)))</f>
        <v>0</v>
      </c>
      <c r="J798" s="0" t="n">
        <f aca="false">IF($F798=0,0,INDEX(Aux_HH!$G$4:$G$18,MATCH($B798&amp;"|"&amp;$E798,Aux_HH!$A$4:$A$18,0)))</f>
        <v>0</v>
      </c>
      <c r="K798" s="0" t="n">
        <f aca="false">IF($F798=0,0,INDEX(Aux_HH!$H$4:$H$18,MATCH($B798&amp;"|"&amp;$E798,Aux_HH!$A$4:$A$18,0)))</f>
        <v>0</v>
      </c>
      <c r="L798" s="0" t="n">
        <f aca="false">IF($F798=0,0,INDEX(Aux_HH!$I$4:$I$18,MATCH($B798&amp;"|"&amp;$E798,Aux_HH!$A$4:$A$18,0)))</f>
        <v>0</v>
      </c>
    </row>
    <row r="799" customFormat="false" ht="15" hidden="false" customHeight="false" outlineLevel="0" collapsed="false">
      <c r="A799" s="0" t="str">
        <f aca="false">IF(Frota!$A20="","",Frota!$A20)</f>
        <v/>
      </c>
      <c r="B799" s="0" t="str">
        <f aca="false">IF(Frota!$A20="","",Frota!$B20)</f>
        <v/>
      </c>
      <c r="C799" s="0" t="n">
        <v>16</v>
      </c>
      <c r="D799" s="0" t="n">
        <f aca="false">INDEX(Semanas!$E$3:$E$54,16)</f>
        <v>7</v>
      </c>
      <c r="E799" s="0" t="str">
        <f aca="false">IF(Frota!$A20="","",Cronograma!Q20)</f>
        <v/>
      </c>
      <c r="F799" s="0" t="n">
        <f aca="false">IF(OR($E799="",$E799=0),0,1)</f>
        <v>0</v>
      </c>
      <c r="G799" s="0" t="n">
        <f aca="false">IF($F799=0,0,INDEX(Aux_HH!$D$4:$D$18,MATCH($B799&amp;"|"&amp;$E799,Aux_HH!$A$4:$A$18,0)))</f>
        <v>0</v>
      </c>
      <c r="H799" s="0" t="n">
        <f aca="false">IF($F799=0,0,INDEX(Aux_HH!$E$4:$E$18,MATCH($B799&amp;"|"&amp;$E799,Aux_HH!$A$4:$A$18,0)))</f>
        <v>0</v>
      </c>
      <c r="I799" s="0" t="n">
        <f aca="false">IF($F799=0,0,INDEX(Aux_HH!$F$4:$F$18,MATCH($B799&amp;"|"&amp;$E799,Aux_HH!$A$4:$A$18,0)))</f>
        <v>0</v>
      </c>
      <c r="J799" s="0" t="n">
        <f aca="false">IF($F799=0,0,INDEX(Aux_HH!$G$4:$G$18,MATCH($B799&amp;"|"&amp;$E799,Aux_HH!$A$4:$A$18,0)))</f>
        <v>0</v>
      </c>
      <c r="K799" s="0" t="n">
        <f aca="false">IF($F799=0,0,INDEX(Aux_HH!$H$4:$H$18,MATCH($B799&amp;"|"&amp;$E799,Aux_HH!$A$4:$A$18,0)))</f>
        <v>0</v>
      </c>
      <c r="L799" s="0" t="n">
        <f aca="false">IF($F799=0,0,INDEX(Aux_HH!$I$4:$I$18,MATCH($B799&amp;"|"&amp;$E799,Aux_HH!$A$4:$A$18,0)))</f>
        <v>0</v>
      </c>
    </row>
    <row r="800" customFormat="false" ht="15" hidden="false" customHeight="false" outlineLevel="0" collapsed="false">
      <c r="A800" s="0" t="str">
        <f aca="false">IF(Frota!$A20="","",Frota!$A20)</f>
        <v/>
      </c>
      <c r="B800" s="0" t="str">
        <f aca="false">IF(Frota!$A20="","",Frota!$B20)</f>
        <v/>
      </c>
      <c r="C800" s="0" t="n">
        <v>17</v>
      </c>
      <c r="D800" s="0" t="n">
        <f aca="false">INDEX(Semanas!$E$3:$E$54,17)</f>
        <v>7</v>
      </c>
      <c r="E800" s="0" t="str">
        <f aca="false">IF(Frota!$A20="","",Cronograma!R20)</f>
        <v/>
      </c>
      <c r="F800" s="0" t="n">
        <f aca="false">IF(OR($E800="",$E800=0),0,1)</f>
        <v>0</v>
      </c>
      <c r="G800" s="0" t="n">
        <f aca="false">IF($F800=0,0,INDEX(Aux_HH!$D$4:$D$18,MATCH($B800&amp;"|"&amp;$E800,Aux_HH!$A$4:$A$18,0)))</f>
        <v>0</v>
      </c>
      <c r="H800" s="0" t="n">
        <f aca="false">IF($F800=0,0,INDEX(Aux_HH!$E$4:$E$18,MATCH($B800&amp;"|"&amp;$E800,Aux_HH!$A$4:$A$18,0)))</f>
        <v>0</v>
      </c>
      <c r="I800" s="0" t="n">
        <f aca="false">IF($F800=0,0,INDEX(Aux_HH!$F$4:$F$18,MATCH($B800&amp;"|"&amp;$E800,Aux_HH!$A$4:$A$18,0)))</f>
        <v>0</v>
      </c>
      <c r="J800" s="0" t="n">
        <f aca="false">IF($F800=0,0,INDEX(Aux_HH!$G$4:$G$18,MATCH($B800&amp;"|"&amp;$E800,Aux_HH!$A$4:$A$18,0)))</f>
        <v>0</v>
      </c>
      <c r="K800" s="0" t="n">
        <f aca="false">IF($F800=0,0,INDEX(Aux_HH!$H$4:$H$18,MATCH($B800&amp;"|"&amp;$E800,Aux_HH!$A$4:$A$18,0)))</f>
        <v>0</v>
      </c>
      <c r="L800" s="0" t="n">
        <f aca="false">IF($F800=0,0,INDEX(Aux_HH!$I$4:$I$18,MATCH($B800&amp;"|"&amp;$E800,Aux_HH!$A$4:$A$18,0)))</f>
        <v>0</v>
      </c>
    </row>
    <row r="801" customFormat="false" ht="15" hidden="false" customHeight="false" outlineLevel="0" collapsed="false">
      <c r="A801" s="0" t="str">
        <f aca="false">IF(Frota!$A20="","",Frota!$A20)</f>
        <v/>
      </c>
      <c r="B801" s="0" t="str">
        <f aca="false">IF(Frota!$A20="","",Frota!$B20)</f>
        <v/>
      </c>
      <c r="C801" s="0" t="n">
        <v>18</v>
      </c>
      <c r="D801" s="0" t="n">
        <f aca="false">INDEX(Semanas!$E$3:$E$54,18)</f>
        <v>7</v>
      </c>
      <c r="E801" s="0" t="str">
        <f aca="false">IF(Frota!$A20="","",Cronograma!S20)</f>
        <v/>
      </c>
      <c r="F801" s="0" t="n">
        <f aca="false">IF(OR($E801="",$E801=0),0,1)</f>
        <v>0</v>
      </c>
      <c r="G801" s="0" t="n">
        <f aca="false">IF($F801=0,0,INDEX(Aux_HH!$D$4:$D$18,MATCH($B801&amp;"|"&amp;$E801,Aux_HH!$A$4:$A$18,0)))</f>
        <v>0</v>
      </c>
      <c r="H801" s="0" t="n">
        <f aca="false">IF($F801=0,0,INDEX(Aux_HH!$E$4:$E$18,MATCH($B801&amp;"|"&amp;$E801,Aux_HH!$A$4:$A$18,0)))</f>
        <v>0</v>
      </c>
      <c r="I801" s="0" t="n">
        <f aca="false">IF($F801=0,0,INDEX(Aux_HH!$F$4:$F$18,MATCH($B801&amp;"|"&amp;$E801,Aux_HH!$A$4:$A$18,0)))</f>
        <v>0</v>
      </c>
      <c r="J801" s="0" t="n">
        <f aca="false">IF($F801=0,0,INDEX(Aux_HH!$G$4:$G$18,MATCH($B801&amp;"|"&amp;$E801,Aux_HH!$A$4:$A$18,0)))</f>
        <v>0</v>
      </c>
      <c r="K801" s="0" t="n">
        <f aca="false">IF($F801=0,0,INDEX(Aux_HH!$H$4:$H$18,MATCH($B801&amp;"|"&amp;$E801,Aux_HH!$A$4:$A$18,0)))</f>
        <v>0</v>
      </c>
      <c r="L801" s="0" t="n">
        <f aca="false">IF($F801=0,0,INDEX(Aux_HH!$I$4:$I$18,MATCH($B801&amp;"|"&amp;$E801,Aux_HH!$A$4:$A$18,0)))</f>
        <v>0</v>
      </c>
    </row>
    <row r="802" customFormat="false" ht="15" hidden="false" customHeight="false" outlineLevel="0" collapsed="false">
      <c r="A802" s="0" t="str">
        <f aca="false">IF(Frota!$A20="","",Frota!$A20)</f>
        <v/>
      </c>
      <c r="B802" s="0" t="str">
        <f aca="false">IF(Frota!$A20="","",Frota!$B20)</f>
        <v/>
      </c>
      <c r="C802" s="0" t="n">
        <v>19</v>
      </c>
      <c r="D802" s="0" t="n">
        <f aca="false">INDEX(Semanas!$E$3:$E$54,19)</f>
        <v>8</v>
      </c>
      <c r="E802" s="0" t="str">
        <f aca="false">IF(Frota!$A20="","",Cronograma!T20)</f>
        <v/>
      </c>
      <c r="F802" s="0" t="n">
        <f aca="false">IF(OR($E802="",$E802=0),0,1)</f>
        <v>0</v>
      </c>
      <c r="G802" s="0" t="n">
        <f aca="false">IF($F802=0,0,INDEX(Aux_HH!$D$4:$D$18,MATCH($B802&amp;"|"&amp;$E802,Aux_HH!$A$4:$A$18,0)))</f>
        <v>0</v>
      </c>
      <c r="H802" s="0" t="n">
        <f aca="false">IF($F802=0,0,INDEX(Aux_HH!$E$4:$E$18,MATCH($B802&amp;"|"&amp;$E802,Aux_HH!$A$4:$A$18,0)))</f>
        <v>0</v>
      </c>
      <c r="I802" s="0" t="n">
        <f aca="false">IF($F802=0,0,INDEX(Aux_HH!$F$4:$F$18,MATCH($B802&amp;"|"&amp;$E802,Aux_HH!$A$4:$A$18,0)))</f>
        <v>0</v>
      </c>
      <c r="J802" s="0" t="n">
        <f aca="false">IF($F802=0,0,INDEX(Aux_HH!$G$4:$G$18,MATCH($B802&amp;"|"&amp;$E802,Aux_HH!$A$4:$A$18,0)))</f>
        <v>0</v>
      </c>
      <c r="K802" s="0" t="n">
        <f aca="false">IF($F802=0,0,INDEX(Aux_HH!$H$4:$H$18,MATCH($B802&amp;"|"&amp;$E802,Aux_HH!$A$4:$A$18,0)))</f>
        <v>0</v>
      </c>
      <c r="L802" s="0" t="n">
        <f aca="false">IF($F802=0,0,INDEX(Aux_HH!$I$4:$I$18,MATCH($B802&amp;"|"&amp;$E802,Aux_HH!$A$4:$A$18,0)))</f>
        <v>0</v>
      </c>
    </row>
    <row r="803" customFormat="false" ht="15" hidden="false" customHeight="false" outlineLevel="0" collapsed="false">
      <c r="A803" s="0" t="str">
        <f aca="false">IF(Frota!$A20="","",Frota!$A20)</f>
        <v/>
      </c>
      <c r="B803" s="0" t="str">
        <f aca="false">IF(Frota!$A20="","",Frota!$B20)</f>
        <v/>
      </c>
      <c r="C803" s="0" t="n">
        <v>20</v>
      </c>
      <c r="D803" s="0" t="n">
        <f aca="false">INDEX(Semanas!$E$3:$E$54,20)</f>
        <v>8</v>
      </c>
      <c r="E803" s="0" t="str">
        <f aca="false">IF(Frota!$A20="","",Cronograma!U20)</f>
        <v/>
      </c>
      <c r="F803" s="0" t="n">
        <f aca="false">IF(OR($E803="",$E803=0),0,1)</f>
        <v>0</v>
      </c>
      <c r="G803" s="0" t="n">
        <f aca="false">IF($F803=0,0,INDEX(Aux_HH!$D$4:$D$18,MATCH($B803&amp;"|"&amp;$E803,Aux_HH!$A$4:$A$18,0)))</f>
        <v>0</v>
      </c>
      <c r="H803" s="0" t="n">
        <f aca="false">IF($F803=0,0,INDEX(Aux_HH!$E$4:$E$18,MATCH($B803&amp;"|"&amp;$E803,Aux_HH!$A$4:$A$18,0)))</f>
        <v>0</v>
      </c>
      <c r="I803" s="0" t="n">
        <f aca="false">IF($F803=0,0,INDEX(Aux_HH!$F$4:$F$18,MATCH($B803&amp;"|"&amp;$E803,Aux_HH!$A$4:$A$18,0)))</f>
        <v>0</v>
      </c>
      <c r="J803" s="0" t="n">
        <f aca="false">IF($F803=0,0,INDEX(Aux_HH!$G$4:$G$18,MATCH($B803&amp;"|"&amp;$E803,Aux_HH!$A$4:$A$18,0)))</f>
        <v>0</v>
      </c>
      <c r="K803" s="0" t="n">
        <f aca="false">IF($F803=0,0,INDEX(Aux_HH!$H$4:$H$18,MATCH($B803&amp;"|"&amp;$E803,Aux_HH!$A$4:$A$18,0)))</f>
        <v>0</v>
      </c>
      <c r="L803" s="0" t="n">
        <f aca="false">IF($F803=0,0,INDEX(Aux_HH!$I$4:$I$18,MATCH($B803&amp;"|"&amp;$E803,Aux_HH!$A$4:$A$18,0)))</f>
        <v>0</v>
      </c>
    </row>
    <row r="804" customFormat="false" ht="15" hidden="false" customHeight="false" outlineLevel="0" collapsed="false">
      <c r="A804" s="0" t="str">
        <f aca="false">IF(Frota!$A20="","",Frota!$A20)</f>
        <v/>
      </c>
      <c r="B804" s="0" t="str">
        <f aca="false">IF(Frota!$A20="","",Frota!$B20)</f>
        <v/>
      </c>
      <c r="C804" s="0" t="n">
        <v>21</v>
      </c>
      <c r="D804" s="0" t="n">
        <f aca="false">INDEX(Semanas!$E$3:$E$54,21)</f>
        <v>8</v>
      </c>
      <c r="E804" s="0" t="str">
        <f aca="false">IF(Frota!$A20="","",Cronograma!V20)</f>
        <v/>
      </c>
      <c r="F804" s="0" t="n">
        <f aca="false">IF(OR($E804="",$E804=0),0,1)</f>
        <v>0</v>
      </c>
      <c r="G804" s="0" t="n">
        <f aca="false">IF($F804=0,0,INDEX(Aux_HH!$D$4:$D$18,MATCH($B804&amp;"|"&amp;$E804,Aux_HH!$A$4:$A$18,0)))</f>
        <v>0</v>
      </c>
      <c r="H804" s="0" t="n">
        <f aca="false">IF($F804=0,0,INDEX(Aux_HH!$E$4:$E$18,MATCH($B804&amp;"|"&amp;$E804,Aux_HH!$A$4:$A$18,0)))</f>
        <v>0</v>
      </c>
      <c r="I804" s="0" t="n">
        <f aca="false">IF($F804=0,0,INDEX(Aux_HH!$F$4:$F$18,MATCH($B804&amp;"|"&amp;$E804,Aux_HH!$A$4:$A$18,0)))</f>
        <v>0</v>
      </c>
      <c r="J804" s="0" t="n">
        <f aca="false">IF($F804=0,0,INDEX(Aux_HH!$G$4:$G$18,MATCH($B804&amp;"|"&amp;$E804,Aux_HH!$A$4:$A$18,0)))</f>
        <v>0</v>
      </c>
      <c r="K804" s="0" t="n">
        <f aca="false">IF($F804=0,0,INDEX(Aux_HH!$H$4:$H$18,MATCH($B804&amp;"|"&amp;$E804,Aux_HH!$A$4:$A$18,0)))</f>
        <v>0</v>
      </c>
      <c r="L804" s="0" t="n">
        <f aca="false">IF($F804=0,0,INDEX(Aux_HH!$I$4:$I$18,MATCH($B804&amp;"|"&amp;$E804,Aux_HH!$A$4:$A$18,0)))</f>
        <v>0</v>
      </c>
    </row>
    <row r="805" customFormat="false" ht="15" hidden="false" customHeight="false" outlineLevel="0" collapsed="false">
      <c r="A805" s="0" t="str">
        <f aca="false">IF(Frota!$A20="","",Frota!$A20)</f>
        <v/>
      </c>
      <c r="B805" s="0" t="str">
        <f aca="false">IF(Frota!$A20="","",Frota!$B20)</f>
        <v/>
      </c>
      <c r="C805" s="0" t="n">
        <v>22</v>
      </c>
      <c r="D805" s="0" t="n">
        <f aca="false">INDEX(Semanas!$E$3:$E$54,22)</f>
        <v>8</v>
      </c>
      <c r="E805" s="0" t="str">
        <f aca="false">IF(Frota!$A20="","",Cronograma!W20)</f>
        <v/>
      </c>
      <c r="F805" s="0" t="n">
        <f aca="false">IF(OR($E805="",$E805=0),0,1)</f>
        <v>0</v>
      </c>
      <c r="G805" s="0" t="n">
        <f aca="false">IF($F805=0,0,INDEX(Aux_HH!$D$4:$D$18,MATCH($B805&amp;"|"&amp;$E805,Aux_HH!$A$4:$A$18,0)))</f>
        <v>0</v>
      </c>
      <c r="H805" s="0" t="n">
        <f aca="false">IF($F805=0,0,INDEX(Aux_HH!$E$4:$E$18,MATCH($B805&amp;"|"&amp;$E805,Aux_HH!$A$4:$A$18,0)))</f>
        <v>0</v>
      </c>
      <c r="I805" s="0" t="n">
        <f aca="false">IF($F805=0,0,INDEX(Aux_HH!$F$4:$F$18,MATCH($B805&amp;"|"&amp;$E805,Aux_HH!$A$4:$A$18,0)))</f>
        <v>0</v>
      </c>
      <c r="J805" s="0" t="n">
        <f aca="false">IF($F805=0,0,INDEX(Aux_HH!$G$4:$G$18,MATCH($B805&amp;"|"&amp;$E805,Aux_HH!$A$4:$A$18,0)))</f>
        <v>0</v>
      </c>
      <c r="K805" s="0" t="n">
        <f aca="false">IF($F805=0,0,INDEX(Aux_HH!$H$4:$H$18,MATCH($B805&amp;"|"&amp;$E805,Aux_HH!$A$4:$A$18,0)))</f>
        <v>0</v>
      </c>
      <c r="L805" s="0" t="n">
        <f aca="false">IF($F805=0,0,INDEX(Aux_HH!$I$4:$I$18,MATCH($B805&amp;"|"&amp;$E805,Aux_HH!$A$4:$A$18,0)))</f>
        <v>0</v>
      </c>
    </row>
    <row r="806" customFormat="false" ht="15" hidden="false" customHeight="false" outlineLevel="0" collapsed="false">
      <c r="A806" s="0" t="str">
        <f aca="false">IF(Frota!$A20="","",Frota!$A20)</f>
        <v/>
      </c>
      <c r="B806" s="0" t="str">
        <f aca="false">IF(Frota!$A20="","",Frota!$B20)</f>
        <v/>
      </c>
      <c r="C806" s="0" t="n">
        <v>23</v>
      </c>
      <c r="D806" s="0" t="n">
        <f aca="false">INDEX(Semanas!$E$3:$E$54,23)</f>
        <v>9</v>
      </c>
      <c r="E806" s="0" t="str">
        <f aca="false">IF(Frota!$A20="","",Cronograma!X20)</f>
        <v/>
      </c>
      <c r="F806" s="0" t="n">
        <f aca="false">IF(OR($E806="",$E806=0),0,1)</f>
        <v>0</v>
      </c>
      <c r="G806" s="0" t="n">
        <f aca="false">IF($F806=0,0,INDEX(Aux_HH!$D$4:$D$18,MATCH($B806&amp;"|"&amp;$E806,Aux_HH!$A$4:$A$18,0)))</f>
        <v>0</v>
      </c>
      <c r="H806" s="0" t="n">
        <f aca="false">IF($F806=0,0,INDEX(Aux_HH!$E$4:$E$18,MATCH($B806&amp;"|"&amp;$E806,Aux_HH!$A$4:$A$18,0)))</f>
        <v>0</v>
      </c>
      <c r="I806" s="0" t="n">
        <f aca="false">IF($F806=0,0,INDEX(Aux_HH!$F$4:$F$18,MATCH($B806&amp;"|"&amp;$E806,Aux_HH!$A$4:$A$18,0)))</f>
        <v>0</v>
      </c>
      <c r="J806" s="0" t="n">
        <f aca="false">IF($F806=0,0,INDEX(Aux_HH!$G$4:$G$18,MATCH($B806&amp;"|"&amp;$E806,Aux_HH!$A$4:$A$18,0)))</f>
        <v>0</v>
      </c>
      <c r="K806" s="0" t="n">
        <f aca="false">IF($F806=0,0,INDEX(Aux_HH!$H$4:$H$18,MATCH($B806&amp;"|"&amp;$E806,Aux_HH!$A$4:$A$18,0)))</f>
        <v>0</v>
      </c>
      <c r="L806" s="0" t="n">
        <f aca="false">IF($F806=0,0,INDEX(Aux_HH!$I$4:$I$18,MATCH($B806&amp;"|"&amp;$E806,Aux_HH!$A$4:$A$18,0)))</f>
        <v>0</v>
      </c>
    </row>
    <row r="807" customFormat="false" ht="15" hidden="false" customHeight="false" outlineLevel="0" collapsed="false">
      <c r="A807" s="0" t="str">
        <f aca="false">IF(Frota!$A20="","",Frota!$A20)</f>
        <v/>
      </c>
      <c r="B807" s="0" t="str">
        <f aca="false">IF(Frota!$A20="","",Frota!$B20)</f>
        <v/>
      </c>
      <c r="C807" s="0" t="n">
        <v>24</v>
      </c>
      <c r="D807" s="0" t="n">
        <f aca="false">INDEX(Semanas!$E$3:$E$54,24)</f>
        <v>9</v>
      </c>
      <c r="E807" s="0" t="str">
        <f aca="false">IF(Frota!$A20="","",Cronograma!Y20)</f>
        <v/>
      </c>
      <c r="F807" s="0" t="n">
        <f aca="false">IF(OR($E807="",$E807=0),0,1)</f>
        <v>0</v>
      </c>
      <c r="G807" s="0" t="n">
        <f aca="false">IF($F807=0,0,INDEX(Aux_HH!$D$4:$D$18,MATCH($B807&amp;"|"&amp;$E807,Aux_HH!$A$4:$A$18,0)))</f>
        <v>0</v>
      </c>
      <c r="H807" s="0" t="n">
        <f aca="false">IF($F807=0,0,INDEX(Aux_HH!$E$4:$E$18,MATCH($B807&amp;"|"&amp;$E807,Aux_HH!$A$4:$A$18,0)))</f>
        <v>0</v>
      </c>
      <c r="I807" s="0" t="n">
        <f aca="false">IF($F807=0,0,INDEX(Aux_HH!$F$4:$F$18,MATCH($B807&amp;"|"&amp;$E807,Aux_HH!$A$4:$A$18,0)))</f>
        <v>0</v>
      </c>
      <c r="J807" s="0" t="n">
        <f aca="false">IF($F807=0,0,INDEX(Aux_HH!$G$4:$G$18,MATCH($B807&amp;"|"&amp;$E807,Aux_HH!$A$4:$A$18,0)))</f>
        <v>0</v>
      </c>
      <c r="K807" s="0" t="n">
        <f aca="false">IF($F807=0,0,INDEX(Aux_HH!$H$4:$H$18,MATCH($B807&amp;"|"&amp;$E807,Aux_HH!$A$4:$A$18,0)))</f>
        <v>0</v>
      </c>
      <c r="L807" s="0" t="n">
        <f aca="false">IF($F807=0,0,INDEX(Aux_HH!$I$4:$I$18,MATCH($B807&amp;"|"&amp;$E807,Aux_HH!$A$4:$A$18,0)))</f>
        <v>0</v>
      </c>
    </row>
    <row r="808" customFormat="false" ht="15" hidden="false" customHeight="false" outlineLevel="0" collapsed="false">
      <c r="A808" s="0" t="str">
        <f aca="false">IF(Frota!$A20="","",Frota!$A20)</f>
        <v/>
      </c>
      <c r="B808" s="0" t="str">
        <f aca="false">IF(Frota!$A20="","",Frota!$B20)</f>
        <v/>
      </c>
      <c r="C808" s="0" t="n">
        <v>25</v>
      </c>
      <c r="D808" s="0" t="n">
        <f aca="false">INDEX(Semanas!$E$3:$E$54,25)</f>
        <v>9</v>
      </c>
      <c r="E808" s="0" t="str">
        <f aca="false">IF(Frota!$A20="","",Cronograma!Z20)</f>
        <v/>
      </c>
      <c r="F808" s="0" t="n">
        <f aca="false">IF(OR($E808="",$E808=0),0,1)</f>
        <v>0</v>
      </c>
      <c r="G808" s="0" t="n">
        <f aca="false">IF($F808=0,0,INDEX(Aux_HH!$D$4:$D$18,MATCH($B808&amp;"|"&amp;$E808,Aux_HH!$A$4:$A$18,0)))</f>
        <v>0</v>
      </c>
      <c r="H808" s="0" t="n">
        <f aca="false">IF($F808=0,0,INDEX(Aux_HH!$E$4:$E$18,MATCH($B808&amp;"|"&amp;$E808,Aux_HH!$A$4:$A$18,0)))</f>
        <v>0</v>
      </c>
      <c r="I808" s="0" t="n">
        <f aca="false">IF($F808=0,0,INDEX(Aux_HH!$F$4:$F$18,MATCH($B808&amp;"|"&amp;$E808,Aux_HH!$A$4:$A$18,0)))</f>
        <v>0</v>
      </c>
      <c r="J808" s="0" t="n">
        <f aca="false">IF($F808=0,0,INDEX(Aux_HH!$G$4:$G$18,MATCH($B808&amp;"|"&amp;$E808,Aux_HH!$A$4:$A$18,0)))</f>
        <v>0</v>
      </c>
      <c r="K808" s="0" t="n">
        <f aca="false">IF($F808=0,0,INDEX(Aux_HH!$H$4:$H$18,MATCH($B808&amp;"|"&amp;$E808,Aux_HH!$A$4:$A$18,0)))</f>
        <v>0</v>
      </c>
      <c r="L808" s="0" t="n">
        <f aca="false">IF($F808=0,0,INDEX(Aux_HH!$I$4:$I$18,MATCH($B808&amp;"|"&amp;$E808,Aux_HH!$A$4:$A$18,0)))</f>
        <v>0</v>
      </c>
    </row>
    <row r="809" customFormat="false" ht="15" hidden="false" customHeight="false" outlineLevel="0" collapsed="false">
      <c r="A809" s="0" t="str">
        <f aca="false">IF(Frota!$A20="","",Frota!$A20)</f>
        <v/>
      </c>
      <c r="B809" s="0" t="str">
        <f aca="false">IF(Frota!$A20="","",Frota!$B20)</f>
        <v/>
      </c>
      <c r="C809" s="0" t="n">
        <v>26</v>
      </c>
      <c r="D809" s="0" t="n">
        <f aca="false">INDEX(Semanas!$E$3:$E$54,26)</f>
        <v>9</v>
      </c>
      <c r="E809" s="0" t="str">
        <f aca="false">IF(Frota!$A20="","",Cronograma!AA20)</f>
        <v/>
      </c>
      <c r="F809" s="0" t="n">
        <f aca="false">IF(OR($E809="",$E809=0),0,1)</f>
        <v>0</v>
      </c>
      <c r="G809" s="0" t="n">
        <f aca="false">IF($F809=0,0,INDEX(Aux_HH!$D$4:$D$18,MATCH($B809&amp;"|"&amp;$E809,Aux_HH!$A$4:$A$18,0)))</f>
        <v>0</v>
      </c>
      <c r="H809" s="0" t="n">
        <f aca="false">IF($F809=0,0,INDEX(Aux_HH!$E$4:$E$18,MATCH($B809&amp;"|"&amp;$E809,Aux_HH!$A$4:$A$18,0)))</f>
        <v>0</v>
      </c>
      <c r="I809" s="0" t="n">
        <f aca="false">IF($F809=0,0,INDEX(Aux_HH!$F$4:$F$18,MATCH($B809&amp;"|"&amp;$E809,Aux_HH!$A$4:$A$18,0)))</f>
        <v>0</v>
      </c>
      <c r="J809" s="0" t="n">
        <f aca="false">IF($F809=0,0,INDEX(Aux_HH!$G$4:$G$18,MATCH($B809&amp;"|"&amp;$E809,Aux_HH!$A$4:$A$18,0)))</f>
        <v>0</v>
      </c>
      <c r="K809" s="0" t="n">
        <f aca="false">IF($F809=0,0,INDEX(Aux_HH!$H$4:$H$18,MATCH($B809&amp;"|"&amp;$E809,Aux_HH!$A$4:$A$18,0)))</f>
        <v>0</v>
      </c>
      <c r="L809" s="0" t="n">
        <f aca="false">IF($F809=0,0,INDEX(Aux_HH!$I$4:$I$18,MATCH($B809&amp;"|"&amp;$E809,Aux_HH!$A$4:$A$18,0)))</f>
        <v>0</v>
      </c>
    </row>
    <row r="810" customFormat="false" ht="15" hidden="false" customHeight="false" outlineLevel="0" collapsed="false">
      <c r="A810" s="0" t="str">
        <f aca="false">IF(Frota!$A20="","",Frota!$A20)</f>
        <v/>
      </c>
      <c r="B810" s="0" t="str">
        <f aca="false">IF(Frota!$A20="","",Frota!$B20)</f>
        <v/>
      </c>
      <c r="C810" s="0" t="n">
        <v>27</v>
      </c>
      <c r="D810" s="0" t="n">
        <f aca="false">INDEX(Semanas!$E$3:$E$54,27)</f>
        <v>9</v>
      </c>
      <c r="E810" s="0" t="str">
        <f aca="false">IF(Frota!$A20="","",Cronograma!AB20)</f>
        <v/>
      </c>
      <c r="F810" s="0" t="n">
        <f aca="false">IF(OR($E810="",$E810=0),0,1)</f>
        <v>0</v>
      </c>
      <c r="G810" s="0" t="n">
        <f aca="false">IF($F810=0,0,INDEX(Aux_HH!$D$4:$D$18,MATCH($B810&amp;"|"&amp;$E810,Aux_HH!$A$4:$A$18,0)))</f>
        <v>0</v>
      </c>
      <c r="H810" s="0" t="n">
        <f aca="false">IF($F810=0,0,INDEX(Aux_HH!$E$4:$E$18,MATCH($B810&amp;"|"&amp;$E810,Aux_HH!$A$4:$A$18,0)))</f>
        <v>0</v>
      </c>
      <c r="I810" s="0" t="n">
        <f aca="false">IF($F810=0,0,INDEX(Aux_HH!$F$4:$F$18,MATCH($B810&amp;"|"&amp;$E810,Aux_HH!$A$4:$A$18,0)))</f>
        <v>0</v>
      </c>
      <c r="J810" s="0" t="n">
        <f aca="false">IF($F810=0,0,INDEX(Aux_HH!$G$4:$G$18,MATCH($B810&amp;"|"&amp;$E810,Aux_HH!$A$4:$A$18,0)))</f>
        <v>0</v>
      </c>
      <c r="K810" s="0" t="n">
        <f aca="false">IF($F810=0,0,INDEX(Aux_HH!$H$4:$H$18,MATCH($B810&amp;"|"&amp;$E810,Aux_HH!$A$4:$A$18,0)))</f>
        <v>0</v>
      </c>
      <c r="L810" s="0" t="n">
        <f aca="false">IF($F810=0,0,INDEX(Aux_HH!$I$4:$I$18,MATCH($B810&amp;"|"&amp;$E810,Aux_HH!$A$4:$A$18,0)))</f>
        <v>0</v>
      </c>
    </row>
    <row r="811" customFormat="false" ht="15" hidden="false" customHeight="false" outlineLevel="0" collapsed="false">
      <c r="A811" s="0" t="str">
        <f aca="false">IF(Frota!$A20="","",Frota!$A20)</f>
        <v/>
      </c>
      <c r="B811" s="0" t="str">
        <f aca="false">IF(Frota!$A20="","",Frota!$B20)</f>
        <v/>
      </c>
      <c r="C811" s="0" t="n">
        <v>28</v>
      </c>
      <c r="D811" s="0" t="n">
        <f aca="false">INDEX(Semanas!$E$3:$E$54,28)</f>
        <v>10</v>
      </c>
      <c r="E811" s="0" t="str">
        <f aca="false">IF(Frota!$A20="","",Cronograma!AC20)</f>
        <v/>
      </c>
      <c r="F811" s="0" t="n">
        <f aca="false">IF(OR($E811="",$E811=0),0,1)</f>
        <v>0</v>
      </c>
      <c r="G811" s="0" t="n">
        <f aca="false">IF($F811=0,0,INDEX(Aux_HH!$D$4:$D$18,MATCH($B811&amp;"|"&amp;$E811,Aux_HH!$A$4:$A$18,0)))</f>
        <v>0</v>
      </c>
      <c r="H811" s="0" t="n">
        <f aca="false">IF($F811=0,0,INDEX(Aux_HH!$E$4:$E$18,MATCH($B811&amp;"|"&amp;$E811,Aux_HH!$A$4:$A$18,0)))</f>
        <v>0</v>
      </c>
      <c r="I811" s="0" t="n">
        <f aca="false">IF($F811=0,0,INDEX(Aux_HH!$F$4:$F$18,MATCH($B811&amp;"|"&amp;$E811,Aux_HH!$A$4:$A$18,0)))</f>
        <v>0</v>
      </c>
      <c r="J811" s="0" t="n">
        <f aca="false">IF($F811=0,0,INDEX(Aux_HH!$G$4:$G$18,MATCH($B811&amp;"|"&amp;$E811,Aux_HH!$A$4:$A$18,0)))</f>
        <v>0</v>
      </c>
      <c r="K811" s="0" t="n">
        <f aca="false">IF($F811=0,0,INDEX(Aux_HH!$H$4:$H$18,MATCH($B811&amp;"|"&amp;$E811,Aux_HH!$A$4:$A$18,0)))</f>
        <v>0</v>
      </c>
      <c r="L811" s="0" t="n">
        <f aca="false">IF($F811=0,0,INDEX(Aux_HH!$I$4:$I$18,MATCH($B811&amp;"|"&amp;$E811,Aux_HH!$A$4:$A$18,0)))</f>
        <v>0</v>
      </c>
    </row>
    <row r="812" customFormat="false" ht="15" hidden="false" customHeight="false" outlineLevel="0" collapsed="false">
      <c r="A812" s="0" t="str">
        <f aca="false">IF(Frota!$A20="","",Frota!$A20)</f>
        <v/>
      </c>
      <c r="B812" s="0" t="str">
        <f aca="false">IF(Frota!$A20="","",Frota!$B20)</f>
        <v/>
      </c>
      <c r="C812" s="0" t="n">
        <v>29</v>
      </c>
      <c r="D812" s="0" t="n">
        <f aca="false">INDEX(Semanas!$E$3:$E$54,29)</f>
        <v>10</v>
      </c>
      <c r="E812" s="0" t="str">
        <f aca="false">IF(Frota!$A20="","",Cronograma!AD20)</f>
        <v/>
      </c>
      <c r="F812" s="0" t="n">
        <f aca="false">IF(OR($E812="",$E812=0),0,1)</f>
        <v>0</v>
      </c>
      <c r="G812" s="0" t="n">
        <f aca="false">IF($F812=0,0,INDEX(Aux_HH!$D$4:$D$18,MATCH($B812&amp;"|"&amp;$E812,Aux_HH!$A$4:$A$18,0)))</f>
        <v>0</v>
      </c>
      <c r="H812" s="0" t="n">
        <f aca="false">IF($F812=0,0,INDEX(Aux_HH!$E$4:$E$18,MATCH($B812&amp;"|"&amp;$E812,Aux_HH!$A$4:$A$18,0)))</f>
        <v>0</v>
      </c>
      <c r="I812" s="0" t="n">
        <f aca="false">IF($F812=0,0,INDEX(Aux_HH!$F$4:$F$18,MATCH($B812&amp;"|"&amp;$E812,Aux_HH!$A$4:$A$18,0)))</f>
        <v>0</v>
      </c>
      <c r="J812" s="0" t="n">
        <f aca="false">IF($F812=0,0,INDEX(Aux_HH!$G$4:$G$18,MATCH($B812&amp;"|"&amp;$E812,Aux_HH!$A$4:$A$18,0)))</f>
        <v>0</v>
      </c>
      <c r="K812" s="0" t="n">
        <f aca="false">IF($F812=0,0,INDEX(Aux_HH!$H$4:$H$18,MATCH($B812&amp;"|"&amp;$E812,Aux_HH!$A$4:$A$18,0)))</f>
        <v>0</v>
      </c>
      <c r="L812" s="0" t="n">
        <f aca="false">IF($F812=0,0,INDEX(Aux_HH!$I$4:$I$18,MATCH($B812&amp;"|"&amp;$E812,Aux_HH!$A$4:$A$18,0)))</f>
        <v>0</v>
      </c>
    </row>
    <row r="813" customFormat="false" ht="15" hidden="false" customHeight="false" outlineLevel="0" collapsed="false">
      <c r="A813" s="0" t="str">
        <f aca="false">IF(Frota!$A20="","",Frota!$A20)</f>
        <v/>
      </c>
      <c r="B813" s="0" t="str">
        <f aca="false">IF(Frota!$A20="","",Frota!$B20)</f>
        <v/>
      </c>
      <c r="C813" s="0" t="n">
        <v>30</v>
      </c>
      <c r="D813" s="0" t="n">
        <f aca="false">INDEX(Semanas!$E$3:$E$54,30)</f>
        <v>10</v>
      </c>
      <c r="E813" s="0" t="str">
        <f aca="false">IF(Frota!$A20="","",Cronograma!AE20)</f>
        <v/>
      </c>
      <c r="F813" s="0" t="n">
        <f aca="false">IF(OR($E813="",$E813=0),0,1)</f>
        <v>0</v>
      </c>
      <c r="G813" s="0" t="n">
        <f aca="false">IF($F813=0,0,INDEX(Aux_HH!$D$4:$D$18,MATCH($B813&amp;"|"&amp;$E813,Aux_HH!$A$4:$A$18,0)))</f>
        <v>0</v>
      </c>
      <c r="H813" s="0" t="n">
        <f aca="false">IF($F813=0,0,INDEX(Aux_HH!$E$4:$E$18,MATCH($B813&amp;"|"&amp;$E813,Aux_HH!$A$4:$A$18,0)))</f>
        <v>0</v>
      </c>
      <c r="I813" s="0" t="n">
        <f aca="false">IF($F813=0,0,INDEX(Aux_HH!$F$4:$F$18,MATCH($B813&amp;"|"&amp;$E813,Aux_HH!$A$4:$A$18,0)))</f>
        <v>0</v>
      </c>
      <c r="J813" s="0" t="n">
        <f aca="false">IF($F813=0,0,INDEX(Aux_HH!$G$4:$G$18,MATCH($B813&amp;"|"&amp;$E813,Aux_HH!$A$4:$A$18,0)))</f>
        <v>0</v>
      </c>
      <c r="K813" s="0" t="n">
        <f aca="false">IF($F813=0,0,INDEX(Aux_HH!$H$4:$H$18,MATCH($B813&amp;"|"&amp;$E813,Aux_HH!$A$4:$A$18,0)))</f>
        <v>0</v>
      </c>
      <c r="L813" s="0" t="n">
        <f aca="false">IF($F813=0,0,INDEX(Aux_HH!$I$4:$I$18,MATCH($B813&amp;"|"&amp;$E813,Aux_HH!$A$4:$A$18,0)))</f>
        <v>0</v>
      </c>
    </row>
    <row r="814" customFormat="false" ht="15" hidden="false" customHeight="false" outlineLevel="0" collapsed="false">
      <c r="A814" s="0" t="str">
        <f aca="false">IF(Frota!$A20="","",Frota!$A20)</f>
        <v/>
      </c>
      <c r="B814" s="0" t="str">
        <f aca="false">IF(Frota!$A20="","",Frota!$B20)</f>
        <v/>
      </c>
      <c r="C814" s="0" t="n">
        <v>31</v>
      </c>
      <c r="D814" s="0" t="n">
        <f aca="false">INDEX(Semanas!$E$3:$E$54,31)</f>
        <v>10</v>
      </c>
      <c r="E814" s="0" t="str">
        <f aca="false">IF(Frota!$A20="","",Cronograma!AF20)</f>
        <v/>
      </c>
      <c r="F814" s="0" t="n">
        <f aca="false">IF(OR($E814="",$E814=0),0,1)</f>
        <v>0</v>
      </c>
      <c r="G814" s="0" t="n">
        <f aca="false">IF($F814=0,0,INDEX(Aux_HH!$D$4:$D$18,MATCH($B814&amp;"|"&amp;$E814,Aux_HH!$A$4:$A$18,0)))</f>
        <v>0</v>
      </c>
      <c r="H814" s="0" t="n">
        <f aca="false">IF($F814=0,0,INDEX(Aux_HH!$E$4:$E$18,MATCH($B814&amp;"|"&amp;$E814,Aux_HH!$A$4:$A$18,0)))</f>
        <v>0</v>
      </c>
      <c r="I814" s="0" t="n">
        <f aca="false">IF($F814=0,0,INDEX(Aux_HH!$F$4:$F$18,MATCH($B814&amp;"|"&amp;$E814,Aux_HH!$A$4:$A$18,0)))</f>
        <v>0</v>
      </c>
      <c r="J814" s="0" t="n">
        <f aca="false">IF($F814=0,0,INDEX(Aux_HH!$G$4:$G$18,MATCH($B814&amp;"|"&amp;$E814,Aux_HH!$A$4:$A$18,0)))</f>
        <v>0</v>
      </c>
      <c r="K814" s="0" t="n">
        <f aca="false">IF($F814=0,0,INDEX(Aux_HH!$H$4:$H$18,MATCH($B814&amp;"|"&amp;$E814,Aux_HH!$A$4:$A$18,0)))</f>
        <v>0</v>
      </c>
      <c r="L814" s="0" t="n">
        <f aca="false">IF($F814=0,0,INDEX(Aux_HH!$I$4:$I$18,MATCH($B814&amp;"|"&amp;$E814,Aux_HH!$A$4:$A$18,0)))</f>
        <v>0</v>
      </c>
    </row>
    <row r="815" customFormat="false" ht="15" hidden="false" customHeight="false" outlineLevel="0" collapsed="false">
      <c r="A815" s="0" t="str">
        <f aca="false">IF(Frota!$A20="","",Frota!$A20)</f>
        <v/>
      </c>
      <c r="B815" s="0" t="str">
        <f aca="false">IF(Frota!$A20="","",Frota!$B20)</f>
        <v/>
      </c>
      <c r="C815" s="0" t="n">
        <v>32</v>
      </c>
      <c r="D815" s="0" t="n">
        <f aca="false">INDEX(Semanas!$E$3:$E$54,32)</f>
        <v>11</v>
      </c>
      <c r="E815" s="0" t="str">
        <f aca="false">IF(Frota!$A20="","",Cronograma!AG20)</f>
        <v/>
      </c>
      <c r="F815" s="0" t="n">
        <f aca="false">IF(OR($E815="",$E815=0),0,1)</f>
        <v>0</v>
      </c>
      <c r="G815" s="0" t="n">
        <f aca="false">IF($F815=0,0,INDEX(Aux_HH!$D$4:$D$18,MATCH($B815&amp;"|"&amp;$E815,Aux_HH!$A$4:$A$18,0)))</f>
        <v>0</v>
      </c>
      <c r="H815" s="0" t="n">
        <f aca="false">IF($F815=0,0,INDEX(Aux_HH!$E$4:$E$18,MATCH($B815&amp;"|"&amp;$E815,Aux_HH!$A$4:$A$18,0)))</f>
        <v>0</v>
      </c>
      <c r="I815" s="0" t="n">
        <f aca="false">IF($F815=0,0,INDEX(Aux_HH!$F$4:$F$18,MATCH($B815&amp;"|"&amp;$E815,Aux_HH!$A$4:$A$18,0)))</f>
        <v>0</v>
      </c>
      <c r="J815" s="0" t="n">
        <f aca="false">IF($F815=0,0,INDEX(Aux_HH!$G$4:$G$18,MATCH($B815&amp;"|"&amp;$E815,Aux_HH!$A$4:$A$18,0)))</f>
        <v>0</v>
      </c>
      <c r="K815" s="0" t="n">
        <f aca="false">IF($F815=0,0,INDEX(Aux_HH!$H$4:$H$18,MATCH($B815&amp;"|"&amp;$E815,Aux_HH!$A$4:$A$18,0)))</f>
        <v>0</v>
      </c>
      <c r="L815" s="0" t="n">
        <f aca="false">IF($F815=0,0,INDEX(Aux_HH!$I$4:$I$18,MATCH($B815&amp;"|"&amp;$E815,Aux_HH!$A$4:$A$18,0)))</f>
        <v>0</v>
      </c>
    </row>
    <row r="816" customFormat="false" ht="15" hidden="false" customHeight="false" outlineLevel="0" collapsed="false">
      <c r="A816" s="0" t="str">
        <f aca="false">IF(Frota!$A20="","",Frota!$A20)</f>
        <v/>
      </c>
      <c r="B816" s="0" t="str">
        <f aca="false">IF(Frota!$A20="","",Frota!$B20)</f>
        <v/>
      </c>
      <c r="C816" s="0" t="n">
        <v>33</v>
      </c>
      <c r="D816" s="0" t="n">
        <f aca="false">INDEX(Semanas!$E$3:$E$54,33)</f>
        <v>11</v>
      </c>
      <c r="E816" s="0" t="str">
        <f aca="false">IF(Frota!$A20="","",Cronograma!AH20)</f>
        <v/>
      </c>
      <c r="F816" s="0" t="n">
        <f aca="false">IF(OR($E816="",$E816=0),0,1)</f>
        <v>0</v>
      </c>
      <c r="G816" s="0" t="n">
        <f aca="false">IF($F816=0,0,INDEX(Aux_HH!$D$4:$D$18,MATCH($B816&amp;"|"&amp;$E816,Aux_HH!$A$4:$A$18,0)))</f>
        <v>0</v>
      </c>
      <c r="H816" s="0" t="n">
        <f aca="false">IF($F816=0,0,INDEX(Aux_HH!$E$4:$E$18,MATCH($B816&amp;"|"&amp;$E816,Aux_HH!$A$4:$A$18,0)))</f>
        <v>0</v>
      </c>
      <c r="I816" s="0" t="n">
        <f aca="false">IF($F816=0,0,INDEX(Aux_HH!$F$4:$F$18,MATCH($B816&amp;"|"&amp;$E816,Aux_HH!$A$4:$A$18,0)))</f>
        <v>0</v>
      </c>
      <c r="J816" s="0" t="n">
        <f aca="false">IF($F816=0,0,INDEX(Aux_HH!$G$4:$G$18,MATCH($B816&amp;"|"&amp;$E816,Aux_HH!$A$4:$A$18,0)))</f>
        <v>0</v>
      </c>
      <c r="K816" s="0" t="n">
        <f aca="false">IF($F816=0,0,INDEX(Aux_HH!$H$4:$H$18,MATCH($B816&amp;"|"&amp;$E816,Aux_HH!$A$4:$A$18,0)))</f>
        <v>0</v>
      </c>
      <c r="L816" s="0" t="n">
        <f aca="false">IF($F816=0,0,INDEX(Aux_HH!$I$4:$I$18,MATCH($B816&amp;"|"&amp;$E816,Aux_HH!$A$4:$A$18,0)))</f>
        <v>0</v>
      </c>
    </row>
    <row r="817" customFormat="false" ht="15" hidden="false" customHeight="false" outlineLevel="0" collapsed="false">
      <c r="A817" s="0" t="str">
        <f aca="false">IF(Frota!$A20="","",Frota!$A20)</f>
        <v/>
      </c>
      <c r="B817" s="0" t="str">
        <f aca="false">IF(Frota!$A20="","",Frota!$B20)</f>
        <v/>
      </c>
      <c r="C817" s="0" t="n">
        <v>34</v>
      </c>
      <c r="D817" s="0" t="n">
        <f aca="false">INDEX(Semanas!$E$3:$E$54,34)</f>
        <v>11</v>
      </c>
      <c r="E817" s="0" t="str">
        <f aca="false">IF(Frota!$A20="","",Cronograma!AI20)</f>
        <v/>
      </c>
      <c r="F817" s="0" t="n">
        <f aca="false">IF(OR($E817="",$E817=0),0,1)</f>
        <v>0</v>
      </c>
      <c r="G817" s="0" t="n">
        <f aca="false">IF($F817=0,0,INDEX(Aux_HH!$D$4:$D$18,MATCH($B817&amp;"|"&amp;$E817,Aux_HH!$A$4:$A$18,0)))</f>
        <v>0</v>
      </c>
      <c r="H817" s="0" t="n">
        <f aca="false">IF($F817=0,0,INDEX(Aux_HH!$E$4:$E$18,MATCH($B817&amp;"|"&amp;$E817,Aux_HH!$A$4:$A$18,0)))</f>
        <v>0</v>
      </c>
      <c r="I817" s="0" t="n">
        <f aca="false">IF($F817=0,0,INDEX(Aux_HH!$F$4:$F$18,MATCH($B817&amp;"|"&amp;$E817,Aux_HH!$A$4:$A$18,0)))</f>
        <v>0</v>
      </c>
      <c r="J817" s="0" t="n">
        <f aca="false">IF($F817=0,0,INDEX(Aux_HH!$G$4:$G$18,MATCH($B817&amp;"|"&amp;$E817,Aux_HH!$A$4:$A$18,0)))</f>
        <v>0</v>
      </c>
      <c r="K817" s="0" t="n">
        <f aca="false">IF($F817=0,0,INDEX(Aux_HH!$H$4:$H$18,MATCH($B817&amp;"|"&amp;$E817,Aux_HH!$A$4:$A$18,0)))</f>
        <v>0</v>
      </c>
      <c r="L817" s="0" t="n">
        <f aca="false">IF($F817=0,0,INDEX(Aux_HH!$I$4:$I$18,MATCH($B817&amp;"|"&amp;$E817,Aux_HH!$A$4:$A$18,0)))</f>
        <v>0</v>
      </c>
    </row>
    <row r="818" customFormat="false" ht="15" hidden="false" customHeight="false" outlineLevel="0" collapsed="false">
      <c r="A818" s="0" t="str">
        <f aca="false">IF(Frota!$A20="","",Frota!$A20)</f>
        <v/>
      </c>
      <c r="B818" s="0" t="str">
        <f aca="false">IF(Frota!$A20="","",Frota!$B20)</f>
        <v/>
      </c>
      <c r="C818" s="0" t="n">
        <v>35</v>
      </c>
      <c r="D818" s="0" t="n">
        <f aca="false">INDEX(Semanas!$E$3:$E$54,35)</f>
        <v>11</v>
      </c>
      <c r="E818" s="0" t="str">
        <f aca="false">IF(Frota!$A20="","",Cronograma!AJ20)</f>
        <v/>
      </c>
      <c r="F818" s="0" t="n">
        <f aca="false">IF(OR($E818="",$E818=0),0,1)</f>
        <v>0</v>
      </c>
      <c r="G818" s="0" t="n">
        <f aca="false">IF($F818=0,0,INDEX(Aux_HH!$D$4:$D$18,MATCH($B818&amp;"|"&amp;$E818,Aux_HH!$A$4:$A$18,0)))</f>
        <v>0</v>
      </c>
      <c r="H818" s="0" t="n">
        <f aca="false">IF($F818=0,0,INDEX(Aux_HH!$E$4:$E$18,MATCH($B818&amp;"|"&amp;$E818,Aux_HH!$A$4:$A$18,0)))</f>
        <v>0</v>
      </c>
      <c r="I818" s="0" t="n">
        <f aca="false">IF($F818=0,0,INDEX(Aux_HH!$F$4:$F$18,MATCH($B818&amp;"|"&amp;$E818,Aux_HH!$A$4:$A$18,0)))</f>
        <v>0</v>
      </c>
      <c r="J818" s="0" t="n">
        <f aca="false">IF($F818=0,0,INDEX(Aux_HH!$G$4:$G$18,MATCH($B818&amp;"|"&amp;$E818,Aux_HH!$A$4:$A$18,0)))</f>
        <v>0</v>
      </c>
      <c r="K818" s="0" t="n">
        <f aca="false">IF($F818=0,0,INDEX(Aux_HH!$H$4:$H$18,MATCH($B818&amp;"|"&amp;$E818,Aux_HH!$A$4:$A$18,0)))</f>
        <v>0</v>
      </c>
      <c r="L818" s="0" t="n">
        <f aca="false">IF($F818=0,0,INDEX(Aux_HH!$I$4:$I$18,MATCH($B818&amp;"|"&amp;$E818,Aux_HH!$A$4:$A$18,0)))</f>
        <v>0</v>
      </c>
    </row>
    <row r="819" customFormat="false" ht="15" hidden="false" customHeight="false" outlineLevel="0" collapsed="false">
      <c r="A819" s="0" t="str">
        <f aca="false">IF(Frota!$A20="","",Frota!$A20)</f>
        <v/>
      </c>
      <c r="B819" s="0" t="str">
        <f aca="false">IF(Frota!$A20="","",Frota!$B20)</f>
        <v/>
      </c>
      <c r="C819" s="0" t="n">
        <v>36</v>
      </c>
      <c r="D819" s="0" t="n">
        <f aca="false">INDEX(Semanas!$E$3:$E$54,36)</f>
        <v>12</v>
      </c>
      <c r="E819" s="0" t="str">
        <f aca="false">IF(Frota!$A20="","",Cronograma!AK20)</f>
        <v/>
      </c>
      <c r="F819" s="0" t="n">
        <f aca="false">IF(OR($E819="",$E819=0),0,1)</f>
        <v>0</v>
      </c>
      <c r="G819" s="0" t="n">
        <f aca="false">IF($F819=0,0,INDEX(Aux_HH!$D$4:$D$18,MATCH($B819&amp;"|"&amp;$E819,Aux_HH!$A$4:$A$18,0)))</f>
        <v>0</v>
      </c>
      <c r="H819" s="0" t="n">
        <f aca="false">IF($F819=0,0,INDEX(Aux_HH!$E$4:$E$18,MATCH($B819&amp;"|"&amp;$E819,Aux_HH!$A$4:$A$18,0)))</f>
        <v>0</v>
      </c>
      <c r="I819" s="0" t="n">
        <f aca="false">IF($F819=0,0,INDEX(Aux_HH!$F$4:$F$18,MATCH($B819&amp;"|"&amp;$E819,Aux_HH!$A$4:$A$18,0)))</f>
        <v>0</v>
      </c>
      <c r="J819" s="0" t="n">
        <f aca="false">IF($F819=0,0,INDEX(Aux_HH!$G$4:$G$18,MATCH($B819&amp;"|"&amp;$E819,Aux_HH!$A$4:$A$18,0)))</f>
        <v>0</v>
      </c>
      <c r="K819" s="0" t="n">
        <f aca="false">IF($F819=0,0,INDEX(Aux_HH!$H$4:$H$18,MATCH($B819&amp;"|"&amp;$E819,Aux_HH!$A$4:$A$18,0)))</f>
        <v>0</v>
      </c>
      <c r="L819" s="0" t="n">
        <f aca="false">IF($F819=0,0,INDEX(Aux_HH!$I$4:$I$18,MATCH($B819&amp;"|"&amp;$E819,Aux_HH!$A$4:$A$18,0)))</f>
        <v>0</v>
      </c>
    </row>
    <row r="820" customFormat="false" ht="15" hidden="false" customHeight="false" outlineLevel="0" collapsed="false">
      <c r="A820" s="0" t="str">
        <f aca="false">IF(Frota!$A20="","",Frota!$A20)</f>
        <v/>
      </c>
      <c r="B820" s="0" t="str">
        <f aca="false">IF(Frota!$A20="","",Frota!$B20)</f>
        <v/>
      </c>
      <c r="C820" s="0" t="n">
        <v>37</v>
      </c>
      <c r="D820" s="0" t="n">
        <f aca="false">INDEX(Semanas!$E$3:$E$54,37)</f>
        <v>12</v>
      </c>
      <c r="E820" s="0" t="str">
        <f aca="false">IF(Frota!$A20="","",Cronograma!AL20)</f>
        <v/>
      </c>
      <c r="F820" s="0" t="n">
        <f aca="false">IF(OR($E820="",$E820=0),0,1)</f>
        <v>0</v>
      </c>
      <c r="G820" s="0" t="n">
        <f aca="false">IF($F820=0,0,INDEX(Aux_HH!$D$4:$D$18,MATCH($B820&amp;"|"&amp;$E820,Aux_HH!$A$4:$A$18,0)))</f>
        <v>0</v>
      </c>
      <c r="H820" s="0" t="n">
        <f aca="false">IF($F820=0,0,INDEX(Aux_HH!$E$4:$E$18,MATCH($B820&amp;"|"&amp;$E820,Aux_HH!$A$4:$A$18,0)))</f>
        <v>0</v>
      </c>
      <c r="I820" s="0" t="n">
        <f aca="false">IF($F820=0,0,INDEX(Aux_HH!$F$4:$F$18,MATCH($B820&amp;"|"&amp;$E820,Aux_HH!$A$4:$A$18,0)))</f>
        <v>0</v>
      </c>
      <c r="J820" s="0" t="n">
        <f aca="false">IF($F820=0,0,INDEX(Aux_HH!$G$4:$G$18,MATCH($B820&amp;"|"&amp;$E820,Aux_HH!$A$4:$A$18,0)))</f>
        <v>0</v>
      </c>
      <c r="K820" s="0" t="n">
        <f aca="false">IF($F820=0,0,INDEX(Aux_HH!$H$4:$H$18,MATCH($B820&amp;"|"&amp;$E820,Aux_HH!$A$4:$A$18,0)))</f>
        <v>0</v>
      </c>
      <c r="L820" s="0" t="n">
        <f aca="false">IF($F820=0,0,INDEX(Aux_HH!$I$4:$I$18,MATCH($B820&amp;"|"&amp;$E820,Aux_HH!$A$4:$A$18,0)))</f>
        <v>0</v>
      </c>
    </row>
    <row r="821" customFormat="false" ht="15" hidden="false" customHeight="false" outlineLevel="0" collapsed="false">
      <c r="A821" s="0" t="str">
        <f aca="false">IF(Frota!$A20="","",Frota!$A20)</f>
        <v/>
      </c>
      <c r="B821" s="0" t="str">
        <f aca="false">IF(Frota!$A20="","",Frota!$B20)</f>
        <v/>
      </c>
      <c r="C821" s="0" t="n">
        <v>38</v>
      </c>
      <c r="D821" s="0" t="n">
        <f aca="false">INDEX(Semanas!$E$3:$E$54,38)</f>
        <v>12</v>
      </c>
      <c r="E821" s="0" t="str">
        <f aca="false">IF(Frota!$A20="","",Cronograma!AM20)</f>
        <v/>
      </c>
      <c r="F821" s="0" t="n">
        <f aca="false">IF(OR($E821="",$E821=0),0,1)</f>
        <v>0</v>
      </c>
      <c r="G821" s="0" t="n">
        <f aca="false">IF($F821=0,0,INDEX(Aux_HH!$D$4:$D$18,MATCH($B821&amp;"|"&amp;$E821,Aux_HH!$A$4:$A$18,0)))</f>
        <v>0</v>
      </c>
      <c r="H821" s="0" t="n">
        <f aca="false">IF($F821=0,0,INDEX(Aux_HH!$E$4:$E$18,MATCH($B821&amp;"|"&amp;$E821,Aux_HH!$A$4:$A$18,0)))</f>
        <v>0</v>
      </c>
      <c r="I821" s="0" t="n">
        <f aca="false">IF($F821=0,0,INDEX(Aux_HH!$F$4:$F$18,MATCH($B821&amp;"|"&amp;$E821,Aux_HH!$A$4:$A$18,0)))</f>
        <v>0</v>
      </c>
      <c r="J821" s="0" t="n">
        <f aca="false">IF($F821=0,0,INDEX(Aux_HH!$G$4:$G$18,MATCH($B821&amp;"|"&amp;$E821,Aux_HH!$A$4:$A$18,0)))</f>
        <v>0</v>
      </c>
      <c r="K821" s="0" t="n">
        <f aca="false">IF($F821=0,0,INDEX(Aux_HH!$H$4:$H$18,MATCH($B821&amp;"|"&amp;$E821,Aux_HH!$A$4:$A$18,0)))</f>
        <v>0</v>
      </c>
      <c r="L821" s="0" t="n">
        <f aca="false">IF($F821=0,0,INDEX(Aux_HH!$I$4:$I$18,MATCH($B821&amp;"|"&amp;$E821,Aux_HH!$A$4:$A$18,0)))</f>
        <v>0</v>
      </c>
    </row>
    <row r="822" customFormat="false" ht="15" hidden="false" customHeight="false" outlineLevel="0" collapsed="false">
      <c r="A822" s="0" t="str">
        <f aca="false">IF(Frota!$A20="","",Frota!$A20)</f>
        <v/>
      </c>
      <c r="B822" s="0" t="str">
        <f aca="false">IF(Frota!$A20="","",Frota!$B20)</f>
        <v/>
      </c>
      <c r="C822" s="0" t="n">
        <v>39</v>
      </c>
      <c r="D822" s="0" t="n">
        <f aca="false">INDEX(Semanas!$E$3:$E$54,39)</f>
        <v>12</v>
      </c>
      <c r="E822" s="0" t="str">
        <f aca="false">IF(Frota!$A20="","",Cronograma!AN20)</f>
        <v/>
      </c>
      <c r="F822" s="0" t="n">
        <f aca="false">IF(OR($E822="",$E822=0),0,1)</f>
        <v>0</v>
      </c>
      <c r="G822" s="0" t="n">
        <f aca="false">IF($F822=0,0,INDEX(Aux_HH!$D$4:$D$18,MATCH($B822&amp;"|"&amp;$E822,Aux_HH!$A$4:$A$18,0)))</f>
        <v>0</v>
      </c>
      <c r="H822" s="0" t="n">
        <f aca="false">IF($F822=0,0,INDEX(Aux_HH!$E$4:$E$18,MATCH($B822&amp;"|"&amp;$E822,Aux_HH!$A$4:$A$18,0)))</f>
        <v>0</v>
      </c>
      <c r="I822" s="0" t="n">
        <f aca="false">IF($F822=0,0,INDEX(Aux_HH!$F$4:$F$18,MATCH($B822&amp;"|"&amp;$E822,Aux_HH!$A$4:$A$18,0)))</f>
        <v>0</v>
      </c>
      <c r="J822" s="0" t="n">
        <f aca="false">IF($F822=0,0,INDEX(Aux_HH!$G$4:$G$18,MATCH($B822&amp;"|"&amp;$E822,Aux_HH!$A$4:$A$18,0)))</f>
        <v>0</v>
      </c>
      <c r="K822" s="0" t="n">
        <f aca="false">IF($F822=0,0,INDEX(Aux_HH!$H$4:$H$18,MATCH($B822&amp;"|"&amp;$E822,Aux_HH!$A$4:$A$18,0)))</f>
        <v>0</v>
      </c>
      <c r="L822" s="0" t="n">
        <f aca="false">IF($F822=0,0,INDEX(Aux_HH!$I$4:$I$18,MATCH($B822&amp;"|"&amp;$E822,Aux_HH!$A$4:$A$18,0)))</f>
        <v>0</v>
      </c>
    </row>
    <row r="823" customFormat="false" ht="15" hidden="false" customHeight="false" outlineLevel="0" collapsed="false">
      <c r="A823" s="0" t="str">
        <f aca="false">IF(Frota!$A20="","",Frota!$A20)</f>
        <v/>
      </c>
      <c r="B823" s="0" t="str">
        <f aca="false">IF(Frota!$A20="","",Frota!$B20)</f>
        <v/>
      </c>
      <c r="C823" s="0" t="n">
        <v>40</v>
      </c>
      <c r="D823" s="0" t="n">
        <f aca="false">INDEX(Semanas!$E$3:$E$54,40)</f>
        <v>12</v>
      </c>
      <c r="E823" s="0" t="str">
        <f aca="false">IF(Frota!$A20="","",Cronograma!AO20)</f>
        <v/>
      </c>
      <c r="F823" s="0" t="n">
        <f aca="false">IF(OR($E823="",$E823=0),0,1)</f>
        <v>0</v>
      </c>
      <c r="G823" s="0" t="n">
        <f aca="false">IF($F823=0,0,INDEX(Aux_HH!$D$4:$D$18,MATCH($B823&amp;"|"&amp;$E823,Aux_HH!$A$4:$A$18,0)))</f>
        <v>0</v>
      </c>
      <c r="H823" s="0" t="n">
        <f aca="false">IF($F823=0,0,INDEX(Aux_HH!$E$4:$E$18,MATCH($B823&amp;"|"&amp;$E823,Aux_HH!$A$4:$A$18,0)))</f>
        <v>0</v>
      </c>
      <c r="I823" s="0" t="n">
        <f aca="false">IF($F823=0,0,INDEX(Aux_HH!$F$4:$F$18,MATCH($B823&amp;"|"&amp;$E823,Aux_HH!$A$4:$A$18,0)))</f>
        <v>0</v>
      </c>
      <c r="J823" s="0" t="n">
        <f aca="false">IF($F823=0,0,INDEX(Aux_HH!$G$4:$G$18,MATCH($B823&amp;"|"&amp;$E823,Aux_HH!$A$4:$A$18,0)))</f>
        <v>0</v>
      </c>
      <c r="K823" s="0" t="n">
        <f aca="false">IF($F823=0,0,INDEX(Aux_HH!$H$4:$H$18,MATCH($B823&amp;"|"&amp;$E823,Aux_HH!$A$4:$A$18,0)))</f>
        <v>0</v>
      </c>
      <c r="L823" s="0" t="n">
        <f aca="false">IF($F823=0,0,INDEX(Aux_HH!$I$4:$I$18,MATCH($B823&amp;"|"&amp;$E823,Aux_HH!$A$4:$A$18,0)))</f>
        <v>0</v>
      </c>
    </row>
    <row r="824" customFormat="false" ht="15" hidden="false" customHeight="false" outlineLevel="0" collapsed="false">
      <c r="A824" s="0" t="str">
        <f aca="false">IF(Frota!$A20="","",Frota!$A20)</f>
        <v/>
      </c>
      <c r="B824" s="0" t="str">
        <f aca="false">IF(Frota!$A20="","",Frota!$B20)</f>
        <v/>
      </c>
      <c r="C824" s="0" t="n">
        <v>41</v>
      </c>
      <c r="D824" s="0" t="n">
        <f aca="false">INDEX(Semanas!$E$3:$E$54,41)</f>
        <v>1</v>
      </c>
      <c r="E824" s="0" t="str">
        <f aca="false">IF(Frota!$A20="","",Cronograma!AP20)</f>
        <v/>
      </c>
      <c r="F824" s="0" t="n">
        <f aca="false">IF(OR($E824="",$E824=0),0,1)</f>
        <v>0</v>
      </c>
      <c r="G824" s="0" t="n">
        <f aca="false">IF($F824=0,0,INDEX(Aux_HH!$D$4:$D$18,MATCH($B824&amp;"|"&amp;$E824,Aux_HH!$A$4:$A$18,0)))</f>
        <v>0</v>
      </c>
      <c r="H824" s="0" t="n">
        <f aca="false">IF($F824=0,0,INDEX(Aux_HH!$E$4:$E$18,MATCH($B824&amp;"|"&amp;$E824,Aux_HH!$A$4:$A$18,0)))</f>
        <v>0</v>
      </c>
      <c r="I824" s="0" t="n">
        <f aca="false">IF($F824=0,0,INDEX(Aux_HH!$F$4:$F$18,MATCH($B824&amp;"|"&amp;$E824,Aux_HH!$A$4:$A$18,0)))</f>
        <v>0</v>
      </c>
      <c r="J824" s="0" t="n">
        <f aca="false">IF($F824=0,0,INDEX(Aux_HH!$G$4:$G$18,MATCH($B824&amp;"|"&amp;$E824,Aux_HH!$A$4:$A$18,0)))</f>
        <v>0</v>
      </c>
      <c r="K824" s="0" t="n">
        <f aca="false">IF($F824=0,0,INDEX(Aux_HH!$H$4:$H$18,MATCH($B824&amp;"|"&amp;$E824,Aux_HH!$A$4:$A$18,0)))</f>
        <v>0</v>
      </c>
      <c r="L824" s="0" t="n">
        <f aca="false">IF($F824=0,0,INDEX(Aux_HH!$I$4:$I$18,MATCH($B824&amp;"|"&amp;$E824,Aux_HH!$A$4:$A$18,0)))</f>
        <v>0</v>
      </c>
    </row>
    <row r="825" customFormat="false" ht="15" hidden="false" customHeight="false" outlineLevel="0" collapsed="false">
      <c r="A825" s="0" t="str">
        <f aca="false">IF(Frota!$A20="","",Frota!$A20)</f>
        <v/>
      </c>
      <c r="B825" s="0" t="str">
        <f aca="false">IF(Frota!$A20="","",Frota!$B20)</f>
        <v/>
      </c>
      <c r="C825" s="0" t="n">
        <v>42</v>
      </c>
      <c r="D825" s="0" t="n">
        <f aca="false">INDEX(Semanas!$E$3:$E$54,42)</f>
        <v>1</v>
      </c>
      <c r="E825" s="0" t="str">
        <f aca="false">IF(Frota!$A20="","",Cronograma!AQ20)</f>
        <v/>
      </c>
      <c r="F825" s="0" t="n">
        <f aca="false">IF(OR($E825="",$E825=0),0,1)</f>
        <v>0</v>
      </c>
      <c r="G825" s="0" t="n">
        <f aca="false">IF($F825=0,0,INDEX(Aux_HH!$D$4:$D$18,MATCH($B825&amp;"|"&amp;$E825,Aux_HH!$A$4:$A$18,0)))</f>
        <v>0</v>
      </c>
      <c r="H825" s="0" t="n">
        <f aca="false">IF($F825=0,0,INDEX(Aux_HH!$E$4:$E$18,MATCH($B825&amp;"|"&amp;$E825,Aux_HH!$A$4:$A$18,0)))</f>
        <v>0</v>
      </c>
      <c r="I825" s="0" t="n">
        <f aca="false">IF($F825=0,0,INDEX(Aux_HH!$F$4:$F$18,MATCH($B825&amp;"|"&amp;$E825,Aux_HH!$A$4:$A$18,0)))</f>
        <v>0</v>
      </c>
      <c r="J825" s="0" t="n">
        <f aca="false">IF($F825=0,0,INDEX(Aux_HH!$G$4:$G$18,MATCH($B825&amp;"|"&amp;$E825,Aux_HH!$A$4:$A$18,0)))</f>
        <v>0</v>
      </c>
      <c r="K825" s="0" t="n">
        <f aca="false">IF($F825=0,0,INDEX(Aux_HH!$H$4:$H$18,MATCH($B825&amp;"|"&amp;$E825,Aux_HH!$A$4:$A$18,0)))</f>
        <v>0</v>
      </c>
      <c r="L825" s="0" t="n">
        <f aca="false">IF($F825=0,0,INDEX(Aux_HH!$I$4:$I$18,MATCH($B825&amp;"|"&amp;$E825,Aux_HH!$A$4:$A$18,0)))</f>
        <v>0</v>
      </c>
    </row>
    <row r="826" customFormat="false" ht="15" hidden="false" customHeight="false" outlineLevel="0" collapsed="false">
      <c r="A826" s="0" t="str">
        <f aca="false">IF(Frota!$A20="","",Frota!$A20)</f>
        <v/>
      </c>
      <c r="B826" s="0" t="str">
        <f aca="false">IF(Frota!$A20="","",Frota!$B20)</f>
        <v/>
      </c>
      <c r="C826" s="0" t="n">
        <v>43</v>
      </c>
      <c r="D826" s="0" t="n">
        <f aca="false">INDEX(Semanas!$E$3:$E$54,43)</f>
        <v>1</v>
      </c>
      <c r="E826" s="0" t="str">
        <f aca="false">IF(Frota!$A20="","",Cronograma!AR20)</f>
        <v/>
      </c>
      <c r="F826" s="0" t="n">
        <f aca="false">IF(OR($E826="",$E826=0),0,1)</f>
        <v>0</v>
      </c>
      <c r="G826" s="0" t="n">
        <f aca="false">IF($F826=0,0,INDEX(Aux_HH!$D$4:$D$18,MATCH($B826&amp;"|"&amp;$E826,Aux_HH!$A$4:$A$18,0)))</f>
        <v>0</v>
      </c>
      <c r="H826" s="0" t="n">
        <f aca="false">IF($F826=0,0,INDEX(Aux_HH!$E$4:$E$18,MATCH($B826&amp;"|"&amp;$E826,Aux_HH!$A$4:$A$18,0)))</f>
        <v>0</v>
      </c>
      <c r="I826" s="0" t="n">
        <f aca="false">IF($F826=0,0,INDEX(Aux_HH!$F$4:$F$18,MATCH($B826&amp;"|"&amp;$E826,Aux_HH!$A$4:$A$18,0)))</f>
        <v>0</v>
      </c>
      <c r="J826" s="0" t="n">
        <f aca="false">IF($F826=0,0,INDEX(Aux_HH!$G$4:$G$18,MATCH($B826&amp;"|"&amp;$E826,Aux_HH!$A$4:$A$18,0)))</f>
        <v>0</v>
      </c>
      <c r="K826" s="0" t="n">
        <f aca="false">IF($F826=0,0,INDEX(Aux_HH!$H$4:$H$18,MATCH($B826&amp;"|"&amp;$E826,Aux_HH!$A$4:$A$18,0)))</f>
        <v>0</v>
      </c>
      <c r="L826" s="0" t="n">
        <f aca="false">IF($F826=0,0,INDEX(Aux_HH!$I$4:$I$18,MATCH($B826&amp;"|"&amp;$E826,Aux_HH!$A$4:$A$18,0)))</f>
        <v>0</v>
      </c>
    </row>
    <row r="827" customFormat="false" ht="15" hidden="false" customHeight="false" outlineLevel="0" collapsed="false">
      <c r="A827" s="0" t="str">
        <f aca="false">IF(Frota!$A20="","",Frota!$A20)</f>
        <v/>
      </c>
      <c r="B827" s="0" t="str">
        <f aca="false">IF(Frota!$A20="","",Frota!$B20)</f>
        <v/>
      </c>
      <c r="C827" s="0" t="n">
        <v>44</v>
      </c>
      <c r="D827" s="0" t="n">
        <f aca="false">INDEX(Semanas!$E$3:$E$54,44)</f>
        <v>1</v>
      </c>
      <c r="E827" s="0" t="str">
        <f aca="false">IF(Frota!$A20="","",Cronograma!AS20)</f>
        <v/>
      </c>
      <c r="F827" s="0" t="n">
        <f aca="false">IF(OR($E827="",$E827=0),0,1)</f>
        <v>0</v>
      </c>
      <c r="G827" s="0" t="n">
        <f aca="false">IF($F827=0,0,INDEX(Aux_HH!$D$4:$D$18,MATCH($B827&amp;"|"&amp;$E827,Aux_HH!$A$4:$A$18,0)))</f>
        <v>0</v>
      </c>
      <c r="H827" s="0" t="n">
        <f aca="false">IF($F827=0,0,INDEX(Aux_HH!$E$4:$E$18,MATCH($B827&amp;"|"&amp;$E827,Aux_HH!$A$4:$A$18,0)))</f>
        <v>0</v>
      </c>
      <c r="I827" s="0" t="n">
        <f aca="false">IF($F827=0,0,INDEX(Aux_HH!$F$4:$F$18,MATCH($B827&amp;"|"&amp;$E827,Aux_HH!$A$4:$A$18,0)))</f>
        <v>0</v>
      </c>
      <c r="J827" s="0" t="n">
        <f aca="false">IF($F827=0,0,INDEX(Aux_HH!$G$4:$G$18,MATCH($B827&amp;"|"&amp;$E827,Aux_HH!$A$4:$A$18,0)))</f>
        <v>0</v>
      </c>
      <c r="K827" s="0" t="n">
        <f aca="false">IF($F827=0,0,INDEX(Aux_HH!$H$4:$H$18,MATCH($B827&amp;"|"&amp;$E827,Aux_HH!$A$4:$A$18,0)))</f>
        <v>0</v>
      </c>
      <c r="L827" s="0" t="n">
        <f aca="false">IF($F827=0,0,INDEX(Aux_HH!$I$4:$I$18,MATCH($B827&amp;"|"&amp;$E827,Aux_HH!$A$4:$A$18,0)))</f>
        <v>0</v>
      </c>
    </row>
    <row r="828" customFormat="false" ht="15" hidden="false" customHeight="false" outlineLevel="0" collapsed="false">
      <c r="A828" s="0" t="str">
        <f aca="false">IF(Frota!$A20="","",Frota!$A20)</f>
        <v/>
      </c>
      <c r="B828" s="0" t="str">
        <f aca="false">IF(Frota!$A20="","",Frota!$B20)</f>
        <v/>
      </c>
      <c r="C828" s="0" t="n">
        <v>45</v>
      </c>
      <c r="D828" s="0" t="n">
        <f aca="false">INDEX(Semanas!$E$3:$E$54,45)</f>
        <v>2</v>
      </c>
      <c r="E828" s="0" t="str">
        <f aca="false">IF(Frota!$A20="","",Cronograma!AT20)</f>
        <v/>
      </c>
      <c r="F828" s="0" t="n">
        <f aca="false">IF(OR($E828="",$E828=0),0,1)</f>
        <v>0</v>
      </c>
      <c r="G828" s="0" t="n">
        <f aca="false">IF($F828=0,0,INDEX(Aux_HH!$D$4:$D$18,MATCH($B828&amp;"|"&amp;$E828,Aux_HH!$A$4:$A$18,0)))</f>
        <v>0</v>
      </c>
      <c r="H828" s="0" t="n">
        <f aca="false">IF($F828=0,0,INDEX(Aux_HH!$E$4:$E$18,MATCH($B828&amp;"|"&amp;$E828,Aux_HH!$A$4:$A$18,0)))</f>
        <v>0</v>
      </c>
      <c r="I828" s="0" t="n">
        <f aca="false">IF($F828=0,0,INDEX(Aux_HH!$F$4:$F$18,MATCH($B828&amp;"|"&amp;$E828,Aux_HH!$A$4:$A$18,0)))</f>
        <v>0</v>
      </c>
      <c r="J828" s="0" t="n">
        <f aca="false">IF($F828=0,0,INDEX(Aux_HH!$G$4:$G$18,MATCH($B828&amp;"|"&amp;$E828,Aux_HH!$A$4:$A$18,0)))</f>
        <v>0</v>
      </c>
      <c r="K828" s="0" t="n">
        <f aca="false">IF($F828=0,0,INDEX(Aux_HH!$H$4:$H$18,MATCH($B828&amp;"|"&amp;$E828,Aux_HH!$A$4:$A$18,0)))</f>
        <v>0</v>
      </c>
      <c r="L828" s="0" t="n">
        <f aca="false">IF($F828=0,0,INDEX(Aux_HH!$I$4:$I$18,MATCH($B828&amp;"|"&amp;$E828,Aux_HH!$A$4:$A$18,0)))</f>
        <v>0</v>
      </c>
    </row>
    <row r="829" customFormat="false" ht="15" hidden="false" customHeight="false" outlineLevel="0" collapsed="false">
      <c r="A829" s="0" t="str">
        <f aca="false">IF(Frota!$A20="","",Frota!$A20)</f>
        <v/>
      </c>
      <c r="B829" s="0" t="str">
        <f aca="false">IF(Frota!$A20="","",Frota!$B20)</f>
        <v/>
      </c>
      <c r="C829" s="0" t="n">
        <v>46</v>
      </c>
      <c r="D829" s="0" t="n">
        <f aca="false">INDEX(Semanas!$E$3:$E$54,46)</f>
        <v>2</v>
      </c>
      <c r="E829" s="0" t="str">
        <f aca="false">IF(Frota!$A20="","",Cronograma!AU20)</f>
        <v/>
      </c>
      <c r="F829" s="0" t="n">
        <f aca="false">IF(OR($E829="",$E829=0),0,1)</f>
        <v>0</v>
      </c>
      <c r="G829" s="0" t="n">
        <f aca="false">IF($F829=0,0,INDEX(Aux_HH!$D$4:$D$18,MATCH($B829&amp;"|"&amp;$E829,Aux_HH!$A$4:$A$18,0)))</f>
        <v>0</v>
      </c>
      <c r="H829" s="0" t="n">
        <f aca="false">IF($F829=0,0,INDEX(Aux_HH!$E$4:$E$18,MATCH($B829&amp;"|"&amp;$E829,Aux_HH!$A$4:$A$18,0)))</f>
        <v>0</v>
      </c>
      <c r="I829" s="0" t="n">
        <f aca="false">IF($F829=0,0,INDEX(Aux_HH!$F$4:$F$18,MATCH($B829&amp;"|"&amp;$E829,Aux_HH!$A$4:$A$18,0)))</f>
        <v>0</v>
      </c>
      <c r="J829" s="0" t="n">
        <f aca="false">IF($F829=0,0,INDEX(Aux_HH!$G$4:$G$18,MATCH($B829&amp;"|"&amp;$E829,Aux_HH!$A$4:$A$18,0)))</f>
        <v>0</v>
      </c>
      <c r="K829" s="0" t="n">
        <f aca="false">IF($F829=0,0,INDEX(Aux_HH!$H$4:$H$18,MATCH($B829&amp;"|"&amp;$E829,Aux_HH!$A$4:$A$18,0)))</f>
        <v>0</v>
      </c>
      <c r="L829" s="0" t="n">
        <f aca="false">IF($F829=0,0,INDEX(Aux_HH!$I$4:$I$18,MATCH($B829&amp;"|"&amp;$E829,Aux_HH!$A$4:$A$18,0)))</f>
        <v>0</v>
      </c>
    </row>
    <row r="830" customFormat="false" ht="15" hidden="false" customHeight="false" outlineLevel="0" collapsed="false">
      <c r="A830" s="0" t="str">
        <f aca="false">IF(Frota!$A20="","",Frota!$A20)</f>
        <v/>
      </c>
      <c r="B830" s="0" t="str">
        <f aca="false">IF(Frota!$A20="","",Frota!$B20)</f>
        <v/>
      </c>
      <c r="C830" s="0" t="n">
        <v>47</v>
      </c>
      <c r="D830" s="0" t="n">
        <f aca="false">INDEX(Semanas!$E$3:$E$54,47)</f>
        <v>2</v>
      </c>
      <c r="E830" s="0" t="str">
        <f aca="false">IF(Frota!$A20="","",Cronograma!AV20)</f>
        <v/>
      </c>
      <c r="F830" s="0" t="n">
        <f aca="false">IF(OR($E830="",$E830=0),0,1)</f>
        <v>0</v>
      </c>
      <c r="G830" s="0" t="n">
        <f aca="false">IF($F830=0,0,INDEX(Aux_HH!$D$4:$D$18,MATCH($B830&amp;"|"&amp;$E830,Aux_HH!$A$4:$A$18,0)))</f>
        <v>0</v>
      </c>
      <c r="H830" s="0" t="n">
        <f aca="false">IF($F830=0,0,INDEX(Aux_HH!$E$4:$E$18,MATCH($B830&amp;"|"&amp;$E830,Aux_HH!$A$4:$A$18,0)))</f>
        <v>0</v>
      </c>
      <c r="I830" s="0" t="n">
        <f aca="false">IF($F830=0,0,INDEX(Aux_HH!$F$4:$F$18,MATCH($B830&amp;"|"&amp;$E830,Aux_HH!$A$4:$A$18,0)))</f>
        <v>0</v>
      </c>
      <c r="J830" s="0" t="n">
        <f aca="false">IF($F830=0,0,INDEX(Aux_HH!$G$4:$G$18,MATCH($B830&amp;"|"&amp;$E830,Aux_HH!$A$4:$A$18,0)))</f>
        <v>0</v>
      </c>
      <c r="K830" s="0" t="n">
        <f aca="false">IF($F830=0,0,INDEX(Aux_HH!$H$4:$H$18,MATCH($B830&amp;"|"&amp;$E830,Aux_HH!$A$4:$A$18,0)))</f>
        <v>0</v>
      </c>
      <c r="L830" s="0" t="n">
        <f aca="false">IF($F830=0,0,INDEX(Aux_HH!$I$4:$I$18,MATCH($B830&amp;"|"&amp;$E830,Aux_HH!$A$4:$A$18,0)))</f>
        <v>0</v>
      </c>
    </row>
    <row r="831" customFormat="false" ht="15" hidden="false" customHeight="false" outlineLevel="0" collapsed="false">
      <c r="A831" s="0" t="str">
        <f aca="false">IF(Frota!$A20="","",Frota!$A20)</f>
        <v/>
      </c>
      <c r="B831" s="0" t="str">
        <f aca="false">IF(Frota!$A20="","",Frota!$B20)</f>
        <v/>
      </c>
      <c r="C831" s="0" t="n">
        <v>48</v>
      </c>
      <c r="D831" s="0" t="n">
        <f aca="false">INDEX(Semanas!$E$3:$E$54,48)</f>
        <v>2</v>
      </c>
      <c r="E831" s="0" t="str">
        <f aca="false">IF(Frota!$A20="","",Cronograma!AW20)</f>
        <v/>
      </c>
      <c r="F831" s="0" t="n">
        <f aca="false">IF(OR($E831="",$E831=0),0,1)</f>
        <v>0</v>
      </c>
      <c r="G831" s="0" t="n">
        <f aca="false">IF($F831=0,0,INDEX(Aux_HH!$D$4:$D$18,MATCH($B831&amp;"|"&amp;$E831,Aux_HH!$A$4:$A$18,0)))</f>
        <v>0</v>
      </c>
      <c r="H831" s="0" t="n">
        <f aca="false">IF($F831=0,0,INDEX(Aux_HH!$E$4:$E$18,MATCH($B831&amp;"|"&amp;$E831,Aux_HH!$A$4:$A$18,0)))</f>
        <v>0</v>
      </c>
      <c r="I831" s="0" t="n">
        <f aca="false">IF($F831=0,0,INDEX(Aux_HH!$F$4:$F$18,MATCH($B831&amp;"|"&amp;$E831,Aux_HH!$A$4:$A$18,0)))</f>
        <v>0</v>
      </c>
      <c r="J831" s="0" t="n">
        <f aca="false">IF($F831=0,0,INDEX(Aux_HH!$G$4:$G$18,MATCH($B831&amp;"|"&amp;$E831,Aux_HH!$A$4:$A$18,0)))</f>
        <v>0</v>
      </c>
      <c r="K831" s="0" t="n">
        <f aca="false">IF($F831=0,0,INDEX(Aux_HH!$H$4:$H$18,MATCH($B831&amp;"|"&amp;$E831,Aux_HH!$A$4:$A$18,0)))</f>
        <v>0</v>
      </c>
      <c r="L831" s="0" t="n">
        <f aca="false">IF($F831=0,0,INDEX(Aux_HH!$I$4:$I$18,MATCH($B831&amp;"|"&amp;$E831,Aux_HH!$A$4:$A$18,0)))</f>
        <v>0</v>
      </c>
    </row>
    <row r="832" customFormat="false" ht="15" hidden="false" customHeight="false" outlineLevel="0" collapsed="false">
      <c r="A832" s="0" t="str">
        <f aca="false">IF(Frota!$A20="","",Frota!$A20)</f>
        <v/>
      </c>
      <c r="B832" s="0" t="str">
        <f aca="false">IF(Frota!$A20="","",Frota!$B20)</f>
        <v/>
      </c>
      <c r="C832" s="0" t="n">
        <v>49</v>
      </c>
      <c r="D832" s="0" t="n">
        <f aca="false">INDEX(Semanas!$E$3:$E$54,49)</f>
        <v>3</v>
      </c>
      <c r="E832" s="0" t="str">
        <f aca="false">IF(Frota!$A20="","",Cronograma!AX20)</f>
        <v/>
      </c>
      <c r="F832" s="0" t="n">
        <f aca="false">IF(OR($E832="",$E832=0),0,1)</f>
        <v>0</v>
      </c>
      <c r="G832" s="0" t="n">
        <f aca="false">IF($F832=0,0,INDEX(Aux_HH!$D$4:$D$18,MATCH($B832&amp;"|"&amp;$E832,Aux_HH!$A$4:$A$18,0)))</f>
        <v>0</v>
      </c>
      <c r="H832" s="0" t="n">
        <f aca="false">IF($F832=0,0,INDEX(Aux_HH!$E$4:$E$18,MATCH($B832&amp;"|"&amp;$E832,Aux_HH!$A$4:$A$18,0)))</f>
        <v>0</v>
      </c>
      <c r="I832" s="0" t="n">
        <f aca="false">IF($F832=0,0,INDEX(Aux_HH!$F$4:$F$18,MATCH($B832&amp;"|"&amp;$E832,Aux_HH!$A$4:$A$18,0)))</f>
        <v>0</v>
      </c>
      <c r="J832" s="0" t="n">
        <f aca="false">IF($F832=0,0,INDEX(Aux_HH!$G$4:$G$18,MATCH($B832&amp;"|"&amp;$E832,Aux_HH!$A$4:$A$18,0)))</f>
        <v>0</v>
      </c>
      <c r="K832" s="0" t="n">
        <f aca="false">IF($F832=0,0,INDEX(Aux_HH!$H$4:$H$18,MATCH($B832&amp;"|"&amp;$E832,Aux_HH!$A$4:$A$18,0)))</f>
        <v>0</v>
      </c>
      <c r="L832" s="0" t="n">
        <f aca="false">IF($F832=0,0,INDEX(Aux_HH!$I$4:$I$18,MATCH($B832&amp;"|"&amp;$E832,Aux_HH!$A$4:$A$18,0)))</f>
        <v>0</v>
      </c>
    </row>
    <row r="833" customFormat="false" ht="15" hidden="false" customHeight="false" outlineLevel="0" collapsed="false">
      <c r="A833" s="0" t="str">
        <f aca="false">IF(Frota!$A20="","",Frota!$A20)</f>
        <v/>
      </c>
      <c r="B833" s="0" t="str">
        <f aca="false">IF(Frota!$A20="","",Frota!$B20)</f>
        <v/>
      </c>
      <c r="C833" s="0" t="n">
        <v>50</v>
      </c>
      <c r="D833" s="0" t="n">
        <f aca="false">INDEX(Semanas!$E$3:$E$54,50)</f>
        <v>3</v>
      </c>
      <c r="E833" s="0" t="str">
        <f aca="false">IF(Frota!$A20="","",Cronograma!AY20)</f>
        <v/>
      </c>
      <c r="F833" s="0" t="n">
        <f aca="false">IF(OR($E833="",$E833=0),0,1)</f>
        <v>0</v>
      </c>
      <c r="G833" s="0" t="n">
        <f aca="false">IF($F833=0,0,INDEX(Aux_HH!$D$4:$D$18,MATCH($B833&amp;"|"&amp;$E833,Aux_HH!$A$4:$A$18,0)))</f>
        <v>0</v>
      </c>
      <c r="H833" s="0" t="n">
        <f aca="false">IF($F833=0,0,INDEX(Aux_HH!$E$4:$E$18,MATCH($B833&amp;"|"&amp;$E833,Aux_HH!$A$4:$A$18,0)))</f>
        <v>0</v>
      </c>
      <c r="I833" s="0" t="n">
        <f aca="false">IF($F833=0,0,INDEX(Aux_HH!$F$4:$F$18,MATCH($B833&amp;"|"&amp;$E833,Aux_HH!$A$4:$A$18,0)))</f>
        <v>0</v>
      </c>
      <c r="J833" s="0" t="n">
        <f aca="false">IF($F833=0,0,INDEX(Aux_HH!$G$4:$G$18,MATCH($B833&amp;"|"&amp;$E833,Aux_HH!$A$4:$A$18,0)))</f>
        <v>0</v>
      </c>
      <c r="K833" s="0" t="n">
        <f aca="false">IF($F833=0,0,INDEX(Aux_HH!$H$4:$H$18,MATCH($B833&amp;"|"&amp;$E833,Aux_HH!$A$4:$A$18,0)))</f>
        <v>0</v>
      </c>
      <c r="L833" s="0" t="n">
        <f aca="false">IF($F833=0,0,INDEX(Aux_HH!$I$4:$I$18,MATCH($B833&amp;"|"&amp;$E833,Aux_HH!$A$4:$A$18,0)))</f>
        <v>0</v>
      </c>
    </row>
    <row r="834" customFormat="false" ht="15" hidden="false" customHeight="false" outlineLevel="0" collapsed="false">
      <c r="A834" s="0" t="str">
        <f aca="false">IF(Frota!$A20="","",Frota!$A20)</f>
        <v/>
      </c>
      <c r="B834" s="0" t="str">
        <f aca="false">IF(Frota!$A20="","",Frota!$B20)</f>
        <v/>
      </c>
      <c r="C834" s="0" t="n">
        <v>51</v>
      </c>
      <c r="D834" s="0" t="n">
        <f aca="false">INDEX(Semanas!$E$3:$E$54,51)</f>
        <v>3</v>
      </c>
      <c r="E834" s="0" t="str">
        <f aca="false">IF(Frota!$A20="","",Cronograma!AZ20)</f>
        <v/>
      </c>
      <c r="F834" s="0" t="n">
        <f aca="false">IF(OR($E834="",$E834=0),0,1)</f>
        <v>0</v>
      </c>
      <c r="G834" s="0" t="n">
        <f aca="false">IF($F834=0,0,INDEX(Aux_HH!$D$4:$D$18,MATCH($B834&amp;"|"&amp;$E834,Aux_HH!$A$4:$A$18,0)))</f>
        <v>0</v>
      </c>
      <c r="H834" s="0" t="n">
        <f aca="false">IF($F834=0,0,INDEX(Aux_HH!$E$4:$E$18,MATCH($B834&amp;"|"&amp;$E834,Aux_HH!$A$4:$A$18,0)))</f>
        <v>0</v>
      </c>
      <c r="I834" s="0" t="n">
        <f aca="false">IF($F834=0,0,INDEX(Aux_HH!$F$4:$F$18,MATCH($B834&amp;"|"&amp;$E834,Aux_HH!$A$4:$A$18,0)))</f>
        <v>0</v>
      </c>
      <c r="J834" s="0" t="n">
        <f aca="false">IF($F834=0,0,INDEX(Aux_HH!$G$4:$G$18,MATCH($B834&amp;"|"&amp;$E834,Aux_HH!$A$4:$A$18,0)))</f>
        <v>0</v>
      </c>
      <c r="K834" s="0" t="n">
        <f aca="false">IF($F834=0,0,INDEX(Aux_HH!$H$4:$H$18,MATCH($B834&amp;"|"&amp;$E834,Aux_HH!$A$4:$A$18,0)))</f>
        <v>0</v>
      </c>
      <c r="L834" s="0" t="n">
        <f aca="false">IF($F834=0,0,INDEX(Aux_HH!$I$4:$I$18,MATCH($B834&amp;"|"&amp;$E834,Aux_HH!$A$4:$A$18,0)))</f>
        <v>0</v>
      </c>
    </row>
    <row r="835" customFormat="false" ht="15" hidden="false" customHeight="false" outlineLevel="0" collapsed="false">
      <c r="A835" s="0" t="str">
        <f aca="false">IF(Frota!$A20="","",Frota!$A20)</f>
        <v/>
      </c>
      <c r="B835" s="0" t="str">
        <f aca="false">IF(Frota!$A20="","",Frota!$B20)</f>
        <v/>
      </c>
      <c r="C835" s="0" t="n">
        <v>52</v>
      </c>
      <c r="D835" s="0" t="n">
        <f aca="false">INDEX(Semanas!$E$3:$E$54,52)</f>
        <v>3</v>
      </c>
      <c r="E835" s="0" t="str">
        <f aca="false">IF(Frota!$A20="","",Cronograma!BA20)</f>
        <v/>
      </c>
      <c r="F835" s="0" t="n">
        <f aca="false">IF(OR($E835="",$E835=0),0,1)</f>
        <v>0</v>
      </c>
      <c r="G835" s="0" t="n">
        <f aca="false">IF($F835=0,0,INDEX(Aux_HH!$D$4:$D$18,MATCH($B835&amp;"|"&amp;$E835,Aux_HH!$A$4:$A$18,0)))</f>
        <v>0</v>
      </c>
      <c r="H835" s="0" t="n">
        <f aca="false">IF($F835=0,0,INDEX(Aux_HH!$E$4:$E$18,MATCH($B835&amp;"|"&amp;$E835,Aux_HH!$A$4:$A$18,0)))</f>
        <v>0</v>
      </c>
      <c r="I835" s="0" t="n">
        <f aca="false">IF($F835=0,0,INDEX(Aux_HH!$F$4:$F$18,MATCH($B835&amp;"|"&amp;$E835,Aux_HH!$A$4:$A$18,0)))</f>
        <v>0</v>
      </c>
      <c r="J835" s="0" t="n">
        <f aca="false">IF($F835=0,0,INDEX(Aux_HH!$G$4:$G$18,MATCH($B835&amp;"|"&amp;$E835,Aux_HH!$A$4:$A$18,0)))</f>
        <v>0</v>
      </c>
      <c r="K835" s="0" t="n">
        <f aca="false">IF($F835=0,0,INDEX(Aux_HH!$H$4:$H$18,MATCH($B835&amp;"|"&amp;$E835,Aux_HH!$A$4:$A$18,0)))</f>
        <v>0</v>
      </c>
      <c r="L835" s="0" t="n">
        <f aca="false">IF($F835=0,0,INDEX(Aux_HH!$I$4:$I$18,MATCH($B835&amp;"|"&amp;$E835,Aux_HH!$A$4:$A$18,0)))</f>
        <v>0</v>
      </c>
    </row>
    <row r="836" customFormat="false" ht="15" hidden="false" customHeight="false" outlineLevel="0" collapsed="false">
      <c r="A836" s="0" t="str">
        <f aca="false">IF(Frota!$A21="","",Frota!$A21)</f>
        <v/>
      </c>
      <c r="B836" s="0" t="str">
        <f aca="false">IF(Frota!$A21="","",Frota!$B21)</f>
        <v/>
      </c>
      <c r="C836" s="0" t="n">
        <v>1</v>
      </c>
      <c r="D836" s="0" t="n">
        <f aca="false">INDEX(Semanas!$E$3:$E$54,1)</f>
        <v>4</v>
      </c>
      <c r="E836" s="0" t="str">
        <f aca="false">IF(Frota!$A21="","",Cronograma!B21)</f>
        <v/>
      </c>
      <c r="F836" s="0" t="n">
        <f aca="false">IF(OR($E836="",$E836=0),0,1)</f>
        <v>0</v>
      </c>
      <c r="G836" s="0" t="n">
        <f aca="false">IF($F836=0,0,INDEX(Aux_HH!$D$4:$D$18,MATCH($B836&amp;"|"&amp;$E836,Aux_HH!$A$4:$A$18,0)))</f>
        <v>0</v>
      </c>
      <c r="H836" s="0" t="n">
        <f aca="false">IF($F836=0,0,INDEX(Aux_HH!$E$4:$E$18,MATCH($B836&amp;"|"&amp;$E836,Aux_HH!$A$4:$A$18,0)))</f>
        <v>0</v>
      </c>
      <c r="I836" s="0" t="n">
        <f aca="false">IF($F836=0,0,INDEX(Aux_HH!$F$4:$F$18,MATCH($B836&amp;"|"&amp;$E836,Aux_HH!$A$4:$A$18,0)))</f>
        <v>0</v>
      </c>
      <c r="J836" s="0" t="n">
        <f aca="false">IF($F836=0,0,INDEX(Aux_HH!$G$4:$G$18,MATCH($B836&amp;"|"&amp;$E836,Aux_HH!$A$4:$A$18,0)))</f>
        <v>0</v>
      </c>
      <c r="K836" s="0" t="n">
        <f aca="false">IF($F836=0,0,INDEX(Aux_HH!$H$4:$H$18,MATCH($B836&amp;"|"&amp;$E836,Aux_HH!$A$4:$A$18,0)))</f>
        <v>0</v>
      </c>
      <c r="L836" s="0" t="n">
        <f aca="false">IF($F836=0,0,INDEX(Aux_HH!$I$4:$I$18,MATCH($B836&amp;"|"&amp;$E836,Aux_HH!$A$4:$A$18,0)))</f>
        <v>0</v>
      </c>
    </row>
    <row r="837" customFormat="false" ht="15" hidden="false" customHeight="false" outlineLevel="0" collapsed="false">
      <c r="A837" s="0" t="str">
        <f aca="false">IF(Frota!$A21="","",Frota!$A21)</f>
        <v/>
      </c>
      <c r="B837" s="0" t="str">
        <f aca="false">IF(Frota!$A21="","",Frota!$B21)</f>
        <v/>
      </c>
      <c r="C837" s="0" t="n">
        <v>2</v>
      </c>
      <c r="D837" s="0" t="n">
        <f aca="false">INDEX(Semanas!$E$3:$E$54,2)</f>
        <v>4</v>
      </c>
      <c r="E837" s="0" t="str">
        <f aca="false">IF(Frota!$A21="","",Cronograma!C21)</f>
        <v/>
      </c>
      <c r="F837" s="0" t="n">
        <f aca="false">IF(OR($E837="",$E837=0),0,1)</f>
        <v>0</v>
      </c>
      <c r="G837" s="0" t="n">
        <f aca="false">IF($F837=0,0,INDEX(Aux_HH!$D$4:$D$18,MATCH($B837&amp;"|"&amp;$E837,Aux_HH!$A$4:$A$18,0)))</f>
        <v>0</v>
      </c>
      <c r="H837" s="0" t="n">
        <f aca="false">IF($F837=0,0,INDEX(Aux_HH!$E$4:$E$18,MATCH($B837&amp;"|"&amp;$E837,Aux_HH!$A$4:$A$18,0)))</f>
        <v>0</v>
      </c>
      <c r="I837" s="0" t="n">
        <f aca="false">IF($F837=0,0,INDEX(Aux_HH!$F$4:$F$18,MATCH($B837&amp;"|"&amp;$E837,Aux_HH!$A$4:$A$18,0)))</f>
        <v>0</v>
      </c>
      <c r="J837" s="0" t="n">
        <f aca="false">IF($F837=0,0,INDEX(Aux_HH!$G$4:$G$18,MATCH($B837&amp;"|"&amp;$E837,Aux_HH!$A$4:$A$18,0)))</f>
        <v>0</v>
      </c>
      <c r="K837" s="0" t="n">
        <f aca="false">IF($F837=0,0,INDEX(Aux_HH!$H$4:$H$18,MATCH($B837&amp;"|"&amp;$E837,Aux_HH!$A$4:$A$18,0)))</f>
        <v>0</v>
      </c>
      <c r="L837" s="0" t="n">
        <f aca="false">IF($F837=0,0,INDEX(Aux_HH!$I$4:$I$18,MATCH($B837&amp;"|"&amp;$E837,Aux_HH!$A$4:$A$18,0)))</f>
        <v>0</v>
      </c>
    </row>
    <row r="838" customFormat="false" ht="15" hidden="false" customHeight="false" outlineLevel="0" collapsed="false">
      <c r="A838" s="0" t="str">
        <f aca="false">IF(Frota!$A21="","",Frota!$A21)</f>
        <v/>
      </c>
      <c r="B838" s="0" t="str">
        <f aca="false">IF(Frota!$A21="","",Frota!$B21)</f>
        <v/>
      </c>
      <c r="C838" s="0" t="n">
        <v>3</v>
      </c>
      <c r="D838" s="0" t="n">
        <f aca="false">INDEX(Semanas!$E$3:$E$54,3)</f>
        <v>4</v>
      </c>
      <c r="E838" s="0" t="str">
        <f aca="false">IF(Frota!$A21="","",Cronograma!D21)</f>
        <v/>
      </c>
      <c r="F838" s="0" t="n">
        <f aca="false">IF(OR($E838="",$E838=0),0,1)</f>
        <v>0</v>
      </c>
      <c r="G838" s="0" t="n">
        <f aca="false">IF($F838=0,0,INDEX(Aux_HH!$D$4:$D$18,MATCH($B838&amp;"|"&amp;$E838,Aux_HH!$A$4:$A$18,0)))</f>
        <v>0</v>
      </c>
      <c r="H838" s="0" t="n">
        <f aca="false">IF($F838=0,0,INDEX(Aux_HH!$E$4:$E$18,MATCH($B838&amp;"|"&amp;$E838,Aux_HH!$A$4:$A$18,0)))</f>
        <v>0</v>
      </c>
      <c r="I838" s="0" t="n">
        <f aca="false">IF($F838=0,0,INDEX(Aux_HH!$F$4:$F$18,MATCH($B838&amp;"|"&amp;$E838,Aux_HH!$A$4:$A$18,0)))</f>
        <v>0</v>
      </c>
      <c r="J838" s="0" t="n">
        <f aca="false">IF($F838=0,0,INDEX(Aux_HH!$G$4:$G$18,MATCH($B838&amp;"|"&amp;$E838,Aux_HH!$A$4:$A$18,0)))</f>
        <v>0</v>
      </c>
      <c r="K838" s="0" t="n">
        <f aca="false">IF($F838=0,0,INDEX(Aux_HH!$H$4:$H$18,MATCH($B838&amp;"|"&amp;$E838,Aux_HH!$A$4:$A$18,0)))</f>
        <v>0</v>
      </c>
      <c r="L838" s="0" t="n">
        <f aca="false">IF($F838=0,0,INDEX(Aux_HH!$I$4:$I$18,MATCH($B838&amp;"|"&amp;$E838,Aux_HH!$A$4:$A$18,0)))</f>
        <v>0</v>
      </c>
    </row>
    <row r="839" customFormat="false" ht="15" hidden="false" customHeight="false" outlineLevel="0" collapsed="false">
      <c r="A839" s="0" t="str">
        <f aca="false">IF(Frota!$A21="","",Frota!$A21)</f>
        <v/>
      </c>
      <c r="B839" s="0" t="str">
        <f aca="false">IF(Frota!$A21="","",Frota!$B21)</f>
        <v/>
      </c>
      <c r="C839" s="0" t="n">
        <v>4</v>
      </c>
      <c r="D839" s="0" t="n">
        <f aca="false">INDEX(Semanas!$E$3:$E$54,4)</f>
        <v>4</v>
      </c>
      <c r="E839" s="0" t="str">
        <f aca="false">IF(Frota!$A21="","",Cronograma!E21)</f>
        <v/>
      </c>
      <c r="F839" s="0" t="n">
        <f aca="false">IF(OR($E839="",$E839=0),0,1)</f>
        <v>0</v>
      </c>
      <c r="G839" s="0" t="n">
        <f aca="false">IF($F839=0,0,INDEX(Aux_HH!$D$4:$D$18,MATCH($B839&amp;"|"&amp;$E839,Aux_HH!$A$4:$A$18,0)))</f>
        <v>0</v>
      </c>
      <c r="H839" s="0" t="n">
        <f aca="false">IF($F839=0,0,INDEX(Aux_HH!$E$4:$E$18,MATCH($B839&amp;"|"&amp;$E839,Aux_HH!$A$4:$A$18,0)))</f>
        <v>0</v>
      </c>
      <c r="I839" s="0" t="n">
        <f aca="false">IF($F839=0,0,INDEX(Aux_HH!$F$4:$F$18,MATCH($B839&amp;"|"&amp;$E839,Aux_HH!$A$4:$A$18,0)))</f>
        <v>0</v>
      </c>
      <c r="J839" s="0" t="n">
        <f aca="false">IF($F839=0,0,INDEX(Aux_HH!$G$4:$G$18,MATCH($B839&amp;"|"&amp;$E839,Aux_HH!$A$4:$A$18,0)))</f>
        <v>0</v>
      </c>
      <c r="K839" s="0" t="n">
        <f aca="false">IF($F839=0,0,INDEX(Aux_HH!$H$4:$H$18,MATCH($B839&amp;"|"&amp;$E839,Aux_HH!$A$4:$A$18,0)))</f>
        <v>0</v>
      </c>
      <c r="L839" s="0" t="n">
        <f aca="false">IF($F839=0,0,INDEX(Aux_HH!$I$4:$I$18,MATCH($B839&amp;"|"&amp;$E839,Aux_HH!$A$4:$A$18,0)))</f>
        <v>0</v>
      </c>
    </row>
    <row r="840" customFormat="false" ht="15" hidden="false" customHeight="false" outlineLevel="0" collapsed="false">
      <c r="A840" s="0" t="str">
        <f aca="false">IF(Frota!$A21="","",Frota!$A21)</f>
        <v/>
      </c>
      <c r="B840" s="0" t="str">
        <f aca="false">IF(Frota!$A21="","",Frota!$B21)</f>
        <v/>
      </c>
      <c r="C840" s="0" t="n">
        <v>5</v>
      </c>
      <c r="D840" s="0" t="n">
        <f aca="false">INDEX(Semanas!$E$3:$E$54,5)</f>
        <v>4</v>
      </c>
      <c r="E840" s="0" t="str">
        <f aca="false">IF(Frota!$A21="","",Cronograma!F21)</f>
        <v/>
      </c>
      <c r="F840" s="0" t="n">
        <f aca="false">IF(OR($E840="",$E840=0),0,1)</f>
        <v>0</v>
      </c>
      <c r="G840" s="0" t="n">
        <f aca="false">IF($F840=0,0,INDEX(Aux_HH!$D$4:$D$18,MATCH($B840&amp;"|"&amp;$E840,Aux_HH!$A$4:$A$18,0)))</f>
        <v>0</v>
      </c>
      <c r="H840" s="0" t="n">
        <f aca="false">IF($F840=0,0,INDEX(Aux_HH!$E$4:$E$18,MATCH($B840&amp;"|"&amp;$E840,Aux_HH!$A$4:$A$18,0)))</f>
        <v>0</v>
      </c>
      <c r="I840" s="0" t="n">
        <f aca="false">IF($F840=0,0,INDEX(Aux_HH!$F$4:$F$18,MATCH($B840&amp;"|"&amp;$E840,Aux_HH!$A$4:$A$18,0)))</f>
        <v>0</v>
      </c>
      <c r="J840" s="0" t="n">
        <f aca="false">IF($F840=0,0,INDEX(Aux_HH!$G$4:$G$18,MATCH($B840&amp;"|"&amp;$E840,Aux_HH!$A$4:$A$18,0)))</f>
        <v>0</v>
      </c>
      <c r="K840" s="0" t="n">
        <f aca="false">IF($F840=0,0,INDEX(Aux_HH!$H$4:$H$18,MATCH($B840&amp;"|"&amp;$E840,Aux_HH!$A$4:$A$18,0)))</f>
        <v>0</v>
      </c>
      <c r="L840" s="0" t="n">
        <f aca="false">IF($F840=0,0,INDEX(Aux_HH!$I$4:$I$18,MATCH($B840&amp;"|"&amp;$E840,Aux_HH!$A$4:$A$18,0)))</f>
        <v>0</v>
      </c>
    </row>
    <row r="841" customFormat="false" ht="15" hidden="false" customHeight="false" outlineLevel="0" collapsed="false">
      <c r="A841" s="0" t="str">
        <f aca="false">IF(Frota!$A21="","",Frota!$A21)</f>
        <v/>
      </c>
      <c r="B841" s="0" t="str">
        <f aca="false">IF(Frota!$A21="","",Frota!$B21)</f>
        <v/>
      </c>
      <c r="C841" s="0" t="n">
        <v>6</v>
      </c>
      <c r="D841" s="0" t="n">
        <f aca="false">INDEX(Semanas!$E$3:$E$54,6)</f>
        <v>5</v>
      </c>
      <c r="E841" s="0" t="str">
        <f aca="false">IF(Frota!$A21="","",Cronograma!G21)</f>
        <v/>
      </c>
      <c r="F841" s="0" t="n">
        <f aca="false">IF(OR($E841="",$E841=0),0,1)</f>
        <v>0</v>
      </c>
      <c r="G841" s="0" t="n">
        <f aca="false">IF($F841=0,0,INDEX(Aux_HH!$D$4:$D$18,MATCH($B841&amp;"|"&amp;$E841,Aux_HH!$A$4:$A$18,0)))</f>
        <v>0</v>
      </c>
      <c r="H841" s="0" t="n">
        <f aca="false">IF($F841=0,0,INDEX(Aux_HH!$E$4:$E$18,MATCH($B841&amp;"|"&amp;$E841,Aux_HH!$A$4:$A$18,0)))</f>
        <v>0</v>
      </c>
      <c r="I841" s="0" t="n">
        <f aca="false">IF($F841=0,0,INDEX(Aux_HH!$F$4:$F$18,MATCH($B841&amp;"|"&amp;$E841,Aux_HH!$A$4:$A$18,0)))</f>
        <v>0</v>
      </c>
      <c r="J841" s="0" t="n">
        <f aca="false">IF($F841=0,0,INDEX(Aux_HH!$G$4:$G$18,MATCH($B841&amp;"|"&amp;$E841,Aux_HH!$A$4:$A$18,0)))</f>
        <v>0</v>
      </c>
      <c r="K841" s="0" t="n">
        <f aca="false">IF($F841=0,0,INDEX(Aux_HH!$H$4:$H$18,MATCH($B841&amp;"|"&amp;$E841,Aux_HH!$A$4:$A$18,0)))</f>
        <v>0</v>
      </c>
      <c r="L841" s="0" t="n">
        <f aca="false">IF($F841=0,0,INDEX(Aux_HH!$I$4:$I$18,MATCH($B841&amp;"|"&amp;$E841,Aux_HH!$A$4:$A$18,0)))</f>
        <v>0</v>
      </c>
    </row>
    <row r="842" customFormat="false" ht="15" hidden="false" customHeight="false" outlineLevel="0" collapsed="false">
      <c r="A842" s="0" t="str">
        <f aca="false">IF(Frota!$A21="","",Frota!$A21)</f>
        <v/>
      </c>
      <c r="B842" s="0" t="str">
        <f aca="false">IF(Frota!$A21="","",Frota!$B21)</f>
        <v/>
      </c>
      <c r="C842" s="0" t="n">
        <v>7</v>
      </c>
      <c r="D842" s="0" t="n">
        <f aca="false">INDEX(Semanas!$E$3:$E$54,7)</f>
        <v>5</v>
      </c>
      <c r="E842" s="0" t="str">
        <f aca="false">IF(Frota!$A21="","",Cronograma!H21)</f>
        <v/>
      </c>
      <c r="F842" s="0" t="n">
        <f aca="false">IF(OR($E842="",$E842=0),0,1)</f>
        <v>0</v>
      </c>
      <c r="G842" s="0" t="n">
        <f aca="false">IF($F842=0,0,INDEX(Aux_HH!$D$4:$D$18,MATCH($B842&amp;"|"&amp;$E842,Aux_HH!$A$4:$A$18,0)))</f>
        <v>0</v>
      </c>
      <c r="H842" s="0" t="n">
        <f aca="false">IF($F842=0,0,INDEX(Aux_HH!$E$4:$E$18,MATCH($B842&amp;"|"&amp;$E842,Aux_HH!$A$4:$A$18,0)))</f>
        <v>0</v>
      </c>
      <c r="I842" s="0" t="n">
        <f aca="false">IF($F842=0,0,INDEX(Aux_HH!$F$4:$F$18,MATCH($B842&amp;"|"&amp;$E842,Aux_HH!$A$4:$A$18,0)))</f>
        <v>0</v>
      </c>
      <c r="J842" s="0" t="n">
        <f aca="false">IF($F842=0,0,INDEX(Aux_HH!$G$4:$G$18,MATCH($B842&amp;"|"&amp;$E842,Aux_HH!$A$4:$A$18,0)))</f>
        <v>0</v>
      </c>
      <c r="K842" s="0" t="n">
        <f aca="false">IF($F842=0,0,INDEX(Aux_HH!$H$4:$H$18,MATCH($B842&amp;"|"&amp;$E842,Aux_HH!$A$4:$A$18,0)))</f>
        <v>0</v>
      </c>
      <c r="L842" s="0" t="n">
        <f aca="false">IF($F842=0,0,INDEX(Aux_HH!$I$4:$I$18,MATCH($B842&amp;"|"&amp;$E842,Aux_HH!$A$4:$A$18,0)))</f>
        <v>0</v>
      </c>
    </row>
    <row r="843" customFormat="false" ht="15" hidden="false" customHeight="false" outlineLevel="0" collapsed="false">
      <c r="A843" s="0" t="str">
        <f aca="false">IF(Frota!$A21="","",Frota!$A21)</f>
        <v/>
      </c>
      <c r="B843" s="0" t="str">
        <f aca="false">IF(Frota!$A21="","",Frota!$B21)</f>
        <v/>
      </c>
      <c r="C843" s="0" t="n">
        <v>8</v>
      </c>
      <c r="D843" s="0" t="n">
        <f aca="false">INDEX(Semanas!$E$3:$E$54,8)</f>
        <v>5</v>
      </c>
      <c r="E843" s="0" t="str">
        <f aca="false">IF(Frota!$A21="","",Cronograma!I21)</f>
        <v/>
      </c>
      <c r="F843" s="0" t="n">
        <f aca="false">IF(OR($E843="",$E843=0),0,1)</f>
        <v>0</v>
      </c>
      <c r="G843" s="0" t="n">
        <f aca="false">IF($F843=0,0,INDEX(Aux_HH!$D$4:$D$18,MATCH($B843&amp;"|"&amp;$E843,Aux_HH!$A$4:$A$18,0)))</f>
        <v>0</v>
      </c>
      <c r="H843" s="0" t="n">
        <f aca="false">IF($F843=0,0,INDEX(Aux_HH!$E$4:$E$18,MATCH($B843&amp;"|"&amp;$E843,Aux_HH!$A$4:$A$18,0)))</f>
        <v>0</v>
      </c>
      <c r="I843" s="0" t="n">
        <f aca="false">IF($F843=0,0,INDEX(Aux_HH!$F$4:$F$18,MATCH($B843&amp;"|"&amp;$E843,Aux_HH!$A$4:$A$18,0)))</f>
        <v>0</v>
      </c>
      <c r="J843" s="0" t="n">
        <f aca="false">IF($F843=0,0,INDEX(Aux_HH!$G$4:$G$18,MATCH($B843&amp;"|"&amp;$E843,Aux_HH!$A$4:$A$18,0)))</f>
        <v>0</v>
      </c>
      <c r="K843" s="0" t="n">
        <f aca="false">IF($F843=0,0,INDEX(Aux_HH!$H$4:$H$18,MATCH($B843&amp;"|"&amp;$E843,Aux_HH!$A$4:$A$18,0)))</f>
        <v>0</v>
      </c>
      <c r="L843" s="0" t="n">
        <f aca="false">IF($F843=0,0,INDEX(Aux_HH!$I$4:$I$18,MATCH($B843&amp;"|"&amp;$E843,Aux_HH!$A$4:$A$18,0)))</f>
        <v>0</v>
      </c>
    </row>
    <row r="844" customFormat="false" ht="15" hidden="false" customHeight="false" outlineLevel="0" collapsed="false">
      <c r="A844" s="0" t="str">
        <f aca="false">IF(Frota!$A21="","",Frota!$A21)</f>
        <v/>
      </c>
      <c r="B844" s="0" t="str">
        <f aca="false">IF(Frota!$A21="","",Frota!$B21)</f>
        <v/>
      </c>
      <c r="C844" s="0" t="n">
        <v>9</v>
      </c>
      <c r="D844" s="0" t="n">
        <f aca="false">INDEX(Semanas!$E$3:$E$54,9)</f>
        <v>5</v>
      </c>
      <c r="E844" s="0" t="str">
        <f aca="false">IF(Frota!$A21="","",Cronograma!J21)</f>
        <v/>
      </c>
      <c r="F844" s="0" t="n">
        <f aca="false">IF(OR($E844="",$E844=0),0,1)</f>
        <v>0</v>
      </c>
      <c r="G844" s="0" t="n">
        <f aca="false">IF($F844=0,0,INDEX(Aux_HH!$D$4:$D$18,MATCH($B844&amp;"|"&amp;$E844,Aux_HH!$A$4:$A$18,0)))</f>
        <v>0</v>
      </c>
      <c r="H844" s="0" t="n">
        <f aca="false">IF($F844=0,0,INDEX(Aux_HH!$E$4:$E$18,MATCH($B844&amp;"|"&amp;$E844,Aux_HH!$A$4:$A$18,0)))</f>
        <v>0</v>
      </c>
      <c r="I844" s="0" t="n">
        <f aca="false">IF($F844=0,0,INDEX(Aux_HH!$F$4:$F$18,MATCH($B844&amp;"|"&amp;$E844,Aux_HH!$A$4:$A$18,0)))</f>
        <v>0</v>
      </c>
      <c r="J844" s="0" t="n">
        <f aca="false">IF($F844=0,0,INDEX(Aux_HH!$G$4:$G$18,MATCH($B844&amp;"|"&amp;$E844,Aux_HH!$A$4:$A$18,0)))</f>
        <v>0</v>
      </c>
      <c r="K844" s="0" t="n">
        <f aca="false">IF($F844=0,0,INDEX(Aux_HH!$H$4:$H$18,MATCH($B844&amp;"|"&amp;$E844,Aux_HH!$A$4:$A$18,0)))</f>
        <v>0</v>
      </c>
      <c r="L844" s="0" t="n">
        <f aca="false">IF($F844=0,0,INDEX(Aux_HH!$I$4:$I$18,MATCH($B844&amp;"|"&amp;$E844,Aux_HH!$A$4:$A$18,0)))</f>
        <v>0</v>
      </c>
    </row>
    <row r="845" customFormat="false" ht="15" hidden="false" customHeight="false" outlineLevel="0" collapsed="false">
      <c r="A845" s="0" t="str">
        <f aca="false">IF(Frota!$A21="","",Frota!$A21)</f>
        <v/>
      </c>
      <c r="B845" s="0" t="str">
        <f aca="false">IF(Frota!$A21="","",Frota!$B21)</f>
        <v/>
      </c>
      <c r="C845" s="0" t="n">
        <v>10</v>
      </c>
      <c r="D845" s="0" t="n">
        <f aca="false">INDEX(Semanas!$E$3:$E$54,10)</f>
        <v>6</v>
      </c>
      <c r="E845" s="0" t="str">
        <f aca="false">IF(Frota!$A21="","",Cronograma!K21)</f>
        <v/>
      </c>
      <c r="F845" s="0" t="n">
        <f aca="false">IF(OR($E845="",$E845=0),0,1)</f>
        <v>0</v>
      </c>
      <c r="G845" s="0" t="n">
        <f aca="false">IF($F845=0,0,INDEX(Aux_HH!$D$4:$D$18,MATCH($B845&amp;"|"&amp;$E845,Aux_HH!$A$4:$A$18,0)))</f>
        <v>0</v>
      </c>
      <c r="H845" s="0" t="n">
        <f aca="false">IF($F845=0,0,INDEX(Aux_HH!$E$4:$E$18,MATCH($B845&amp;"|"&amp;$E845,Aux_HH!$A$4:$A$18,0)))</f>
        <v>0</v>
      </c>
      <c r="I845" s="0" t="n">
        <f aca="false">IF($F845=0,0,INDEX(Aux_HH!$F$4:$F$18,MATCH($B845&amp;"|"&amp;$E845,Aux_HH!$A$4:$A$18,0)))</f>
        <v>0</v>
      </c>
      <c r="J845" s="0" t="n">
        <f aca="false">IF($F845=0,0,INDEX(Aux_HH!$G$4:$G$18,MATCH($B845&amp;"|"&amp;$E845,Aux_HH!$A$4:$A$18,0)))</f>
        <v>0</v>
      </c>
      <c r="K845" s="0" t="n">
        <f aca="false">IF($F845=0,0,INDEX(Aux_HH!$H$4:$H$18,MATCH($B845&amp;"|"&amp;$E845,Aux_HH!$A$4:$A$18,0)))</f>
        <v>0</v>
      </c>
      <c r="L845" s="0" t="n">
        <f aca="false">IF($F845=0,0,INDEX(Aux_HH!$I$4:$I$18,MATCH($B845&amp;"|"&amp;$E845,Aux_HH!$A$4:$A$18,0)))</f>
        <v>0</v>
      </c>
    </row>
    <row r="846" customFormat="false" ht="15" hidden="false" customHeight="false" outlineLevel="0" collapsed="false">
      <c r="A846" s="0" t="str">
        <f aca="false">IF(Frota!$A21="","",Frota!$A21)</f>
        <v/>
      </c>
      <c r="B846" s="0" t="str">
        <f aca="false">IF(Frota!$A21="","",Frota!$B21)</f>
        <v/>
      </c>
      <c r="C846" s="0" t="n">
        <v>11</v>
      </c>
      <c r="D846" s="0" t="n">
        <f aca="false">INDEX(Semanas!$E$3:$E$54,11)</f>
        <v>6</v>
      </c>
      <c r="E846" s="0" t="str">
        <f aca="false">IF(Frota!$A21="","",Cronograma!L21)</f>
        <v/>
      </c>
      <c r="F846" s="0" t="n">
        <f aca="false">IF(OR($E846="",$E846=0),0,1)</f>
        <v>0</v>
      </c>
      <c r="G846" s="0" t="n">
        <f aca="false">IF($F846=0,0,INDEX(Aux_HH!$D$4:$D$18,MATCH($B846&amp;"|"&amp;$E846,Aux_HH!$A$4:$A$18,0)))</f>
        <v>0</v>
      </c>
      <c r="H846" s="0" t="n">
        <f aca="false">IF($F846=0,0,INDEX(Aux_HH!$E$4:$E$18,MATCH($B846&amp;"|"&amp;$E846,Aux_HH!$A$4:$A$18,0)))</f>
        <v>0</v>
      </c>
      <c r="I846" s="0" t="n">
        <f aca="false">IF($F846=0,0,INDEX(Aux_HH!$F$4:$F$18,MATCH($B846&amp;"|"&amp;$E846,Aux_HH!$A$4:$A$18,0)))</f>
        <v>0</v>
      </c>
      <c r="J846" s="0" t="n">
        <f aca="false">IF($F846=0,0,INDEX(Aux_HH!$G$4:$G$18,MATCH($B846&amp;"|"&amp;$E846,Aux_HH!$A$4:$A$18,0)))</f>
        <v>0</v>
      </c>
      <c r="K846" s="0" t="n">
        <f aca="false">IF($F846=0,0,INDEX(Aux_HH!$H$4:$H$18,MATCH($B846&amp;"|"&amp;$E846,Aux_HH!$A$4:$A$18,0)))</f>
        <v>0</v>
      </c>
      <c r="L846" s="0" t="n">
        <f aca="false">IF($F846=0,0,INDEX(Aux_HH!$I$4:$I$18,MATCH($B846&amp;"|"&amp;$E846,Aux_HH!$A$4:$A$18,0)))</f>
        <v>0</v>
      </c>
    </row>
    <row r="847" customFormat="false" ht="15" hidden="false" customHeight="false" outlineLevel="0" collapsed="false">
      <c r="A847" s="0" t="str">
        <f aca="false">IF(Frota!$A21="","",Frota!$A21)</f>
        <v/>
      </c>
      <c r="B847" s="0" t="str">
        <f aca="false">IF(Frota!$A21="","",Frota!$B21)</f>
        <v/>
      </c>
      <c r="C847" s="0" t="n">
        <v>12</v>
      </c>
      <c r="D847" s="0" t="n">
        <f aca="false">INDEX(Semanas!$E$3:$E$54,12)</f>
        <v>6</v>
      </c>
      <c r="E847" s="0" t="str">
        <f aca="false">IF(Frota!$A21="","",Cronograma!M21)</f>
        <v/>
      </c>
      <c r="F847" s="0" t="n">
        <f aca="false">IF(OR($E847="",$E847=0),0,1)</f>
        <v>0</v>
      </c>
      <c r="G847" s="0" t="n">
        <f aca="false">IF($F847=0,0,INDEX(Aux_HH!$D$4:$D$18,MATCH($B847&amp;"|"&amp;$E847,Aux_HH!$A$4:$A$18,0)))</f>
        <v>0</v>
      </c>
      <c r="H847" s="0" t="n">
        <f aca="false">IF($F847=0,0,INDEX(Aux_HH!$E$4:$E$18,MATCH($B847&amp;"|"&amp;$E847,Aux_HH!$A$4:$A$18,0)))</f>
        <v>0</v>
      </c>
      <c r="I847" s="0" t="n">
        <f aca="false">IF($F847=0,0,INDEX(Aux_HH!$F$4:$F$18,MATCH($B847&amp;"|"&amp;$E847,Aux_HH!$A$4:$A$18,0)))</f>
        <v>0</v>
      </c>
      <c r="J847" s="0" t="n">
        <f aca="false">IF($F847=0,0,INDEX(Aux_HH!$G$4:$G$18,MATCH($B847&amp;"|"&amp;$E847,Aux_HH!$A$4:$A$18,0)))</f>
        <v>0</v>
      </c>
      <c r="K847" s="0" t="n">
        <f aca="false">IF($F847=0,0,INDEX(Aux_HH!$H$4:$H$18,MATCH($B847&amp;"|"&amp;$E847,Aux_HH!$A$4:$A$18,0)))</f>
        <v>0</v>
      </c>
      <c r="L847" s="0" t="n">
        <f aca="false">IF($F847=0,0,INDEX(Aux_HH!$I$4:$I$18,MATCH($B847&amp;"|"&amp;$E847,Aux_HH!$A$4:$A$18,0)))</f>
        <v>0</v>
      </c>
    </row>
    <row r="848" customFormat="false" ht="15" hidden="false" customHeight="false" outlineLevel="0" collapsed="false">
      <c r="A848" s="0" t="str">
        <f aca="false">IF(Frota!$A21="","",Frota!$A21)</f>
        <v/>
      </c>
      <c r="B848" s="0" t="str">
        <f aca="false">IF(Frota!$A21="","",Frota!$B21)</f>
        <v/>
      </c>
      <c r="C848" s="0" t="n">
        <v>13</v>
      </c>
      <c r="D848" s="0" t="n">
        <f aca="false">INDEX(Semanas!$E$3:$E$54,13)</f>
        <v>6</v>
      </c>
      <c r="E848" s="0" t="str">
        <f aca="false">IF(Frota!$A21="","",Cronograma!N21)</f>
        <v/>
      </c>
      <c r="F848" s="0" t="n">
        <f aca="false">IF(OR($E848="",$E848=0),0,1)</f>
        <v>0</v>
      </c>
      <c r="G848" s="0" t="n">
        <f aca="false">IF($F848=0,0,INDEX(Aux_HH!$D$4:$D$18,MATCH($B848&amp;"|"&amp;$E848,Aux_HH!$A$4:$A$18,0)))</f>
        <v>0</v>
      </c>
      <c r="H848" s="0" t="n">
        <f aca="false">IF($F848=0,0,INDEX(Aux_HH!$E$4:$E$18,MATCH($B848&amp;"|"&amp;$E848,Aux_HH!$A$4:$A$18,0)))</f>
        <v>0</v>
      </c>
      <c r="I848" s="0" t="n">
        <f aca="false">IF($F848=0,0,INDEX(Aux_HH!$F$4:$F$18,MATCH($B848&amp;"|"&amp;$E848,Aux_HH!$A$4:$A$18,0)))</f>
        <v>0</v>
      </c>
      <c r="J848" s="0" t="n">
        <f aca="false">IF($F848=0,0,INDEX(Aux_HH!$G$4:$G$18,MATCH($B848&amp;"|"&amp;$E848,Aux_HH!$A$4:$A$18,0)))</f>
        <v>0</v>
      </c>
      <c r="K848" s="0" t="n">
        <f aca="false">IF($F848=0,0,INDEX(Aux_HH!$H$4:$H$18,MATCH($B848&amp;"|"&amp;$E848,Aux_HH!$A$4:$A$18,0)))</f>
        <v>0</v>
      </c>
      <c r="L848" s="0" t="n">
        <f aca="false">IF($F848=0,0,INDEX(Aux_HH!$I$4:$I$18,MATCH($B848&amp;"|"&amp;$E848,Aux_HH!$A$4:$A$18,0)))</f>
        <v>0</v>
      </c>
    </row>
    <row r="849" customFormat="false" ht="15" hidden="false" customHeight="false" outlineLevel="0" collapsed="false">
      <c r="A849" s="0" t="str">
        <f aca="false">IF(Frota!$A21="","",Frota!$A21)</f>
        <v/>
      </c>
      <c r="B849" s="0" t="str">
        <f aca="false">IF(Frota!$A21="","",Frota!$B21)</f>
        <v/>
      </c>
      <c r="C849" s="0" t="n">
        <v>14</v>
      </c>
      <c r="D849" s="0" t="n">
        <f aca="false">INDEX(Semanas!$E$3:$E$54,14)</f>
        <v>7</v>
      </c>
      <c r="E849" s="0" t="str">
        <f aca="false">IF(Frota!$A21="","",Cronograma!O21)</f>
        <v/>
      </c>
      <c r="F849" s="0" t="n">
        <f aca="false">IF(OR($E849="",$E849=0),0,1)</f>
        <v>0</v>
      </c>
      <c r="G849" s="0" t="n">
        <f aca="false">IF($F849=0,0,INDEX(Aux_HH!$D$4:$D$18,MATCH($B849&amp;"|"&amp;$E849,Aux_HH!$A$4:$A$18,0)))</f>
        <v>0</v>
      </c>
      <c r="H849" s="0" t="n">
        <f aca="false">IF($F849=0,0,INDEX(Aux_HH!$E$4:$E$18,MATCH($B849&amp;"|"&amp;$E849,Aux_HH!$A$4:$A$18,0)))</f>
        <v>0</v>
      </c>
      <c r="I849" s="0" t="n">
        <f aca="false">IF($F849=0,0,INDEX(Aux_HH!$F$4:$F$18,MATCH($B849&amp;"|"&amp;$E849,Aux_HH!$A$4:$A$18,0)))</f>
        <v>0</v>
      </c>
      <c r="J849" s="0" t="n">
        <f aca="false">IF($F849=0,0,INDEX(Aux_HH!$G$4:$G$18,MATCH($B849&amp;"|"&amp;$E849,Aux_HH!$A$4:$A$18,0)))</f>
        <v>0</v>
      </c>
      <c r="K849" s="0" t="n">
        <f aca="false">IF($F849=0,0,INDEX(Aux_HH!$H$4:$H$18,MATCH($B849&amp;"|"&amp;$E849,Aux_HH!$A$4:$A$18,0)))</f>
        <v>0</v>
      </c>
      <c r="L849" s="0" t="n">
        <f aca="false">IF($F849=0,0,INDEX(Aux_HH!$I$4:$I$18,MATCH($B849&amp;"|"&amp;$E849,Aux_HH!$A$4:$A$18,0)))</f>
        <v>0</v>
      </c>
    </row>
    <row r="850" customFormat="false" ht="15" hidden="false" customHeight="false" outlineLevel="0" collapsed="false">
      <c r="A850" s="0" t="str">
        <f aca="false">IF(Frota!$A21="","",Frota!$A21)</f>
        <v/>
      </c>
      <c r="B850" s="0" t="str">
        <f aca="false">IF(Frota!$A21="","",Frota!$B21)</f>
        <v/>
      </c>
      <c r="C850" s="0" t="n">
        <v>15</v>
      </c>
      <c r="D850" s="0" t="n">
        <f aca="false">INDEX(Semanas!$E$3:$E$54,15)</f>
        <v>7</v>
      </c>
      <c r="E850" s="0" t="str">
        <f aca="false">IF(Frota!$A21="","",Cronograma!P21)</f>
        <v/>
      </c>
      <c r="F850" s="0" t="n">
        <f aca="false">IF(OR($E850="",$E850=0),0,1)</f>
        <v>0</v>
      </c>
      <c r="G850" s="0" t="n">
        <f aca="false">IF($F850=0,0,INDEX(Aux_HH!$D$4:$D$18,MATCH($B850&amp;"|"&amp;$E850,Aux_HH!$A$4:$A$18,0)))</f>
        <v>0</v>
      </c>
      <c r="H850" s="0" t="n">
        <f aca="false">IF($F850=0,0,INDEX(Aux_HH!$E$4:$E$18,MATCH($B850&amp;"|"&amp;$E850,Aux_HH!$A$4:$A$18,0)))</f>
        <v>0</v>
      </c>
      <c r="I850" s="0" t="n">
        <f aca="false">IF($F850=0,0,INDEX(Aux_HH!$F$4:$F$18,MATCH($B850&amp;"|"&amp;$E850,Aux_HH!$A$4:$A$18,0)))</f>
        <v>0</v>
      </c>
      <c r="J850" s="0" t="n">
        <f aca="false">IF($F850=0,0,INDEX(Aux_HH!$G$4:$G$18,MATCH($B850&amp;"|"&amp;$E850,Aux_HH!$A$4:$A$18,0)))</f>
        <v>0</v>
      </c>
      <c r="K850" s="0" t="n">
        <f aca="false">IF($F850=0,0,INDEX(Aux_HH!$H$4:$H$18,MATCH($B850&amp;"|"&amp;$E850,Aux_HH!$A$4:$A$18,0)))</f>
        <v>0</v>
      </c>
      <c r="L850" s="0" t="n">
        <f aca="false">IF($F850=0,0,INDEX(Aux_HH!$I$4:$I$18,MATCH($B850&amp;"|"&amp;$E850,Aux_HH!$A$4:$A$18,0)))</f>
        <v>0</v>
      </c>
    </row>
    <row r="851" customFormat="false" ht="15" hidden="false" customHeight="false" outlineLevel="0" collapsed="false">
      <c r="A851" s="0" t="str">
        <f aca="false">IF(Frota!$A21="","",Frota!$A21)</f>
        <v/>
      </c>
      <c r="B851" s="0" t="str">
        <f aca="false">IF(Frota!$A21="","",Frota!$B21)</f>
        <v/>
      </c>
      <c r="C851" s="0" t="n">
        <v>16</v>
      </c>
      <c r="D851" s="0" t="n">
        <f aca="false">INDEX(Semanas!$E$3:$E$54,16)</f>
        <v>7</v>
      </c>
      <c r="E851" s="0" t="str">
        <f aca="false">IF(Frota!$A21="","",Cronograma!Q21)</f>
        <v/>
      </c>
      <c r="F851" s="0" t="n">
        <f aca="false">IF(OR($E851="",$E851=0),0,1)</f>
        <v>0</v>
      </c>
      <c r="G851" s="0" t="n">
        <f aca="false">IF($F851=0,0,INDEX(Aux_HH!$D$4:$D$18,MATCH($B851&amp;"|"&amp;$E851,Aux_HH!$A$4:$A$18,0)))</f>
        <v>0</v>
      </c>
      <c r="H851" s="0" t="n">
        <f aca="false">IF($F851=0,0,INDEX(Aux_HH!$E$4:$E$18,MATCH($B851&amp;"|"&amp;$E851,Aux_HH!$A$4:$A$18,0)))</f>
        <v>0</v>
      </c>
      <c r="I851" s="0" t="n">
        <f aca="false">IF($F851=0,0,INDEX(Aux_HH!$F$4:$F$18,MATCH($B851&amp;"|"&amp;$E851,Aux_HH!$A$4:$A$18,0)))</f>
        <v>0</v>
      </c>
      <c r="J851" s="0" t="n">
        <f aca="false">IF($F851=0,0,INDEX(Aux_HH!$G$4:$G$18,MATCH($B851&amp;"|"&amp;$E851,Aux_HH!$A$4:$A$18,0)))</f>
        <v>0</v>
      </c>
      <c r="K851" s="0" t="n">
        <f aca="false">IF($F851=0,0,INDEX(Aux_HH!$H$4:$H$18,MATCH($B851&amp;"|"&amp;$E851,Aux_HH!$A$4:$A$18,0)))</f>
        <v>0</v>
      </c>
      <c r="L851" s="0" t="n">
        <f aca="false">IF($F851=0,0,INDEX(Aux_HH!$I$4:$I$18,MATCH($B851&amp;"|"&amp;$E851,Aux_HH!$A$4:$A$18,0)))</f>
        <v>0</v>
      </c>
    </row>
    <row r="852" customFormat="false" ht="15" hidden="false" customHeight="false" outlineLevel="0" collapsed="false">
      <c r="A852" s="0" t="str">
        <f aca="false">IF(Frota!$A21="","",Frota!$A21)</f>
        <v/>
      </c>
      <c r="B852" s="0" t="str">
        <f aca="false">IF(Frota!$A21="","",Frota!$B21)</f>
        <v/>
      </c>
      <c r="C852" s="0" t="n">
        <v>17</v>
      </c>
      <c r="D852" s="0" t="n">
        <f aca="false">INDEX(Semanas!$E$3:$E$54,17)</f>
        <v>7</v>
      </c>
      <c r="E852" s="0" t="str">
        <f aca="false">IF(Frota!$A21="","",Cronograma!R21)</f>
        <v/>
      </c>
      <c r="F852" s="0" t="n">
        <f aca="false">IF(OR($E852="",$E852=0),0,1)</f>
        <v>0</v>
      </c>
      <c r="G852" s="0" t="n">
        <f aca="false">IF($F852=0,0,INDEX(Aux_HH!$D$4:$D$18,MATCH($B852&amp;"|"&amp;$E852,Aux_HH!$A$4:$A$18,0)))</f>
        <v>0</v>
      </c>
      <c r="H852" s="0" t="n">
        <f aca="false">IF($F852=0,0,INDEX(Aux_HH!$E$4:$E$18,MATCH($B852&amp;"|"&amp;$E852,Aux_HH!$A$4:$A$18,0)))</f>
        <v>0</v>
      </c>
      <c r="I852" s="0" t="n">
        <f aca="false">IF($F852=0,0,INDEX(Aux_HH!$F$4:$F$18,MATCH($B852&amp;"|"&amp;$E852,Aux_HH!$A$4:$A$18,0)))</f>
        <v>0</v>
      </c>
      <c r="J852" s="0" t="n">
        <f aca="false">IF($F852=0,0,INDEX(Aux_HH!$G$4:$G$18,MATCH($B852&amp;"|"&amp;$E852,Aux_HH!$A$4:$A$18,0)))</f>
        <v>0</v>
      </c>
      <c r="K852" s="0" t="n">
        <f aca="false">IF($F852=0,0,INDEX(Aux_HH!$H$4:$H$18,MATCH($B852&amp;"|"&amp;$E852,Aux_HH!$A$4:$A$18,0)))</f>
        <v>0</v>
      </c>
      <c r="L852" s="0" t="n">
        <f aca="false">IF($F852=0,0,INDEX(Aux_HH!$I$4:$I$18,MATCH($B852&amp;"|"&amp;$E852,Aux_HH!$A$4:$A$18,0)))</f>
        <v>0</v>
      </c>
    </row>
    <row r="853" customFormat="false" ht="15" hidden="false" customHeight="false" outlineLevel="0" collapsed="false">
      <c r="A853" s="0" t="str">
        <f aca="false">IF(Frota!$A21="","",Frota!$A21)</f>
        <v/>
      </c>
      <c r="B853" s="0" t="str">
        <f aca="false">IF(Frota!$A21="","",Frota!$B21)</f>
        <v/>
      </c>
      <c r="C853" s="0" t="n">
        <v>18</v>
      </c>
      <c r="D853" s="0" t="n">
        <f aca="false">INDEX(Semanas!$E$3:$E$54,18)</f>
        <v>7</v>
      </c>
      <c r="E853" s="0" t="str">
        <f aca="false">IF(Frota!$A21="","",Cronograma!S21)</f>
        <v/>
      </c>
      <c r="F853" s="0" t="n">
        <f aca="false">IF(OR($E853="",$E853=0),0,1)</f>
        <v>0</v>
      </c>
      <c r="G853" s="0" t="n">
        <f aca="false">IF($F853=0,0,INDEX(Aux_HH!$D$4:$D$18,MATCH($B853&amp;"|"&amp;$E853,Aux_HH!$A$4:$A$18,0)))</f>
        <v>0</v>
      </c>
      <c r="H853" s="0" t="n">
        <f aca="false">IF($F853=0,0,INDEX(Aux_HH!$E$4:$E$18,MATCH($B853&amp;"|"&amp;$E853,Aux_HH!$A$4:$A$18,0)))</f>
        <v>0</v>
      </c>
      <c r="I853" s="0" t="n">
        <f aca="false">IF($F853=0,0,INDEX(Aux_HH!$F$4:$F$18,MATCH($B853&amp;"|"&amp;$E853,Aux_HH!$A$4:$A$18,0)))</f>
        <v>0</v>
      </c>
      <c r="J853" s="0" t="n">
        <f aca="false">IF($F853=0,0,INDEX(Aux_HH!$G$4:$G$18,MATCH($B853&amp;"|"&amp;$E853,Aux_HH!$A$4:$A$18,0)))</f>
        <v>0</v>
      </c>
      <c r="K853" s="0" t="n">
        <f aca="false">IF($F853=0,0,INDEX(Aux_HH!$H$4:$H$18,MATCH($B853&amp;"|"&amp;$E853,Aux_HH!$A$4:$A$18,0)))</f>
        <v>0</v>
      </c>
      <c r="L853" s="0" t="n">
        <f aca="false">IF($F853=0,0,INDEX(Aux_HH!$I$4:$I$18,MATCH($B853&amp;"|"&amp;$E853,Aux_HH!$A$4:$A$18,0)))</f>
        <v>0</v>
      </c>
    </row>
    <row r="854" customFormat="false" ht="15" hidden="false" customHeight="false" outlineLevel="0" collapsed="false">
      <c r="A854" s="0" t="str">
        <f aca="false">IF(Frota!$A21="","",Frota!$A21)</f>
        <v/>
      </c>
      <c r="B854" s="0" t="str">
        <f aca="false">IF(Frota!$A21="","",Frota!$B21)</f>
        <v/>
      </c>
      <c r="C854" s="0" t="n">
        <v>19</v>
      </c>
      <c r="D854" s="0" t="n">
        <f aca="false">INDEX(Semanas!$E$3:$E$54,19)</f>
        <v>8</v>
      </c>
      <c r="E854" s="0" t="str">
        <f aca="false">IF(Frota!$A21="","",Cronograma!T21)</f>
        <v/>
      </c>
      <c r="F854" s="0" t="n">
        <f aca="false">IF(OR($E854="",$E854=0),0,1)</f>
        <v>0</v>
      </c>
      <c r="G854" s="0" t="n">
        <f aca="false">IF($F854=0,0,INDEX(Aux_HH!$D$4:$D$18,MATCH($B854&amp;"|"&amp;$E854,Aux_HH!$A$4:$A$18,0)))</f>
        <v>0</v>
      </c>
      <c r="H854" s="0" t="n">
        <f aca="false">IF($F854=0,0,INDEX(Aux_HH!$E$4:$E$18,MATCH($B854&amp;"|"&amp;$E854,Aux_HH!$A$4:$A$18,0)))</f>
        <v>0</v>
      </c>
      <c r="I854" s="0" t="n">
        <f aca="false">IF($F854=0,0,INDEX(Aux_HH!$F$4:$F$18,MATCH($B854&amp;"|"&amp;$E854,Aux_HH!$A$4:$A$18,0)))</f>
        <v>0</v>
      </c>
      <c r="J854" s="0" t="n">
        <f aca="false">IF($F854=0,0,INDEX(Aux_HH!$G$4:$G$18,MATCH($B854&amp;"|"&amp;$E854,Aux_HH!$A$4:$A$18,0)))</f>
        <v>0</v>
      </c>
      <c r="K854" s="0" t="n">
        <f aca="false">IF($F854=0,0,INDEX(Aux_HH!$H$4:$H$18,MATCH($B854&amp;"|"&amp;$E854,Aux_HH!$A$4:$A$18,0)))</f>
        <v>0</v>
      </c>
      <c r="L854" s="0" t="n">
        <f aca="false">IF($F854=0,0,INDEX(Aux_HH!$I$4:$I$18,MATCH($B854&amp;"|"&amp;$E854,Aux_HH!$A$4:$A$18,0)))</f>
        <v>0</v>
      </c>
    </row>
    <row r="855" customFormat="false" ht="15" hidden="false" customHeight="false" outlineLevel="0" collapsed="false">
      <c r="A855" s="0" t="str">
        <f aca="false">IF(Frota!$A21="","",Frota!$A21)</f>
        <v/>
      </c>
      <c r="B855" s="0" t="str">
        <f aca="false">IF(Frota!$A21="","",Frota!$B21)</f>
        <v/>
      </c>
      <c r="C855" s="0" t="n">
        <v>20</v>
      </c>
      <c r="D855" s="0" t="n">
        <f aca="false">INDEX(Semanas!$E$3:$E$54,20)</f>
        <v>8</v>
      </c>
      <c r="E855" s="0" t="str">
        <f aca="false">IF(Frota!$A21="","",Cronograma!U21)</f>
        <v/>
      </c>
      <c r="F855" s="0" t="n">
        <f aca="false">IF(OR($E855="",$E855=0),0,1)</f>
        <v>0</v>
      </c>
      <c r="G855" s="0" t="n">
        <f aca="false">IF($F855=0,0,INDEX(Aux_HH!$D$4:$D$18,MATCH($B855&amp;"|"&amp;$E855,Aux_HH!$A$4:$A$18,0)))</f>
        <v>0</v>
      </c>
      <c r="H855" s="0" t="n">
        <f aca="false">IF($F855=0,0,INDEX(Aux_HH!$E$4:$E$18,MATCH($B855&amp;"|"&amp;$E855,Aux_HH!$A$4:$A$18,0)))</f>
        <v>0</v>
      </c>
      <c r="I855" s="0" t="n">
        <f aca="false">IF($F855=0,0,INDEX(Aux_HH!$F$4:$F$18,MATCH($B855&amp;"|"&amp;$E855,Aux_HH!$A$4:$A$18,0)))</f>
        <v>0</v>
      </c>
      <c r="J855" s="0" t="n">
        <f aca="false">IF($F855=0,0,INDEX(Aux_HH!$G$4:$G$18,MATCH($B855&amp;"|"&amp;$E855,Aux_HH!$A$4:$A$18,0)))</f>
        <v>0</v>
      </c>
      <c r="K855" s="0" t="n">
        <f aca="false">IF($F855=0,0,INDEX(Aux_HH!$H$4:$H$18,MATCH($B855&amp;"|"&amp;$E855,Aux_HH!$A$4:$A$18,0)))</f>
        <v>0</v>
      </c>
      <c r="L855" s="0" t="n">
        <f aca="false">IF($F855=0,0,INDEX(Aux_HH!$I$4:$I$18,MATCH($B855&amp;"|"&amp;$E855,Aux_HH!$A$4:$A$18,0)))</f>
        <v>0</v>
      </c>
    </row>
    <row r="856" customFormat="false" ht="15" hidden="false" customHeight="false" outlineLevel="0" collapsed="false">
      <c r="A856" s="0" t="str">
        <f aca="false">IF(Frota!$A21="","",Frota!$A21)</f>
        <v/>
      </c>
      <c r="B856" s="0" t="str">
        <f aca="false">IF(Frota!$A21="","",Frota!$B21)</f>
        <v/>
      </c>
      <c r="C856" s="0" t="n">
        <v>21</v>
      </c>
      <c r="D856" s="0" t="n">
        <f aca="false">INDEX(Semanas!$E$3:$E$54,21)</f>
        <v>8</v>
      </c>
      <c r="E856" s="0" t="str">
        <f aca="false">IF(Frota!$A21="","",Cronograma!V21)</f>
        <v/>
      </c>
      <c r="F856" s="0" t="n">
        <f aca="false">IF(OR($E856="",$E856=0),0,1)</f>
        <v>0</v>
      </c>
      <c r="G856" s="0" t="n">
        <f aca="false">IF($F856=0,0,INDEX(Aux_HH!$D$4:$D$18,MATCH($B856&amp;"|"&amp;$E856,Aux_HH!$A$4:$A$18,0)))</f>
        <v>0</v>
      </c>
      <c r="H856" s="0" t="n">
        <f aca="false">IF($F856=0,0,INDEX(Aux_HH!$E$4:$E$18,MATCH($B856&amp;"|"&amp;$E856,Aux_HH!$A$4:$A$18,0)))</f>
        <v>0</v>
      </c>
      <c r="I856" s="0" t="n">
        <f aca="false">IF($F856=0,0,INDEX(Aux_HH!$F$4:$F$18,MATCH($B856&amp;"|"&amp;$E856,Aux_HH!$A$4:$A$18,0)))</f>
        <v>0</v>
      </c>
      <c r="J856" s="0" t="n">
        <f aca="false">IF($F856=0,0,INDEX(Aux_HH!$G$4:$G$18,MATCH($B856&amp;"|"&amp;$E856,Aux_HH!$A$4:$A$18,0)))</f>
        <v>0</v>
      </c>
      <c r="K856" s="0" t="n">
        <f aca="false">IF($F856=0,0,INDEX(Aux_HH!$H$4:$H$18,MATCH($B856&amp;"|"&amp;$E856,Aux_HH!$A$4:$A$18,0)))</f>
        <v>0</v>
      </c>
      <c r="L856" s="0" t="n">
        <f aca="false">IF($F856=0,0,INDEX(Aux_HH!$I$4:$I$18,MATCH($B856&amp;"|"&amp;$E856,Aux_HH!$A$4:$A$18,0)))</f>
        <v>0</v>
      </c>
    </row>
    <row r="857" customFormat="false" ht="15" hidden="false" customHeight="false" outlineLevel="0" collapsed="false">
      <c r="A857" s="0" t="str">
        <f aca="false">IF(Frota!$A21="","",Frota!$A21)</f>
        <v/>
      </c>
      <c r="B857" s="0" t="str">
        <f aca="false">IF(Frota!$A21="","",Frota!$B21)</f>
        <v/>
      </c>
      <c r="C857" s="0" t="n">
        <v>22</v>
      </c>
      <c r="D857" s="0" t="n">
        <f aca="false">INDEX(Semanas!$E$3:$E$54,22)</f>
        <v>8</v>
      </c>
      <c r="E857" s="0" t="str">
        <f aca="false">IF(Frota!$A21="","",Cronograma!W21)</f>
        <v/>
      </c>
      <c r="F857" s="0" t="n">
        <f aca="false">IF(OR($E857="",$E857=0),0,1)</f>
        <v>0</v>
      </c>
      <c r="G857" s="0" t="n">
        <f aca="false">IF($F857=0,0,INDEX(Aux_HH!$D$4:$D$18,MATCH($B857&amp;"|"&amp;$E857,Aux_HH!$A$4:$A$18,0)))</f>
        <v>0</v>
      </c>
      <c r="H857" s="0" t="n">
        <f aca="false">IF($F857=0,0,INDEX(Aux_HH!$E$4:$E$18,MATCH($B857&amp;"|"&amp;$E857,Aux_HH!$A$4:$A$18,0)))</f>
        <v>0</v>
      </c>
      <c r="I857" s="0" t="n">
        <f aca="false">IF($F857=0,0,INDEX(Aux_HH!$F$4:$F$18,MATCH($B857&amp;"|"&amp;$E857,Aux_HH!$A$4:$A$18,0)))</f>
        <v>0</v>
      </c>
      <c r="J857" s="0" t="n">
        <f aca="false">IF($F857=0,0,INDEX(Aux_HH!$G$4:$G$18,MATCH($B857&amp;"|"&amp;$E857,Aux_HH!$A$4:$A$18,0)))</f>
        <v>0</v>
      </c>
      <c r="K857" s="0" t="n">
        <f aca="false">IF($F857=0,0,INDEX(Aux_HH!$H$4:$H$18,MATCH($B857&amp;"|"&amp;$E857,Aux_HH!$A$4:$A$18,0)))</f>
        <v>0</v>
      </c>
      <c r="L857" s="0" t="n">
        <f aca="false">IF($F857=0,0,INDEX(Aux_HH!$I$4:$I$18,MATCH($B857&amp;"|"&amp;$E857,Aux_HH!$A$4:$A$18,0)))</f>
        <v>0</v>
      </c>
    </row>
    <row r="858" customFormat="false" ht="15" hidden="false" customHeight="false" outlineLevel="0" collapsed="false">
      <c r="A858" s="0" t="str">
        <f aca="false">IF(Frota!$A21="","",Frota!$A21)</f>
        <v/>
      </c>
      <c r="B858" s="0" t="str">
        <f aca="false">IF(Frota!$A21="","",Frota!$B21)</f>
        <v/>
      </c>
      <c r="C858" s="0" t="n">
        <v>23</v>
      </c>
      <c r="D858" s="0" t="n">
        <f aca="false">INDEX(Semanas!$E$3:$E$54,23)</f>
        <v>9</v>
      </c>
      <c r="E858" s="0" t="str">
        <f aca="false">IF(Frota!$A21="","",Cronograma!X21)</f>
        <v/>
      </c>
      <c r="F858" s="0" t="n">
        <f aca="false">IF(OR($E858="",$E858=0),0,1)</f>
        <v>0</v>
      </c>
      <c r="G858" s="0" t="n">
        <f aca="false">IF($F858=0,0,INDEX(Aux_HH!$D$4:$D$18,MATCH($B858&amp;"|"&amp;$E858,Aux_HH!$A$4:$A$18,0)))</f>
        <v>0</v>
      </c>
      <c r="H858" s="0" t="n">
        <f aca="false">IF($F858=0,0,INDEX(Aux_HH!$E$4:$E$18,MATCH($B858&amp;"|"&amp;$E858,Aux_HH!$A$4:$A$18,0)))</f>
        <v>0</v>
      </c>
      <c r="I858" s="0" t="n">
        <f aca="false">IF($F858=0,0,INDEX(Aux_HH!$F$4:$F$18,MATCH($B858&amp;"|"&amp;$E858,Aux_HH!$A$4:$A$18,0)))</f>
        <v>0</v>
      </c>
      <c r="J858" s="0" t="n">
        <f aca="false">IF($F858=0,0,INDEX(Aux_HH!$G$4:$G$18,MATCH($B858&amp;"|"&amp;$E858,Aux_HH!$A$4:$A$18,0)))</f>
        <v>0</v>
      </c>
      <c r="K858" s="0" t="n">
        <f aca="false">IF($F858=0,0,INDEX(Aux_HH!$H$4:$H$18,MATCH($B858&amp;"|"&amp;$E858,Aux_HH!$A$4:$A$18,0)))</f>
        <v>0</v>
      </c>
      <c r="L858" s="0" t="n">
        <f aca="false">IF($F858=0,0,INDEX(Aux_HH!$I$4:$I$18,MATCH($B858&amp;"|"&amp;$E858,Aux_HH!$A$4:$A$18,0)))</f>
        <v>0</v>
      </c>
    </row>
    <row r="859" customFormat="false" ht="15" hidden="false" customHeight="false" outlineLevel="0" collapsed="false">
      <c r="A859" s="0" t="str">
        <f aca="false">IF(Frota!$A21="","",Frota!$A21)</f>
        <v/>
      </c>
      <c r="B859" s="0" t="str">
        <f aca="false">IF(Frota!$A21="","",Frota!$B21)</f>
        <v/>
      </c>
      <c r="C859" s="0" t="n">
        <v>24</v>
      </c>
      <c r="D859" s="0" t="n">
        <f aca="false">INDEX(Semanas!$E$3:$E$54,24)</f>
        <v>9</v>
      </c>
      <c r="E859" s="0" t="str">
        <f aca="false">IF(Frota!$A21="","",Cronograma!Y21)</f>
        <v/>
      </c>
      <c r="F859" s="0" t="n">
        <f aca="false">IF(OR($E859="",$E859=0),0,1)</f>
        <v>0</v>
      </c>
      <c r="G859" s="0" t="n">
        <f aca="false">IF($F859=0,0,INDEX(Aux_HH!$D$4:$D$18,MATCH($B859&amp;"|"&amp;$E859,Aux_HH!$A$4:$A$18,0)))</f>
        <v>0</v>
      </c>
      <c r="H859" s="0" t="n">
        <f aca="false">IF($F859=0,0,INDEX(Aux_HH!$E$4:$E$18,MATCH($B859&amp;"|"&amp;$E859,Aux_HH!$A$4:$A$18,0)))</f>
        <v>0</v>
      </c>
      <c r="I859" s="0" t="n">
        <f aca="false">IF($F859=0,0,INDEX(Aux_HH!$F$4:$F$18,MATCH($B859&amp;"|"&amp;$E859,Aux_HH!$A$4:$A$18,0)))</f>
        <v>0</v>
      </c>
      <c r="J859" s="0" t="n">
        <f aca="false">IF($F859=0,0,INDEX(Aux_HH!$G$4:$G$18,MATCH($B859&amp;"|"&amp;$E859,Aux_HH!$A$4:$A$18,0)))</f>
        <v>0</v>
      </c>
      <c r="K859" s="0" t="n">
        <f aca="false">IF($F859=0,0,INDEX(Aux_HH!$H$4:$H$18,MATCH($B859&amp;"|"&amp;$E859,Aux_HH!$A$4:$A$18,0)))</f>
        <v>0</v>
      </c>
      <c r="L859" s="0" t="n">
        <f aca="false">IF($F859=0,0,INDEX(Aux_HH!$I$4:$I$18,MATCH($B859&amp;"|"&amp;$E859,Aux_HH!$A$4:$A$18,0)))</f>
        <v>0</v>
      </c>
    </row>
    <row r="860" customFormat="false" ht="15" hidden="false" customHeight="false" outlineLevel="0" collapsed="false">
      <c r="A860" s="0" t="str">
        <f aca="false">IF(Frota!$A21="","",Frota!$A21)</f>
        <v/>
      </c>
      <c r="B860" s="0" t="str">
        <f aca="false">IF(Frota!$A21="","",Frota!$B21)</f>
        <v/>
      </c>
      <c r="C860" s="0" t="n">
        <v>25</v>
      </c>
      <c r="D860" s="0" t="n">
        <f aca="false">INDEX(Semanas!$E$3:$E$54,25)</f>
        <v>9</v>
      </c>
      <c r="E860" s="0" t="str">
        <f aca="false">IF(Frota!$A21="","",Cronograma!Z21)</f>
        <v/>
      </c>
      <c r="F860" s="0" t="n">
        <f aca="false">IF(OR($E860="",$E860=0),0,1)</f>
        <v>0</v>
      </c>
      <c r="G860" s="0" t="n">
        <f aca="false">IF($F860=0,0,INDEX(Aux_HH!$D$4:$D$18,MATCH($B860&amp;"|"&amp;$E860,Aux_HH!$A$4:$A$18,0)))</f>
        <v>0</v>
      </c>
      <c r="H860" s="0" t="n">
        <f aca="false">IF($F860=0,0,INDEX(Aux_HH!$E$4:$E$18,MATCH($B860&amp;"|"&amp;$E860,Aux_HH!$A$4:$A$18,0)))</f>
        <v>0</v>
      </c>
      <c r="I860" s="0" t="n">
        <f aca="false">IF($F860=0,0,INDEX(Aux_HH!$F$4:$F$18,MATCH($B860&amp;"|"&amp;$E860,Aux_HH!$A$4:$A$18,0)))</f>
        <v>0</v>
      </c>
      <c r="J860" s="0" t="n">
        <f aca="false">IF($F860=0,0,INDEX(Aux_HH!$G$4:$G$18,MATCH($B860&amp;"|"&amp;$E860,Aux_HH!$A$4:$A$18,0)))</f>
        <v>0</v>
      </c>
      <c r="K860" s="0" t="n">
        <f aca="false">IF($F860=0,0,INDEX(Aux_HH!$H$4:$H$18,MATCH($B860&amp;"|"&amp;$E860,Aux_HH!$A$4:$A$18,0)))</f>
        <v>0</v>
      </c>
      <c r="L860" s="0" t="n">
        <f aca="false">IF($F860=0,0,INDEX(Aux_HH!$I$4:$I$18,MATCH($B860&amp;"|"&amp;$E860,Aux_HH!$A$4:$A$18,0)))</f>
        <v>0</v>
      </c>
    </row>
    <row r="861" customFormat="false" ht="15" hidden="false" customHeight="false" outlineLevel="0" collapsed="false">
      <c r="A861" s="0" t="str">
        <f aca="false">IF(Frota!$A21="","",Frota!$A21)</f>
        <v/>
      </c>
      <c r="B861" s="0" t="str">
        <f aca="false">IF(Frota!$A21="","",Frota!$B21)</f>
        <v/>
      </c>
      <c r="C861" s="0" t="n">
        <v>26</v>
      </c>
      <c r="D861" s="0" t="n">
        <f aca="false">INDEX(Semanas!$E$3:$E$54,26)</f>
        <v>9</v>
      </c>
      <c r="E861" s="0" t="str">
        <f aca="false">IF(Frota!$A21="","",Cronograma!AA21)</f>
        <v/>
      </c>
      <c r="F861" s="0" t="n">
        <f aca="false">IF(OR($E861="",$E861=0),0,1)</f>
        <v>0</v>
      </c>
      <c r="G861" s="0" t="n">
        <f aca="false">IF($F861=0,0,INDEX(Aux_HH!$D$4:$D$18,MATCH($B861&amp;"|"&amp;$E861,Aux_HH!$A$4:$A$18,0)))</f>
        <v>0</v>
      </c>
      <c r="H861" s="0" t="n">
        <f aca="false">IF($F861=0,0,INDEX(Aux_HH!$E$4:$E$18,MATCH($B861&amp;"|"&amp;$E861,Aux_HH!$A$4:$A$18,0)))</f>
        <v>0</v>
      </c>
      <c r="I861" s="0" t="n">
        <f aca="false">IF($F861=0,0,INDEX(Aux_HH!$F$4:$F$18,MATCH($B861&amp;"|"&amp;$E861,Aux_HH!$A$4:$A$18,0)))</f>
        <v>0</v>
      </c>
      <c r="J861" s="0" t="n">
        <f aca="false">IF($F861=0,0,INDEX(Aux_HH!$G$4:$G$18,MATCH($B861&amp;"|"&amp;$E861,Aux_HH!$A$4:$A$18,0)))</f>
        <v>0</v>
      </c>
      <c r="K861" s="0" t="n">
        <f aca="false">IF($F861=0,0,INDEX(Aux_HH!$H$4:$H$18,MATCH($B861&amp;"|"&amp;$E861,Aux_HH!$A$4:$A$18,0)))</f>
        <v>0</v>
      </c>
      <c r="L861" s="0" t="n">
        <f aca="false">IF($F861=0,0,INDEX(Aux_HH!$I$4:$I$18,MATCH($B861&amp;"|"&amp;$E861,Aux_HH!$A$4:$A$18,0)))</f>
        <v>0</v>
      </c>
    </row>
    <row r="862" customFormat="false" ht="15" hidden="false" customHeight="false" outlineLevel="0" collapsed="false">
      <c r="A862" s="0" t="str">
        <f aca="false">IF(Frota!$A21="","",Frota!$A21)</f>
        <v/>
      </c>
      <c r="B862" s="0" t="str">
        <f aca="false">IF(Frota!$A21="","",Frota!$B21)</f>
        <v/>
      </c>
      <c r="C862" s="0" t="n">
        <v>27</v>
      </c>
      <c r="D862" s="0" t="n">
        <f aca="false">INDEX(Semanas!$E$3:$E$54,27)</f>
        <v>9</v>
      </c>
      <c r="E862" s="0" t="str">
        <f aca="false">IF(Frota!$A21="","",Cronograma!AB21)</f>
        <v/>
      </c>
      <c r="F862" s="0" t="n">
        <f aca="false">IF(OR($E862="",$E862=0),0,1)</f>
        <v>0</v>
      </c>
      <c r="G862" s="0" t="n">
        <f aca="false">IF($F862=0,0,INDEX(Aux_HH!$D$4:$D$18,MATCH($B862&amp;"|"&amp;$E862,Aux_HH!$A$4:$A$18,0)))</f>
        <v>0</v>
      </c>
      <c r="H862" s="0" t="n">
        <f aca="false">IF($F862=0,0,INDEX(Aux_HH!$E$4:$E$18,MATCH($B862&amp;"|"&amp;$E862,Aux_HH!$A$4:$A$18,0)))</f>
        <v>0</v>
      </c>
      <c r="I862" s="0" t="n">
        <f aca="false">IF($F862=0,0,INDEX(Aux_HH!$F$4:$F$18,MATCH($B862&amp;"|"&amp;$E862,Aux_HH!$A$4:$A$18,0)))</f>
        <v>0</v>
      </c>
      <c r="J862" s="0" t="n">
        <f aca="false">IF($F862=0,0,INDEX(Aux_HH!$G$4:$G$18,MATCH($B862&amp;"|"&amp;$E862,Aux_HH!$A$4:$A$18,0)))</f>
        <v>0</v>
      </c>
      <c r="K862" s="0" t="n">
        <f aca="false">IF($F862=0,0,INDEX(Aux_HH!$H$4:$H$18,MATCH($B862&amp;"|"&amp;$E862,Aux_HH!$A$4:$A$18,0)))</f>
        <v>0</v>
      </c>
      <c r="L862" s="0" t="n">
        <f aca="false">IF($F862=0,0,INDEX(Aux_HH!$I$4:$I$18,MATCH($B862&amp;"|"&amp;$E862,Aux_HH!$A$4:$A$18,0)))</f>
        <v>0</v>
      </c>
    </row>
    <row r="863" customFormat="false" ht="15" hidden="false" customHeight="false" outlineLevel="0" collapsed="false">
      <c r="A863" s="0" t="str">
        <f aca="false">IF(Frota!$A21="","",Frota!$A21)</f>
        <v/>
      </c>
      <c r="B863" s="0" t="str">
        <f aca="false">IF(Frota!$A21="","",Frota!$B21)</f>
        <v/>
      </c>
      <c r="C863" s="0" t="n">
        <v>28</v>
      </c>
      <c r="D863" s="0" t="n">
        <f aca="false">INDEX(Semanas!$E$3:$E$54,28)</f>
        <v>10</v>
      </c>
      <c r="E863" s="0" t="str">
        <f aca="false">IF(Frota!$A21="","",Cronograma!AC21)</f>
        <v/>
      </c>
      <c r="F863" s="0" t="n">
        <f aca="false">IF(OR($E863="",$E863=0),0,1)</f>
        <v>0</v>
      </c>
      <c r="G863" s="0" t="n">
        <f aca="false">IF($F863=0,0,INDEX(Aux_HH!$D$4:$D$18,MATCH($B863&amp;"|"&amp;$E863,Aux_HH!$A$4:$A$18,0)))</f>
        <v>0</v>
      </c>
      <c r="H863" s="0" t="n">
        <f aca="false">IF($F863=0,0,INDEX(Aux_HH!$E$4:$E$18,MATCH($B863&amp;"|"&amp;$E863,Aux_HH!$A$4:$A$18,0)))</f>
        <v>0</v>
      </c>
      <c r="I863" s="0" t="n">
        <f aca="false">IF($F863=0,0,INDEX(Aux_HH!$F$4:$F$18,MATCH($B863&amp;"|"&amp;$E863,Aux_HH!$A$4:$A$18,0)))</f>
        <v>0</v>
      </c>
      <c r="J863" s="0" t="n">
        <f aca="false">IF($F863=0,0,INDEX(Aux_HH!$G$4:$G$18,MATCH($B863&amp;"|"&amp;$E863,Aux_HH!$A$4:$A$18,0)))</f>
        <v>0</v>
      </c>
      <c r="K863" s="0" t="n">
        <f aca="false">IF($F863=0,0,INDEX(Aux_HH!$H$4:$H$18,MATCH($B863&amp;"|"&amp;$E863,Aux_HH!$A$4:$A$18,0)))</f>
        <v>0</v>
      </c>
      <c r="L863" s="0" t="n">
        <f aca="false">IF($F863=0,0,INDEX(Aux_HH!$I$4:$I$18,MATCH($B863&amp;"|"&amp;$E863,Aux_HH!$A$4:$A$18,0)))</f>
        <v>0</v>
      </c>
    </row>
    <row r="864" customFormat="false" ht="15" hidden="false" customHeight="false" outlineLevel="0" collapsed="false">
      <c r="A864" s="0" t="str">
        <f aca="false">IF(Frota!$A21="","",Frota!$A21)</f>
        <v/>
      </c>
      <c r="B864" s="0" t="str">
        <f aca="false">IF(Frota!$A21="","",Frota!$B21)</f>
        <v/>
      </c>
      <c r="C864" s="0" t="n">
        <v>29</v>
      </c>
      <c r="D864" s="0" t="n">
        <f aca="false">INDEX(Semanas!$E$3:$E$54,29)</f>
        <v>10</v>
      </c>
      <c r="E864" s="0" t="str">
        <f aca="false">IF(Frota!$A21="","",Cronograma!AD21)</f>
        <v/>
      </c>
      <c r="F864" s="0" t="n">
        <f aca="false">IF(OR($E864="",$E864=0),0,1)</f>
        <v>0</v>
      </c>
      <c r="G864" s="0" t="n">
        <f aca="false">IF($F864=0,0,INDEX(Aux_HH!$D$4:$D$18,MATCH($B864&amp;"|"&amp;$E864,Aux_HH!$A$4:$A$18,0)))</f>
        <v>0</v>
      </c>
      <c r="H864" s="0" t="n">
        <f aca="false">IF($F864=0,0,INDEX(Aux_HH!$E$4:$E$18,MATCH($B864&amp;"|"&amp;$E864,Aux_HH!$A$4:$A$18,0)))</f>
        <v>0</v>
      </c>
      <c r="I864" s="0" t="n">
        <f aca="false">IF($F864=0,0,INDEX(Aux_HH!$F$4:$F$18,MATCH($B864&amp;"|"&amp;$E864,Aux_HH!$A$4:$A$18,0)))</f>
        <v>0</v>
      </c>
      <c r="J864" s="0" t="n">
        <f aca="false">IF($F864=0,0,INDEX(Aux_HH!$G$4:$G$18,MATCH($B864&amp;"|"&amp;$E864,Aux_HH!$A$4:$A$18,0)))</f>
        <v>0</v>
      </c>
      <c r="K864" s="0" t="n">
        <f aca="false">IF($F864=0,0,INDEX(Aux_HH!$H$4:$H$18,MATCH($B864&amp;"|"&amp;$E864,Aux_HH!$A$4:$A$18,0)))</f>
        <v>0</v>
      </c>
      <c r="L864" s="0" t="n">
        <f aca="false">IF($F864=0,0,INDEX(Aux_HH!$I$4:$I$18,MATCH($B864&amp;"|"&amp;$E864,Aux_HH!$A$4:$A$18,0)))</f>
        <v>0</v>
      </c>
    </row>
    <row r="865" customFormat="false" ht="15" hidden="false" customHeight="false" outlineLevel="0" collapsed="false">
      <c r="A865" s="0" t="str">
        <f aca="false">IF(Frota!$A21="","",Frota!$A21)</f>
        <v/>
      </c>
      <c r="B865" s="0" t="str">
        <f aca="false">IF(Frota!$A21="","",Frota!$B21)</f>
        <v/>
      </c>
      <c r="C865" s="0" t="n">
        <v>30</v>
      </c>
      <c r="D865" s="0" t="n">
        <f aca="false">INDEX(Semanas!$E$3:$E$54,30)</f>
        <v>10</v>
      </c>
      <c r="E865" s="0" t="str">
        <f aca="false">IF(Frota!$A21="","",Cronograma!AE21)</f>
        <v/>
      </c>
      <c r="F865" s="0" t="n">
        <f aca="false">IF(OR($E865="",$E865=0),0,1)</f>
        <v>0</v>
      </c>
      <c r="G865" s="0" t="n">
        <f aca="false">IF($F865=0,0,INDEX(Aux_HH!$D$4:$D$18,MATCH($B865&amp;"|"&amp;$E865,Aux_HH!$A$4:$A$18,0)))</f>
        <v>0</v>
      </c>
      <c r="H865" s="0" t="n">
        <f aca="false">IF($F865=0,0,INDEX(Aux_HH!$E$4:$E$18,MATCH($B865&amp;"|"&amp;$E865,Aux_HH!$A$4:$A$18,0)))</f>
        <v>0</v>
      </c>
      <c r="I865" s="0" t="n">
        <f aca="false">IF($F865=0,0,INDEX(Aux_HH!$F$4:$F$18,MATCH($B865&amp;"|"&amp;$E865,Aux_HH!$A$4:$A$18,0)))</f>
        <v>0</v>
      </c>
      <c r="J865" s="0" t="n">
        <f aca="false">IF($F865=0,0,INDEX(Aux_HH!$G$4:$G$18,MATCH($B865&amp;"|"&amp;$E865,Aux_HH!$A$4:$A$18,0)))</f>
        <v>0</v>
      </c>
      <c r="K865" s="0" t="n">
        <f aca="false">IF($F865=0,0,INDEX(Aux_HH!$H$4:$H$18,MATCH($B865&amp;"|"&amp;$E865,Aux_HH!$A$4:$A$18,0)))</f>
        <v>0</v>
      </c>
      <c r="L865" s="0" t="n">
        <f aca="false">IF($F865=0,0,INDEX(Aux_HH!$I$4:$I$18,MATCH($B865&amp;"|"&amp;$E865,Aux_HH!$A$4:$A$18,0)))</f>
        <v>0</v>
      </c>
    </row>
    <row r="866" customFormat="false" ht="15" hidden="false" customHeight="false" outlineLevel="0" collapsed="false">
      <c r="A866" s="0" t="str">
        <f aca="false">IF(Frota!$A21="","",Frota!$A21)</f>
        <v/>
      </c>
      <c r="B866" s="0" t="str">
        <f aca="false">IF(Frota!$A21="","",Frota!$B21)</f>
        <v/>
      </c>
      <c r="C866" s="0" t="n">
        <v>31</v>
      </c>
      <c r="D866" s="0" t="n">
        <f aca="false">INDEX(Semanas!$E$3:$E$54,31)</f>
        <v>10</v>
      </c>
      <c r="E866" s="0" t="str">
        <f aca="false">IF(Frota!$A21="","",Cronograma!AF21)</f>
        <v/>
      </c>
      <c r="F866" s="0" t="n">
        <f aca="false">IF(OR($E866="",$E866=0),0,1)</f>
        <v>0</v>
      </c>
      <c r="G866" s="0" t="n">
        <f aca="false">IF($F866=0,0,INDEX(Aux_HH!$D$4:$D$18,MATCH($B866&amp;"|"&amp;$E866,Aux_HH!$A$4:$A$18,0)))</f>
        <v>0</v>
      </c>
      <c r="H866" s="0" t="n">
        <f aca="false">IF($F866=0,0,INDEX(Aux_HH!$E$4:$E$18,MATCH($B866&amp;"|"&amp;$E866,Aux_HH!$A$4:$A$18,0)))</f>
        <v>0</v>
      </c>
      <c r="I866" s="0" t="n">
        <f aca="false">IF($F866=0,0,INDEX(Aux_HH!$F$4:$F$18,MATCH($B866&amp;"|"&amp;$E866,Aux_HH!$A$4:$A$18,0)))</f>
        <v>0</v>
      </c>
      <c r="J866" s="0" t="n">
        <f aca="false">IF($F866=0,0,INDEX(Aux_HH!$G$4:$G$18,MATCH($B866&amp;"|"&amp;$E866,Aux_HH!$A$4:$A$18,0)))</f>
        <v>0</v>
      </c>
      <c r="K866" s="0" t="n">
        <f aca="false">IF($F866=0,0,INDEX(Aux_HH!$H$4:$H$18,MATCH($B866&amp;"|"&amp;$E866,Aux_HH!$A$4:$A$18,0)))</f>
        <v>0</v>
      </c>
      <c r="L866" s="0" t="n">
        <f aca="false">IF($F866=0,0,INDEX(Aux_HH!$I$4:$I$18,MATCH($B866&amp;"|"&amp;$E866,Aux_HH!$A$4:$A$18,0)))</f>
        <v>0</v>
      </c>
    </row>
    <row r="867" customFormat="false" ht="15" hidden="false" customHeight="false" outlineLevel="0" collapsed="false">
      <c r="A867" s="0" t="str">
        <f aca="false">IF(Frota!$A21="","",Frota!$A21)</f>
        <v/>
      </c>
      <c r="B867" s="0" t="str">
        <f aca="false">IF(Frota!$A21="","",Frota!$B21)</f>
        <v/>
      </c>
      <c r="C867" s="0" t="n">
        <v>32</v>
      </c>
      <c r="D867" s="0" t="n">
        <f aca="false">INDEX(Semanas!$E$3:$E$54,32)</f>
        <v>11</v>
      </c>
      <c r="E867" s="0" t="str">
        <f aca="false">IF(Frota!$A21="","",Cronograma!AG21)</f>
        <v/>
      </c>
      <c r="F867" s="0" t="n">
        <f aca="false">IF(OR($E867="",$E867=0),0,1)</f>
        <v>0</v>
      </c>
      <c r="G867" s="0" t="n">
        <f aca="false">IF($F867=0,0,INDEX(Aux_HH!$D$4:$D$18,MATCH($B867&amp;"|"&amp;$E867,Aux_HH!$A$4:$A$18,0)))</f>
        <v>0</v>
      </c>
      <c r="H867" s="0" t="n">
        <f aca="false">IF($F867=0,0,INDEX(Aux_HH!$E$4:$E$18,MATCH($B867&amp;"|"&amp;$E867,Aux_HH!$A$4:$A$18,0)))</f>
        <v>0</v>
      </c>
      <c r="I867" s="0" t="n">
        <f aca="false">IF($F867=0,0,INDEX(Aux_HH!$F$4:$F$18,MATCH($B867&amp;"|"&amp;$E867,Aux_HH!$A$4:$A$18,0)))</f>
        <v>0</v>
      </c>
      <c r="J867" s="0" t="n">
        <f aca="false">IF($F867=0,0,INDEX(Aux_HH!$G$4:$G$18,MATCH($B867&amp;"|"&amp;$E867,Aux_HH!$A$4:$A$18,0)))</f>
        <v>0</v>
      </c>
      <c r="K867" s="0" t="n">
        <f aca="false">IF($F867=0,0,INDEX(Aux_HH!$H$4:$H$18,MATCH($B867&amp;"|"&amp;$E867,Aux_HH!$A$4:$A$18,0)))</f>
        <v>0</v>
      </c>
      <c r="L867" s="0" t="n">
        <f aca="false">IF($F867=0,0,INDEX(Aux_HH!$I$4:$I$18,MATCH($B867&amp;"|"&amp;$E867,Aux_HH!$A$4:$A$18,0)))</f>
        <v>0</v>
      </c>
    </row>
    <row r="868" customFormat="false" ht="15" hidden="false" customHeight="false" outlineLevel="0" collapsed="false">
      <c r="A868" s="0" t="str">
        <f aca="false">IF(Frota!$A21="","",Frota!$A21)</f>
        <v/>
      </c>
      <c r="B868" s="0" t="str">
        <f aca="false">IF(Frota!$A21="","",Frota!$B21)</f>
        <v/>
      </c>
      <c r="C868" s="0" t="n">
        <v>33</v>
      </c>
      <c r="D868" s="0" t="n">
        <f aca="false">INDEX(Semanas!$E$3:$E$54,33)</f>
        <v>11</v>
      </c>
      <c r="E868" s="0" t="str">
        <f aca="false">IF(Frota!$A21="","",Cronograma!AH21)</f>
        <v/>
      </c>
      <c r="F868" s="0" t="n">
        <f aca="false">IF(OR($E868="",$E868=0),0,1)</f>
        <v>0</v>
      </c>
      <c r="G868" s="0" t="n">
        <f aca="false">IF($F868=0,0,INDEX(Aux_HH!$D$4:$D$18,MATCH($B868&amp;"|"&amp;$E868,Aux_HH!$A$4:$A$18,0)))</f>
        <v>0</v>
      </c>
      <c r="H868" s="0" t="n">
        <f aca="false">IF($F868=0,0,INDEX(Aux_HH!$E$4:$E$18,MATCH($B868&amp;"|"&amp;$E868,Aux_HH!$A$4:$A$18,0)))</f>
        <v>0</v>
      </c>
      <c r="I868" s="0" t="n">
        <f aca="false">IF($F868=0,0,INDEX(Aux_HH!$F$4:$F$18,MATCH($B868&amp;"|"&amp;$E868,Aux_HH!$A$4:$A$18,0)))</f>
        <v>0</v>
      </c>
      <c r="J868" s="0" t="n">
        <f aca="false">IF($F868=0,0,INDEX(Aux_HH!$G$4:$G$18,MATCH($B868&amp;"|"&amp;$E868,Aux_HH!$A$4:$A$18,0)))</f>
        <v>0</v>
      </c>
      <c r="K868" s="0" t="n">
        <f aca="false">IF($F868=0,0,INDEX(Aux_HH!$H$4:$H$18,MATCH($B868&amp;"|"&amp;$E868,Aux_HH!$A$4:$A$18,0)))</f>
        <v>0</v>
      </c>
      <c r="L868" s="0" t="n">
        <f aca="false">IF($F868=0,0,INDEX(Aux_HH!$I$4:$I$18,MATCH($B868&amp;"|"&amp;$E868,Aux_HH!$A$4:$A$18,0)))</f>
        <v>0</v>
      </c>
    </row>
    <row r="869" customFormat="false" ht="15" hidden="false" customHeight="false" outlineLevel="0" collapsed="false">
      <c r="A869" s="0" t="str">
        <f aca="false">IF(Frota!$A21="","",Frota!$A21)</f>
        <v/>
      </c>
      <c r="B869" s="0" t="str">
        <f aca="false">IF(Frota!$A21="","",Frota!$B21)</f>
        <v/>
      </c>
      <c r="C869" s="0" t="n">
        <v>34</v>
      </c>
      <c r="D869" s="0" t="n">
        <f aca="false">INDEX(Semanas!$E$3:$E$54,34)</f>
        <v>11</v>
      </c>
      <c r="E869" s="0" t="str">
        <f aca="false">IF(Frota!$A21="","",Cronograma!AI21)</f>
        <v/>
      </c>
      <c r="F869" s="0" t="n">
        <f aca="false">IF(OR($E869="",$E869=0),0,1)</f>
        <v>0</v>
      </c>
      <c r="G869" s="0" t="n">
        <f aca="false">IF($F869=0,0,INDEX(Aux_HH!$D$4:$D$18,MATCH($B869&amp;"|"&amp;$E869,Aux_HH!$A$4:$A$18,0)))</f>
        <v>0</v>
      </c>
      <c r="H869" s="0" t="n">
        <f aca="false">IF($F869=0,0,INDEX(Aux_HH!$E$4:$E$18,MATCH($B869&amp;"|"&amp;$E869,Aux_HH!$A$4:$A$18,0)))</f>
        <v>0</v>
      </c>
      <c r="I869" s="0" t="n">
        <f aca="false">IF($F869=0,0,INDEX(Aux_HH!$F$4:$F$18,MATCH($B869&amp;"|"&amp;$E869,Aux_HH!$A$4:$A$18,0)))</f>
        <v>0</v>
      </c>
      <c r="J869" s="0" t="n">
        <f aca="false">IF($F869=0,0,INDEX(Aux_HH!$G$4:$G$18,MATCH($B869&amp;"|"&amp;$E869,Aux_HH!$A$4:$A$18,0)))</f>
        <v>0</v>
      </c>
      <c r="K869" s="0" t="n">
        <f aca="false">IF($F869=0,0,INDEX(Aux_HH!$H$4:$H$18,MATCH($B869&amp;"|"&amp;$E869,Aux_HH!$A$4:$A$18,0)))</f>
        <v>0</v>
      </c>
      <c r="L869" s="0" t="n">
        <f aca="false">IF($F869=0,0,INDEX(Aux_HH!$I$4:$I$18,MATCH($B869&amp;"|"&amp;$E869,Aux_HH!$A$4:$A$18,0)))</f>
        <v>0</v>
      </c>
    </row>
    <row r="870" customFormat="false" ht="15" hidden="false" customHeight="false" outlineLevel="0" collapsed="false">
      <c r="A870" s="0" t="str">
        <f aca="false">IF(Frota!$A21="","",Frota!$A21)</f>
        <v/>
      </c>
      <c r="B870" s="0" t="str">
        <f aca="false">IF(Frota!$A21="","",Frota!$B21)</f>
        <v/>
      </c>
      <c r="C870" s="0" t="n">
        <v>35</v>
      </c>
      <c r="D870" s="0" t="n">
        <f aca="false">INDEX(Semanas!$E$3:$E$54,35)</f>
        <v>11</v>
      </c>
      <c r="E870" s="0" t="str">
        <f aca="false">IF(Frota!$A21="","",Cronograma!AJ21)</f>
        <v/>
      </c>
      <c r="F870" s="0" t="n">
        <f aca="false">IF(OR($E870="",$E870=0),0,1)</f>
        <v>0</v>
      </c>
      <c r="G870" s="0" t="n">
        <f aca="false">IF($F870=0,0,INDEX(Aux_HH!$D$4:$D$18,MATCH($B870&amp;"|"&amp;$E870,Aux_HH!$A$4:$A$18,0)))</f>
        <v>0</v>
      </c>
      <c r="H870" s="0" t="n">
        <f aca="false">IF($F870=0,0,INDEX(Aux_HH!$E$4:$E$18,MATCH($B870&amp;"|"&amp;$E870,Aux_HH!$A$4:$A$18,0)))</f>
        <v>0</v>
      </c>
      <c r="I870" s="0" t="n">
        <f aca="false">IF($F870=0,0,INDEX(Aux_HH!$F$4:$F$18,MATCH($B870&amp;"|"&amp;$E870,Aux_HH!$A$4:$A$18,0)))</f>
        <v>0</v>
      </c>
      <c r="J870" s="0" t="n">
        <f aca="false">IF($F870=0,0,INDEX(Aux_HH!$G$4:$G$18,MATCH($B870&amp;"|"&amp;$E870,Aux_HH!$A$4:$A$18,0)))</f>
        <v>0</v>
      </c>
      <c r="K870" s="0" t="n">
        <f aca="false">IF($F870=0,0,INDEX(Aux_HH!$H$4:$H$18,MATCH($B870&amp;"|"&amp;$E870,Aux_HH!$A$4:$A$18,0)))</f>
        <v>0</v>
      </c>
      <c r="L870" s="0" t="n">
        <f aca="false">IF($F870=0,0,INDEX(Aux_HH!$I$4:$I$18,MATCH($B870&amp;"|"&amp;$E870,Aux_HH!$A$4:$A$18,0)))</f>
        <v>0</v>
      </c>
    </row>
    <row r="871" customFormat="false" ht="15" hidden="false" customHeight="false" outlineLevel="0" collapsed="false">
      <c r="A871" s="0" t="str">
        <f aca="false">IF(Frota!$A21="","",Frota!$A21)</f>
        <v/>
      </c>
      <c r="B871" s="0" t="str">
        <f aca="false">IF(Frota!$A21="","",Frota!$B21)</f>
        <v/>
      </c>
      <c r="C871" s="0" t="n">
        <v>36</v>
      </c>
      <c r="D871" s="0" t="n">
        <f aca="false">INDEX(Semanas!$E$3:$E$54,36)</f>
        <v>12</v>
      </c>
      <c r="E871" s="0" t="str">
        <f aca="false">IF(Frota!$A21="","",Cronograma!AK21)</f>
        <v/>
      </c>
      <c r="F871" s="0" t="n">
        <f aca="false">IF(OR($E871="",$E871=0),0,1)</f>
        <v>0</v>
      </c>
      <c r="G871" s="0" t="n">
        <f aca="false">IF($F871=0,0,INDEX(Aux_HH!$D$4:$D$18,MATCH($B871&amp;"|"&amp;$E871,Aux_HH!$A$4:$A$18,0)))</f>
        <v>0</v>
      </c>
      <c r="H871" s="0" t="n">
        <f aca="false">IF($F871=0,0,INDEX(Aux_HH!$E$4:$E$18,MATCH($B871&amp;"|"&amp;$E871,Aux_HH!$A$4:$A$18,0)))</f>
        <v>0</v>
      </c>
      <c r="I871" s="0" t="n">
        <f aca="false">IF($F871=0,0,INDEX(Aux_HH!$F$4:$F$18,MATCH($B871&amp;"|"&amp;$E871,Aux_HH!$A$4:$A$18,0)))</f>
        <v>0</v>
      </c>
      <c r="J871" s="0" t="n">
        <f aca="false">IF($F871=0,0,INDEX(Aux_HH!$G$4:$G$18,MATCH($B871&amp;"|"&amp;$E871,Aux_HH!$A$4:$A$18,0)))</f>
        <v>0</v>
      </c>
      <c r="K871" s="0" t="n">
        <f aca="false">IF($F871=0,0,INDEX(Aux_HH!$H$4:$H$18,MATCH($B871&amp;"|"&amp;$E871,Aux_HH!$A$4:$A$18,0)))</f>
        <v>0</v>
      </c>
      <c r="L871" s="0" t="n">
        <f aca="false">IF($F871=0,0,INDEX(Aux_HH!$I$4:$I$18,MATCH($B871&amp;"|"&amp;$E871,Aux_HH!$A$4:$A$18,0)))</f>
        <v>0</v>
      </c>
    </row>
    <row r="872" customFormat="false" ht="15" hidden="false" customHeight="false" outlineLevel="0" collapsed="false">
      <c r="A872" s="0" t="str">
        <f aca="false">IF(Frota!$A21="","",Frota!$A21)</f>
        <v/>
      </c>
      <c r="B872" s="0" t="str">
        <f aca="false">IF(Frota!$A21="","",Frota!$B21)</f>
        <v/>
      </c>
      <c r="C872" s="0" t="n">
        <v>37</v>
      </c>
      <c r="D872" s="0" t="n">
        <f aca="false">INDEX(Semanas!$E$3:$E$54,37)</f>
        <v>12</v>
      </c>
      <c r="E872" s="0" t="str">
        <f aca="false">IF(Frota!$A21="","",Cronograma!AL21)</f>
        <v/>
      </c>
      <c r="F872" s="0" t="n">
        <f aca="false">IF(OR($E872="",$E872=0),0,1)</f>
        <v>0</v>
      </c>
      <c r="G872" s="0" t="n">
        <f aca="false">IF($F872=0,0,INDEX(Aux_HH!$D$4:$D$18,MATCH($B872&amp;"|"&amp;$E872,Aux_HH!$A$4:$A$18,0)))</f>
        <v>0</v>
      </c>
      <c r="H872" s="0" t="n">
        <f aca="false">IF($F872=0,0,INDEX(Aux_HH!$E$4:$E$18,MATCH($B872&amp;"|"&amp;$E872,Aux_HH!$A$4:$A$18,0)))</f>
        <v>0</v>
      </c>
      <c r="I872" s="0" t="n">
        <f aca="false">IF($F872=0,0,INDEX(Aux_HH!$F$4:$F$18,MATCH($B872&amp;"|"&amp;$E872,Aux_HH!$A$4:$A$18,0)))</f>
        <v>0</v>
      </c>
      <c r="J872" s="0" t="n">
        <f aca="false">IF($F872=0,0,INDEX(Aux_HH!$G$4:$G$18,MATCH($B872&amp;"|"&amp;$E872,Aux_HH!$A$4:$A$18,0)))</f>
        <v>0</v>
      </c>
      <c r="K872" s="0" t="n">
        <f aca="false">IF($F872=0,0,INDEX(Aux_HH!$H$4:$H$18,MATCH($B872&amp;"|"&amp;$E872,Aux_HH!$A$4:$A$18,0)))</f>
        <v>0</v>
      </c>
      <c r="L872" s="0" t="n">
        <f aca="false">IF($F872=0,0,INDEX(Aux_HH!$I$4:$I$18,MATCH($B872&amp;"|"&amp;$E872,Aux_HH!$A$4:$A$18,0)))</f>
        <v>0</v>
      </c>
    </row>
    <row r="873" customFormat="false" ht="15" hidden="false" customHeight="false" outlineLevel="0" collapsed="false">
      <c r="A873" s="0" t="str">
        <f aca="false">IF(Frota!$A21="","",Frota!$A21)</f>
        <v/>
      </c>
      <c r="B873" s="0" t="str">
        <f aca="false">IF(Frota!$A21="","",Frota!$B21)</f>
        <v/>
      </c>
      <c r="C873" s="0" t="n">
        <v>38</v>
      </c>
      <c r="D873" s="0" t="n">
        <f aca="false">INDEX(Semanas!$E$3:$E$54,38)</f>
        <v>12</v>
      </c>
      <c r="E873" s="0" t="str">
        <f aca="false">IF(Frota!$A21="","",Cronograma!AM21)</f>
        <v/>
      </c>
      <c r="F873" s="0" t="n">
        <f aca="false">IF(OR($E873="",$E873=0),0,1)</f>
        <v>0</v>
      </c>
      <c r="G873" s="0" t="n">
        <f aca="false">IF($F873=0,0,INDEX(Aux_HH!$D$4:$D$18,MATCH($B873&amp;"|"&amp;$E873,Aux_HH!$A$4:$A$18,0)))</f>
        <v>0</v>
      </c>
      <c r="H873" s="0" t="n">
        <f aca="false">IF($F873=0,0,INDEX(Aux_HH!$E$4:$E$18,MATCH($B873&amp;"|"&amp;$E873,Aux_HH!$A$4:$A$18,0)))</f>
        <v>0</v>
      </c>
      <c r="I873" s="0" t="n">
        <f aca="false">IF($F873=0,0,INDEX(Aux_HH!$F$4:$F$18,MATCH($B873&amp;"|"&amp;$E873,Aux_HH!$A$4:$A$18,0)))</f>
        <v>0</v>
      </c>
      <c r="J873" s="0" t="n">
        <f aca="false">IF($F873=0,0,INDEX(Aux_HH!$G$4:$G$18,MATCH($B873&amp;"|"&amp;$E873,Aux_HH!$A$4:$A$18,0)))</f>
        <v>0</v>
      </c>
      <c r="K873" s="0" t="n">
        <f aca="false">IF($F873=0,0,INDEX(Aux_HH!$H$4:$H$18,MATCH($B873&amp;"|"&amp;$E873,Aux_HH!$A$4:$A$18,0)))</f>
        <v>0</v>
      </c>
      <c r="L873" s="0" t="n">
        <f aca="false">IF($F873=0,0,INDEX(Aux_HH!$I$4:$I$18,MATCH($B873&amp;"|"&amp;$E873,Aux_HH!$A$4:$A$18,0)))</f>
        <v>0</v>
      </c>
    </row>
    <row r="874" customFormat="false" ht="15" hidden="false" customHeight="false" outlineLevel="0" collapsed="false">
      <c r="A874" s="0" t="str">
        <f aca="false">IF(Frota!$A21="","",Frota!$A21)</f>
        <v/>
      </c>
      <c r="B874" s="0" t="str">
        <f aca="false">IF(Frota!$A21="","",Frota!$B21)</f>
        <v/>
      </c>
      <c r="C874" s="0" t="n">
        <v>39</v>
      </c>
      <c r="D874" s="0" t="n">
        <f aca="false">INDEX(Semanas!$E$3:$E$54,39)</f>
        <v>12</v>
      </c>
      <c r="E874" s="0" t="str">
        <f aca="false">IF(Frota!$A21="","",Cronograma!AN21)</f>
        <v/>
      </c>
      <c r="F874" s="0" t="n">
        <f aca="false">IF(OR($E874="",$E874=0),0,1)</f>
        <v>0</v>
      </c>
      <c r="G874" s="0" t="n">
        <f aca="false">IF($F874=0,0,INDEX(Aux_HH!$D$4:$D$18,MATCH($B874&amp;"|"&amp;$E874,Aux_HH!$A$4:$A$18,0)))</f>
        <v>0</v>
      </c>
      <c r="H874" s="0" t="n">
        <f aca="false">IF($F874=0,0,INDEX(Aux_HH!$E$4:$E$18,MATCH($B874&amp;"|"&amp;$E874,Aux_HH!$A$4:$A$18,0)))</f>
        <v>0</v>
      </c>
      <c r="I874" s="0" t="n">
        <f aca="false">IF($F874=0,0,INDEX(Aux_HH!$F$4:$F$18,MATCH($B874&amp;"|"&amp;$E874,Aux_HH!$A$4:$A$18,0)))</f>
        <v>0</v>
      </c>
      <c r="J874" s="0" t="n">
        <f aca="false">IF($F874=0,0,INDEX(Aux_HH!$G$4:$G$18,MATCH($B874&amp;"|"&amp;$E874,Aux_HH!$A$4:$A$18,0)))</f>
        <v>0</v>
      </c>
      <c r="K874" s="0" t="n">
        <f aca="false">IF($F874=0,0,INDEX(Aux_HH!$H$4:$H$18,MATCH($B874&amp;"|"&amp;$E874,Aux_HH!$A$4:$A$18,0)))</f>
        <v>0</v>
      </c>
      <c r="L874" s="0" t="n">
        <f aca="false">IF($F874=0,0,INDEX(Aux_HH!$I$4:$I$18,MATCH($B874&amp;"|"&amp;$E874,Aux_HH!$A$4:$A$18,0)))</f>
        <v>0</v>
      </c>
    </row>
    <row r="875" customFormat="false" ht="15" hidden="false" customHeight="false" outlineLevel="0" collapsed="false">
      <c r="A875" s="0" t="str">
        <f aca="false">IF(Frota!$A21="","",Frota!$A21)</f>
        <v/>
      </c>
      <c r="B875" s="0" t="str">
        <f aca="false">IF(Frota!$A21="","",Frota!$B21)</f>
        <v/>
      </c>
      <c r="C875" s="0" t="n">
        <v>40</v>
      </c>
      <c r="D875" s="0" t="n">
        <f aca="false">INDEX(Semanas!$E$3:$E$54,40)</f>
        <v>12</v>
      </c>
      <c r="E875" s="0" t="str">
        <f aca="false">IF(Frota!$A21="","",Cronograma!AO21)</f>
        <v/>
      </c>
      <c r="F875" s="0" t="n">
        <f aca="false">IF(OR($E875="",$E875=0),0,1)</f>
        <v>0</v>
      </c>
      <c r="G875" s="0" t="n">
        <f aca="false">IF($F875=0,0,INDEX(Aux_HH!$D$4:$D$18,MATCH($B875&amp;"|"&amp;$E875,Aux_HH!$A$4:$A$18,0)))</f>
        <v>0</v>
      </c>
      <c r="H875" s="0" t="n">
        <f aca="false">IF($F875=0,0,INDEX(Aux_HH!$E$4:$E$18,MATCH($B875&amp;"|"&amp;$E875,Aux_HH!$A$4:$A$18,0)))</f>
        <v>0</v>
      </c>
      <c r="I875" s="0" t="n">
        <f aca="false">IF($F875=0,0,INDEX(Aux_HH!$F$4:$F$18,MATCH($B875&amp;"|"&amp;$E875,Aux_HH!$A$4:$A$18,0)))</f>
        <v>0</v>
      </c>
      <c r="J875" s="0" t="n">
        <f aca="false">IF($F875=0,0,INDEX(Aux_HH!$G$4:$G$18,MATCH($B875&amp;"|"&amp;$E875,Aux_HH!$A$4:$A$18,0)))</f>
        <v>0</v>
      </c>
      <c r="K875" s="0" t="n">
        <f aca="false">IF($F875=0,0,INDEX(Aux_HH!$H$4:$H$18,MATCH($B875&amp;"|"&amp;$E875,Aux_HH!$A$4:$A$18,0)))</f>
        <v>0</v>
      </c>
      <c r="L875" s="0" t="n">
        <f aca="false">IF($F875=0,0,INDEX(Aux_HH!$I$4:$I$18,MATCH($B875&amp;"|"&amp;$E875,Aux_HH!$A$4:$A$18,0)))</f>
        <v>0</v>
      </c>
    </row>
    <row r="876" customFormat="false" ht="15" hidden="false" customHeight="false" outlineLevel="0" collapsed="false">
      <c r="A876" s="0" t="str">
        <f aca="false">IF(Frota!$A21="","",Frota!$A21)</f>
        <v/>
      </c>
      <c r="B876" s="0" t="str">
        <f aca="false">IF(Frota!$A21="","",Frota!$B21)</f>
        <v/>
      </c>
      <c r="C876" s="0" t="n">
        <v>41</v>
      </c>
      <c r="D876" s="0" t="n">
        <f aca="false">INDEX(Semanas!$E$3:$E$54,41)</f>
        <v>1</v>
      </c>
      <c r="E876" s="0" t="str">
        <f aca="false">IF(Frota!$A21="","",Cronograma!AP21)</f>
        <v/>
      </c>
      <c r="F876" s="0" t="n">
        <f aca="false">IF(OR($E876="",$E876=0),0,1)</f>
        <v>0</v>
      </c>
      <c r="G876" s="0" t="n">
        <f aca="false">IF($F876=0,0,INDEX(Aux_HH!$D$4:$D$18,MATCH($B876&amp;"|"&amp;$E876,Aux_HH!$A$4:$A$18,0)))</f>
        <v>0</v>
      </c>
      <c r="H876" s="0" t="n">
        <f aca="false">IF($F876=0,0,INDEX(Aux_HH!$E$4:$E$18,MATCH($B876&amp;"|"&amp;$E876,Aux_HH!$A$4:$A$18,0)))</f>
        <v>0</v>
      </c>
      <c r="I876" s="0" t="n">
        <f aca="false">IF($F876=0,0,INDEX(Aux_HH!$F$4:$F$18,MATCH($B876&amp;"|"&amp;$E876,Aux_HH!$A$4:$A$18,0)))</f>
        <v>0</v>
      </c>
      <c r="J876" s="0" t="n">
        <f aca="false">IF($F876=0,0,INDEX(Aux_HH!$G$4:$G$18,MATCH($B876&amp;"|"&amp;$E876,Aux_HH!$A$4:$A$18,0)))</f>
        <v>0</v>
      </c>
      <c r="K876" s="0" t="n">
        <f aca="false">IF($F876=0,0,INDEX(Aux_HH!$H$4:$H$18,MATCH($B876&amp;"|"&amp;$E876,Aux_HH!$A$4:$A$18,0)))</f>
        <v>0</v>
      </c>
      <c r="L876" s="0" t="n">
        <f aca="false">IF($F876=0,0,INDEX(Aux_HH!$I$4:$I$18,MATCH($B876&amp;"|"&amp;$E876,Aux_HH!$A$4:$A$18,0)))</f>
        <v>0</v>
      </c>
    </row>
    <row r="877" customFormat="false" ht="15" hidden="false" customHeight="false" outlineLevel="0" collapsed="false">
      <c r="A877" s="0" t="str">
        <f aca="false">IF(Frota!$A21="","",Frota!$A21)</f>
        <v/>
      </c>
      <c r="B877" s="0" t="str">
        <f aca="false">IF(Frota!$A21="","",Frota!$B21)</f>
        <v/>
      </c>
      <c r="C877" s="0" t="n">
        <v>42</v>
      </c>
      <c r="D877" s="0" t="n">
        <f aca="false">INDEX(Semanas!$E$3:$E$54,42)</f>
        <v>1</v>
      </c>
      <c r="E877" s="0" t="str">
        <f aca="false">IF(Frota!$A21="","",Cronograma!AQ21)</f>
        <v/>
      </c>
      <c r="F877" s="0" t="n">
        <f aca="false">IF(OR($E877="",$E877=0),0,1)</f>
        <v>0</v>
      </c>
      <c r="G877" s="0" t="n">
        <f aca="false">IF($F877=0,0,INDEX(Aux_HH!$D$4:$D$18,MATCH($B877&amp;"|"&amp;$E877,Aux_HH!$A$4:$A$18,0)))</f>
        <v>0</v>
      </c>
      <c r="H877" s="0" t="n">
        <f aca="false">IF($F877=0,0,INDEX(Aux_HH!$E$4:$E$18,MATCH($B877&amp;"|"&amp;$E877,Aux_HH!$A$4:$A$18,0)))</f>
        <v>0</v>
      </c>
      <c r="I877" s="0" t="n">
        <f aca="false">IF($F877=0,0,INDEX(Aux_HH!$F$4:$F$18,MATCH($B877&amp;"|"&amp;$E877,Aux_HH!$A$4:$A$18,0)))</f>
        <v>0</v>
      </c>
      <c r="J877" s="0" t="n">
        <f aca="false">IF($F877=0,0,INDEX(Aux_HH!$G$4:$G$18,MATCH($B877&amp;"|"&amp;$E877,Aux_HH!$A$4:$A$18,0)))</f>
        <v>0</v>
      </c>
      <c r="K877" s="0" t="n">
        <f aca="false">IF($F877=0,0,INDEX(Aux_HH!$H$4:$H$18,MATCH($B877&amp;"|"&amp;$E877,Aux_HH!$A$4:$A$18,0)))</f>
        <v>0</v>
      </c>
      <c r="L877" s="0" t="n">
        <f aca="false">IF($F877=0,0,INDEX(Aux_HH!$I$4:$I$18,MATCH($B877&amp;"|"&amp;$E877,Aux_HH!$A$4:$A$18,0)))</f>
        <v>0</v>
      </c>
    </row>
    <row r="878" customFormat="false" ht="15" hidden="false" customHeight="false" outlineLevel="0" collapsed="false">
      <c r="A878" s="0" t="str">
        <f aca="false">IF(Frota!$A21="","",Frota!$A21)</f>
        <v/>
      </c>
      <c r="B878" s="0" t="str">
        <f aca="false">IF(Frota!$A21="","",Frota!$B21)</f>
        <v/>
      </c>
      <c r="C878" s="0" t="n">
        <v>43</v>
      </c>
      <c r="D878" s="0" t="n">
        <f aca="false">INDEX(Semanas!$E$3:$E$54,43)</f>
        <v>1</v>
      </c>
      <c r="E878" s="0" t="str">
        <f aca="false">IF(Frota!$A21="","",Cronograma!AR21)</f>
        <v/>
      </c>
      <c r="F878" s="0" t="n">
        <f aca="false">IF(OR($E878="",$E878=0),0,1)</f>
        <v>0</v>
      </c>
      <c r="G878" s="0" t="n">
        <f aca="false">IF($F878=0,0,INDEX(Aux_HH!$D$4:$D$18,MATCH($B878&amp;"|"&amp;$E878,Aux_HH!$A$4:$A$18,0)))</f>
        <v>0</v>
      </c>
      <c r="H878" s="0" t="n">
        <f aca="false">IF($F878=0,0,INDEX(Aux_HH!$E$4:$E$18,MATCH($B878&amp;"|"&amp;$E878,Aux_HH!$A$4:$A$18,0)))</f>
        <v>0</v>
      </c>
      <c r="I878" s="0" t="n">
        <f aca="false">IF($F878=0,0,INDEX(Aux_HH!$F$4:$F$18,MATCH($B878&amp;"|"&amp;$E878,Aux_HH!$A$4:$A$18,0)))</f>
        <v>0</v>
      </c>
      <c r="J878" s="0" t="n">
        <f aca="false">IF($F878=0,0,INDEX(Aux_HH!$G$4:$G$18,MATCH($B878&amp;"|"&amp;$E878,Aux_HH!$A$4:$A$18,0)))</f>
        <v>0</v>
      </c>
      <c r="K878" s="0" t="n">
        <f aca="false">IF($F878=0,0,INDEX(Aux_HH!$H$4:$H$18,MATCH($B878&amp;"|"&amp;$E878,Aux_HH!$A$4:$A$18,0)))</f>
        <v>0</v>
      </c>
      <c r="L878" s="0" t="n">
        <f aca="false">IF($F878=0,0,INDEX(Aux_HH!$I$4:$I$18,MATCH($B878&amp;"|"&amp;$E878,Aux_HH!$A$4:$A$18,0)))</f>
        <v>0</v>
      </c>
    </row>
    <row r="879" customFormat="false" ht="15" hidden="false" customHeight="false" outlineLevel="0" collapsed="false">
      <c r="A879" s="0" t="str">
        <f aca="false">IF(Frota!$A21="","",Frota!$A21)</f>
        <v/>
      </c>
      <c r="B879" s="0" t="str">
        <f aca="false">IF(Frota!$A21="","",Frota!$B21)</f>
        <v/>
      </c>
      <c r="C879" s="0" t="n">
        <v>44</v>
      </c>
      <c r="D879" s="0" t="n">
        <f aca="false">INDEX(Semanas!$E$3:$E$54,44)</f>
        <v>1</v>
      </c>
      <c r="E879" s="0" t="str">
        <f aca="false">IF(Frota!$A21="","",Cronograma!AS21)</f>
        <v/>
      </c>
      <c r="F879" s="0" t="n">
        <f aca="false">IF(OR($E879="",$E879=0),0,1)</f>
        <v>0</v>
      </c>
      <c r="G879" s="0" t="n">
        <f aca="false">IF($F879=0,0,INDEX(Aux_HH!$D$4:$D$18,MATCH($B879&amp;"|"&amp;$E879,Aux_HH!$A$4:$A$18,0)))</f>
        <v>0</v>
      </c>
      <c r="H879" s="0" t="n">
        <f aca="false">IF($F879=0,0,INDEX(Aux_HH!$E$4:$E$18,MATCH($B879&amp;"|"&amp;$E879,Aux_HH!$A$4:$A$18,0)))</f>
        <v>0</v>
      </c>
      <c r="I879" s="0" t="n">
        <f aca="false">IF($F879=0,0,INDEX(Aux_HH!$F$4:$F$18,MATCH($B879&amp;"|"&amp;$E879,Aux_HH!$A$4:$A$18,0)))</f>
        <v>0</v>
      </c>
      <c r="J879" s="0" t="n">
        <f aca="false">IF($F879=0,0,INDEX(Aux_HH!$G$4:$G$18,MATCH($B879&amp;"|"&amp;$E879,Aux_HH!$A$4:$A$18,0)))</f>
        <v>0</v>
      </c>
      <c r="K879" s="0" t="n">
        <f aca="false">IF($F879=0,0,INDEX(Aux_HH!$H$4:$H$18,MATCH($B879&amp;"|"&amp;$E879,Aux_HH!$A$4:$A$18,0)))</f>
        <v>0</v>
      </c>
      <c r="L879" s="0" t="n">
        <f aca="false">IF($F879=0,0,INDEX(Aux_HH!$I$4:$I$18,MATCH($B879&amp;"|"&amp;$E879,Aux_HH!$A$4:$A$18,0)))</f>
        <v>0</v>
      </c>
    </row>
    <row r="880" customFormat="false" ht="15" hidden="false" customHeight="false" outlineLevel="0" collapsed="false">
      <c r="A880" s="0" t="str">
        <f aca="false">IF(Frota!$A21="","",Frota!$A21)</f>
        <v/>
      </c>
      <c r="B880" s="0" t="str">
        <f aca="false">IF(Frota!$A21="","",Frota!$B21)</f>
        <v/>
      </c>
      <c r="C880" s="0" t="n">
        <v>45</v>
      </c>
      <c r="D880" s="0" t="n">
        <f aca="false">INDEX(Semanas!$E$3:$E$54,45)</f>
        <v>2</v>
      </c>
      <c r="E880" s="0" t="str">
        <f aca="false">IF(Frota!$A21="","",Cronograma!AT21)</f>
        <v/>
      </c>
      <c r="F880" s="0" t="n">
        <f aca="false">IF(OR($E880="",$E880=0),0,1)</f>
        <v>0</v>
      </c>
      <c r="G880" s="0" t="n">
        <f aca="false">IF($F880=0,0,INDEX(Aux_HH!$D$4:$D$18,MATCH($B880&amp;"|"&amp;$E880,Aux_HH!$A$4:$A$18,0)))</f>
        <v>0</v>
      </c>
      <c r="H880" s="0" t="n">
        <f aca="false">IF($F880=0,0,INDEX(Aux_HH!$E$4:$E$18,MATCH($B880&amp;"|"&amp;$E880,Aux_HH!$A$4:$A$18,0)))</f>
        <v>0</v>
      </c>
      <c r="I880" s="0" t="n">
        <f aca="false">IF($F880=0,0,INDEX(Aux_HH!$F$4:$F$18,MATCH($B880&amp;"|"&amp;$E880,Aux_HH!$A$4:$A$18,0)))</f>
        <v>0</v>
      </c>
      <c r="J880" s="0" t="n">
        <f aca="false">IF($F880=0,0,INDEX(Aux_HH!$G$4:$G$18,MATCH($B880&amp;"|"&amp;$E880,Aux_HH!$A$4:$A$18,0)))</f>
        <v>0</v>
      </c>
      <c r="K880" s="0" t="n">
        <f aca="false">IF($F880=0,0,INDEX(Aux_HH!$H$4:$H$18,MATCH($B880&amp;"|"&amp;$E880,Aux_HH!$A$4:$A$18,0)))</f>
        <v>0</v>
      </c>
      <c r="L880" s="0" t="n">
        <f aca="false">IF($F880=0,0,INDEX(Aux_HH!$I$4:$I$18,MATCH($B880&amp;"|"&amp;$E880,Aux_HH!$A$4:$A$18,0)))</f>
        <v>0</v>
      </c>
    </row>
    <row r="881" customFormat="false" ht="15" hidden="false" customHeight="false" outlineLevel="0" collapsed="false">
      <c r="A881" s="0" t="str">
        <f aca="false">IF(Frota!$A21="","",Frota!$A21)</f>
        <v/>
      </c>
      <c r="B881" s="0" t="str">
        <f aca="false">IF(Frota!$A21="","",Frota!$B21)</f>
        <v/>
      </c>
      <c r="C881" s="0" t="n">
        <v>46</v>
      </c>
      <c r="D881" s="0" t="n">
        <f aca="false">INDEX(Semanas!$E$3:$E$54,46)</f>
        <v>2</v>
      </c>
      <c r="E881" s="0" t="str">
        <f aca="false">IF(Frota!$A21="","",Cronograma!AU21)</f>
        <v/>
      </c>
      <c r="F881" s="0" t="n">
        <f aca="false">IF(OR($E881="",$E881=0),0,1)</f>
        <v>0</v>
      </c>
      <c r="G881" s="0" t="n">
        <f aca="false">IF($F881=0,0,INDEX(Aux_HH!$D$4:$D$18,MATCH($B881&amp;"|"&amp;$E881,Aux_HH!$A$4:$A$18,0)))</f>
        <v>0</v>
      </c>
      <c r="H881" s="0" t="n">
        <f aca="false">IF($F881=0,0,INDEX(Aux_HH!$E$4:$E$18,MATCH($B881&amp;"|"&amp;$E881,Aux_HH!$A$4:$A$18,0)))</f>
        <v>0</v>
      </c>
      <c r="I881" s="0" t="n">
        <f aca="false">IF($F881=0,0,INDEX(Aux_HH!$F$4:$F$18,MATCH($B881&amp;"|"&amp;$E881,Aux_HH!$A$4:$A$18,0)))</f>
        <v>0</v>
      </c>
      <c r="J881" s="0" t="n">
        <f aca="false">IF($F881=0,0,INDEX(Aux_HH!$G$4:$G$18,MATCH($B881&amp;"|"&amp;$E881,Aux_HH!$A$4:$A$18,0)))</f>
        <v>0</v>
      </c>
      <c r="K881" s="0" t="n">
        <f aca="false">IF($F881=0,0,INDEX(Aux_HH!$H$4:$H$18,MATCH($B881&amp;"|"&amp;$E881,Aux_HH!$A$4:$A$18,0)))</f>
        <v>0</v>
      </c>
      <c r="L881" s="0" t="n">
        <f aca="false">IF($F881=0,0,INDEX(Aux_HH!$I$4:$I$18,MATCH($B881&amp;"|"&amp;$E881,Aux_HH!$A$4:$A$18,0)))</f>
        <v>0</v>
      </c>
    </row>
    <row r="882" customFormat="false" ht="15" hidden="false" customHeight="false" outlineLevel="0" collapsed="false">
      <c r="A882" s="0" t="str">
        <f aca="false">IF(Frota!$A21="","",Frota!$A21)</f>
        <v/>
      </c>
      <c r="B882" s="0" t="str">
        <f aca="false">IF(Frota!$A21="","",Frota!$B21)</f>
        <v/>
      </c>
      <c r="C882" s="0" t="n">
        <v>47</v>
      </c>
      <c r="D882" s="0" t="n">
        <f aca="false">INDEX(Semanas!$E$3:$E$54,47)</f>
        <v>2</v>
      </c>
      <c r="E882" s="0" t="str">
        <f aca="false">IF(Frota!$A21="","",Cronograma!AV21)</f>
        <v/>
      </c>
      <c r="F882" s="0" t="n">
        <f aca="false">IF(OR($E882="",$E882=0),0,1)</f>
        <v>0</v>
      </c>
      <c r="G882" s="0" t="n">
        <f aca="false">IF($F882=0,0,INDEX(Aux_HH!$D$4:$D$18,MATCH($B882&amp;"|"&amp;$E882,Aux_HH!$A$4:$A$18,0)))</f>
        <v>0</v>
      </c>
      <c r="H882" s="0" t="n">
        <f aca="false">IF($F882=0,0,INDEX(Aux_HH!$E$4:$E$18,MATCH($B882&amp;"|"&amp;$E882,Aux_HH!$A$4:$A$18,0)))</f>
        <v>0</v>
      </c>
      <c r="I882" s="0" t="n">
        <f aca="false">IF($F882=0,0,INDEX(Aux_HH!$F$4:$F$18,MATCH($B882&amp;"|"&amp;$E882,Aux_HH!$A$4:$A$18,0)))</f>
        <v>0</v>
      </c>
      <c r="J882" s="0" t="n">
        <f aca="false">IF($F882=0,0,INDEX(Aux_HH!$G$4:$G$18,MATCH($B882&amp;"|"&amp;$E882,Aux_HH!$A$4:$A$18,0)))</f>
        <v>0</v>
      </c>
      <c r="K882" s="0" t="n">
        <f aca="false">IF($F882=0,0,INDEX(Aux_HH!$H$4:$H$18,MATCH($B882&amp;"|"&amp;$E882,Aux_HH!$A$4:$A$18,0)))</f>
        <v>0</v>
      </c>
      <c r="L882" s="0" t="n">
        <f aca="false">IF($F882=0,0,INDEX(Aux_HH!$I$4:$I$18,MATCH($B882&amp;"|"&amp;$E882,Aux_HH!$A$4:$A$18,0)))</f>
        <v>0</v>
      </c>
    </row>
    <row r="883" customFormat="false" ht="15" hidden="false" customHeight="false" outlineLevel="0" collapsed="false">
      <c r="A883" s="0" t="str">
        <f aca="false">IF(Frota!$A21="","",Frota!$A21)</f>
        <v/>
      </c>
      <c r="B883" s="0" t="str">
        <f aca="false">IF(Frota!$A21="","",Frota!$B21)</f>
        <v/>
      </c>
      <c r="C883" s="0" t="n">
        <v>48</v>
      </c>
      <c r="D883" s="0" t="n">
        <f aca="false">INDEX(Semanas!$E$3:$E$54,48)</f>
        <v>2</v>
      </c>
      <c r="E883" s="0" t="str">
        <f aca="false">IF(Frota!$A21="","",Cronograma!AW21)</f>
        <v/>
      </c>
      <c r="F883" s="0" t="n">
        <f aca="false">IF(OR($E883="",$E883=0),0,1)</f>
        <v>0</v>
      </c>
      <c r="G883" s="0" t="n">
        <f aca="false">IF($F883=0,0,INDEX(Aux_HH!$D$4:$D$18,MATCH($B883&amp;"|"&amp;$E883,Aux_HH!$A$4:$A$18,0)))</f>
        <v>0</v>
      </c>
      <c r="H883" s="0" t="n">
        <f aca="false">IF($F883=0,0,INDEX(Aux_HH!$E$4:$E$18,MATCH($B883&amp;"|"&amp;$E883,Aux_HH!$A$4:$A$18,0)))</f>
        <v>0</v>
      </c>
      <c r="I883" s="0" t="n">
        <f aca="false">IF($F883=0,0,INDEX(Aux_HH!$F$4:$F$18,MATCH($B883&amp;"|"&amp;$E883,Aux_HH!$A$4:$A$18,0)))</f>
        <v>0</v>
      </c>
      <c r="J883" s="0" t="n">
        <f aca="false">IF($F883=0,0,INDEX(Aux_HH!$G$4:$G$18,MATCH($B883&amp;"|"&amp;$E883,Aux_HH!$A$4:$A$18,0)))</f>
        <v>0</v>
      </c>
      <c r="K883" s="0" t="n">
        <f aca="false">IF($F883=0,0,INDEX(Aux_HH!$H$4:$H$18,MATCH($B883&amp;"|"&amp;$E883,Aux_HH!$A$4:$A$18,0)))</f>
        <v>0</v>
      </c>
      <c r="L883" s="0" t="n">
        <f aca="false">IF($F883=0,0,INDEX(Aux_HH!$I$4:$I$18,MATCH($B883&amp;"|"&amp;$E883,Aux_HH!$A$4:$A$18,0)))</f>
        <v>0</v>
      </c>
    </row>
    <row r="884" customFormat="false" ht="15" hidden="false" customHeight="false" outlineLevel="0" collapsed="false">
      <c r="A884" s="0" t="str">
        <f aca="false">IF(Frota!$A21="","",Frota!$A21)</f>
        <v/>
      </c>
      <c r="B884" s="0" t="str">
        <f aca="false">IF(Frota!$A21="","",Frota!$B21)</f>
        <v/>
      </c>
      <c r="C884" s="0" t="n">
        <v>49</v>
      </c>
      <c r="D884" s="0" t="n">
        <f aca="false">INDEX(Semanas!$E$3:$E$54,49)</f>
        <v>3</v>
      </c>
      <c r="E884" s="0" t="str">
        <f aca="false">IF(Frota!$A21="","",Cronograma!AX21)</f>
        <v/>
      </c>
      <c r="F884" s="0" t="n">
        <f aca="false">IF(OR($E884="",$E884=0),0,1)</f>
        <v>0</v>
      </c>
      <c r="G884" s="0" t="n">
        <f aca="false">IF($F884=0,0,INDEX(Aux_HH!$D$4:$D$18,MATCH($B884&amp;"|"&amp;$E884,Aux_HH!$A$4:$A$18,0)))</f>
        <v>0</v>
      </c>
      <c r="H884" s="0" t="n">
        <f aca="false">IF($F884=0,0,INDEX(Aux_HH!$E$4:$E$18,MATCH($B884&amp;"|"&amp;$E884,Aux_HH!$A$4:$A$18,0)))</f>
        <v>0</v>
      </c>
      <c r="I884" s="0" t="n">
        <f aca="false">IF($F884=0,0,INDEX(Aux_HH!$F$4:$F$18,MATCH($B884&amp;"|"&amp;$E884,Aux_HH!$A$4:$A$18,0)))</f>
        <v>0</v>
      </c>
      <c r="J884" s="0" t="n">
        <f aca="false">IF($F884=0,0,INDEX(Aux_HH!$G$4:$G$18,MATCH($B884&amp;"|"&amp;$E884,Aux_HH!$A$4:$A$18,0)))</f>
        <v>0</v>
      </c>
      <c r="K884" s="0" t="n">
        <f aca="false">IF($F884=0,0,INDEX(Aux_HH!$H$4:$H$18,MATCH($B884&amp;"|"&amp;$E884,Aux_HH!$A$4:$A$18,0)))</f>
        <v>0</v>
      </c>
      <c r="L884" s="0" t="n">
        <f aca="false">IF($F884=0,0,INDEX(Aux_HH!$I$4:$I$18,MATCH($B884&amp;"|"&amp;$E884,Aux_HH!$A$4:$A$18,0)))</f>
        <v>0</v>
      </c>
    </row>
    <row r="885" customFormat="false" ht="15" hidden="false" customHeight="false" outlineLevel="0" collapsed="false">
      <c r="A885" s="0" t="str">
        <f aca="false">IF(Frota!$A21="","",Frota!$A21)</f>
        <v/>
      </c>
      <c r="B885" s="0" t="str">
        <f aca="false">IF(Frota!$A21="","",Frota!$B21)</f>
        <v/>
      </c>
      <c r="C885" s="0" t="n">
        <v>50</v>
      </c>
      <c r="D885" s="0" t="n">
        <f aca="false">INDEX(Semanas!$E$3:$E$54,50)</f>
        <v>3</v>
      </c>
      <c r="E885" s="0" t="str">
        <f aca="false">IF(Frota!$A21="","",Cronograma!AY21)</f>
        <v/>
      </c>
      <c r="F885" s="0" t="n">
        <f aca="false">IF(OR($E885="",$E885=0),0,1)</f>
        <v>0</v>
      </c>
      <c r="G885" s="0" t="n">
        <f aca="false">IF($F885=0,0,INDEX(Aux_HH!$D$4:$D$18,MATCH($B885&amp;"|"&amp;$E885,Aux_HH!$A$4:$A$18,0)))</f>
        <v>0</v>
      </c>
      <c r="H885" s="0" t="n">
        <f aca="false">IF($F885=0,0,INDEX(Aux_HH!$E$4:$E$18,MATCH($B885&amp;"|"&amp;$E885,Aux_HH!$A$4:$A$18,0)))</f>
        <v>0</v>
      </c>
      <c r="I885" s="0" t="n">
        <f aca="false">IF($F885=0,0,INDEX(Aux_HH!$F$4:$F$18,MATCH($B885&amp;"|"&amp;$E885,Aux_HH!$A$4:$A$18,0)))</f>
        <v>0</v>
      </c>
      <c r="J885" s="0" t="n">
        <f aca="false">IF($F885=0,0,INDEX(Aux_HH!$G$4:$G$18,MATCH($B885&amp;"|"&amp;$E885,Aux_HH!$A$4:$A$18,0)))</f>
        <v>0</v>
      </c>
      <c r="K885" s="0" t="n">
        <f aca="false">IF($F885=0,0,INDEX(Aux_HH!$H$4:$H$18,MATCH($B885&amp;"|"&amp;$E885,Aux_HH!$A$4:$A$18,0)))</f>
        <v>0</v>
      </c>
      <c r="L885" s="0" t="n">
        <f aca="false">IF($F885=0,0,INDEX(Aux_HH!$I$4:$I$18,MATCH($B885&amp;"|"&amp;$E885,Aux_HH!$A$4:$A$18,0)))</f>
        <v>0</v>
      </c>
    </row>
    <row r="886" customFormat="false" ht="15" hidden="false" customHeight="false" outlineLevel="0" collapsed="false">
      <c r="A886" s="0" t="str">
        <f aca="false">IF(Frota!$A21="","",Frota!$A21)</f>
        <v/>
      </c>
      <c r="B886" s="0" t="str">
        <f aca="false">IF(Frota!$A21="","",Frota!$B21)</f>
        <v/>
      </c>
      <c r="C886" s="0" t="n">
        <v>51</v>
      </c>
      <c r="D886" s="0" t="n">
        <f aca="false">INDEX(Semanas!$E$3:$E$54,51)</f>
        <v>3</v>
      </c>
      <c r="E886" s="0" t="str">
        <f aca="false">IF(Frota!$A21="","",Cronograma!AZ21)</f>
        <v/>
      </c>
      <c r="F886" s="0" t="n">
        <f aca="false">IF(OR($E886="",$E886=0),0,1)</f>
        <v>0</v>
      </c>
      <c r="G886" s="0" t="n">
        <f aca="false">IF($F886=0,0,INDEX(Aux_HH!$D$4:$D$18,MATCH($B886&amp;"|"&amp;$E886,Aux_HH!$A$4:$A$18,0)))</f>
        <v>0</v>
      </c>
      <c r="H886" s="0" t="n">
        <f aca="false">IF($F886=0,0,INDEX(Aux_HH!$E$4:$E$18,MATCH($B886&amp;"|"&amp;$E886,Aux_HH!$A$4:$A$18,0)))</f>
        <v>0</v>
      </c>
      <c r="I886" s="0" t="n">
        <f aca="false">IF($F886=0,0,INDEX(Aux_HH!$F$4:$F$18,MATCH($B886&amp;"|"&amp;$E886,Aux_HH!$A$4:$A$18,0)))</f>
        <v>0</v>
      </c>
      <c r="J886" s="0" t="n">
        <f aca="false">IF($F886=0,0,INDEX(Aux_HH!$G$4:$G$18,MATCH($B886&amp;"|"&amp;$E886,Aux_HH!$A$4:$A$18,0)))</f>
        <v>0</v>
      </c>
      <c r="K886" s="0" t="n">
        <f aca="false">IF($F886=0,0,INDEX(Aux_HH!$H$4:$H$18,MATCH($B886&amp;"|"&amp;$E886,Aux_HH!$A$4:$A$18,0)))</f>
        <v>0</v>
      </c>
      <c r="L886" s="0" t="n">
        <f aca="false">IF($F886=0,0,INDEX(Aux_HH!$I$4:$I$18,MATCH($B886&amp;"|"&amp;$E886,Aux_HH!$A$4:$A$18,0)))</f>
        <v>0</v>
      </c>
    </row>
    <row r="887" customFormat="false" ht="15" hidden="false" customHeight="false" outlineLevel="0" collapsed="false">
      <c r="A887" s="0" t="str">
        <f aca="false">IF(Frota!$A21="","",Frota!$A21)</f>
        <v/>
      </c>
      <c r="B887" s="0" t="str">
        <f aca="false">IF(Frota!$A21="","",Frota!$B21)</f>
        <v/>
      </c>
      <c r="C887" s="0" t="n">
        <v>52</v>
      </c>
      <c r="D887" s="0" t="n">
        <f aca="false">INDEX(Semanas!$E$3:$E$54,52)</f>
        <v>3</v>
      </c>
      <c r="E887" s="0" t="str">
        <f aca="false">IF(Frota!$A21="","",Cronograma!BA21)</f>
        <v/>
      </c>
      <c r="F887" s="0" t="n">
        <f aca="false">IF(OR($E887="",$E887=0),0,1)</f>
        <v>0</v>
      </c>
      <c r="G887" s="0" t="n">
        <f aca="false">IF($F887=0,0,INDEX(Aux_HH!$D$4:$D$18,MATCH($B887&amp;"|"&amp;$E887,Aux_HH!$A$4:$A$18,0)))</f>
        <v>0</v>
      </c>
      <c r="H887" s="0" t="n">
        <f aca="false">IF($F887=0,0,INDEX(Aux_HH!$E$4:$E$18,MATCH($B887&amp;"|"&amp;$E887,Aux_HH!$A$4:$A$18,0)))</f>
        <v>0</v>
      </c>
      <c r="I887" s="0" t="n">
        <f aca="false">IF($F887=0,0,INDEX(Aux_HH!$F$4:$F$18,MATCH($B887&amp;"|"&amp;$E887,Aux_HH!$A$4:$A$18,0)))</f>
        <v>0</v>
      </c>
      <c r="J887" s="0" t="n">
        <f aca="false">IF($F887=0,0,INDEX(Aux_HH!$G$4:$G$18,MATCH($B887&amp;"|"&amp;$E887,Aux_HH!$A$4:$A$18,0)))</f>
        <v>0</v>
      </c>
      <c r="K887" s="0" t="n">
        <f aca="false">IF($F887=0,0,INDEX(Aux_HH!$H$4:$H$18,MATCH($B887&amp;"|"&amp;$E887,Aux_HH!$A$4:$A$18,0)))</f>
        <v>0</v>
      </c>
      <c r="L887" s="0" t="n">
        <f aca="false">IF($F887=0,0,INDEX(Aux_HH!$I$4:$I$18,MATCH($B887&amp;"|"&amp;$E887,Aux_HH!$A$4:$A$18,0)))</f>
        <v>0</v>
      </c>
    </row>
    <row r="888" customFormat="false" ht="15" hidden="false" customHeight="false" outlineLevel="0" collapsed="false">
      <c r="A888" s="0" t="str">
        <f aca="false">IF(Frota!$A22="","",Frota!$A22)</f>
        <v/>
      </c>
      <c r="B888" s="0" t="str">
        <f aca="false">IF(Frota!$A22="","",Frota!$B22)</f>
        <v/>
      </c>
      <c r="C888" s="0" t="n">
        <v>1</v>
      </c>
      <c r="D888" s="0" t="n">
        <f aca="false">INDEX(Semanas!$E$3:$E$54,1)</f>
        <v>4</v>
      </c>
      <c r="E888" s="0" t="str">
        <f aca="false">IF(Frota!$A22="","",Cronograma!B22)</f>
        <v/>
      </c>
      <c r="F888" s="0" t="n">
        <f aca="false">IF(OR($E888="",$E888=0),0,1)</f>
        <v>0</v>
      </c>
      <c r="G888" s="0" t="n">
        <f aca="false">IF($F888=0,0,INDEX(Aux_HH!$D$4:$D$18,MATCH($B888&amp;"|"&amp;$E888,Aux_HH!$A$4:$A$18,0)))</f>
        <v>0</v>
      </c>
      <c r="H888" s="0" t="n">
        <f aca="false">IF($F888=0,0,INDEX(Aux_HH!$E$4:$E$18,MATCH($B888&amp;"|"&amp;$E888,Aux_HH!$A$4:$A$18,0)))</f>
        <v>0</v>
      </c>
      <c r="I888" s="0" t="n">
        <f aca="false">IF($F888=0,0,INDEX(Aux_HH!$F$4:$F$18,MATCH($B888&amp;"|"&amp;$E888,Aux_HH!$A$4:$A$18,0)))</f>
        <v>0</v>
      </c>
      <c r="J888" s="0" t="n">
        <f aca="false">IF($F888=0,0,INDEX(Aux_HH!$G$4:$G$18,MATCH($B888&amp;"|"&amp;$E888,Aux_HH!$A$4:$A$18,0)))</f>
        <v>0</v>
      </c>
      <c r="K888" s="0" t="n">
        <f aca="false">IF($F888=0,0,INDEX(Aux_HH!$H$4:$H$18,MATCH($B888&amp;"|"&amp;$E888,Aux_HH!$A$4:$A$18,0)))</f>
        <v>0</v>
      </c>
      <c r="L888" s="0" t="n">
        <f aca="false">IF($F888=0,0,INDEX(Aux_HH!$I$4:$I$18,MATCH($B888&amp;"|"&amp;$E888,Aux_HH!$A$4:$A$18,0)))</f>
        <v>0</v>
      </c>
    </row>
    <row r="889" customFormat="false" ht="15" hidden="false" customHeight="false" outlineLevel="0" collapsed="false">
      <c r="A889" s="0" t="str">
        <f aca="false">IF(Frota!$A22="","",Frota!$A22)</f>
        <v/>
      </c>
      <c r="B889" s="0" t="str">
        <f aca="false">IF(Frota!$A22="","",Frota!$B22)</f>
        <v/>
      </c>
      <c r="C889" s="0" t="n">
        <v>2</v>
      </c>
      <c r="D889" s="0" t="n">
        <f aca="false">INDEX(Semanas!$E$3:$E$54,2)</f>
        <v>4</v>
      </c>
      <c r="E889" s="0" t="str">
        <f aca="false">IF(Frota!$A22="","",Cronograma!C22)</f>
        <v/>
      </c>
      <c r="F889" s="0" t="n">
        <f aca="false">IF(OR($E889="",$E889=0),0,1)</f>
        <v>0</v>
      </c>
      <c r="G889" s="0" t="n">
        <f aca="false">IF($F889=0,0,INDEX(Aux_HH!$D$4:$D$18,MATCH($B889&amp;"|"&amp;$E889,Aux_HH!$A$4:$A$18,0)))</f>
        <v>0</v>
      </c>
      <c r="H889" s="0" t="n">
        <f aca="false">IF($F889=0,0,INDEX(Aux_HH!$E$4:$E$18,MATCH($B889&amp;"|"&amp;$E889,Aux_HH!$A$4:$A$18,0)))</f>
        <v>0</v>
      </c>
      <c r="I889" s="0" t="n">
        <f aca="false">IF($F889=0,0,INDEX(Aux_HH!$F$4:$F$18,MATCH($B889&amp;"|"&amp;$E889,Aux_HH!$A$4:$A$18,0)))</f>
        <v>0</v>
      </c>
      <c r="J889" s="0" t="n">
        <f aca="false">IF($F889=0,0,INDEX(Aux_HH!$G$4:$G$18,MATCH($B889&amp;"|"&amp;$E889,Aux_HH!$A$4:$A$18,0)))</f>
        <v>0</v>
      </c>
      <c r="K889" s="0" t="n">
        <f aca="false">IF($F889=0,0,INDEX(Aux_HH!$H$4:$H$18,MATCH($B889&amp;"|"&amp;$E889,Aux_HH!$A$4:$A$18,0)))</f>
        <v>0</v>
      </c>
      <c r="L889" s="0" t="n">
        <f aca="false">IF($F889=0,0,INDEX(Aux_HH!$I$4:$I$18,MATCH($B889&amp;"|"&amp;$E889,Aux_HH!$A$4:$A$18,0)))</f>
        <v>0</v>
      </c>
    </row>
    <row r="890" customFormat="false" ht="15" hidden="false" customHeight="false" outlineLevel="0" collapsed="false">
      <c r="A890" s="0" t="str">
        <f aca="false">IF(Frota!$A22="","",Frota!$A22)</f>
        <v/>
      </c>
      <c r="B890" s="0" t="str">
        <f aca="false">IF(Frota!$A22="","",Frota!$B22)</f>
        <v/>
      </c>
      <c r="C890" s="0" t="n">
        <v>3</v>
      </c>
      <c r="D890" s="0" t="n">
        <f aca="false">INDEX(Semanas!$E$3:$E$54,3)</f>
        <v>4</v>
      </c>
      <c r="E890" s="0" t="str">
        <f aca="false">IF(Frota!$A22="","",Cronograma!D22)</f>
        <v/>
      </c>
      <c r="F890" s="0" t="n">
        <f aca="false">IF(OR($E890="",$E890=0),0,1)</f>
        <v>0</v>
      </c>
      <c r="G890" s="0" t="n">
        <f aca="false">IF($F890=0,0,INDEX(Aux_HH!$D$4:$D$18,MATCH($B890&amp;"|"&amp;$E890,Aux_HH!$A$4:$A$18,0)))</f>
        <v>0</v>
      </c>
      <c r="H890" s="0" t="n">
        <f aca="false">IF($F890=0,0,INDEX(Aux_HH!$E$4:$E$18,MATCH($B890&amp;"|"&amp;$E890,Aux_HH!$A$4:$A$18,0)))</f>
        <v>0</v>
      </c>
      <c r="I890" s="0" t="n">
        <f aca="false">IF($F890=0,0,INDEX(Aux_HH!$F$4:$F$18,MATCH($B890&amp;"|"&amp;$E890,Aux_HH!$A$4:$A$18,0)))</f>
        <v>0</v>
      </c>
      <c r="J890" s="0" t="n">
        <f aca="false">IF($F890=0,0,INDEX(Aux_HH!$G$4:$G$18,MATCH($B890&amp;"|"&amp;$E890,Aux_HH!$A$4:$A$18,0)))</f>
        <v>0</v>
      </c>
      <c r="K890" s="0" t="n">
        <f aca="false">IF($F890=0,0,INDEX(Aux_HH!$H$4:$H$18,MATCH($B890&amp;"|"&amp;$E890,Aux_HH!$A$4:$A$18,0)))</f>
        <v>0</v>
      </c>
      <c r="L890" s="0" t="n">
        <f aca="false">IF($F890=0,0,INDEX(Aux_HH!$I$4:$I$18,MATCH($B890&amp;"|"&amp;$E890,Aux_HH!$A$4:$A$18,0)))</f>
        <v>0</v>
      </c>
    </row>
    <row r="891" customFormat="false" ht="15" hidden="false" customHeight="false" outlineLevel="0" collapsed="false">
      <c r="A891" s="0" t="str">
        <f aca="false">IF(Frota!$A22="","",Frota!$A22)</f>
        <v/>
      </c>
      <c r="B891" s="0" t="str">
        <f aca="false">IF(Frota!$A22="","",Frota!$B22)</f>
        <v/>
      </c>
      <c r="C891" s="0" t="n">
        <v>4</v>
      </c>
      <c r="D891" s="0" t="n">
        <f aca="false">INDEX(Semanas!$E$3:$E$54,4)</f>
        <v>4</v>
      </c>
      <c r="E891" s="0" t="str">
        <f aca="false">IF(Frota!$A22="","",Cronograma!E22)</f>
        <v/>
      </c>
      <c r="F891" s="0" t="n">
        <f aca="false">IF(OR($E891="",$E891=0),0,1)</f>
        <v>0</v>
      </c>
      <c r="G891" s="0" t="n">
        <f aca="false">IF($F891=0,0,INDEX(Aux_HH!$D$4:$D$18,MATCH($B891&amp;"|"&amp;$E891,Aux_HH!$A$4:$A$18,0)))</f>
        <v>0</v>
      </c>
      <c r="H891" s="0" t="n">
        <f aca="false">IF($F891=0,0,INDEX(Aux_HH!$E$4:$E$18,MATCH($B891&amp;"|"&amp;$E891,Aux_HH!$A$4:$A$18,0)))</f>
        <v>0</v>
      </c>
      <c r="I891" s="0" t="n">
        <f aca="false">IF($F891=0,0,INDEX(Aux_HH!$F$4:$F$18,MATCH($B891&amp;"|"&amp;$E891,Aux_HH!$A$4:$A$18,0)))</f>
        <v>0</v>
      </c>
      <c r="J891" s="0" t="n">
        <f aca="false">IF($F891=0,0,INDEX(Aux_HH!$G$4:$G$18,MATCH($B891&amp;"|"&amp;$E891,Aux_HH!$A$4:$A$18,0)))</f>
        <v>0</v>
      </c>
      <c r="K891" s="0" t="n">
        <f aca="false">IF($F891=0,0,INDEX(Aux_HH!$H$4:$H$18,MATCH($B891&amp;"|"&amp;$E891,Aux_HH!$A$4:$A$18,0)))</f>
        <v>0</v>
      </c>
      <c r="L891" s="0" t="n">
        <f aca="false">IF($F891=0,0,INDEX(Aux_HH!$I$4:$I$18,MATCH($B891&amp;"|"&amp;$E891,Aux_HH!$A$4:$A$18,0)))</f>
        <v>0</v>
      </c>
    </row>
    <row r="892" customFormat="false" ht="15" hidden="false" customHeight="false" outlineLevel="0" collapsed="false">
      <c r="A892" s="0" t="str">
        <f aca="false">IF(Frota!$A22="","",Frota!$A22)</f>
        <v/>
      </c>
      <c r="B892" s="0" t="str">
        <f aca="false">IF(Frota!$A22="","",Frota!$B22)</f>
        <v/>
      </c>
      <c r="C892" s="0" t="n">
        <v>5</v>
      </c>
      <c r="D892" s="0" t="n">
        <f aca="false">INDEX(Semanas!$E$3:$E$54,5)</f>
        <v>4</v>
      </c>
      <c r="E892" s="0" t="str">
        <f aca="false">IF(Frota!$A22="","",Cronograma!F22)</f>
        <v/>
      </c>
      <c r="F892" s="0" t="n">
        <f aca="false">IF(OR($E892="",$E892=0),0,1)</f>
        <v>0</v>
      </c>
      <c r="G892" s="0" t="n">
        <f aca="false">IF($F892=0,0,INDEX(Aux_HH!$D$4:$D$18,MATCH($B892&amp;"|"&amp;$E892,Aux_HH!$A$4:$A$18,0)))</f>
        <v>0</v>
      </c>
      <c r="H892" s="0" t="n">
        <f aca="false">IF($F892=0,0,INDEX(Aux_HH!$E$4:$E$18,MATCH($B892&amp;"|"&amp;$E892,Aux_HH!$A$4:$A$18,0)))</f>
        <v>0</v>
      </c>
      <c r="I892" s="0" t="n">
        <f aca="false">IF($F892=0,0,INDEX(Aux_HH!$F$4:$F$18,MATCH($B892&amp;"|"&amp;$E892,Aux_HH!$A$4:$A$18,0)))</f>
        <v>0</v>
      </c>
      <c r="J892" s="0" t="n">
        <f aca="false">IF($F892=0,0,INDEX(Aux_HH!$G$4:$G$18,MATCH($B892&amp;"|"&amp;$E892,Aux_HH!$A$4:$A$18,0)))</f>
        <v>0</v>
      </c>
      <c r="K892" s="0" t="n">
        <f aca="false">IF($F892=0,0,INDEX(Aux_HH!$H$4:$H$18,MATCH($B892&amp;"|"&amp;$E892,Aux_HH!$A$4:$A$18,0)))</f>
        <v>0</v>
      </c>
      <c r="L892" s="0" t="n">
        <f aca="false">IF($F892=0,0,INDEX(Aux_HH!$I$4:$I$18,MATCH($B892&amp;"|"&amp;$E892,Aux_HH!$A$4:$A$18,0)))</f>
        <v>0</v>
      </c>
    </row>
    <row r="893" customFormat="false" ht="15" hidden="false" customHeight="false" outlineLevel="0" collapsed="false">
      <c r="A893" s="0" t="str">
        <f aca="false">IF(Frota!$A22="","",Frota!$A22)</f>
        <v/>
      </c>
      <c r="B893" s="0" t="str">
        <f aca="false">IF(Frota!$A22="","",Frota!$B22)</f>
        <v/>
      </c>
      <c r="C893" s="0" t="n">
        <v>6</v>
      </c>
      <c r="D893" s="0" t="n">
        <f aca="false">INDEX(Semanas!$E$3:$E$54,6)</f>
        <v>5</v>
      </c>
      <c r="E893" s="0" t="str">
        <f aca="false">IF(Frota!$A22="","",Cronograma!G22)</f>
        <v/>
      </c>
      <c r="F893" s="0" t="n">
        <f aca="false">IF(OR($E893="",$E893=0),0,1)</f>
        <v>0</v>
      </c>
      <c r="G893" s="0" t="n">
        <f aca="false">IF($F893=0,0,INDEX(Aux_HH!$D$4:$D$18,MATCH($B893&amp;"|"&amp;$E893,Aux_HH!$A$4:$A$18,0)))</f>
        <v>0</v>
      </c>
      <c r="H893" s="0" t="n">
        <f aca="false">IF($F893=0,0,INDEX(Aux_HH!$E$4:$E$18,MATCH($B893&amp;"|"&amp;$E893,Aux_HH!$A$4:$A$18,0)))</f>
        <v>0</v>
      </c>
      <c r="I893" s="0" t="n">
        <f aca="false">IF($F893=0,0,INDEX(Aux_HH!$F$4:$F$18,MATCH($B893&amp;"|"&amp;$E893,Aux_HH!$A$4:$A$18,0)))</f>
        <v>0</v>
      </c>
      <c r="J893" s="0" t="n">
        <f aca="false">IF($F893=0,0,INDEX(Aux_HH!$G$4:$G$18,MATCH($B893&amp;"|"&amp;$E893,Aux_HH!$A$4:$A$18,0)))</f>
        <v>0</v>
      </c>
      <c r="K893" s="0" t="n">
        <f aca="false">IF($F893=0,0,INDEX(Aux_HH!$H$4:$H$18,MATCH($B893&amp;"|"&amp;$E893,Aux_HH!$A$4:$A$18,0)))</f>
        <v>0</v>
      </c>
      <c r="L893" s="0" t="n">
        <f aca="false">IF($F893=0,0,INDEX(Aux_HH!$I$4:$I$18,MATCH($B893&amp;"|"&amp;$E893,Aux_HH!$A$4:$A$18,0)))</f>
        <v>0</v>
      </c>
    </row>
    <row r="894" customFormat="false" ht="15" hidden="false" customHeight="false" outlineLevel="0" collapsed="false">
      <c r="A894" s="0" t="str">
        <f aca="false">IF(Frota!$A22="","",Frota!$A22)</f>
        <v/>
      </c>
      <c r="B894" s="0" t="str">
        <f aca="false">IF(Frota!$A22="","",Frota!$B22)</f>
        <v/>
      </c>
      <c r="C894" s="0" t="n">
        <v>7</v>
      </c>
      <c r="D894" s="0" t="n">
        <f aca="false">INDEX(Semanas!$E$3:$E$54,7)</f>
        <v>5</v>
      </c>
      <c r="E894" s="0" t="str">
        <f aca="false">IF(Frota!$A22="","",Cronograma!H22)</f>
        <v/>
      </c>
      <c r="F894" s="0" t="n">
        <f aca="false">IF(OR($E894="",$E894=0),0,1)</f>
        <v>0</v>
      </c>
      <c r="G894" s="0" t="n">
        <f aca="false">IF($F894=0,0,INDEX(Aux_HH!$D$4:$D$18,MATCH($B894&amp;"|"&amp;$E894,Aux_HH!$A$4:$A$18,0)))</f>
        <v>0</v>
      </c>
      <c r="H894" s="0" t="n">
        <f aca="false">IF($F894=0,0,INDEX(Aux_HH!$E$4:$E$18,MATCH($B894&amp;"|"&amp;$E894,Aux_HH!$A$4:$A$18,0)))</f>
        <v>0</v>
      </c>
      <c r="I894" s="0" t="n">
        <f aca="false">IF($F894=0,0,INDEX(Aux_HH!$F$4:$F$18,MATCH($B894&amp;"|"&amp;$E894,Aux_HH!$A$4:$A$18,0)))</f>
        <v>0</v>
      </c>
      <c r="J894" s="0" t="n">
        <f aca="false">IF($F894=0,0,INDEX(Aux_HH!$G$4:$G$18,MATCH($B894&amp;"|"&amp;$E894,Aux_HH!$A$4:$A$18,0)))</f>
        <v>0</v>
      </c>
      <c r="K894" s="0" t="n">
        <f aca="false">IF($F894=0,0,INDEX(Aux_HH!$H$4:$H$18,MATCH($B894&amp;"|"&amp;$E894,Aux_HH!$A$4:$A$18,0)))</f>
        <v>0</v>
      </c>
      <c r="L894" s="0" t="n">
        <f aca="false">IF($F894=0,0,INDEX(Aux_HH!$I$4:$I$18,MATCH($B894&amp;"|"&amp;$E894,Aux_HH!$A$4:$A$18,0)))</f>
        <v>0</v>
      </c>
    </row>
    <row r="895" customFormat="false" ht="15" hidden="false" customHeight="false" outlineLevel="0" collapsed="false">
      <c r="A895" s="0" t="str">
        <f aca="false">IF(Frota!$A22="","",Frota!$A22)</f>
        <v/>
      </c>
      <c r="B895" s="0" t="str">
        <f aca="false">IF(Frota!$A22="","",Frota!$B22)</f>
        <v/>
      </c>
      <c r="C895" s="0" t="n">
        <v>8</v>
      </c>
      <c r="D895" s="0" t="n">
        <f aca="false">INDEX(Semanas!$E$3:$E$54,8)</f>
        <v>5</v>
      </c>
      <c r="E895" s="0" t="str">
        <f aca="false">IF(Frota!$A22="","",Cronograma!I22)</f>
        <v/>
      </c>
      <c r="F895" s="0" t="n">
        <f aca="false">IF(OR($E895="",$E895=0),0,1)</f>
        <v>0</v>
      </c>
      <c r="G895" s="0" t="n">
        <f aca="false">IF($F895=0,0,INDEX(Aux_HH!$D$4:$D$18,MATCH($B895&amp;"|"&amp;$E895,Aux_HH!$A$4:$A$18,0)))</f>
        <v>0</v>
      </c>
      <c r="H895" s="0" t="n">
        <f aca="false">IF($F895=0,0,INDEX(Aux_HH!$E$4:$E$18,MATCH($B895&amp;"|"&amp;$E895,Aux_HH!$A$4:$A$18,0)))</f>
        <v>0</v>
      </c>
      <c r="I895" s="0" t="n">
        <f aca="false">IF($F895=0,0,INDEX(Aux_HH!$F$4:$F$18,MATCH($B895&amp;"|"&amp;$E895,Aux_HH!$A$4:$A$18,0)))</f>
        <v>0</v>
      </c>
      <c r="J895" s="0" t="n">
        <f aca="false">IF($F895=0,0,INDEX(Aux_HH!$G$4:$G$18,MATCH($B895&amp;"|"&amp;$E895,Aux_HH!$A$4:$A$18,0)))</f>
        <v>0</v>
      </c>
      <c r="K895" s="0" t="n">
        <f aca="false">IF($F895=0,0,INDEX(Aux_HH!$H$4:$H$18,MATCH($B895&amp;"|"&amp;$E895,Aux_HH!$A$4:$A$18,0)))</f>
        <v>0</v>
      </c>
      <c r="L895" s="0" t="n">
        <f aca="false">IF($F895=0,0,INDEX(Aux_HH!$I$4:$I$18,MATCH($B895&amp;"|"&amp;$E895,Aux_HH!$A$4:$A$18,0)))</f>
        <v>0</v>
      </c>
    </row>
    <row r="896" customFormat="false" ht="15" hidden="false" customHeight="false" outlineLevel="0" collapsed="false">
      <c r="A896" s="0" t="str">
        <f aca="false">IF(Frota!$A22="","",Frota!$A22)</f>
        <v/>
      </c>
      <c r="B896" s="0" t="str">
        <f aca="false">IF(Frota!$A22="","",Frota!$B22)</f>
        <v/>
      </c>
      <c r="C896" s="0" t="n">
        <v>9</v>
      </c>
      <c r="D896" s="0" t="n">
        <f aca="false">INDEX(Semanas!$E$3:$E$54,9)</f>
        <v>5</v>
      </c>
      <c r="E896" s="0" t="str">
        <f aca="false">IF(Frota!$A22="","",Cronograma!J22)</f>
        <v/>
      </c>
      <c r="F896" s="0" t="n">
        <f aca="false">IF(OR($E896="",$E896=0),0,1)</f>
        <v>0</v>
      </c>
      <c r="G896" s="0" t="n">
        <f aca="false">IF($F896=0,0,INDEX(Aux_HH!$D$4:$D$18,MATCH($B896&amp;"|"&amp;$E896,Aux_HH!$A$4:$A$18,0)))</f>
        <v>0</v>
      </c>
      <c r="H896" s="0" t="n">
        <f aca="false">IF($F896=0,0,INDEX(Aux_HH!$E$4:$E$18,MATCH($B896&amp;"|"&amp;$E896,Aux_HH!$A$4:$A$18,0)))</f>
        <v>0</v>
      </c>
      <c r="I896" s="0" t="n">
        <f aca="false">IF($F896=0,0,INDEX(Aux_HH!$F$4:$F$18,MATCH($B896&amp;"|"&amp;$E896,Aux_HH!$A$4:$A$18,0)))</f>
        <v>0</v>
      </c>
      <c r="J896" s="0" t="n">
        <f aca="false">IF($F896=0,0,INDEX(Aux_HH!$G$4:$G$18,MATCH($B896&amp;"|"&amp;$E896,Aux_HH!$A$4:$A$18,0)))</f>
        <v>0</v>
      </c>
      <c r="K896" s="0" t="n">
        <f aca="false">IF($F896=0,0,INDEX(Aux_HH!$H$4:$H$18,MATCH($B896&amp;"|"&amp;$E896,Aux_HH!$A$4:$A$18,0)))</f>
        <v>0</v>
      </c>
      <c r="L896" s="0" t="n">
        <f aca="false">IF($F896=0,0,INDEX(Aux_HH!$I$4:$I$18,MATCH($B896&amp;"|"&amp;$E896,Aux_HH!$A$4:$A$18,0)))</f>
        <v>0</v>
      </c>
    </row>
    <row r="897" customFormat="false" ht="15" hidden="false" customHeight="false" outlineLevel="0" collapsed="false">
      <c r="A897" s="0" t="str">
        <f aca="false">IF(Frota!$A22="","",Frota!$A22)</f>
        <v/>
      </c>
      <c r="B897" s="0" t="str">
        <f aca="false">IF(Frota!$A22="","",Frota!$B22)</f>
        <v/>
      </c>
      <c r="C897" s="0" t="n">
        <v>10</v>
      </c>
      <c r="D897" s="0" t="n">
        <f aca="false">INDEX(Semanas!$E$3:$E$54,10)</f>
        <v>6</v>
      </c>
      <c r="E897" s="0" t="str">
        <f aca="false">IF(Frota!$A22="","",Cronograma!K22)</f>
        <v/>
      </c>
      <c r="F897" s="0" t="n">
        <f aca="false">IF(OR($E897="",$E897=0),0,1)</f>
        <v>0</v>
      </c>
      <c r="G897" s="0" t="n">
        <f aca="false">IF($F897=0,0,INDEX(Aux_HH!$D$4:$D$18,MATCH($B897&amp;"|"&amp;$E897,Aux_HH!$A$4:$A$18,0)))</f>
        <v>0</v>
      </c>
      <c r="H897" s="0" t="n">
        <f aca="false">IF($F897=0,0,INDEX(Aux_HH!$E$4:$E$18,MATCH($B897&amp;"|"&amp;$E897,Aux_HH!$A$4:$A$18,0)))</f>
        <v>0</v>
      </c>
      <c r="I897" s="0" t="n">
        <f aca="false">IF($F897=0,0,INDEX(Aux_HH!$F$4:$F$18,MATCH($B897&amp;"|"&amp;$E897,Aux_HH!$A$4:$A$18,0)))</f>
        <v>0</v>
      </c>
      <c r="J897" s="0" t="n">
        <f aca="false">IF($F897=0,0,INDEX(Aux_HH!$G$4:$G$18,MATCH($B897&amp;"|"&amp;$E897,Aux_HH!$A$4:$A$18,0)))</f>
        <v>0</v>
      </c>
      <c r="K897" s="0" t="n">
        <f aca="false">IF($F897=0,0,INDEX(Aux_HH!$H$4:$H$18,MATCH($B897&amp;"|"&amp;$E897,Aux_HH!$A$4:$A$18,0)))</f>
        <v>0</v>
      </c>
      <c r="L897" s="0" t="n">
        <f aca="false">IF($F897=0,0,INDEX(Aux_HH!$I$4:$I$18,MATCH($B897&amp;"|"&amp;$E897,Aux_HH!$A$4:$A$18,0)))</f>
        <v>0</v>
      </c>
    </row>
    <row r="898" customFormat="false" ht="15" hidden="false" customHeight="false" outlineLevel="0" collapsed="false">
      <c r="A898" s="0" t="str">
        <f aca="false">IF(Frota!$A22="","",Frota!$A22)</f>
        <v/>
      </c>
      <c r="B898" s="0" t="str">
        <f aca="false">IF(Frota!$A22="","",Frota!$B22)</f>
        <v/>
      </c>
      <c r="C898" s="0" t="n">
        <v>11</v>
      </c>
      <c r="D898" s="0" t="n">
        <f aca="false">INDEX(Semanas!$E$3:$E$54,11)</f>
        <v>6</v>
      </c>
      <c r="E898" s="0" t="str">
        <f aca="false">IF(Frota!$A22="","",Cronograma!L22)</f>
        <v/>
      </c>
      <c r="F898" s="0" t="n">
        <f aca="false">IF(OR($E898="",$E898=0),0,1)</f>
        <v>0</v>
      </c>
      <c r="G898" s="0" t="n">
        <f aca="false">IF($F898=0,0,INDEX(Aux_HH!$D$4:$D$18,MATCH($B898&amp;"|"&amp;$E898,Aux_HH!$A$4:$A$18,0)))</f>
        <v>0</v>
      </c>
      <c r="H898" s="0" t="n">
        <f aca="false">IF($F898=0,0,INDEX(Aux_HH!$E$4:$E$18,MATCH($B898&amp;"|"&amp;$E898,Aux_HH!$A$4:$A$18,0)))</f>
        <v>0</v>
      </c>
      <c r="I898" s="0" t="n">
        <f aca="false">IF($F898=0,0,INDEX(Aux_HH!$F$4:$F$18,MATCH($B898&amp;"|"&amp;$E898,Aux_HH!$A$4:$A$18,0)))</f>
        <v>0</v>
      </c>
      <c r="J898" s="0" t="n">
        <f aca="false">IF($F898=0,0,INDEX(Aux_HH!$G$4:$G$18,MATCH($B898&amp;"|"&amp;$E898,Aux_HH!$A$4:$A$18,0)))</f>
        <v>0</v>
      </c>
      <c r="K898" s="0" t="n">
        <f aca="false">IF($F898=0,0,INDEX(Aux_HH!$H$4:$H$18,MATCH($B898&amp;"|"&amp;$E898,Aux_HH!$A$4:$A$18,0)))</f>
        <v>0</v>
      </c>
      <c r="L898" s="0" t="n">
        <f aca="false">IF($F898=0,0,INDEX(Aux_HH!$I$4:$I$18,MATCH($B898&amp;"|"&amp;$E898,Aux_HH!$A$4:$A$18,0)))</f>
        <v>0</v>
      </c>
    </row>
    <row r="899" customFormat="false" ht="15" hidden="false" customHeight="false" outlineLevel="0" collapsed="false">
      <c r="A899" s="0" t="str">
        <f aca="false">IF(Frota!$A22="","",Frota!$A22)</f>
        <v/>
      </c>
      <c r="B899" s="0" t="str">
        <f aca="false">IF(Frota!$A22="","",Frota!$B22)</f>
        <v/>
      </c>
      <c r="C899" s="0" t="n">
        <v>12</v>
      </c>
      <c r="D899" s="0" t="n">
        <f aca="false">INDEX(Semanas!$E$3:$E$54,12)</f>
        <v>6</v>
      </c>
      <c r="E899" s="0" t="str">
        <f aca="false">IF(Frota!$A22="","",Cronograma!M22)</f>
        <v/>
      </c>
      <c r="F899" s="0" t="n">
        <f aca="false">IF(OR($E899="",$E899=0),0,1)</f>
        <v>0</v>
      </c>
      <c r="G899" s="0" t="n">
        <f aca="false">IF($F899=0,0,INDEX(Aux_HH!$D$4:$D$18,MATCH($B899&amp;"|"&amp;$E899,Aux_HH!$A$4:$A$18,0)))</f>
        <v>0</v>
      </c>
      <c r="H899" s="0" t="n">
        <f aca="false">IF($F899=0,0,INDEX(Aux_HH!$E$4:$E$18,MATCH($B899&amp;"|"&amp;$E899,Aux_HH!$A$4:$A$18,0)))</f>
        <v>0</v>
      </c>
      <c r="I899" s="0" t="n">
        <f aca="false">IF($F899=0,0,INDEX(Aux_HH!$F$4:$F$18,MATCH($B899&amp;"|"&amp;$E899,Aux_HH!$A$4:$A$18,0)))</f>
        <v>0</v>
      </c>
      <c r="J899" s="0" t="n">
        <f aca="false">IF($F899=0,0,INDEX(Aux_HH!$G$4:$G$18,MATCH($B899&amp;"|"&amp;$E899,Aux_HH!$A$4:$A$18,0)))</f>
        <v>0</v>
      </c>
      <c r="K899" s="0" t="n">
        <f aca="false">IF($F899=0,0,INDEX(Aux_HH!$H$4:$H$18,MATCH($B899&amp;"|"&amp;$E899,Aux_HH!$A$4:$A$18,0)))</f>
        <v>0</v>
      </c>
      <c r="L899" s="0" t="n">
        <f aca="false">IF($F899=0,0,INDEX(Aux_HH!$I$4:$I$18,MATCH($B899&amp;"|"&amp;$E899,Aux_HH!$A$4:$A$18,0)))</f>
        <v>0</v>
      </c>
    </row>
    <row r="900" customFormat="false" ht="15" hidden="false" customHeight="false" outlineLevel="0" collapsed="false">
      <c r="A900" s="0" t="str">
        <f aca="false">IF(Frota!$A22="","",Frota!$A22)</f>
        <v/>
      </c>
      <c r="B900" s="0" t="str">
        <f aca="false">IF(Frota!$A22="","",Frota!$B22)</f>
        <v/>
      </c>
      <c r="C900" s="0" t="n">
        <v>13</v>
      </c>
      <c r="D900" s="0" t="n">
        <f aca="false">INDEX(Semanas!$E$3:$E$54,13)</f>
        <v>6</v>
      </c>
      <c r="E900" s="0" t="str">
        <f aca="false">IF(Frota!$A22="","",Cronograma!N22)</f>
        <v/>
      </c>
      <c r="F900" s="0" t="n">
        <f aca="false">IF(OR($E900="",$E900=0),0,1)</f>
        <v>0</v>
      </c>
      <c r="G900" s="0" t="n">
        <f aca="false">IF($F900=0,0,INDEX(Aux_HH!$D$4:$D$18,MATCH($B900&amp;"|"&amp;$E900,Aux_HH!$A$4:$A$18,0)))</f>
        <v>0</v>
      </c>
      <c r="H900" s="0" t="n">
        <f aca="false">IF($F900=0,0,INDEX(Aux_HH!$E$4:$E$18,MATCH($B900&amp;"|"&amp;$E900,Aux_HH!$A$4:$A$18,0)))</f>
        <v>0</v>
      </c>
      <c r="I900" s="0" t="n">
        <f aca="false">IF($F900=0,0,INDEX(Aux_HH!$F$4:$F$18,MATCH($B900&amp;"|"&amp;$E900,Aux_HH!$A$4:$A$18,0)))</f>
        <v>0</v>
      </c>
      <c r="J900" s="0" t="n">
        <f aca="false">IF($F900=0,0,INDEX(Aux_HH!$G$4:$G$18,MATCH($B900&amp;"|"&amp;$E900,Aux_HH!$A$4:$A$18,0)))</f>
        <v>0</v>
      </c>
      <c r="K900" s="0" t="n">
        <f aca="false">IF($F900=0,0,INDEX(Aux_HH!$H$4:$H$18,MATCH($B900&amp;"|"&amp;$E900,Aux_HH!$A$4:$A$18,0)))</f>
        <v>0</v>
      </c>
      <c r="L900" s="0" t="n">
        <f aca="false">IF($F900=0,0,INDEX(Aux_HH!$I$4:$I$18,MATCH($B900&amp;"|"&amp;$E900,Aux_HH!$A$4:$A$18,0)))</f>
        <v>0</v>
      </c>
    </row>
    <row r="901" customFormat="false" ht="15" hidden="false" customHeight="false" outlineLevel="0" collapsed="false">
      <c r="A901" s="0" t="str">
        <f aca="false">IF(Frota!$A22="","",Frota!$A22)</f>
        <v/>
      </c>
      <c r="B901" s="0" t="str">
        <f aca="false">IF(Frota!$A22="","",Frota!$B22)</f>
        <v/>
      </c>
      <c r="C901" s="0" t="n">
        <v>14</v>
      </c>
      <c r="D901" s="0" t="n">
        <f aca="false">INDEX(Semanas!$E$3:$E$54,14)</f>
        <v>7</v>
      </c>
      <c r="E901" s="0" t="str">
        <f aca="false">IF(Frota!$A22="","",Cronograma!O22)</f>
        <v/>
      </c>
      <c r="F901" s="0" t="n">
        <f aca="false">IF(OR($E901="",$E901=0),0,1)</f>
        <v>0</v>
      </c>
      <c r="G901" s="0" t="n">
        <f aca="false">IF($F901=0,0,INDEX(Aux_HH!$D$4:$D$18,MATCH($B901&amp;"|"&amp;$E901,Aux_HH!$A$4:$A$18,0)))</f>
        <v>0</v>
      </c>
      <c r="H901" s="0" t="n">
        <f aca="false">IF($F901=0,0,INDEX(Aux_HH!$E$4:$E$18,MATCH($B901&amp;"|"&amp;$E901,Aux_HH!$A$4:$A$18,0)))</f>
        <v>0</v>
      </c>
      <c r="I901" s="0" t="n">
        <f aca="false">IF($F901=0,0,INDEX(Aux_HH!$F$4:$F$18,MATCH($B901&amp;"|"&amp;$E901,Aux_HH!$A$4:$A$18,0)))</f>
        <v>0</v>
      </c>
      <c r="J901" s="0" t="n">
        <f aca="false">IF($F901=0,0,INDEX(Aux_HH!$G$4:$G$18,MATCH($B901&amp;"|"&amp;$E901,Aux_HH!$A$4:$A$18,0)))</f>
        <v>0</v>
      </c>
      <c r="K901" s="0" t="n">
        <f aca="false">IF($F901=0,0,INDEX(Aux_HH!$H$4:$H$18,MATCH($B901&amp;"|"&amp;$E901,Aux_HH!$A$4:$A$18,0)))</f>
        <v>0</v>
      </c>
      <c r="L901" s="0" t="n">
        <f aca="false">IF($F901=0,0,INDEX(Aux_HH!$I$4:$I$18,MATCH($B901&amp;"|"&amp;$E901,Aux_HH!$A$4:$A$18,0)))</f>
        <v>0</v>
      </c>
    </row>
    <row r="902" customFormat="false" ht="15" hidden="false" customHeight="false" outlineLevel="0" collapsed="false">
      <c r="A902" s="0" t="str">
        <f aca="false">IF(Frota!$A22="","",Frota!$A22)</f>
        <v/>
      </c>
      <c r="B902" s="0" t="str">
        <f aca="false">IF(Frota!$A22="","",Frota!$B22)</f>
        <v/>
      </c>
      <c r="C902" s="0" t="n">
        <v>15</v>
      </c>
      <c r="D902" s="0" t="n">
        <f aca="false">INDEX(Semanas!$E$3:$E$54,15)</f>
        <v>7</v>
      </c>
      <c r="E902" s="0" t="str">
        <f aca="false">IF(Frota!$A22="","",Cronograma!P22)</f>
        <v/>
      </c>
      <c r="F902" s="0" t="n">
        <f aca="false">IF(OR($E902="",$E902=0),0,1)</f>
        <v>0</v>
      </c>
      <c r="G902" s="0" t="n">
        <f aca="false">IF($F902=0,0,INDEX(Aux_HH!$D$4:$D$18,MATCH($B902&amp;"|"&amp;$E902,Aux_HH!$A$4:$A$18,0)))</f>
        <v>0</v>
      </c>
      <c r="H902" s="0" t="n">
        <f aca="false">IF($F902=0,0,INDEX(Aux_HH!$E$4:$E$18,MATCH($B902&amp;"|"&amp;$E902,Aux_HH!$A$4:$A$18,0)))</f>
        <v>0</v>
      </c>
      <c r="I902" s="0" t="n">
        <f aca="false">IF($F902=0,0,INDEX(Aux_HH!$F$4:$F$18,MATCH($B902&amp;"|"&amp;$E902,Aux_HH!$A$4:$A$18,0)))</f>
        <v>0</v>
      </c>
      <c r="J902" s="0" t="n">
        <f aca="false">IF($F902=0,0,INDEX(Aux_HH!$G$4:$G$18,MATCH($B902&amp;"|"&amp;$E902,Aux_HH!$A$4:$A$18,0)))</f>
        <v>0</v>
      </c>
      <c r="K902" s="0" t="n">
        <f aca="false">IF($F902=0,0,INDEX(Aux_HH!$H$4:$H$18,MATCH($B902&amp;"|"&amp;$E902,Aux_HH!$A$4:$A$18,0)))</f>
        <v>0</v>
      </c>
      <c r="L902" s="0" t="n">
        <f aca="false">IF($F902=0,0,INDEX(Aux_HH!$I$4:$I$18,MATCH($B902&amp;"|"&amp;$E902,Aux_HH!$A$4:$A$18,0)))</f>
        <v>0</v>
      </c>
    </row>
    <row r="903" customFormat="false" ht="15" hidden="false" customHeight="false" outlineLevel="0" collapsed="false">
      <c r="A903" s="0" t="str">
        <f aca="false">IF(Frota!$A22="","",Frota!$A22)</f>
        <v/>
      </c>
      <c r="B903" s="0" t="str">
        <f aca="false">IF(Frota!$A22="","",Frota!$B22)</f>
        <v/>
      </c>
      <c r="C903" s="0" t="n">
        <v>16</v>
      </c>
      <c r="D903" s="0" t="n">
        <f aca="false">INDEX(Semanas!$E$3:$E$54,16)</f>
        <v>7</v>
      </c>
      <c r="E903" s="0" t="str">
        <f aca="false">IF(Frota!$A22="","",Cronograma!Q22)</f>
        <v/>
      </c>
      <c r="F903" s="0" t="n">
        <f aca="false">IF(OR($E903="",$E903=0),0,1)</f>
        <v>0</v>
      </c>
      <c r="G903" s="0" t="n">
        <f aca="false">IF($F903=0,0,INDEX(Aux_HH!$D$4:$D$18,MATCH($B903&amp;"|"&amp;$E903,Aux_HH!$A$4:$A$18,0)))</f>
        <v>0</v>
      </c>
      <c r="H903" s="0" t="n">
        <f aca="false">IF($F903=0,0,INDEX(Aux_HH!$E$4:$E$18,MATCH($B903&amp;"|"&amp;$E903,Aux_HH!$A$4:$A$18,0)))</f>
        <v>0</v>
      </c>
      <c r="I903" s="0" t="n">
        <f aca="false">IF($F903=0,0,INDEX(Aux_HH!$F$4:$F$18,MATCH($B903&amp;"|"&amp;$E903,Aux_HH!$A$4:$A$18,0)))</f>
        <v>0</v>
      </c>
      <c r="J903" s="0" t="n">
        <f aca="false">IF($F903=0,0,INDEX(Aux_HH!$G$4:$G$18,MATCH($B903&amp;"|"&amp;$E903,Aux_HH!$A$4:$A$18,0)))</f>
        <v>0</v>
      </c>
      <c r="K903" s="0" t="n">
        <f aca="false">IF($F903=0,0,INDEX(Aux_HH!$H$4:$H$18,MATCH($B903&amp;"|"&amp;$E903,Aux_HH!$A$4:$A$18,0)))</f>
        <v>0</v>
      </c>
      <c r="L903" s="0" t="n">
        <f aca="false">IF($F903=0,0,INDEX(Aux_HH!$I$4:$I$18,MATCH($B903&amp;"|"&amp;$E903,Aux_HH!$A$4:$A$18,0)))</f>
        <v>0</v>
      </c>
    </row>
    <row r="904" customFormat="false" ht="15" hidden="false" customHeight="false" outlineLevel="0" collapsed="false">
      <c r="A904" s="0" t="str">
        <f aca="false">IF(Frota!$A22="","",Frota!$A22)</f>
        <v/>
      </c>
      <c r="B904" s="0" t="str">
        <f aca="false">IF(Frota!$A22="","",Frota!$B22)</f>
        <v/>
      </c>
      <c r="C904" s="0" t="n">
        <v>17</v>
      </c>
      <c r="D904" s="0" t="n">
        <f aca="false">INDEX(Semanas!$E$3:$E$54,17)</f>
        <v>7</v>
      </c>
      <c r="E904" s="0" t="str">
        <f aca="false">IF(Frota!$A22="","",Cronograma!R22)</f>
        <v/>
      </c>
      <c r="F904" s="0" t="n">
        <f aca="false">IF(OR($E904="",$E904=0),0,1)</f>
        <v>0</v>
      </c>
      <c r="G904" s="0" t="n">
        <f aca="false">IF($F904=0,0,INDEX(Aux_HH!$D$4:$D$18,MATCH($B904&amp;"|"&amp;$E904,Aux_HH!$A$4:$A$18,0)))</f>
        <v>0</v>
      </c>
      <c r="H904" s="0" t="n">
        <f aca="false">IF($F904=0,0,INDEX(Aux_HH!$E$4:$E$18,MATCH($B904&amp;"|"&amp;$E904,Aux_HH!$A$4:$A$18,0)))</f>
        <v>0</v>
      </c>
      <c r="I904" s="0" t="n">
        <f aca="false">IF($F904=0,0,INDEX(Aux_HH!$F$4:$F$18,MATCH($B904&amp;"|"&amp;$E904,Aux_HH!$A$4:$A$18,0)))</f>
        <v>0</v>
      </c>
      <c r="J904" s="0" t="n">
        <f aca="false">IF($F904=0,0,INDEX(Aux_HH!$G$4:$G$18,MATCH($B904&amp;"|"&amp;$E904,Aux_HH!$A$4:$A$18,0)))</f>
        <v>0</v>
      </c>
      <c r="K904" s="0" t="n">
        <f aca="false">IF($F904=0,0,INDEX(Aux_HH!$H$4:$H$18,MATCH($B904&amp;"|"&amp;$E904,Aux_HH!$A$4:$A$18,0)))</f>
        <v>0</v>
      </c>
      <c r="L904" s="0" t="n">
        <f aca="false">IF($F904=0,0,INDEX(Aux_HH!$I$4:$I$18,MATCH($B904&amp;"|"&amp;$E904,Aux_HH!$A$4:$A$18,0)))</f>
        <v>0</v>
      </c>
    </row>
    <row r="905" customFormat="false" ht="15" hidden="false" customHeight="false" outlineLevel="0" collapsed="false">
      <c r="A905" s="0" t="str">
        <f aca="false">IF(Frota!$A22="","",Frota!$A22)</f>
        <v/>
      </c>
      <c r="B905" s="0" t="str">
        <f aca="false">IF(Frota!$A22="","",Frota!$B22)</f>
        <v/>
      </c>
      <c r="C905" s="0" t="n">
        <v>18</v>
      </c>
      <c r="D905" s="0" t="n">
        <f aca="false">INDEX(Semanas!$E$3:$E$54,18)</f>
        <v>7</v>
      </c>
      <c r="E905" s="0" t="str">
        <f aca="false">IF(Frota!$A22="","",Cronograma!S22)</f>
        <v/>
      </c>
      <c r="F905" s="0" t="n">
        <f aca="false">IF(OR($E905="",$E905=0),0,1)</f>
        <v>0</v>
      </c>
      <c r="G905" s="0" t="n">
        <f aca="false">IF($F905=0,0,INDEX(Aux_HH!$D$4:$D$18,MATCH($B905&amp;"|"&amp;$E905,Aux_HH!$A$4:$A$18,0)))</f>
        <v>0</v>
      </c>
      <c r="H905" s="0" t="n">
        <f aca="false">IF($F905=0,0,INDEX(Aux_HH!$E$4:$E$18,MATCH($B905&amp;"|"&amp;$E905,Aux_HH!$A$4:$A$18,0)))</f>
        <v>0</v>
      </c>
      <c r="I905" s="0" t="n">
        <f aca="false">IF($F905=0,0,INDEX(Aux_HH!$F$4:$F$18,MATCH($B905&amp;"|"&amp;$E905,Aux_HH!$A$4:$A$18,0)))</f>
        <v>0</v>
      </c>
      <c r="J905" s="0" t="n">
        <f aca="false">IF($F905=0,0,INDEX(Aux_HH!$G$4:$G$18,MATCH($B905&amp;"|"&amp;$E905,Aux_HH!$A$4:$A$18,0)))</f>
        <v>0</v>
      </c>
      <c r="K905" s="0" t="n">
        <f aca="false">IF($F905=0,0,INDEX(Aux_HH!$H$4:$H$18,MATCH($B905&amp;"|"&amp;$E905,Aux_HH!$A$4:$A$18,0)))</f>
        <v>0</v>
      </c>
      <c r="L905" s="0" t="n">
        <f aca="false">IF($F905=0,0,INDEX(Aux_HH!$I$4:$I$18,MATCH($B905&amp;"|"&amp;$E905,Aux_HH!$A$4:$A$18,0)))</f>
        <v>0</v>
      </c>
    </row>
    <row r="906" customFormat="false" ht="15" hidden="false" customHeight="false" outlineLevel="0" collapsed="false">
      <c r="A906" s="0" t="str">
        <f aca="false">IF(Frota!$A22="","",Frota!$A22)</f>
        <v/>
      </c>
      <c r="B906" s="0" t="str">
        <f aca="false">IF(Frota!$A22="","",Frota!$B22)</f>
        <v/>
      </c>
      <c r="C906" s="0" t="n">
        <v>19</v>
      </c>
      <c r="D906" s="0" t="n">
        <f aca="false">INDEX(Semanas!$E$3:$E$54,19)</f>
        <v>8</v>
      </c>
      <c r="E906" s="0" t="str">
        <f aca="false">IF(Frota!$A22="","",Cronograma!T22)</f>
        <v/>
      </c>
      <c r="F906" s="0" t="n">
        <f aca="false">IF(OR($E906="",$E906=0),0,1)</f>
        <v>0</v>
      </c>
      <c r="G906" s="0" t="n">
        <f aca="false">IF($F906=0,0,INDEX(Aux_HH!$D$4:$D$18,MATCH($B906&amp;"|"&amp;$E906,Aux_HH!$A$4:$A$18,0)))</f>
        <v>0</v>
      </c>
      <c r="H906" s="0" t="n">
        <f aca="false">IF($F906=0,0,INDEX(Aux_HH!$E$4:$E$18,MATCH($B906&amp;"|"&amp;$E906,Aux_HH!$A$4:$A$18,0)))</f>
        <v>0</v>
      </c>
      <c r="I906" s="0" t="n">
        <f aca="false">IF($F906=0,0,INDEX(Aux_HH!$F$4:$F$18,MATCH($B906&amp;"|"&amp;$E906,Aux_HH!$A$4:$A$18,0)))</f>
        <v>0</v>
      </c>
      <c r="J906" s="0" t="n">
        <f aca="false">IF($F906=0,0,INDEX(Aux_HH!$G$4:$G$18,MATCH($B906&amp;"|"&amp;$E906,Aux_HH!$A$4:$A$18,0)))</f>
        <v>0</v>
      </c>
      <c r="K906" s="0" t="n">
        <f aca="false">IF($F906=0,0,INDEX(Aux_HH!$H$4:$H$18,MATCH($B906&amp;"|"&amp;$E906,Aux_HH!$A$4:$A$18,0)))</f>
        <v>0</v>
      </c>
      <c r="L906" s="0" t="n">
        <f aca="false">IF($F906=0,0,INDEX(Aux_HH!$I$4:$I$18,MATCH($B906&amp;"|"&amp;$E906,Aux_HH!$A$4:$A$18,0)))</f>
        <v>0</v>
      </c>
    </row>
    <row r="907" customFormat="false" ht="15" hidden="false" customHeight="false" outlineLevel="0" collapsed="false">
      <c r="A907" s="0" t="str">
        <f aca="false">IF(Frota!$A22="","",Frota!$A22)</f>
        <v/>
      </c>
      <c r="B907" s="0" t="str">
        <f aca="false">IF(Frota!$A22="","",Frota!$B22)</f>
        <v/>
      </c>
      <c r="C907" s="0" t="n">
        <v>20</v>
      </c>
      <c r="D907" s="0" t="n">
        <f aca="false">INDEX(Semanas!$E$3:$E$54,20)</f>
        <v>8</v>
      </c>
      <c r="E907" s="0" t="str">
        <f aca="false">IF(Frota!$A22="","",Cronograma!U22)</f>
        <v/>
      </c>
      <c r="F907" s="0" t="n">
        <f aca="false">IF(OR($E907="",$E907=0),0,1)</f>
        <v>0</v>
      </c>
      <c r="G907" s="0" t="n">
        <f aca="false">IF($F907=0,0,INDEX(Aux_HH!$D$4:$D$18,MATCH($B907&amp;"|"&amp;$E907,Aux_HH!$A$4:$A$18,0)))</f>
        <v>0</v>
      </c>
      <c r="H907" s="0" t="n">
        <f aca="false">IF($F907=0,0,INDEX(Aux_HH!$E$4:$E$18,MATCH($B907&amp;"|"&amp;$E907,Aux_HH!$A$4:$A$18,0)))</f>
        <v>0</v>
      </c>
      <c r="I907" s="0" t="n">
        <f aca="false">IF($F907=0,0,INDEX(Aux_HH!$F$4:$F$18,MATCH($B907&amp;"|"&amp;$E907,Aux_HH!$A$4:$A$18,0)))</f>
        <v>0</v>
      </c>
      <c r="J907" s="0" t="n">
        <f aca="false">IF($F907=0,0,INDEX(Aux_HH!$G$4:$G$18,MATCH($B907&amp;"|"&amp;$E907,Aux_HH!$A$4:$A$18,0)))</f>
        <v>0</v>
      </c>
      <c r="K907" s="0" t="n">
        <f aca="false">IF($F907=0,0,INDEX(Aux_HH!$H$4:$H$18,MATCH($B907&amp;"|"&amp;$E907,Aux_HH!$A$4:$A$18,0)))</f>
        <v>0</v>
      </c>
      <c r="L907" s="0" t="n">
        <f aca="false">IF($F907=0,0,INDEX(Aux_HH!$I$4:$I$18,MATCH($B907&amp;"|"&amp;$E907,Aux_HH!$A$4:$A$18,0)))</f>
        <v>0</v>
      </c>
    </row>
    <row r="908" customFormat="false" ht="15" hidden="false" customHeight="false" outlineLevel="0" collapsed="false">
      <c r="A908" s="0" t="str">
        <f aca="false">IF(Frota!$A22="","",Frota!$A22)</f>
        <v/>
      </c>
      <c r="B908" s="0" t="str">
        <f aca="false">IF(Frota!$A22="","",Frota!$B22)</f>
        <v/>
      </c>
      <c r="C908" s="0" t="n">
        <v>21</v>
      </c>
      <c r="D908" s="0" t="n">
        <f aca="false">INDEX(Semanas!$E$3:$E$54,21)</f>
        <v>8</v>
      </c>
      <c r="E908" s="0" t="str">
        <f aca="false">IF(Frota!$A22="","",Cronograma!V22)</f>
        <v/>
      </c>
      <c r="F908" s="0" t="n">
        <f aca="false">IF(OR($E908="",$E908=0),0,1)</f>
        <v>0</v>
      </c>
      <c r="G908" s="0" t="n">
        <f aca="false">IF($F908=0,0,INDEX(Aux_HH!$D$4:$D$18,MATCH($B908&amp;"|"&amp;$E908,Aux_HH!$A$4:$A$18,0)))</f>
        <v>0</v>
      </c>
      <c r="H908" s="0" t="n">
        <f aca="false">IF($F908=0,0,INDEX(Aux_HH!$E$4:$E$18,MATCH($B908&amp;"|"&amp;$E908,Aux_HH!$A$4:$A$18,0)))</f>
        <v>0</v>
      </c>
      <c r="I908" s="0" t="n">
        <f aca="false">IF($F908=0,0,INDEX(Aux_HH!$F$4:$F$18,MATCH($B908&amp;"|"&amp;$E908,Aux_HH!$A$4:$A$18,0)))</f>
        <v>0</v>
      </c>
      <c r="J908" s="0" t="n">
        <f aca="false">IF($F908=0,0,INDEX(Aux_HH!$G$4:$G$18,MATCH($B908&amp;"|"&amp;$E908,Aux_HH!$A$4:$A$18,0)))</f>
        <v>0</v>
      </c>
      <c r="K908" s="0" t="n">
        <f aca="false">IF($F908=0,0,INDEX(Aux_HH!$H$4:$H$18,MATCH($B908&amp;"|"&amp;$E908,Aux_HH!$A$4:$A$18,0)))</f>
        <v>0</v>
      </c>
      <c r="L908" s="0" t="n">
        <f aca="false">IF($F908=0,0,INDEX(Aux_HH!$I$4:$I$18,MATCH($B908&amp;"|"&amp;$E908,Aux_HH!$A$4:$A$18,0)))</f>
        <v>0</v>
      </c>
    </row>
    <row r="909" customFormat="false" ht="15" hidden="false" customHeight="false" outlineLevel="0" collapsed="false">
      <c r="A909" s="0" t="str">
        <f aca="false">IF(Frota!$A22="","",Frota!$A22)</f>
        <v/>
      </c>
      <c r="B909" s="0" t="str">
        <f aca="false">IF(Frota!$A22="","",Frota!$B22)</f>
        <v/>
      </c>
      <c r="C909" s="0" t="n">
        <v>22</v>
      </c>
      <c r="D909" s="0" t="n">
        <f aca="false">INDEX(Semanas!$E$3:$E$54,22)</f>
        <v>8</v>
      </c>
      <c r="E909" s="0" t="str">
        <f aca="false">IF(Frota!$A22="","",Cronograma!W22)</f>
        <v/>
      </c>
      <c r="F909" s="0" t="n">
        <f aca="false">IF(OR($E909="",$E909=0),0,1)</f>
        <v>0</v>
      </c>
      <c r="G909" s="0" t="n">
        <f aca="false">IF($F909=0,0,INDEX(Aux_HH!$D$4:$D$18,MATCH($B909&amp;"|"&amp;$E909,Aux_HH!$A$4:$A$18,0)))</f>
        <v>0</v>
      </c>
      <c r="H909" s="0" t="n">
        <f aca="false">IF($F909=0,0,INDEX(Aux_HH!$E$4:$E$18,MATCH($B909&amp;"|"&amp;$E909,Aux_HH!$A$4:$A$18,0)))</f>
        <v>0</v>
      </c>
      <c r="I909" s="0" t="n">
        <f aca="false">IF($F909=0,0,INDEX(Aux_HH!$F$4:$F$18,MATCH($B909&amp;"|"&amp;$E909,Aux_HH!$A$4:$A$18,0)))</f>
        <v>0</v>
      </c>
      <c r="J909" s="0" t="n">
        <f aca="false">IF($F909=0,0,INDEX(Aux_HH!$G$4:$G$18,MATCH($B909&amp;"|"&amp;$E909,Aux_HH!$A$4:$A$18,0)))</f>
        <v>0</v>
      </c>
      <c r="K909" s="0" t="n">
        <f aca="false">IF($F909=0,0,INDEX(Aux_HH!$H$4:$H$18,MATCH($B909&amp;"|"&amp;$E909,Aux_HH!$A$4:$A$18,0)))</f>
        <v>0</v>
      </c>
      <c r="L909" s="0" t="n">
        <f aca="false">IF($F909=0,0,INDEX(Aux_HH!$I$4:$I$18,MATCH($B909&amp;"|"&amp;$E909,Aux_HH!$A$4:$A$18,0)))</f>
        <v>0</v>
      </c>
    </row>
    <row r="910" customFormat="false" ht="15" hidden="false" customHeight="false" outlineLevel="0" collapsed="false">
      <c r="A910" s="0" t="str">
        <f aca="false">IF(Frota!$A22="","",Frota!$A22)</f>
        <v/>
      </c>
      <c r="B910" s="0" t="str">
        <f aca="false">IF(Frota!$A22="","",Frota!$B22)</f>
        <v/>
      </c>
      <c r="C910" s="0" t="n">
        <v>23</v>
      </c>
      <c r="D910" s="0" t="n">
        <f aca="false">INDEX(Semanas!$E$3:$E$54,23)</f>
        <v>9</v>
      </c>
      <c r="E910" s="0" t="str">
        <f aca="false">IF(Frota!$A22="","",Cronograma!X22)</f>
        <v/>
      </c>
      <c r="F910" s="0" t="n">
        <f aca="false">IF(OR($E910="",$E910=0),0,1)</f>
        <v>0</v>
      </c>
      <c r="G910" s="0" t="n">
        <f aca="false">IF($F910=0,0,INDEX(Aux_HH!$D$4:$D$18,MATCH($B910&amp;"|"&amp;$E910,Aux_HH!$A$4:$A$18,0)))</f>
        <v>0</v>
      </c>
      <c r="H910" s="0" t="n">
        <f aca="false">IF($F910=0,0,INDEX(Aux_HH!$E$4:$E$18,MATCH($B910&amp;"|"&amp;$E910,Aux_HH!$A$4:$A$18,0)))</f>
        <v>0</v>
      </c>
      <c r="I910" s="0" t="n">
        <f aca="false">IF($F910=0,0,INDEX(Aux_HH!$F$4:$F$18,MATCH($B910&amp;"|"&amp;$E910,Aux_HH!$A$4:$A$18,0)))</f>
        <v>0</v>
      </c>
      <c r="J910" s="0" t="n">
        <f aca="false">IF($F910=0,0,INDEX(Aux_HH!$G$4:$G$18,MATCH($B910&amp;"|"&amp;$E910,Aux_HH!$A$4:$A$18,0)))</f>
        <v>0</v>
      </c>
      <c r="K910" s="0" t="n">
        <f aca="false">IF($F910=0,0,INDEX(Aux_HH!$H$4:$H$18,MATCH($B910&amp;"|"&amp;$E910,Aux_HH!$A$4:$A$18,0)))</f>
        <v>0</v>
      </c>
      <c r="L910" s="0" t="n">
        <f aca="false">IF($F910=0,0,INDEX(Aux_HH!$I$4:$I$18,MATCH($B910&amp;"|"&amp;$E910,Aux_HH!$A$4:$A$18,0)))</f>
        <v>0</v>
      </c>
    </row>
    <row r="911" customFormat="false" ht="15" hidden="false" customHeight="false" outlineLevel="0" collapsed="false">
      <c r="A911" s="0" t="str">
        <f aca="false">IF(Frota!$A22="","",Frota!$A22)</f>
        <v/>
      </c>
      <c r="B911" s="0" t="str">
        <f aca="false">IF(Frota!$A22="","",Frota!$B22)</f>
        <v/>
      </c>
      <c r="C911" s="0" t="n">
        <v>24</v>
      </c>
      <c r="D911" s="0" t="n">
        <f aca="false">INDEX(Semanas!$E$3:$E$54,24)</f>
        <v>9</v>
      </c>
      <c r="E911" s="0" t="str">
        <f aca="false">IF(Frota!$A22="","",Cronograma!Y22)</f>
        <v/>
      </c>
      <c r="F911" s="0" t="n">
        <f aca="false">IF(OR($E911="",$E911=0),0,1)</f>
        <v>0</v>
      </c>
      <c r="G911" s="0" t="n">
        <f aca="false">IF($F911=0,0,INDEX(Aux_HH!$D$4:$D$18,MATCH($B911&amp;"|"&amp;$E911,Aux_HH!$A$4:$A$18,0)))</f>
        <v>0</v>
      </c>
      <c r="H911" s="0" t="n">
        <f aca="false">IF($F911=0,0,INDEX(Aux_HH!$E$4:$E$18,MATCH($B911&amp;"|"&amp;$E911,Aux_HH!$A$4:$A$18,0)))</f>
        <v>0</v>
      </c>
      <c r="I911" s="0" t="n">
        <f aca="false">IF($F911=0,0,INDEX(Aux_HH!$F$4:$F$18,MATCH($B911&amp;"|"&amp;$E911,Aux_HH!$A$4:$A$18,0)))</f>
        <v>0</v>
      </c>
      <c r="J911" s="0" t="n">
        <f aca="false">IF($F911=0,0,INDEX(Aux_HH!$G$4:$G$18,MATCH($B911&amp;"|"&amp;$E911,Aux_HH!$A$4:$A$18,0)))</f>
        <v>0</v>
      </c>
      <c r="K911" s="0" t="n">
        <f aca="false">IF($F911=0,0,INDEX(Aux_HH!$H$4:$H$18,MATCH($B911&amp;"|"&amp;$E911,Aux_HH!$A$4:$A$18,0)))</f>
        <v>0</v>
      </c>
      <c r="L911" s="0" t="n">
        <f aca="false">IF($F911=0,0,INDEX(Aux_HH!$I$4:$I$18,MATCH($B911&amp;"|"&amp;$E911,Aux_HH!$A$4:$A$18,0)))</f>
        <v>0</v>
      </c>
    </row>
    <row r="912" customFormat="false" ht="15" hidden="false" customHeight="false" outlineLevel="0" collapsed="false">
      <c r="A912" s="0" t="str">
        <f aca="false">IF(Frota!$A22="","",Frota!$A22)</f>
        <v/>
      </c>
      <c r="B912" s="0" t="str">
        <f aca="false">IF(Frota!$A22="","",Frota!$B22)</f>
        <v/>
      </c>
      <c r="C912" s="0" t="n">
        <v>25</v>
      </c>
      <c r="D912" s="0" t="n">
        <f aca="false">INDEX(Semanas!$E$3:$E$54,25)</f>
        <v>9</v>
      </c>
      <c r="E912" s="0" t="str">
        <f aca="false">IF(Frota!$A22="","",Cronograma!Z22)</f>
        <v/>
      </c>
      <c r="F912" s="0" t="n">
        <f aca="false">IF(OR($E912="",$E912=0),0,1)</f>
        <v>0</v>
      </c>
      <c r="G912" s="0" t="n">
        <f aca="false">IF($F912=0,0,INDEX(Aux_HH!$D$4:$D$18,MATCH($B912&amp;"|"&amp;$E912,Aux_HH!$A$4:$A$18,0)))</f>
        <v>0</v>
      </c>
      <c r="H912" s="0" t="n">
        <f aca="false">IF($F912=0,0,INDEX(Aux_HH!$E$4:$E$18,MATCH($B912&amp;"|"&amp;$E912,Aux_HH!$A$4:$A$18,0)))</f>
        <v>0</v>
      </c>
      <c r="I912" s="0" t="n">
        <f aca="false">IF($F912=0,0,INDEX(Aux_HH!$F$4:$F$18,MATCH($B912&amp;"|"&amp;$E912,Aux_HH!$A$4:$A$18,0)))</f>
        <v>0</v>
      </c>
      <c r="J912" s="0" t="n">
        <f aca="false">IF($F912=0,0,INDEX(Aux_HH!$G$4:$G$18,MATCH($B912&amp;"|"&amp;$E912,Aux_HH!$A$4:$A$18,0)))</f>
        <v>0</v>
      </c>
      <c r="K912" s="0" t="n">
        <f aca="false">IF($F912=0,0,INDEX(Aux_HH!$H$4:$H$18,MATCH($B912&amp;"|"&amp;$E912,Aux_HH!$A$4:$A$18,0)))</f>
        <v>0</v>
      </c>
      <c r="L912" s="0" t="n">
        <f aca="false">IF($F912=0,0,INDEX(Aux_HH!$I$4:$I$18,MATCH($B912&amp;"|"&amp;$E912,Aux_HH!$A$4:$A$18,0)))</f>
        <v>0</v>
      </c>
    </row>
    <row r="913" customFormat="false" ht="15" hidden="false" customHeight="false" outlineLevel="0" collapsed="false">
      <c r="A913" s="0" t="str">
        <f aca="false">IF(Frota!$A22="","",Frota!$A22)</f>
        <v/>
      </c>
      <c r="B913" s="0" t="str">
        <f aca="false">IF(Frota!$A22="","",Frota!$B22)</f>
        <v/>
      </c>
      <c r="C913" s="0" t="n">
        <v>26</v>
      </c>
      <c r="D913" s="0" t="n">
        <f aca="false">INDEX(Semanas!$E$3:$E$54,26)</f>
        <v>9</v>
      </c>
      <c r="E913" s="0" t="str">
        <f aca="false">IF(Frota!$A22="","",Cronograma!AA22)</f>
        <v/>
      </c>
      <c r="F913" s="0" t="n">
        <f aca="false">IF(OR($E913="",$E913=0),0,1)</f>
        <v>0</v>
      </c>
      <c r="G913" s="0" t="n">
        <f aca="false">IF($F913=0,0,INDEX(Aux_HH!$D$4:$D$18,MATCH($B913&amp;"|"&amp;$E913,Aux_HH!$A$4:$A$18,0)))</f>
        <v>0</v>
      </c>
      <c r="H913" s="0" t="n">
        <f aca="false">IF($F913=0,0,INDEX(Aux_HH!$E$4:$E$18,MATCH($B913&amp;"|"&amp;$E913,Aux_HH!$A$4:$A$18,0)))</f>
        <v>0</v>
      </c>
      <c r="I913" s="0" t="n">
        <f aca="false">IF($F913=0,0,INDEX(Aux_HH!$F$4:$F$18,MATCH($B913&amp;"|"&amp;$E913,Aux_HH!$A$4:$A$18,0)))</f>
        <v>0</v>
      </c>
      <c r="J913" s="0" t="n">
        <f aca="false">IF($F913=0,0,INDEX(Aux_HH!$G$4:$G$18,MATCH($B913&amp;"|"&amp;$E913,Aux_HH!$A$4:$A$18,0)))</f>
        <v>0</v>
      </c>
      <c r="K913" s="0" t="n">
        <f aca="false">IF($F913=0,0,INDEX(Aux_HH!$H$4:$H$18,MATCH($B913&amp;"|"&amp;$E913,Aux_HH!$A$4:$A$18,0)))</f>
        <v>0</v>
      </c>
      <c r="L913" s="0" t="n">
        <f aca="false">IF($F913=0,0,INDEX(Aux_HH!$I$4:$I$18,MATCH($B913&amp;"|"&amp;$E913,Aux_HH!$A$4:$A$18,0)))</f>
        <v>0</v>
      </c>
    </row>
    <row r="914" customFormat="false" ht="15" hidden="false" customHeight="false" outlineLevel="0" collapsed="false">
      <c r="A914" s="0" t="str">
        <f aca="false">IF(Frota!$A22="","",Frota!$A22)</f>
        <v/>
      </c>
      <c r="B914" s="0" t="str">
        <f aca="false">IF(Frota!$A22="","",Frota!$B22)</f>
        <v/>
      </c>
      <c r="C914" s="0" t="n">
        <v>27</v>
      </c>
      <c r="D914" s="0" t="n">
        <f aca="false">INDEX(Semanas!$E$3:$E$54,27)</f>
        <v>9</v>
      </c>
      <c r="E914" s="0" t="str">
        <f aca="false">IF(Frota!$A22="","",Cronograma!AB22)</f>
        <v/>
      </c>
      <c r="F914" s="0" t="n">
        <f aca="false">IF(OR($E914="",$E914=0),0,1)</f>
        <v>0</v>
      </c>
      <c r="G914" s="0" t="n">
        <f aca="false">IF($F914=0,0,INDEX(Aux_HH!$D$4:$D$18,MATCH($B914&amp;"|"&amp;$E914,Aux_HH!$A$4:$A$18,0)))</f>
        <v>0</v>
      </c>
      <c r="H914" s="0" t="n">
        <f aca="false">IF($F914=0,0,INDEX(Aux_HH!$E$4:$E$18,MATCH($B914&amp;"|"&amp;$E914,Aux_HH!$A$4:$A$18,0)))</f>
        <v>0</v>
      </c>
      <c r="I914" s="0" t="n">
        <f aca="false">IF($F914=0,0,INDEX(Aux_HH!$F$4:$F$18,MATCH($B914&amp;"|"&amp;$E914,Aux_HH!$A$4:$A$18,0)))</f>
        <v>0</v>
      </c>
      <c r="J914" s="0" t="n">
        <f aca="false">IF($F914=0,0,INDEX(Aux_HH!$G$4:$G$18,MATCH($B914&amp;"|"&amp;$E914,Aux_HH!$A$4:$A$18,0)))</f>
        <v>0</v>
      </c>
      <c r="K914" s="0" t="n">
        <f aca="false">IF($F914=0,0,INDEX(Aux_HH!$H$4:$H$18,MATCH($B914&amp;"|"&amp;$E914,Aux_HH!$A$4:$A$18,0)))</f>
        <v>0</v>
      </c>
      <c r="L914" s="0" t="n">
        <f aca="false">IF($F914=0,0,INDEX(Aux_HH!$I$4:$I$18,MATCH($B914&amp;"|"&amp;$E914,Aux_HH!$A$4:$A$18,0)))</f>
        <v>0</v>
      </c>
    </row>
    <row r="915" customFormat="false" ht="15" hidden="false" customHeight="false" outlineLevel="0" collapsed="false">
      <c r="A915" s="0" t="str">
        <f aca="false">IF(Frota!$A22="","",Frota!$A22)</f>
        <v/>
      </c>
      <c r="B915" s="0" t="str">
        <f aca="false">IF(Frota!$A22="","",Frota!$B22)</f>
        <v/>
      </c>
      <c r="C915" s="0" t="n">
        <v>28</v>
      </c>
      <c r="D915" s="0" t="n">
        <f aca="false">INDEX(Semanas!$E$3:$E$54,28)</f>
        <v>10</v>
      </c>
      <c r="E915" s="0" t="str">
        <f aca="false">IF(Frota!$A22="","",Cronograma!AC22)</f>
        <v/>
      </c>
      <c r="F915" s="0" t="n">
        <f aca="false">IF(OR($E915="",$E915=0),0,1)</f>
        <v>0</v>
      </c>
      <c r="G915" s="0" t="n">
        <f aca="false">IF($F915=0,0,INDEX(Aux_HH!$D$4:$D$18,MATCH($B915&amp;"|"&amp;$E915,Aux_HH!$A$4:$A$18,0)))</f>
        <v>0</v>
      </c>
      <c r="H915" s="0" t="n">
        <f aca="false">IF($F915=0,0,INDEX(Aux_HH!$E$4:$E$18,MATCH($B915&amp;"|"&amp;$E915,Aux_HH!$A$4:$A$18,0)))</f>
        <v>0</v>
      </c>
      <c r="I915" s="0" t="n">
        <f aca="false">IF($F915=0,0,INDEX(Aux_HH!$F$4:$F$18,MATCH($B915&amp;"|"&amp;$E915,Aux_HH!$A$4:$A$18,0)))</f>
        <v>0</v>
      </c>
      <c r="J915" s="0" t="n">
        <f aca="false">IF($F915=0,0,INDEX(Aux_HH!$G$4:$G$18,MATCH($B915&amp;"|"&amp;$E915,Aux_HH!$A$4:$A$18,0)))</f>
        <v>0</v>
      </c>
      <c r="K915" s="0" t="n">
        <f aca="false">IF($F915=0,0,INDEX(Aux_HH!$H$4:$H$18,MATCH($B915&amp;"|"&amp;$E915,Aux_HH!$A$4:$A$18,0)))</f>
        <v>0</v>
      </c>
      <c r="L915" s="0" t="n">
        <f aca="false">IF($F915=0,0,INDEX(Aux_HH!$I$4:$I$18,MATCH($B915&amp;"|"&amp;$E915,Aux_HH!$A$4:$A$18,0)))</f>
        <v>0</v>
      </c>
    </row>
    <row r="916" customFormat="false" ht="15" hidden="false" customHeight="false" outlineLevel="0" collapsed="false">
      <c r="A916" s="0" t="str">
        <f aca="false">IF(Frota!$A22="","",Frota!$A22)</f>
        <v/>
      </c>
      <c r="B916" s="0" t="str">
        <f aca="false">IF(Frota!$A22="","",Frota!$B22)</f>
        <v/>
      </c>
      <c r="C916" s="0" t="n">
        <v>29</v>
      </c>
      <c r="D916" s="0" t="n">
        <f aca="false">INDEX(Semanas!$E$3:$E$54,29)</f>
        <v>10</v>
      </c>
      <c r="E916" s="0" t="str">
        <f aca="false">IF(Frota!$A22="","",Cronograma!AD22)</f>
        <v/>
      </c>
      <c r="F916" s="0" t="n">
        <f aca="false">IF(OR($E916="",$E916=0),0,1)</f>
        <v>0</v>
      </c>
      <c r="G916" s="0" t="n">
        <f aca="false">IF($F916=0,0,INDEX(Aux_HH!$D$4:$D$18,MATCH($B916&amp;"|"&amp;$E916,Aux_HH!$A$4:$A$18,0)))</f>
        <v>0</v>
      </c>
      <c r="H916" s="0" t="n">
        <f aca="false">IF($F916=0,0,INDEX(Aux_HH!$E$4:$E$18,MATCH($B916&amp;"|"&amp;$E916,Aux_HH!$A$4:$A$18,0)))</f>
        <v>0</v>
      </c>
      <c r="I916" s="0" t="n">
        <f aca="false">IF($F916=0,0,INDEX(Aux_HH!$F$4:$F$18,MATCH($B916&amp;"|"&amp;$E916,Aux_HH!$A$4:$A$18,0)))</f>
        <v>0</v>
      </c>
      <c r="J916" s="0" t="n">
        <f aca="false">IF($F916=0,0,INDEX(Aux_HH!$G$4:$G$18,MATCH($B916&amp;"|"&amp;$E916,Aux_HH!$A$4:$A$18,0)))</f>
        <v>0</v>
      </c>
      <c r="K916" s="0" t="n">
        <f aca="false">IF($F916=0,0,INDEX(Aux_HH!$H$4:$H$18,MATCH($B916&amp;"|"&amp;$E916,Aux_HH!$A$4:$A$18,0)))</f>
        <v>0</v>
      </c>
      <c r="L916" s="0" t="n">
        <f aca="false">IF($F916=0,0,INDEX(Aux_HH!$I$4:$I$18,MATCH($B916&amp;"|"&amp;$E916,Aux_HH!$A$4:$A$18,0)))</f>
        <v>0</v>
      </c>
    </row>
    <row r="917" customFormat="false" ht="15" hidden="false" customHeight="false" outlineLevel="0" collapsed="false">
      <c r="A917" s="0" t="str">
        <f aca="false">IF(Frota!$A22="","",Frota!$A22)</f>
        <v/>
      </c>
      <c r="B917" s="0" t="str">
        <f aca="false">IF(Frota!$A22="","",Frota!$B22)</f>
        <v/>
      </c>
      <c r="C917" s="0" t="n">
        <v>30</v>
      </c>
      <c r="D917" s="0" t="n">
        <f aca="false">INDEX(Semanas!$E$3:$E$54,30)</f>
        <v>10</v>
      </c>
      <c r="E917" s="0" t="str">
        <f aca="false">IF(Frota!$A22="","",Cronograma!AE22)</f>
        <v/>
      </c>
      <c r="F917" s="0" t="n">
        <f aca="false">IF(OR($E917="",$E917=0),0,1)</f>
        <v>0</v>
      </c>
      <c r="G917" s="0" t="n">
        <f aca="false">IF($F917=0,0,INDEX(Aux_HH!$D$4:$D$18,MATCH($B917&amp;"|"&amp;$E917,Aux_HH!$A$4:$A$18,0)))</f>
        <v>0</v>
      </c>
      <c r="H917" s="0" t="n">
        <f aca="false">IF($F917=0,0,INDEX(Aux_HH!$E$4:$E$18,MATCH($B917&amp;"|"&amp;$E917,Aux_HH!$A$4:$A$18,0)))</f>
        <v>0</v>
      </c>
      <c r="I917" s="0" t="n">
        <f aca="false">IF($F917=0,0,INDEX(Aux_HH!$F$4:$F$18,MATCH($B917&amp;"|"&amp;$E917,Aux_HH!$A$4:$A$18,0)))</f>
        <v>0</v>
      </c>
      <c r="J917" s="0" t="n">
        <f aca="false">IF($F917=0,0,INDEX(Aux_HH!$G$4:$G$18,MATCH($B917&amp;"|"&amp;$E917,Aux_HH!$A$4:$A$18,0)))</f>
        <v>0</v>
      </c>
      <c r="K917" s="0" t="n">
        <f aca="false">IF($F917=0,0,INDEX(Aux_HH!$H$4:$H$18,MATCH($B917&amp;"|"&amp;$E917,Aux_HH!$A$4:$A$18,0)))</f>
        <v>0</v>
      </c>
      <c r="L917" s="0" t="n">
        <f aca="false">IF($F917=0,0,INDEX(Aux_HH!$I$4:$I$18,MATCH($B917&amp;"|"&amp;$E917,Aux_HH!$A$4:$A$18,0)))</f>
        <v>0</v>
      </c>
    </row>
    <row r="918" customFormat="false" ht="15" hidden="false" customHeight="false" outlineLevel="0" collapsed="false">
      <c r="A918" s="0" t="str">
        <f aca="false">IF(Frota!$A22="","",Frota!$A22)</f>
        <v/>
      </c>
      <c r="B918" s="0" t="str">
        <f aca="false">IF(Frota!$A22="","",Frota!$B22)</f>
        <v/>
      </c>
      <c r="C918" s="0" t="n">
        <v>31</v>
      </c>
      <c r="D918" s="0" t="n">
        <f aca="false">INDEX(Semanas!$E$3:$E$54,31)</f>
        <v>10</v>
      </c>
      <c r="E918" s="0" t="str">
        <f aca="false">IF(Frota!$A22="","",Cronograma!AF22)</f>
        <v/>
      </c>
      <c r="F918" s="0" t="n">
        <f aca="false">IF(OR($E918="",$E918=0),0,1)</f>
        <v>0</v>
      </c>
      <c r="G918" s="0" t="n">
        <f aca="false">IF($F918=0,0,INDEX(Aux_HH!$D$4:$D$18,MATCH($B918&amp;"|"&amp;$E918,Aux_HH!$A$4:$A$18,0)))</f>
        <v>0</v>
      </c>
      <c r="H918" s="0" t="n">
        <f aca="false">IF($F918=0,0,INDEX(Aux_HH!$E$4:$E$18,MATCH($B918&amp;"|"&amp;$E918,Aux_HH!$A$4:$A$18,0)))</f>
        <v>0</v>
      </c>
      <c r="I918" s="0" t="n">
        <f aca="false">IF($F918=0,0,INDEX(Aux_HH!$F$4:$F$18,MATCH($B918&amp;"|"&amp;$E918,Aux_HH!$A$4:$A$18,0)))</f>
        <v>0</v>
      </c>
      <c r="J918" s="0" t="n">
        <f aca="false">IF($F918=0,0,INDEX(Aux_HH!$G$4:$G$18,MATCH($B918&amp;"|"&amp;$E918,Aux_HH!$A$4:$A$18,0)))</f>
        <v>0</v>
      </c>
      <c r="K918" s="0" t="n">
        <f aca="false">IF($F918=0,0,INDEX(Aux_HH!$H$4:$H$18,MATCH($B918&amp;"|"&amp;$E918,Aux_HH!$A$4:$A$18,0)))</f>
        <v>0</v>
      </c>
      <c r="L918" s="0" t="n">
        <f aca="false">IF($F918=0,0,INDEX(Aux_HH!$I$4:$I$18,MATCH($B918&amp;"|"&amp;$E918,Aux_HH!$A$4:$A$18,0)))</f>
        <v>0</v>
      </c>
    </row>
    <row r="919" customFormat="false" ht="15" hidden="false" customHeight="false" outlineLevel="0" collapsed="false">
      <c r="A919" s="0" t="str">
        <f aca="false">IF(Frota!$A22="","",Frota!$A22)</f>
        <v/>
      </c>
      <c r="B919" s="0" t="str">
        <f aca="false">IF(Frota!$A22="","",Frota!$B22)</f>
        <v/>
      </c>
      <c r="C919" s="0" t="n">
        <v>32</v>
      </c>
      <c r="D919" s="0" t="n">
        <f aca="false">INDEX(Semanas!$E$3:$E$54,32)</f>
        <v>11</v>
      </c>
      <c r="E919" s="0" t="str">
        <f aca="false">IF(Frota!$A22="","",Cronograma!AG22)</f>
        <v/>
      </c>
      <c r="F919" s="0" t="n">
        <f aca="false">IF(OR($E919="",$E919=0),0,1)</f>
        <v>0</v>
      </c>
      <c r="G919" s="0" t="n">
        <f aca="false">IF($F919=0,0,INDEX(Aux_HH!$D$4:$D$18,MATCH($B919&amp;"|"&amp;$E919,Aux_HH!$A$4:$A$18,0)))</f>
        <v>0</v>
      </c>
      <c r="H919" s="0" t="n">
        <f aca="false">IF($F919=0,0,INDEX(Aux_HH!$E$4:$E$18,MATCH($B919&amp;"|"&amp;$E919,Aux_HH!$A$4:$A$18,0)))</f>
        <v>0</v>
      </c>
      <c r="I919" s="0" t="n">
        <f aca="false">IF($F919=0,0,INDEX(Aux_HH!$F$4:$F$18,MATCH($B919&amp;"|"&amp;$E919,Aux_HH!$A$4:$A$18,0)))</f>
        <v>0</v>
      </c>
      <c r="J919" s="0" t="n">
        <f aca="false">IF($F919=0,0,INDEX(Aux_HH!$G$4:$G$18,MATCH($B919&amp;"|"&amp;$E919,Aux_HH!$A$4:$A$18,0)))</f>
        <v>0</v>
      </c>
      <c r="K919" s="0" t="n">
        <f aca="false">IF($F919=0,0,INDEX(Aux_HH!$H$4:$H$18,MATCH($B919&amp;"|"&amp;$E919,Aux_HH!$A$4:$A$18,0)))</f>
        <v>0</v>
      </c>
      <c r="L919" s="0" t="n">
        <f aca="false">IF($F919=0,0,INDEX(Aux_HH!$I$4:$I$18,MATCH($B919&amp;"|"&amp;$E919,Aux_HH!$A$4:$A$18,0)))</f>
        <v>0</v>
      </c>
    </row>
    <row r="920" customFormat="false" ht="15" hidden="false" customHeight="false" outlineLevel="0" collapsed="false">
      <c r="A920" s="0" t="str">
        <f aca="false">IF(Frota!$A22="","",Frota!$A22)</f>
        <v/>
      </c>
      <c r="B920" s="0" t="str">
        <f aca="false">IF(Frota!$A22="","",Frota!$B22)</f>
        <v/>
      </c>
      <c r="C920" s="0" t="n">
        <v>33</v>
      </c>
      <c r="D920" s="0" t="n">
        <f aca="false">INDEX(Semanas!$E$3:$E$54,33)</f>
        <v>11</v>
      </c>
      <c r="E920" s="0" t="str">
        <f aca="false">IF(Frota!$A22="","",Cronograma!AH22)</f>
        <v/>
      </c>
      <c r="F920" s="0" t="n">
        <f aca="false">IF(OR($E920="",$E920=0),0,1)</f>
        <v>0</v>
      </c>
      <c r="G920" s="0" t="n">
        <f aca="false">IF($F920=0,0,INDEX(Aux_HH!$D$4:$D$18,MATCH($B920&amp;"|"&amp;$E920,Aux_HH!$A$4:$A$18,0)))</f>
        <v>0</v>
      </c>
      <c r="H920" s="0" t="n">
        <f aca="false">IF($F920=0,0,INDEX(Aux_HH!$E$4:$E$18,MATCH($B920&amp;"|"&amp;$E920,Aux_HH!$A$4:$A$18,0)))</f>
        <v>0</v>
      </c>
      <c r="I920" s="0" t="n">
        <f aca="false">IF($F920=0,0,INDEX(Aux_HH!$F$4:$F$18,MATCH($B920&amp;"|"&amp;$E920,Aux_HH!$A$4:$A$18,0)))</f>
        <v>0</v>
      </c>
      <c r="J920" s="0" t="n">
        <f aca="false">IF($F920=0,0,INDEX(Aux_HH!$G$4:$G$18,MATCH($B920&amp;"|"&amp;$E920,Aux_HH!$A$4:$A$18,0)))</f>
        <v>0</v>
      </c>
      <c r="K920" s="0" t="n">
        <f aca="false">IF($F920=0,0,INDEX(Aux_HH!$H$4:$H$18,MATCH($B920&amp;"|"&amp;$E920,Aux_HH!$A$4:$A$18,0)))</f>
        <v>0</v>
      </c>
      <c r="L920" s="0" t="n">
        <f aca="false">IF($F920=0,0,INDEX(Aux_HH!$I$4:$I$18,MATCH($B920&amp;"|"&amp;$E920,Aux_HH!$A$4:$A$18,0)))</f>
        <v>0</v>
      </c>
    </row>
    <row r="921" customFormat="false" ht="15" hidden="false" customHeight="false" outlineLevel="0" collapsed="false">
      <c r="A921" s="0" t="str">
        <f aca="false">IF(Frota!$A22="","",Frota!$A22)</f>
        <v/>
      </c>
      <c r="B921" s="0" t="str">
        <f aca="false">IF(Frota!$A22="","",Frota!$B22)</f>
        <v/>
      </c>
      <c r="C921" s="0" t="n">
        <v>34</v>
      </c>
      <c r="D921" s="0" t="n">
        <f aca="false">INDEX(Semanas!$E$3:$E$54,34)</f>
        <v>11</v>
      </c>
      <c r="E921" s="0" t="str">
        <f aca="false">IF(Frota!$A22="","",Cronograma!AI22)</f>
        <v/>
      </c>
      <c r="F921" s="0" t="n">
        <f aca="false">IF(OR($E921="",$E921=0),0,1)</f>
        <v>0</v>
      </c>
      <c r="G921" s="0" t="n">
        <f aca="false">IF($F921=0,0,INDEX(Aux_HH!$D$4:$D$18,MATCH($B921&amp;"|"&amp;$E921,Aux_HH!$A$4:$A$18,0)))</f>
        <v>0</v>
      </c>
      <c r="H921" s="0" t="n">
        <f aca="false">IF($F921=0,0,INDEX(Aux_HH!$E$4:$E$18,MATCH($B921&amp;"|"&amp;$E921,Aux_HH!$A$4:$A$18,0)))</f>
        <v>0</v>
      </c>
      <c r="I921" s="0" t="n">
        <f aca="false">IF($F921=0,0,INDEX(Aux_HH!$F$4:$F$18,MATCH($B921&amp;"|"&amp;$E921,Aux_HH!$A$4:$A$18,0)))</f>
        <v>0</v>
      </c>
      <c r="J921" s="0" t="n">
        <f aca="false">IF($F921=0,0,INDEX(Aux_HH!$G$4:$G$18,MATCH($B921&amp;"|"&amp;$E921,Aux_HH!$A$4:$A$18,0)))</f>
        <v>0</v>
      </c>
      <c r="K921" s="0" t="n">
        <f aca="false">IF($F921=0,0,INDEX(Aux_HH!$H$4:$H$18,MATCH($B921&amp;"|"&amp;$E921,Aux_HH!$A$4:$A$18,0)))</f>
        <v>0</v>
      </c>
      <c r="L921" s="0" t="n">
        <f aca="false">IF($F921=0,0,INDEX(Aux_HH!$I$4:$I$18,MATCH($B921&amp;"|"&amp;$E921,Aux_HH!$A$4:$A$18,0)))</f>
        <v>0</v>
      </c>
    </row>
    <row r="922" customFormat="false" ht="15" hidden="false" customHeight="false" outlineLevel="0" collapsed="false">
      <c r="A922" s="0" t="str">
        <f aca="false">IF(Frota!$A22="","",Frota!$A22)</f>
        <v/>
      </c>
      <c r="B922" s="0" t="str">
        <f aca="false">IF(Frota!$A22="","",Frota!$B22)</f>
        <v/>
      </c>
      <c r="C922" s="0" t="n">
        <v>35</v>
      </c>
      <c r="D922" s="0" t="n">
        <f aca="false">INDEX(Semanas!$E$3:$E$54,35)</f>
        <v>11</v>
      </c>
      <c r="E922" s="0" t="str">
        <f aca="false">IF(Frota!$A22="","",Cronograma!AJ22)</f>
        <v/>
      </c>
      <c r="F922" s="0" t="n">
        <f aca="false">IF(OR($E922="",$E922=0),0,1)</f>
        <v>0</v>
      </c>
      <c r="G922" s="0" t="n">
        <f aca="false">IF($F922=0,0,INDEX(Aux_HH!$D$4:$D$18,MATCH($B922&amp;"|"&amp;$E922,Aux_HH!$A$4:$A$18,0)))</f>
        <v>0</v>
      </c>
      <c r="H922" s="0" t="n">
        <f aca="false">IF($F922=0,0,INDEX(Aux_HH!$E$4:$E$18,MATCH($B922&amp;"|"&amp;$E922,Aux_HH!$A$4:$A$18,0)))</f>
        <v>0</v>
      </c>
      <c r="I922" s="0" t="n">
        <f aca="false">IF($F922=0,0,INDEX(Aux_HH!$F$4:$F$18,MATCH($B922&amp;"|"&amp;$E922,Aux_HH!$A$4:$A$18,0)))</f>
        <v>0</v>
      </c>
      <c r="J922" s="0" t="n">
        <f aca="false">IF($F922=0,0,INDEX(Aux_HH!$G$4:$G$18,MATCH($B922&amp;"|"&amp;$E922,Aux_HH!$A$4:$A$18,0)))</f>
        <v>0</v>
      </c>
      <c r="K922" s="0" t="n">
        <f aca="false">IF($F922=0,0,INDEX(Aux_HH!$H$4:$H$18,MATCH($B922&amp;"|"&amp;$E922,Aux_HH!$A$4:$A$18,0)))</f>
        <v>0</v>
      </c>
      <c r="L922" s="0" t="n">
        <f aca="false">IF($F922=0,0,INDEX(Aux_HH!$I$4:$I$18,MATCH($B922&amp;"|"&amp;$E922,Aux_HH!$A$4:$A$18,0)))</f>
        <v>0</v>
      </c>
    </row>
    <row r="923" customFormat="false" ht="15" hidden="false" customHeight="false" outlineLevel="0" collapsed="false">
      <c r="A923" s="0" t="str">
        <f aca="false">IF(Frota!$A22="","",Frota!$A22)</f>
        <v/>
      </c>
      <c r="B923" s="0" t="str">
        <f aca="false">IF(Frota!$A22="","",Frota!$B22)</f>
        <v/>
      </c>
      <c r="C923" s="0" t="n">
        <v>36</v>
      </c>
      <c r="D923" s="0" t="n">
        <f aca="false">INDEX(Semanas!$E$3:$E$54,36)</f>
        <v>12</v>
      </c>
      <c r="E923" s="0" t="str">
        <f aca="false">IF(Frota!$A22="","",Cronograma!AK22)</f>
        <v/>
      </c>
      <c r="F923" s="0" t="n">
        <f aca="false">IF(OR($E923="",$E923=0),0,1)</f>
        <v>0</v>
      </c>
      <c r="G923" s="0" t="n">
        <f aca="false">IF($F923=0,0,INDEX(Aux_HH!$D$4:$D$18,MATCH($B923&amp;"|"&amp;$E923,Aux_HH!$A$4:$A$18,0)))</f>
        <v>0</v>
      </c>
      <c r="H923" s="0" t="n">
        <f aca="false">IF($F923=0,0,INDEX(Aux_HH!$E$4:$E$18,MATCH($B923&amp;"|"&amp;$E923,Aux_HH!$A$4:$A$18,0)))</f>
        <v>0</v>
      </c>
      <c r="I923" s="0" t="n">
        <f aca="false">IF($F923=0,0,INDEX(Aux_HH!$F$4:$F$18,MATCH($B923&amp;"|"&amp;$E923,Aux_HH!$A$4:$A$18,0)))</f>
        <v>0</v>
      </c>
      <c r="J923" s="0" t="n">
        <f aca="false">IF($F923=0,0,INDEX(Aux_HH!$G$4:$G$18,MATCH($B923&amp;"|"&amp;$E923,Aux_HH!$A$4:$A$18,0)))</f>
        <v>0</v>
      </c>
      <c r="K923" s="0" t="n">
        <f aca="false">IF($F923=0,0,INDEX(Aux_HH!$H$4:$H$18,MATCH($B923&amp;"|"&amp;$E923,Aux_HH!$A$4:$A$18,0)))</f>
        <v>0</v>
      </c>
      <c r="L923" s="0" t="n">
        <f aca="false">IF($F923=0,0,INDEX(Aux_HH!$I$4:$I$18,MATCH($B923&amp;"|"&amp;$E923,Aux_HH!$A$4:$A$18,0)))</f>
        <v>0</v>
      </c>
    </row>
    <row r="924" customFormat="false" ht="15" hidden="false" customHeight="false" outlineLevel="0" collapsed="false">
      <c r="A924" s="0" t="str">
        <f aca="false">IF(Frota!$A22="","",Frota!$A22)</f>
        <v/>
      </c>
      <c r="B924" s="0" t="str">
        <f aca="false">IF(Frota!$A22="","",Frota!$B22)</f>
        <v/>
      </c>
      <c r="C924" s="0" t="n">
        <v>37</v>
      </c>
      <c r="D924" s="0" t="n">
        <f aca="false">INDEX(Semanas!$E$3:$E$54,37)</f>
        <v>12</v>
      </c>
      <c r="E924" s="0" t="str">
        <f aca="false">IF(Frota!$A22="","",Cronograma!AL22)</f>
        <v/>
      </c>
      <c r="F924" s="0" t="n">
        <f aca="false">IF(OR($E924="",$E924=0),0,1)</f>
        <v>0</v>
      </c>
      <c r="G924" s="0" t="n">
        <f aca="false">IF($F924=0,0,INDEX(Aux_HH!$D$4:$D$18,MATCH($B924&amp;"|"&amp;$E924,Aux_HH!$A$4:$A$18,0)))</f>
        <v>0</v>
      </c>
      <c r="H924" s="0" t="n">
        <f aca="false">IF($F924=0,0,INDEX(Aux_HH!$E$4:$E$18,MATCH($B924&amp;"|"&amp;$E924,Aux_HH!$A$4:$A$18,0)))</f>
        <v>0</v>
      </c>
      <c r="I924" s="0" t="n">
        <f aca="false">IF($F924=0,0,INDEX(Aux_HH!$F$4:$F$18,MATCH($B924&amp;"|"&amp;$E924,Aux_HH!$A$4:$A$18,0)))</f>
        <v>0</v>
      </c>
      <c r="J924" s="0" t="n">
        <f aca="false">IF($F924=0,0,INDEX(Aux_HH!$G$4:$G$18,MATCH($B924&amp;"|"&amp;$E924,Aux_HH!$A$4:$A$18,0)))</f>
        <v>0</v>
      </c>
      <c r="K924" s="0" t="n">
        <f aca="false">IF($F924=0,0,INDEX(Aux_HH!$H$4:$H$18,MATCH($B924&amp;"|"&amp;$E924,Aux_HH!$A$4:$A$18,0)))</f>
        <v>0</v>
      </c>
      <c r="L924" s="0" t="n">
        <f aca="false">IF($F924=0,0,INDEX(Aux_HH!$I$4:$I$18,MATCH($B924&amp;"|"&amp;$E924,Aux_HH!$A$4:$A$18,0)))</f>
        <v>0</v>
      </c>
    </row>
    <row r="925" customFormat="false" ht="15" hidden="false" customHeight="false" outlineLevel="0" collapsed="false">
      <c r="A925" s="0" t="str">
        <f aca="false">IF(Frota!$A22="","",Frota!$A22)</f>
        <v/>
      </c>
      <c r="B925" s="0" t="str">
        <f aca="false">IF(Frota!$A22="","",Frota!$B22)</f>
        <v/>
      </c>
      <c r="C925" s="0" t="n">
        <v>38</v>
      </c>
      <c r="D925" s="0" t="n">
        <f aca="false">INDEX(Semanas!$E$3:$E$54,38)</f>
        <v>12</v>
      </c>
      <c r="E925" s="0" t="str">
        <f aca="false">IF(Frota!$A22="","",Cronograma!AM22)</f>
        <v/>
      </c>
      <c r="F925" s="0" t="n">
        <f aca="false">IF(OR($E925="",$E925=0),0,1)</f>
        <v>0</v>
      </c>
      <c r="G925" s="0" t="n">
        <f aca="false">IF($F925=0,0,INDEX(Aux_HH!$D$4:$D$18,MATCH($B925&amp;"|"&amp;$E925,Aux_HH!$A$4:$A$18,0)))</f>
        <v>0</v>
      </c>
      <c r="H925" s="0" t="n">
        <f aca="false">IF($F925=0,0,INDEX(Aux_HH!$E$4:$E$18,MATCH($B925&amp;"|"&amp;$E925,Aux_HH!$A$4:$A$18,0)))</f>
        <v>0</v>
      </c>
      <c r="I925" s="0" t="n">
        <f aca="false">IF($F925=0,0,INDEX(Aux_HH!$F$4:$F$18,MATCH($B925&amp;"|"&amp;$E925,Aux_HH!$A$4:$A$18,0)))</f>
        <v>0</v>
      </c>
      <c r="J925" s="0" t="n">
        <f aca="false">IF($F925=0,0,INDEX(Aux_HH!$G$4:$G$18,MATCH($B925&amp;"|"&amp;$E925,Aux_HH!$A$4:$A$18,0)))</f>
        <v>0</v>
      </c>
      <c r="K925" s="0" t="n">
        <f aca="false">IF($F925=0,0,INDEX(Aux_HH!$H$4:$H$18,MATCH($B925&amp;"|"&amp;$E925,Aux_HH!$A$4:$A$18,0)))</f>
        <v>0</v>
      </c>
      <c r="L925" s="0" t="n">
        <f aca="false">IF($F925=0,0,INDEX(Aux_HH!$I$4:$I$18,MATCH($B925&amp;"|"&amp;$E925,Aux_HH!$A$4:$A$18,0)))</f>
        <v>0</v>
      </c>
    </row>
    <row r="926" customFormat="false" ht="15" hidden="false" customHeight="false" outlineLevel="0" collapsed="false">
      <c r="A926" s="0" t="str">
        <f aca="false">IF(Frota!$A22="","",Frota!$A22)</f>
        <v/>
      </c>
      <c r="B926" s="0" t="str">
        <f aca="false">IF(Frota!$A22="","",Frota!$B22)</f>
        <v/>
      </c>
      <c r="C926" s="0" t="n">
        <v>39</v>
      </c>
      <c r="D926" s="0" t="n">
        <f aca="false">INDEX(Semanas!$E$3:$E$54,39)</f>
        <v>12</v>
      </c>
      <c r="E926" s="0" t="str">
        <f aca="false">IF(Frota!$A22="","",Cronograma!AN22)</f>
        <v/>
      </c>
      <c r="F926" s="0" t="n">
        <f aca="false">IF(OR($E926="",$E926=0),0,1)</f>
        <v>0</v>
      </c>
      <c r="G926" s="0" t="n">
        <f aca="false">IF($F926=0,0,INDEX(Aux_HH!$D$4:$D$18,MATCH($B926&amp;"|"&amp;$E926,Aux_HH!$A$4:$A$18,0)))</f>
        <v>0</v>
      </c>
      <c r="H926" s="0" t="n">
        <f aca="false">IF($F926=0,0,INDEX(Aux_HH!$E$4:$E$18,MATCH($B926&amp;"|"&amp;$E926,Aux_HH!$A$4:$A$18,0)))</f>
        <v>0</v>
      </c>
      <c r="I926" s="0" t="n">
        <f aca="false">IF($F926=0,0,INDEX(Aux_HH!$F$4:$F$18,MATCH($B926&amp;"|"&amp;$E926,Aux_HH!$A$4:$A$18,0)))</f>
        <v>0</v>
      </c>
      <c r="J926" s="0" t="n">
        <f aca="false">IF($F926=0,0,INDEX(Aux_HH!$G$4:$G$18,MATCH($B926&amp;"|"&amp;$E926,Aux_HH!$A$4:$A$18,0)))</f>
        <v>0</v>
      </c>
      <c r="K926" s="0" t="n">
        <f aca="false">IF($F926=0,0,INDEX(Aux_HH!$H$4:$H$18,MATCH($B926&amp;"|"&amp;$E926,Aux_HH!$A$4:$A$18,0)))</f>
        <v>0</v>
      </c>
      <c r="L926" s="0" t="n">
        <f aca="false">IF($F926=0,0,INDEX(Aux_HH!$I$4:$I$18,MATCH($B926&amp;"|"&amp;$E926,Aux_HH!$A$4:$A$18,0)))</f>
        <v>0</v>
      </c>
    </row>
    <row r="927" customFormat="false" ht="15" hidden="false" customHeight="false" outlineLevel="0" collapsed="false">
      <c r="A927" s="0" t="str">
        <f aca="false">IF(Frota!$A22="","",Frota!$A22)</f>
        <v/>
      </c>
      <c r="B927" s="0" t="str">
        <f aca="false">IF(Frota!$A22="","",Frota!$B22)</f>
        <v/>
      </c>
      <c r="C927" s="0" t="n">
        <v>40</v>
      </c>
      <c r="D927" s="0" t="n">
        <f aca="false">INDEX(Semanas!$E$3:$E$54,40)</f>
        <v>12</v>
      </c>
      <c r="E927" s="0" t="str">
        <f aca="false">IF(Frota!$A22="","",Cronograma!AO22)</f>
        <v/>
      </c>
      <c r="F927" s="0" t="n">
        <f aca="false">IF(OR($E927="",$E927=0),0,1)</f>
        <v>0</v>
      </c>
      <c r="G927" s="0" t="n">
        <f aca="false">IF($F927=0,0,INDEX(Aux_HH!$D$4:$D$18,MATCH($B927&amp;"|"&amp;$E927,Aux_HH!$A$4:$A$18,0)))</f>
        <v>0</v>
      </c>
      <c r="H927" s="0" t="n">
        <f aca="false">IF($F927=0,0,INDEX(Aux_HH!$E$4:$E$18,MATCH($B927&amp;"|"&amp;$E927,Aux_HH!$A$4:$A$18,0)))</f>
        <v>0</v>
      </c>
      <c r="I927" s="0" t="n">
        <f aca="false">IF($F927=0,0,INDEX(Aux_HH!$F$4:$F$18,MATCH($B927&amp;"|"&amp;$E927,Aux_HH!$A$4:$A$18,0)))</f>
        <v>0</v>
      </c>
      <c r="J927" s="0" t="n">
        <f aca="false">IF($F927=0,0,INDEX(Aux_HH!$G$4:$G$18,MATCH($B927&amp;"|"&amp;$E927,Aux_HH!$A$4:$A$18,0)))</f>
        <v>0</v>
      </c>
      <c r="K927" s="0" t="n">
        <f aca="false">IF($F927=0,0,INDEX(Aux_HH!$H$4:$H$18,MATCH($B927&amp;"|"&amp;$E927,Aux_HH!$A$4:$A$18,0)))</f>
        <v>0</v>
      </c>
      <c r="L927" s="0" t="n">
        <f aca="false">IF($F927=0,0,INDEX(Aux_HH!$I$4:$I$18,MATCH($B927&amp;"|"&amp;$E927,Aux_HH!$A$4:$A$18,0)))</f>
        <v>0</v>
      </c>
    </row>
    <row r="928" customFormat="false" ht="15" hidden="false" customHeight="false" outlineLevel="0" collapsed="false">
      <c r="A928" s="0" t="str">
        <f aca="false">IF(Frota!$A22="","",Frota!$A22)</f>
        <v/>
      </c>
      <c r="B928" s="0" t="str">
        <f aca="false">IF(Frota!$A22="","",Frota!$B22)</f>
        <v/>
      </c>
      <c r="C928" s="0" t="n">
        <v>41</v>
      </c>
      <c r="D928" s="0" t="n">
        <f aca="false">INDEX(Semanas!$E$3:$E$54,41)</f>
        <v>1</v>
      </c>
      <c r="E928" s="0" t="str">
        <f aca="false">IF(Frota!$A22="","",Cronograma!AP22)</f>
        <v/>
      </c>
      <c r="F928" s="0" t="n">
        <f aca="false">IF(OR($E928="",$E928=0),0,1)</f>
        <v>0</v>
      </c>
      <c r="G928" s="0" t="n">
        <f aca="false">IF($F928=0,0,INDEX(Aux_HH!$D$4:$D$18,MATCH($B928&amp;"|"&amp;$E928,Aux_HH!$A$4:$A$18,0)))</f>
        <v>0</v>
      </c>
      <c r="H928" s="0" t="n">
        <f aca="false">IF($F928=0,0,INDEX(Aux_HH!$E$4:$E$18,MATCH($B928&amp;"|"&amp;$E928,Aux_HH!$A$4:$A$18,0)))</f>
        <v>0</v>
      </c>
      <c r="I928" s="0" t="n">
        <f aca="false">IF($F928=0,0,INDEX(Aux_HH!$F$4:$F$18,MATCH($B928&amp;"|"&amp;$E928,Aux_HH!$A$4:$A$18,0)))</f>
        <v>0</v>
      </c>
      <c r="J928" s="0" t="n">
        <f aca="false">IF($F928=0,0,INDEX(Aux_HH!$G$4:$G$18,MATCH($B928&amp;"|"&amp;$E928,Aux_HH!$A$4:$A$18,0)))</f>
        <v>0</v>
      </c>
      <c r="K928" s="0" t="n">
        <f aca="false">IF($F928=0,0,INDEX(Aux_HH!$H$4:$H$18,MATCH($B928&amp;"|"&amp;$E928,Aux_HH!$A$4:$A$18,0)))</f>
        <v>0</v>
      </c>
      <c r="L928" s="0" t="n">
        <f aca="false">IF($F928=0,0,INDEX(Aux_HH!$I$4:$I$18,MATCH($B928&amp;"|"&amp;$E928,Aux_HH!$A$4:$A$18,0)))</f>
        <v>0</v>
      </c>
    </row>
    <row r="929" customFormat="false" ht="15" hidden="false" customHeight="false" outlineLevel="0" collapsed="false">
      <c r="A929" s="0" t="str">
        <f aca="false">IF(Frota!$A22="","",Frota!$A22)</f>
        <v/>
      </c>
      <c r="B929" s="0" t="str">
        <f aca="false">IF(Frota!$A22="","",Frota!$B22)</f>
        <v/>
      </c>
      <c r="C929" s="0" t="n">
        <v>42</v>
      </c>
      <c r="D929" s="0" t="n">
        <f aca="false">INDEX(Semanas!$E$3:$E$54,42)</f>
        <v>1</v>
      </c>
      <c r="E929" s="0" t="str">
        <f aca="false">IF(Frota!$A22="","",Cronograma!AQ22)</f>
        <v/>
      </c>
      <c r="F929" s="0" t="n">
        <f aca="false">IF(OR($E929="",$E929=0),0,1)</f>
        <v>0</v>
      </c>
      <c r="G929" s="0" t="n">
        <f aca="false">IF($F929=0,0,INDEX(Aux_HH!$D$4:$D$18,MATCH($B929&amp;"|"&amp;$E929,Aux_HH!$A$4:$A$18,0)))</f>
        <v>0</v>
      </c>
      <c r="H929" s="0" t="n">
        <f aca="false">IF($F929=0,0,INDEX(Aux_HH!$E$4:$E$18,MATCH($B929&amp;"|"&amp;$E929,Aux_HH!$A$4:$A$18,0)))</f>
        <v>0</v>
      </c>
      <c r="I929" s="0" t="n">
        <f aca="false">IF($F929=0,0,INDEX(Aux_HH!$F$4:$F$18,MATCH($B929&amp;"|"&amp;$E929,Aux_HH!$A$4:$A$18,0)))</f>
        <v>0</v>
      </c>
      <c r="J929" s="0" t="n">
        <f aca="false">IF($F929=0,0,INDEX(Aux_HH!$G$4:$G$18,MATCH($B929&amp;"|"&amp;$E929,Aux_HH!$A$4:$A$18,0)))</f>
        <v>0</v>
      </c>
      <c r="K929" s="0" t="n">
        <f aca="false">IF($F929=0,0,INDEX(Aux_HH!$H$4:$H$18,MATCH($B929&amp;"|"&amp;$E929,Aux_HH!$A$4:$A$18,0)))</f>
        <v>0</v>
      </c>
      <c r="L929" s="0" t="n">
        <f aca="false">IF($F929=0,0,INDEX(Aux_HH!$I$4:$I$18,MATCH($B929&amp;"|"&amp;$E929,Aux_HH!$A$4:$A$18,0)))</f>
        <v>0</v>
      </c>
    </row>
    <row r="930" customFormat="false" ht="15" hidden="false" customHeight="false" outlineLevel="0" collapsed="false">
      <c r="A930" s="0" t="str">
        <f aca="false">IF(Frota!$A22="","",Frota!$A22)</f>
        <v/>
      </c>
      <c r="B930" s="0" t="str">
        <f aca="false">IF(Frota!$A22="","",Frota!$B22)</f>
        <v/>
      </c>
      <c r="C930" s="0" t="n">
        <v>43</v>
      </c>
      <c r="D930" s="0" t="n">
        <f aca="false">INDEX(Semanas!$E$3:$E$54,43)</f>
        <v>1</v>
      </c>
      <c r="E930" s="0" t="str">
        <f aca="false">IF(Frota!$A22="","",Cronograma!AR22)</f>
        <v/>
      </c>
      <c r="F930" s="0" t="n">
        <f aca="false">IF(OR($E930="",$E930=0),0,1)</f>
        <v>0</v>
      </c>
      <c r="G930" s="0" t="n">
        <f aca="false">IF($F930=0,0,INDEX(Aux_HH!$D$4:$D$18,MATCH($B930&amp;"|"&amp;$E930,Aux_HH!$A$4:$A$18,0)))</f>
        <v>0</v>
      </c>
      <c r="H930" s="0" t="n">
        <f aca="false">IF($F930=0,0,INDEX(Aux_HH!$E$4:$E$18,MATCH($B930&amp;"|"&amp;$E930,Aux_HH!$A$4:$A$18,0)))</f>
        <v>0</v>
      </c>
      <c r="I930" s="0" t="n">
        <f aca="false">IF($F930=0,0,INDEX(Aux_HH!$F$4:$F$18,MATCH($B930&amp;"|"&amp;$E930,Aux_HH!$A$4:$A$18,0)))</f>
        <v>0</v>
      </c>
      <c r="J930" s="0" t="n">
        <f aca="false">IF($F930=0,0,INDEX(Aux_HH!$G$4:$G$18,MATCH($B930&amp;"|"&amp;$E930,Aux_HH!$A$4:$A$18,0)))</f>
        <v>0</v>
      </c>
      <c r="K930" s="0" t="n">
        <f aca="false">IF($F930=0,0,INDEX(Aux_HH!$H$4:$H$18,MATCH($B930&amp;"|"&amp;$E930,Aux_HH!$A$4:$A$18,0)))</f>
        <v>0</v>
      </c>
      <c r="L930" s="0" t="n">
        <f aca="false">IF($F930=0,0,INDEX(Aux_HH!$I$4:$I$18,MATCH($B930&amp;"|"&amp;$E930,Aux_HH!$A$4:$A$18,0)))</f>
        <v>0</v>
      </c>
    </row>
    <row r="931" customFormat="false" ht="15" hidden="false" customHeight="false" outlineLevel="0" collapsed="false">
      <c r="A931" s="0" t="str">
        <f aca="false">IF(Frota!$A22="","",Frota!$A22)</f>
        <v/>
      </c>
      <c r="B931" s="0" t="str">
        <f aca="false">IF(Frota!$A22="","",Frota!$B22)</f>
        <v/>
      </c>
      <c r="C931" s="0" t="n">
        <v>44</v>
      </c>
      <c r="D931" s="0" t="n">
        <f aca="false">INDEX(Semanas!$E$3:$E$54,44)</f>
        <v>1</v>
      </c>
      <c r="E931" s="0" t="str">
        <f aca="false">IF(Frota!$A22="","",Cronograma!AS22)</f>
        <v/>
      </c>
      <c r="F931" s="0" t="n">
        <f aca="false">IF(OR($E931="",$E931=0),0,1)</f>
        <v>0</v>
      </c>
      <c r="G931" s="0" t="n">
        <f aca="false">IF($F931=0,0,INDEX(Aux_HH!$D$4:$D$18,MATCH($B931&amp;"|"&amp;$E931,Aux_HH!$A$4:$A$18,0)))</f>
        <v>0</v>
      </c>
      <c r="H931" s="0" t="n">
        <f aca="false">IF($F931=0,0,INDEX(Aux_HH!$E$4:$E$18,MATCH($B931&amp;"|"&amp;$E931,Aux_HH!$A$4:$A$18,0)))</f>
        <v>0</v>
      </c>
      <c r="I931" s="0" t="n">
        <f aca="false">IF($F931=0,0,INDEX(Aux_HH!$F$4:$F$18,MATCH($B931&amp;"|"&amp;$E931,Aux_HH!$A$4:$A$18,0)))</f>
        <v>0</v>
      </c>
      <c r="J931" s="0" t="n">
        <f aca="false">IF($F931=0,0,INDEX(Aux_HH!$G$4:$G$18,MATCH($B931&amp;"|"&amp;$E931,Aux_HH!$A$4:$A$18,0)))</f>
        <v>0</v>
      </c>
      <c r="K931" s="0" t="n">
        <f aca="false">IF($F931=0,0,INDEX(Aux_HH!$H$4:$H$18,MATCH($B931&amp;"|"&amp;$E931,Aux_HH!$A$4:$A$18,0)))</f>
        <v>0</v>
      </c>
      <c r="L931" s="0" t="n">
        <f aca="false">IF($F931=0,0,INDEX(Aux_HH!$I$4:$I$18,MATCH($B931&amp;"|"&amp;$E931,Aux_HH!$A$4:$A$18,0)))</f>
        <v>0</v>
      </c>
    </row>
    <row r="932" customFormat="false" ht="15" hidden="false" customHeight="false" outlineLevel="0" collapsed="false">
      <c r="A932" s="0" t="str">
        <f aca="false">IF(Frota!$A22="","",Frota!$A22)</f>
        <v/>
      </c>
      <c r="B932" s="0" t="str">
        <f aca="false">IF(Frota!$A22="","",Frota!$B22)</f>
        <v/>
      </c>
      <c r="C932" s="0" t="n">
        <v>45</v>
      </c>
      <c r="D932" s="0" t="n">
        <f aca="false">INDEX(Semanas!$E$3:$E$54,45)</f>
        <v>2</v>
      </c>
      <c r="E932" s="0" t="str">
        <f aca="false">IF(Frota!$A22="","",Cronograma!AT22)</f>
        <v/>
      </c>
      <c r="F932" s="0" t="n">
        <f aca="false">IF(OR($E932="",$E932=0),0,1)</f>
        <v>0</v>
      </c>
      <c r="G932" s="0" t="n">
        <f aca="false">IF($F932=0,0,INDEX(Aux_HH!$D$4:$D$18,MATCH($B932&amp;"|"&amp;$E932,Aux_HH!$A$4:$A$18,0)))</f>
        <v>0</v>
      </c>
      <c r="H932" s="0" t="n">
        <f aca="false">IF($F932=0,0,INDEX(Aux_HH!$E$4:$E$18,MATCH($B932&amp;"|"&amp;$E932,Aux_HH!$A$4:$A$18,0)))</f>
        <v>0</v>
      </c>
      <c r="I932" s="0" t="n">
        <f aca="false">IF($F932=0,0,INDEX(Aux_HH!$F$4:$F$18,MATCH($B932&amp;"|"&amp;$E932,Aux_HH!$A$4:$A$18,0)))</f>
        <v>0</v>
      </c>
      <c r="J932" s="0" t="n">
        <f aca="false">IF($F932=0,0,INDEX(Aux_HH!$G$4:$G$18,MATCH($B932&amp;"|"&amp;$E932,Aux_HH!$A$4:$A$18,0)))</f>
        <v>0</v>
      </c>
      <c r="K932" s="0" t="n">
        <f aca="false">IF($F932=0,0,INDEX(Aux_HH!$H$4:$H$18,MATCH($B932&amp;"|"&amp;$E932,Aux_HH!$A$4:$A$18,0)))</f>
        <v>0</v>
      </c>
      <c r="L932" s="0" t="n">
        <f aca="false">IF($F932=0,0,INDEX(Aux_HH!$I$4:$I$18,MATCH($B932&amp;"|"&amp;$E932,Aux_HH!$A$4:$A$18,0)))</f>
        <v>0</v>
      </c>
    </row>
    <row r="933" customFormat="false" ht="15" hidden="false" customHeight="false" outlineLevel="0" collapsed="false">
      <c r="A933" s="0" t="str">
        <f aca="false">IF(Frota!$A22="","",Frota!$A22)</f>
        <v/>
      </c>
      <c r="B933" s="0" t="str">
        <f aca="false">IF(Frota!$A22="","",Frota!$B22)</f>
        <v/>
      </c>
      <c r="C933" s="0" t="n">
        <v>46</v>
      </c>
      <c r="D933" s="0" t="n">
        <f aca="false">INDEX(Semanas!$E$3:$E$54,46)</f>
        <v>2</v>
      </c>
      <c r="E933" s="0" t="str">
        <f aca="false">IF(Frota!$A22="","",Cronograma!AU22)</f>
        <v/>
      </c>
      <c r="F933" s="0" t="n">
        <f aca="false">IF(OR($E933="",$E933=0),0,1)</f>
        <v>0</v>
      </c>
      <c r="G933" s="0" t="n">
        <f aca="false">IF($F933=0,0,INDEX(Aux_HH!$D$4:$D$18,MATCH($B933&amp;"|"&amp;$E933,Aux_HH!$A$4:$A$18,0)))</f>
        <v>0</v>
      </c>
      <c r="H933" s="0" t="n">
        <f aca="false">IF($F933=0,0,INDEX(Aux_HH!$E$4:$E$18,MATCH($B933&amp;"|"&amp;$E933,Aux_HH!$A$4:$A$18,0)))</f>
        <v>0</v>
      </c>
      <c r="I933" s="0" t="n">
        <f aca="false">IF($F933=0,0,INDEX(Aux_HH!$F$4:$F$18,MATCH($B933&amp;"|"&amp;$E933,Aux_HH!$A$4:$A$18,0)))</f>
        <v>0</v>
      </c>
      <c r="J933" s="0" t="n">
        <f aca="false">IF($F933=0,0,INDEX(Aux_HH!$G$4:$G$18,MATCH($B933&amp;"|"&amp;$E933,Aux_HH!$A$4:$A$18,0)))</f>
        <v>0</v>
      </c>
      <c r="K933" s="0" t="n">
        <f aca="false">IF($F933=0,0,INDEX(Aux_HH!$H$4:$H$18,MATCH($B933&amp;"|"&amp;$E933,Aux_HH!$A$4:$A$18,0)))</f>
        <v>0</v>
      </c>
      <c r="L933" s="0" t="n">
        <f aca="false">IF($F933=0,0,INDEX(Aux_HH!$I$4:$I$18,MATCH($B933&amp;"|"&amp;$E933,Aux_HH!$A$4:$A$18,0)))</f>
        <v>0</v>
      </c>
    </row>
    <row r="934" customFormat="false" ht="15" hidden="false" customHeight="false" outlineLevel="0" collapsed="false">
      <c r="A934" s="0" t="str">
        <f aca="false">IF(Frota!$A22="","",Frota!$A22)</f>
        <v/>
      </c>
      <c r="B934" s="0" t="str">
        <f aca="false">IF(Frota!$A22="","",Frota!$B22)</f>
        <v/>
      </c>
      <c r="C934" s="0" t="n">
        <v>47</v>
      </c>
      <c r="D934" s="0" t="n">
        <f aca="false">INDEX(Semanas!$E$3:$E$54,47)</f>
        <v>2</v>
      </c>
      <c r="E934" s="0" t="str">
        <f aca="false">IF(Frota!$A22="","",Cronograma!AV22)</f>
        <v/>
      </c>
      <c r="F934" s="0" t="n">
        <f aca="false">IF(OR($E934="",$E934=0),0,1)</f>
        <v>0</v>
      </c>
      <c r="G934" s="0" t="n">
        <f aca="false">IF($F934=0,0,INDEX(Aux_HH!$D$4:$D$18,MATCH($B934&amp;"|"&amp;$E934,Aux_HH!$A$4:$A$18,0)))</f>
        <v>0</v>
      </c>
      <c r="H934" s="0" t="n">
        <f aca="false">IF($F934=0,0,INDEX(Aux_HH!$E$4:$E$18,MATCH($B934&amp;"|"&amp;$E934,Aux_HH!$A$4:$A$18,0)))</f>
        <v>0</v>
      </c>
      <c r="I934" s="0" t="n">
        <f aca="false">IF($F934=0,0,INDEX(Aux_HH!$F$4:$F$18,MATCH($B934&amp;"|"&amp;$E934,Aux_HH!$A$4:$A$18,0)))</f>
        <v>0</v>
      </c>
      <c r="J934" s="0" t="n">
        <f aca="false">IF($F934=0,0,INDEX(Aux_HH!$G$4:$G$18,MATCH($B934&amp;"|"&amp;$E934,Aux_HH!$A$4:$A$18,0)))</f>
        <v>0</v>
      </c>
      <c r="K934" s="0" t="n">
        <f aca="false">IF($F934=0,0,INDEX(Aux_HH!$H$4:$H$18,MATCH($B934&amp;"|"&amp;$E934,Aux_HH!$A$4:$A$18,0)))</f>
        <v>0</v>
      </c>
      <c r="L934" s="0" t="n">
        <f aca="false">IF($F934=0,0,INDEX(Aux_HH!$I$4:$I$18,MATCH($B934&amp;"|"&amp;$E934,Aux_HH!$A$4:$A$18,0)))</f>
        <v>0</v>
      </c>
    </row>
    <row r="935" customFormat="false" ht="15" hidden="false" customHeight="false" outlineLevel="0" collapsed="false">
      <c r="A935" s="0" t="str">
        <f aca="false">IF(Frota!$A22="","",Frota!$A22)</f>
        <v/>
      </c>
      <c r="B935" s="0" t="str">
        <f aca="false">IF(Frota!$A22="","",Frota!$B22)</f>
        <v/>
      </c>
      <c r="C935" s="0" t="n">
        <v>48</v>
      </c>
      <c r="D935" s="0" t="n">
        <f aca="false">INDEX(Semanas!$E$3:$E$54,48)</f>
        <v>2</v>
      </c>
      <c r="E935" s="0" t="str">
        <f aca="false">IF(Frota!$A22="","",Cronograma!AW22)</f>
        <v/>
      </c>
      <c r="F935" s="0" t="n">
        <f aca="false">IF(OR($E935="",$E935=0),0,1)</f>
        <v>0</v>
      </c>
      <c r="G935" s="0" t="n">
        <f aca="false">IF($F935=0,0,INDEX(Aux_HH!$D$4:$D$18,MATCH($B935&amp;"|"&amp;$E935,Aux_HH!$A$4:$A$18,0)))</f>
        <v>0</v>
      </c>
      <c r="H935" s="0" t="n">
        <f aca="false">IF($F935=0,0,INDEX(Aux_HH!$E$4:$E$18,MATCH($B935&amp;"|"&amp;$E935,Aux_HH!$A$4:$A$18,0)))</f>
        <v>0</v>
      </c>
      <c r="I935" s="0" t="n">
        <f aca="false">IF($F935=0,0,INDEX(Aux_HH!$F$4:$F$18,MATCH($B935&amp;"|"&amp;$E935,Aux_HH!$A$4:$A$18,0)))</f>
        <v>0</v>
      </c>
      <c r="J935" s="0" t="n">
        <f aca="false">IF($F935=0,0,INDEX(Aux_HH!$G$4:$G$18,MATCH($B935&amp;"|"&amp;$E935,Aux_HH!$A$4:$A$18,0)))</f>
        <v>0</v>
      </c>
      <c r="K935" s="0" t="n">
        <f aca="false">IF($F935=0,0,INDEX(Aux_HH!$H$4:$H$18,MATCH($B935&amp;"|"&amp;$E935,Aux_HH!$A$4:$A$18,0)))</f>
        <v>0</v>
      </c>
      <c r="L935" s="0" t="n">
        <f aca="false">IF($F935=0,0,INDEX(Aux_HH!$I$4:$I$18,MATCH($B935&amp;"|"&amp;$E935,Aux_HH!$A$4:$A$18,0)))</f>
        <v>0</v>
      </c>
    </row>
    <row r="936" customFormat="false" ht="15" hidden="false" customHeight="false" outlineLevel="0" collapsed="false">
      <c r="A936" s="0" t="str">
        <f aca="false">IF(Frota!$A22="","",Frota!$A22)</f>
        <v/>
      </c>
      <c r="B936" s="0" t="str">
        <f aca="false">IF(Frota!$A22="","",Frota!$B22)</f>
        <v/>
      </c>
      <c r="C936" s="0" t="n">
        <v>49</v>
      </c>
      <c r="D936" s="0" t="n">
        <f aca="false">INDEX(Semanas!$E$3:$E$54,49)</f>
        <v>3</v>
      </c>
      <c r="E936" s="0" t="str">
        <f aca="false">IF(Frota!$A22="","",Cronograma!AX22)</f>
        <v/>
      </c>
      <c r="F936" s="0" t="n">
        <f aca="false">IF(OR($E936="",$E936=0),0,1)</f>
        <v>0</v>
      </c>
      <c r="G936" s="0" t="n">
        <f aca="false">IF($F936=0,0,INDEX(Aux_HH!$D$4:$D$18,MATCH($B936&amp;"|"&amp;$E936,Aux_HH!$A$4:$A$18,0)))</f>
        <v>0</v>
      </c>
      <c r="H936" s="0" t="n">
        <f aca="false">IF($F936=0,0,INDEX(Aux_HH!$E$4:$E$18,MATCH($B936&amp;"|"&amp;$E936,Aux_HH!$A$4:$A$18,0)))</f>
        <v>0</v>
      </c>
      <c r="I936" s="0" t="n">
        <f aca="false">IF($F936=0,0,INDEX(Aux_HH!$F$4:$F$18,MATCH($B936&amp;"|"&amp;$E936,Aux_HH!$A$4:$A$18,0)))</f>
        <v>0</v>
      </c>
      <c r="J936" s="0" t="n">
        <f aca="false">IF($F936=0,0,INDEX(Aux_HH!$G$4:$G$18,MATCH($B936&amp;"|"&amp;$E936,Aux_HH!$A$4:$A$18,0)))</f>
        <v>0</v>
      </c>
      <c r="K936" s="0" t="n">
        <f aca="false">IF($F936=0,0,INDEX(Aux_HH!$H$4:$H$18,MATCH($B936&amp;"|"&amp;$E936,Aux_HH!$A$4:$A$18,0)))</f>
        <v>0</v>
      </c>
      <c r="L936" s="0" t="n">
        <f aca="false">IF($F936=0,0,INDEX(Aux_HH!$I$4:$I$18,MATCH($B936&amp;"|"&amp;$E936,Aux_HH!$A$4:$A$18,0)))</f>
        <v>0</v>
      </c>
    </row>
    <row r="937" customFormat="false" ht="15" hidden="false" customHeight="false" outlineLevel="0" collapsed="false">
      <c r="A937" s="0" t="str">
        <f aca="false">IF(Frota!$A22="","",Frota!$A22)</f>
        <v/>
      </c>
      <c r="B937" s="0" t="str">
        <f aca="false">IF(Frota!$A22="","",Frota!$B22)</f>
        <v/>
      </c>
      <c r="C937" s="0" t="n">
        <v>50</v>
      </c>
      <c r="D937" s="0" t="n">
        <f aca="false">INDEX(Semanas!$E$3:$E$54,50)</f>
        <v>3</v>
      </c>
      <c r="E937" s="0" t="str">
        <f aca="false">IF(Frota!$A22="","",Cronograma!AY22)</f>
        <v/>
      </c>
      <c r="F937" s="0" t="n">
        <f aca="false">IF(OR($E937="",$E937=0),0,1)</f>
        <v>0</v>
      </c>
      <c r="G937" s="0" t="n">
        <f aca="false">IF($F937=0,0,INDEX(Aux_HH!$D$4:$D$18,MATCH($B937&amp;"|"&amp;$E937,Aux_HH!$A$4:$A$18,0)))</f>
        <v>0</v>
      </c>
      <c r="H937" s="0" t="n">
        <f aca="false">IF($F937=0,0,INDEX(Aux_HH!$E$4:$E$18,MATCH($B937&amp;"|"&amp;$E937,Aux_HH!$A$4:$A$18,0)))</f>
        <v>0</v>
      </c>
      <c r="I937" s="0" t="n">
        <f aca="false">IF($F937=0,0,INDEX(Aux_HH!$F$4:$F$18,MATCH($B937&amp;"|"&amp;$E937,Aux_HH!$A$4:$A$18,0)))</f>
        <v>0</v>
      </c>
      <c r="J937" s="0" t="n">
        <f aca="false">IF($F937=0,0,INDEX(Aux_HH!$G$4:$G$18,MATCH($B937&amp;"|"&amp;$E937,Aux_HH!$A$4:$A$18,0)))</f>
        <v>0</v>
      </c>
      <c r="K937" s="0" t="n">
        <f aca="false">IF($F937=0,0,INDEX(Aux_HH!$H$4:$H$18,MATCH($B937&amp;"|"&amp;$E937,Aux_HH!$A$4:$A$18,0)))</f>
        <v>0</v>
      </c>
      <c r="L937" s="0" t="n">
        <f aca="false">IF($F937=0,0,INDEX(Aux_HH!$I$4:$I$18,MATCH($B937&amp;"|"&amp;$E937,Aux_HH!$A$4:$A$18,0)))</f>
        <v>0</v>
      </c>
    </row>
    <row r="938" customFormat="false" ht="15" hidden="false" customHeight="false" outlineLevel="0" collapsed="false">
      <c r="A938" s="0" t="str">
        <f aca="false">IF(Frota!$A22="","",Frota!$A22)</f>
        <v/>
      </c>
      <c r="B938" s="0" t="str">
        <f aca="false">IF(Frota!$A22="","",Frota!$B22)</f>
        <v/>
      </c>
      <c r="C938" s="0" t="n">
        <v>51</v>
      </c>
      <c r="D938" s="0" t="n">
        <f aca="false">INDEX(Semanas!$E$3:$E$54,51)</f>
        <v>3</v>
      </c>
      <c r="E938" s="0" t="str">
        <f aca="false">IF(Frota!$A22="","",Cronograma!AZ22)</f>
        <v/>
      </c>
      <c r="F938" s="0" t="n">
        <f aca="false">IF(OR($E938="",$E938=0),0,1)</f>
        <v>0</v>
      </c>
      <c r="G938" s="0" t="n">
        <f aca="false">IF($F938=0,0,INDEX(Aux_HH!$D$4:$D$18,MATCH($B938&amp;"|"&amp;$E938,Aux_HH!$A$4:$A$18,0)))</f>
        <v>0</v>
      </c>
      <c r="H938" s="0" t="n">
        <f aca="false">IF($F938=0,0,INDEX(Aux_HH!$E$4:$E$18,MATCH($B938&amp;"|"&amp;$E938,Aux_HH!$A$4:$A$18,0)))</f>
        <v>0</v>
      </c>
      <c r="I938" s="0" t="n">
        <f aca="false">IF($F938=0,0,INDEX(Aux_HH!$F$4:$F$18,MATCH($B938&amp;"|"&amp;$E938,Aux_HH!$A$4:$A$18,0)))</f>
        <v>0</v>
      </c>
      <c r="J938" s="0" t="n">
        <f aca="false">IF($F938=0,0,INDEX(Aux_HH!$G$4:$G$18,MATCH($B938&amp;"|"&amp;$E938,Aux_HH!$A$4:$A$18,0)))</f>
        <v>0</v>
      </c>
      <c r="K938" s="0" t="n">
        <f aca="false">IF($F938=0,0,INDEX(Aux_HH!$H$4:$H$18,MATCH($B938&amp;"|"&amp;$E938,Aux_HH!$A$4:$A$18,0)))</f>
        <v>0</v>
      </c>
      <c r="L938" s="0" t="n">
        <f aca="false">IF($F938=0,0,INDEX(Aux_HH!$I$4:$I$18,MATCH($B938&amp;"|"&amp;$E938,Aux_HH!$A$4:$A$18,0)))</f>
        <v>0</v>
      </c>
    </row>
    <row r="939" customFormat="false" ht="15" hidden="false" customHeight="false" outlineLevel="0" collapsed="false">
      <c r="A939" s="0" t="str">
        <f aca="false">IF(Frota!$A22="","",Frota!$A22)</f>
        <v/>
      </c>
      <c r="B939" s="0" t="str">
        <f aca="false">IF(Frota!$A22="","",Frota!$B22)</f>
        <v/>
      </c>
      <c r="C939" s="0" t="n">
        <v>52</v>
      </c>
      <c r="D939" s="0" t="n">
        <f aca="false">INDEX(Semanas!$E$3:$E$54,52)</f>
        <v>3</v>
      </c>
      <c r="E939" s="0" t="str">
        <f aca="false">IF(Frota!$A22="","",Cronograma!BA22)</f>
        <v/>
      </c>
      <c r="F939" s="0" t="n">
        <f aca="false">IF(OR($E939="",$E939=0),0,1)</f>
        <v>0</v>
      </c>
      <c r="G939" s="0" t="n">
        <f aca="false">IF($F939=0,0,INDEX(Aux_HH!$D$4:$D$18,MATCH($B939&amp;"|"&amp;$E939,Aux_HH!$A$4:$A$18,0)))</f>
        <v>0</v>
      </c>
      <c r="H939" s="0" t="n">
        <f aca="false">IF($F939=0,0,INDEX(Aux_HH!$E$4:$E$18,MATCH($B939&amp;"|"&amp;$E939,Aux_HH!$A$4:$A$18,0)))</f>
        <v>0</v>
      </c>
      <c r="I939" s="0" t="n">
        <f aca="false">IF($F939=0,0,INDEX(Aux_HH!$F$4:$F$18,MATCH($B939&amp;"|"&amp;$E939,Aux_HH!$A$4:$A$18,0)))</f>
        <v>0</v>
      </c>
      <c r="J939" s="0" t="n">
        <f aca="false">IF($F939=0,0,INDEX(Aux_HH!$G$4:$G$18,MATCH($B939&amp;"|"&amp;$E939,Aux_HH!$A$4:$A$18,0)))</f>
        <v>0</v>
      </c>
      <c r="K939" s="0" t="n">
        <f aca="false">IF($F939=0,0,INDEX(Aux_HH!$H$4:$H$18,MATCH($B939&amp;"|"&amp;$E939,Aux_HH!$A$4:$A$18,0)))</f>
        <v>0</v>
      </c>
      <c r="L939" s="0" t="n">
        <f aca="false">IF($F939=0,0,INDEX(Aux_HH!$I$4:$I$18,MATCH($B939&amp;"|"&amp;$E939,Aux_HH!$A$4:$A$18,0)))</f>
        <v>0</v>
      </c>
    </row>
    <row r="940" customFormat="false" ht="15" hidden="false" customHeight="false" outlineLevel="0" collapsed="false">
      <c r="A940" s="0" t="str">
        <f aca="false">IF(Frota!$A23="","",Frota!$A23)</f>
        <v/>
      </c>
      <c r="B940" s="0" t="str">
        <f aca="false">IF(Frota!$A23="","",Frota!$B23)</f>
        <v/>
      </c>
      <c r="C940" s="0" t="n">
        <v>1</v>
      </c>
      <c r="D940" s="0" t="n">
        <f aca="false">INDEX(Semanas!$E$3:$E$54,1)</f>
        <v>4</v>
      </c>
      <c r="E940" s="0" t="str">
        <f aca="false">IF(Frota!$A23="","",Cronograma!B23)</f>
        <v/>
      </c>
      <c r="F940" s="0" t="n">
        <f aca="false">IF(OR($E940="",$E940=0),0,1)</f>
        <v>0</v>
      </c>
      <c r="G940" s="0" t="n">
        <f aca="false">IF($F940=0,0,INDEX(Aux_HH!$D$4:$D$18,MATCH($B940&amp;"|"&amp;$E940,Aux_HH!$A$4:$A$18,0)))</f>
        <v>0</v>
      </c>
      <c r="H940" s="0" t="n">
        <f aca="false">IF($F940=0,0,INDEX(Aux_HH!$E$4:$E$18,MATCH($B940&amp;"|"&amp;$E940,Aux_HH!$A$4:$A$18,0)))</f>
        <v>0</v>
      </c>
      <c r="I940" s="0" t="n">
        <f aca="false">IF($F940=0,0,INDEX(Aux_HH!$F$4:$F$18,MATCH($B940&amp;"|"&amp;$E940,Aux_HH!$A$4:$A$18,0)))</f>
        <v>0</v>
      </c>
      <c r="J940" s="0" t="n">
        <f aca="false">IF($F940=0,0,INDEX(Aux_HH!$G$4:$G$18,MATCH($B940&amp;"|"&amp;$E940,Aux_HH!$A$4:$A$18,0)))</f>
        <v>0</v>
      </c>
      <c r="K940" s="0" t="n">
        <f aca="false">IF($F940=0,0,INDEX(Aux_HH!$H$4:$H$18,MATCH($B940&amp;"|"&amp;$E940,Aux_HH!$A$4:$A$18,0)))</f>
        <v>0</v>
      </c>
      <c r="L940" s="0" t="n">
        <f aca="false">IF($F940=0,0,INDEX(Aux_HH!$I$4:$I$18,MATCH($B940&amp;"|"&amp;$E940,Aux_HH!$A$4:$A$18,0)))</f>
        <v>0</v>
      </c>
    </row>
    <row r="941" customFormat="false" ht="15" hidden="false" customHeight="false" outlineLevel="0" collapsed="false">
      <c r="A941" s="0" t="str">
        <f aca="false">IF(Frota!$A23="","",Frota!$A23)</f>
        <v/>
      </c>
      <c r="B941" s="0" t="str">
        <f aca="false">IF(Frota!$A23="","",Frota!$B23)</f>
        <v/>
      </c>
      <c r="C941" s="0" t="n">
        <v>2</v>
      </c>
      <c r="D941" s="0" t="n">
        <f aca="false">INDEX(Semanas!$E$3:$E$54,2)</f>
        <v>4</v>
      </c>
      <c r="E941" s="0" t="str">
        <f aca="false">IF(Frota!$A23="","",Cronograma!C23)</f>
        <v/>
      </c>
      <c r="F941" s="0" t="n">
        <f aca="false">IF(OR($E941="",$E941=0),0,1)</f>
        <v>0</v>
      </c>
      <c r="G941" s="0" t="n">
        <f aca="false">IF($F941=0,0,INDEX(Aux_HH!$D$4:$D$18,MATCH($B941&amp;"|"&amp;$E941,Aux_HH!$A$4:$A$18,0)))</f>
        <v>0</v>
      </c>
      <c r="H941" s="0" t="n">
        <f aca="false">IF($F941=0,0,INDEX(Aux_HH!$E$4:$E$18,MATCH($B941&amp;"|"&amp;$E941,Aux_HH!$A$4:$A$18,0)))</f>
        <v>0</v>
      </c>
      <c r="I941" s="0" t="n">
        <f aca="false">IF($F941=0,0,INDEX(Aux_HH!$F$4:$F$18,MATCH($B941&amp;"|"&amp;$E941,Aux_HH!$A$4:$A$18,0)))</f>
        <v>0</v>
      </c>
      <c r="J941" s="0" t="n">
        <f aca="false">IF($F941=0,0,INDEX(Aux_HH!$G$4:$G$18,MATCH($B941&amp;"|"&amp;$E941,Aux_HH!$A$4:$A$18,0)))</f>
        <v>0</v>
      </c>
      <c r="K941" s="0" t="n">
        <f aca="false">IF($F941=0,0,INDEX(Aux_HH!$H$4:$H$18,MATCH($B941&amp;"|"&amp;$E941,Aux_HH!$A$4:$A$18,0)))</f>
        <v>0</v>
      </c>
      <c r="L941" s="0" t="n">
        <f aca="false">IF($F941=0,0,INDEX(Aux_HH!$I$4:$I$18,MATCH($B941&amp;"|"&amp;$E941,Aux_HH!$A$4:$A$18,0)))</f>
        <v>0</v>
      </c>
    </row>
    <row r="942" customFormat="false" ht="15" hidden="false" customHeight="false" outlineLevel="0" collapsed="false">
      <c r="A942" s="0" t="str">
        <f aca="false">IF(Frota!$A23="","",Frota!$A23)</f>
        <v/>
      </c>
      <c r="B942" s="0" t="str">
        <f aca="false">IF(Frota!$A23="","",Frota!$B23)</f>
        <v/>
      </c>
      <c r="C942" s="0" t="n">
        <v>3</v>
      </c>
      <c r="D942" s="0" t="n">
        <f aca="false">INDEX(Semanas!$E$3:$E$54,3)</f>
        <v>4</v>
      </c>
      <c r="E942" s="0" t="str">
        <f aca="false">IF(Frota!$A23="","",Cronograma!D23)</f>
        <v/>
      </c>
      <c r="F942" s="0" t="n">
        <f aca="false">IF(OR($E942="",$E942=0),0,1)</f>
        <v>0</v>
      </c>
      <c r="G942" s="0" t="n">
        <f aca="false">IF($F942=0,0,INDEX(Aux_HH!$D$4:$D$18,MATCH($B942&amp;"|"&amp;$E942,Aux_HH!$A$4:$A$18,0)))</f>
        <v>0</v>
      </c>
      <c r="H942" s="0" t="n">
        <f aca="false">IF($F942=0,0,INDEX(Aux_HH!$E$4:$E$18,MATCH($B942&amp;"|"&amp;$E942,Aux_HH!$A$4:$A$18,0)))</f>
        <v>0</v>
      </c>
      <c r="I942" s="0" t="n">
        <f aca="false">IF($F942=0,0,INDEX(Aux_HH!$F$4:$F$18,MATCH($B942&amp;"|"&amp;$E942,Aux_HH!$A$4:$A$18,0)))</f>
        <v>0</v>
      </c>
      <c r="J942" s="0" t="n">
        <f aca="false">IF($F942=0,0,INDEX(Aux_HH!$G$4:$G$18,MATCH($B942&amp;"|"&amp;$E942,Aux_HH!$A$4:$A$18,0)))</f>
        <v>0</v>
      </c>
      <c r="K942" s="0" t="n">
        <f aca="false">IF($F942=0,0,INDEX(Aux_HH!$H$4:$H$18,MATCH($B942&amp;"|"&amp;$E942,Aux_HH!$A$4:$A$18,0)))</f>
        <v>0</v>
      </c>
      <c r="L942" s="0" t="n">
        <f aca="false">IF($F942=0,0,INDEX(Aux_HH!$I$4:$I$18,MATCH($B942&amp;"|"&amp;$E942,Aux_HH!$A$4:$A$18,0)))</f>
        <v>0</v>
      </c>
    </row>
    <row r="943" customFormat="false" ht="15" hidden="false" customHeight="false" outlineLevel="0" collapsed="false">
      <c r="A943" s="0" t="str">
        <f aca="false">IF(Frota!$A23="","",Frota!$A23)</f>
        <v/>
      </c>
      <c r="B943" s="0" t="str">
        <f aca="false">IF(Frota!$A23="","",Frota!$B23)</f>
        <v/>
      </c>
      <c r="C943" s="0" t="n">
        <v>4</v>
      </c>
      <c r="D943" s="0" t="n">
        <f aca="false">INDEX(Semanas!$E$3:$E$54,4)</f>
        <v>4</v>
      </c>
      <c r="E943" s="0" t="str">
        <f aca="false">IF(Frota!$A23="","",Cronograma!E23)</f>
        <v/>
      </c>
      <c r="F943" s="0" t="n">
        <f aca="false">IF(OR($E943="",$E943=0),0,1)</f>
        <v>0</v>
      </c>
      <c r="G943" s="0" t="n">
        <f aca="false">IF($F943=0,0,INDEX(Aux_HH!$D$4:$D$18,MATCH($B943&amp;"|"&amp;$E943,Aux_HH!$A$4:$A$18,0)))</f>
        <v>0</v>
      </c>
      <c r="H943" s="0" t="n">
        <f aca="false">IF($F943=0,0,INDEX(Aux_HH!$E$4:$E$18,MATCH($B943&amp;"|"&amp;$E943,Aux_HH!$A$4:$A$18,0)))</f>
        <v>0</v>
      </c>
      <c r="I943" s="0" t="n">
        <f aca="false">IF($F943=0,0,INDEX(Aux_HH!$F$4:$F$18,MATCH($B943&amp;"|"&amp;$E943,Aux_HH!$A$4:$A$18,0)))</f>
        <v>0</v>
      </c>
      <c r="J943" s="0" t="n">
        <f aca="false">IF($F943=0,0,INDEX(Aux_HH!$G$4:$G$18,MATCH($B943&amp;"|"&amp;$E943,Aux_HH!$A$4:$A$18,0)))</f>
        <v>0</v>
      </c>
      <c r="K943" s="0" t="n">
        <f aca="false">IF($F943=0,0,INDEX(Aux_HH!$H$4:$H$18,MATCH($B943&amp;"|"&amp;$E943,Aux_HH!$A$4:$A$18,0)))</f>
        <v>0</v>
      </c>
      <c r="L943" s="0" t="n">
        <f aca="false">IF($F943=0,0,INDEX(Aux_HH!$I$4:$I$18,MATCH($B943&amp;"|"&amp;$E943,Aux_HH!$A$4:$A$18,0)))</f>
        <v>0</v>
      </c>
    </row>
    <row r="944" customFormat="false" ht="15" hidden="false" customHeight="false" outlineLevel="0" collapsed="false">
      <c r="A944" s="0" t="str">
        <f aca="false">IF(Frota!$A23="","",Frota!$A23)</f>
        <v/>
      </c>
      <c r="B944" s="0" t="str">
        <f aca="false">IF(Frota!$A23="","",Frota!$B23)</f>
        <v/>
      </c>
      <c r="C944" s="0" t="n">
        <v>5</v>
      </c>
      <c r="D944" s="0" t="n">
        <f aca="false">INDEX(Semanas!$E$3:$E$54,5)</f>
        <v>4</v>
      </c>
      <c r="E944" s="0" t="str">
        <f aca="false">IF(Frota!$A23="","",Cronograma!F23)</f>
        <v/>
      </c>
      <c r="F944" s="0" t="n">
        <f aca="false">IF(OR($E944="",$E944=0),0,1)</f>
        <v>0</v>
      </c>
      <c r="G944" s="0" t="n">
        <f aca="false">IF($F944=0,0,INDEX(Aux_HH!$D$4:$D$18,MATCH($B944&amp;"|"&amp;$E944,Aux_HH!$A$4:$A$18,0)))</f>
        <v>0</v>
      </c>
      <c r="H944" s="0" t="n">
        <f aca="false">IF($F944=0,0,INDEX(Aux_HH!$E$4:$E$18,MATCH($B944&amp;"|"&amp;$E944,Aux_HH!$A$4:$A$18,0)))</f>
        <v>0</v>
      </c>
      <c r="I944" s="0" t="n">
        <f aca="false">IF($F944=0,0,INDEX(Aux_HH!$F$4:$F$18,MATCH($B944&amp;"|"&amp;$E944,Aux_HH!$A$4:$A$18,0)))</f>
        <v>0</v>
      </c>
      <c r="J944" s="0" t="n">
        <f aca="false">IF($F944=0,0,INDEX(Aux_HH!$G$4:$G$18,MATCH($B944&amp;"|"&amp;$E944,Aux_HH!$A$4:$A$18,0)))</f>
        <v>0</v>
      </c>
      <c r="K944" s="0" t="n">
        <f aca="false">IF($F944=0,0,INDEX(Aux_HH!$H$4:$H$18,MATCH($B944&amp;"|"&amp;$E944,Aux_HH!$A$4:$A$18,0)))</f>
        <v>0</v>
      </c>
      <c r="L944" s="0" t="n">
        <f aca="false">IF($F944=0,0,INDEX(Aux_HH!$I$4:$I$18,MATCH($B944&amp;"|"&amp;$E944,Aux_HH!$A$4:$A$18,0)))</f>
        <v>0</v>
      </c>
    </row>
    <row r="945" customFormat="false" ht="15" hidden="false" customHeight="false" outlineLevel="0" collapsed="false">
      <c r="A945" s="0" t="str">
        <f aca="false">IF(Frota!$A23="","",Frota!$A23)</f>
        <v/>
      </c>
      <c r="B945" s="0" t="str">
        <f aca="false">IF(Frota!$A23="","",Frota!$B23)</f>
        <v/>
      </c>
      <c r="C945" s="0" t="n">
        <v>6</v>
      </c>
      <c r="D945" s="0" t="n">
        <f aca="false">INDEX(Semanas!$E$3:$E$54,6)</f>
        <v>5</v>
      </c>
      <c r="E945" s="0" t="str">
        <f aca="false">IF(Frota!$A23="","",Cronograma!G23)</f>
        <v/>
      </c>
      <c r="F945" s="0" t="n">
        <f aca="false">IF(OR($E945="",$E945=0),0,1)</f>
        <v>0</v>
      </c>
      <c r="G945" s="0" t="n">
        <f aca="false">IF($F945=0,0,INDEX(Aux_HH!$D$4:$D$18,MATCH($B945&amp;"|"&amp;$E945,Aux_HH!$A$4:$A$18,0)))</f>
        <v>0</v>
      </c>
      <c r="H945" s="0" t="n">
        <f aca="false">IF($F945=0,0,INDEX(Aux_HH!$E$4:$E$18,MATCH($B945&amp;"|"&amp;$E945,Aux_HH!$A$4:$A$18,0)))</f>
        <v>0</v>
      </c>
      <c r="I945" s="0" t="n">
        <f aca="false">IF($F945=0,0,INDEX(Aux_HH!$F$4:$F$18,MATCH($B945&amp;"|"&amp;$E945,Aux_HH!$A$4:$A$18,0)))</f>
        <v>0</v>
      </c>
      <c r="J945" s="0" t="n">
        <f aca="false">IF($F945=0,0,INDEX(Aux_HH!$G$4:$G$18,MATCH($B945&amp;"|"&amp;$E945,Aux_HH!$A$4:$A$18,0)))</f>
        <v>0</v>
      </c>
      <c r="K945" s="0" t="n">
        <f aca="false">IF($F945=0,0,INDEX(Aux_HH!$H$4:$H$18,MATCH($B945&amp;"|"&amp;$E945,Aux_HH!$A$4:$A$18,0)))</f>
        <v>0</v>
      </c>
      <c r="L945" s="0" t="n">
        <f aca="false">IF($F945=0,0,INDEX(Aux_HH!$I$4:$I$18,MATCH($B945&amp;"|"&amp;$E945,Aux_HH!$A$4:$A$18,0)))</f>
        <v>0</v>
      </c>
    </row>
    <row r="946" customFormat="false" ht="15" hidden="false" customHeight="false" outlineLevel="0" collapsed="false">
      <c r="A946" s="0" t="str">
        <f aca="false">IF(Frota!$A23="","",Frota!$A23)</f>
        <v/>
      </c>
      <c r="B946" s="0" t="str">
        <f aca="false">IF(Frota!$A23="","",Frota!$B23)</f>
        <v/>
      </c>
      <c r="C946" s="0" t="n">
        <v>7</v>
      </c>
      <c r="D946" s="0" t="n">
        <f aca="false">INDEX(Semanas!$E$3:$E$54,7)</f>
        <v>5</v>
      </c>
      <c r="E946" s="0" t="str">
        <f aca="false">IF(Frota!$A23="","",Cronograma!H23)</f>
        <v/>
      </c>
      <c r="F946" s="0" t="n">
        <f aca="false">IF(OR($E946="",$E946=0),0,1)</f>
        <v>0</v>
      </c>
      <c r="G946" s="0" t="n">
        <f aca="false">IF($F946=0,0,INDEX(Aux_HH!$D$4:$D$18,MATCH($B946&amp;"|"&amp;$E946,Aux_HH!$A$4:$A$18,0)))</f>
        <v>0</v>
      </c>
      <c r="H946" s="0" t="n">
        <f aca="false">IF($F946=0,0,INDEX(Aux_HH!$E$4:$E$18,MATCH($B946&amp;"|"&amp;$E946,Aux_HH!$A$4:$A$18,0)))</f>
        <v>0</v>
      </c>
      <c r="I946" s="0" t="n">
        <f aca="false">IF($F946=0,0,INDEX(Aux_HH!$F$4:$F$18,MATCH($B946&amp;"|"&amp;$E946,Aux_HH!$A$4:$A$18,0)))</f>
        <v>0</v>
      </c>
      <c r="J946" s="0" t="n">
        <f aca="false">IF($F946=0,0,INDEX(Aux_HH!$G$4:$G$18,MATCH($B946&amp;"|"&amp;$E946,Aux_HH!$A$4:$A$18,0)))</f>
        <v>0</v>
      </c>
      <c r="K946" s="0" t="n">
        <f aca="false">IF($F946=0,0,INDEX(Aux_HH!$H$4:$H$18,MATCH($B946&amp;"|"&amp;$E946,Aux_HH!$A$4:$A$18,0)))</f>
        <v>0</v>
      </c>
      <c r="L946" s="0" t="n">
        <f aca="false">IF($F946=0,0,INDEX(Aux_HH!$I$4:$I$18,MATCH($B946&amp;"|"&amp;$E946,Aux_HH!$A$4:$A$18,0)))</f>
        <v>0</v>
      </c>
    </row>
    <row r="947" customFormat="false" ht="15" hidden="false" customHeight="false" outlineLevel="0" collapsed="false">
      <c r="A947" s="0" t="str">
        <f aca="false">IF(Frota!$A23="","",Frota!$A23)</f>
        <v/>
      </c>
      <c r="B947" s="0" t="str">
        <f aca="false">IF(Frota!$A23="","",Frota!$B23)</f>
        <v/>
      </c>
      <c r="C947" s="0" t="n">
        <v>8</v>
      </c>
      <c r="D947" s="0" t="n">
        <f aca="false">INDEX(Semanas!$E$3:$E$54,8)</f>
        <v>5</v>
      </c>
      <c r="E947" s="0" t="str">
        <f aca="false">IF(Frota!$A23="","",Cronograma!I23)</f>
        <v/>
      </c>
      <c r="F947" s="0" t="n">
        <f aca="false">IF(OR($E947="",$E947=0),0,1)</f>
        <v>0</v>
      </c>
      <c r="G947" s="0" t="n">
        <f aca="false">IF($F947=0,0,INDEX(Aux_HH!$D$4:$D$18,MATCH($B947&amp;"|"&amp;$E947,Aux_HH!$A$4:$A$18,0)))</f>
        <v>0</v>
      </c>
      <c r="H947" s="0" t="n">
        <f aca="false">IF($F947=0,0,INDEX(Aux_HH!$E$4:$E$18,MATCH($B947&amp;"|"&amp;$E947,Aux_HH!$A$4:$A$18,0)))</f>
        <v>0</v>
      </c>
      <c r="I947" s="0" t="n">
        <f aca="false">IF($F947=0,0,INDEX(Aux_HH!$F$4:$F$18,MATCH($B947&amp;"|"&amp;$E947,Aux_HH!$A$4:$A$18,0)))</f>
        <v>0</v>
      </c>
      <c r="J947" s="0" t="n">
        <f aca="false">IF($F947=0,0,INDEX(Aux_HH!$G$4:$G$18,MATCH($B947&amp;"|"&amp;$E947,Aux_HH!$A$4:$A$18,0)))</f>
        <v>0</v>
      </c>
      <c r="K947" s="0" t="n">
        <f aca="false">IF($F947=0,0,INDEX(Aux_HH!$H$4:$H$18,MATCH($B947&amp;"|"&amp;$E947,Aux_HH!$A$4:$A$18,0)))</f>
        <v>0</v>
      </c>
      <c r="L947" s="0" t="n">
        <f aca="false">IF($F947=0,0,INDEX(Aux_HH!$I$4:$I$18,MATCH($B947&amp;"|"&amp;$E947,Aux_HH!$A$4:$A$18,0)))</f>
        <v>0</v>
      </c>
    </row>
    <row r="948" customFormat="false" ht="15" hidden="false" customHeight="false" outlineLevel="0" collapsed="false">
      <c r="A948" s="0" t="str">
        <f aca="false">IF(Frota!$A23="","",Frota!$A23)</f>
        <v/>
      </c>
      <c r="B948" s="0" t="str">
        <f aca="false">IF(Frota!$A23="","",Frota!$B23)</f>
        <v/>
      </c>
      <c r="C948" s="0" t="n">
        <v>9</v>
      </c>
      <c r="D948" s="0" t="n">
        <f aca="false">INDEX(Semanas!$E$3:$E$54,9)</f>
        <v>5</v>
      </c>
      <c r="E948" s="0" t="str">
        <f aca="false">IF(Frota!$A23="","",Cronograma!J23)</f>
        <v/>
      </c>
      <c r="F948" s="0" t="n">
        <f aca="false">IF(OR($E948="",$E948=0),0,1)</f>
        <v>0</v>
      </c>
      <c r="G948" s="0" t="n">
        <f aca="false">IF($F948=0,0,INDEX(Aux_HH!$D$4:$D$18,MATCH($B948&amp;"|"&amp;$E948,Aux_HH!$A$4:$A$18,0)))</f>
        <v>0</v>
      </c>
      <c r="H948" s="0" t="n">
        <f aca="false">IF($F948=0,0,INDEX(Aux_HH!$E$4:$E$18,MATCH($B948&amp;"|"&amp;$E948,Aux_HH!$A$4:$A$18,0)))</f>
        <v>0</v>
      </c>
      <c r="I948" s="0" t="n">
        <f aca="false">IF($F948=0,0,INDEX(Aux_HH!$F$4:$F$18,MATCH($B948&amp;"|"&amp;$E948,Aux_HH!$A$4:$A$18,0)))</f>
        <v>0</v>
      </c>
      <c r="J948" s="0" t="n">
        <f aca="false">IF($F948=0,0,INDEX(Aux_HH!$G$4:$G$18,MATCH($B948&amp;"|"&amp;$E948,Aux_HH!$A$4:$A$18,0)))</f>
        <v>0</v>
      </c>
      <c r="K948" s="0" t="n">
        <f aca="false">IF($F948=0,0,INDEX(Aux_HH!$H$4:$H$18,MATCH($B948&amp;"|"&amp;$E948,Aux_HH!$A$4:$A$18,0)))</f>
        <v>0</v>
      </c>
      <c r="L948" s="0" t="n">
        <f aca="false">IF($F948=0,0,INDEX(Aux_HH!$I$4:$I$18,MATCH($B948&amp;"|"&amp;$E948,Aux_HH!$A$4:$A$18,0)))</f>
        <v>0</v>
      </c>
    </row>
    <row r="949" customFormat="false" ht="15" hidden="false" customHeight="false" outlineLevel="0" collapsed="false">
      <c r="A949" s="0" t="str">
        <f aca="false">IF(Frota!$A23="","",Frota!$A23)</f>
        <v/>
      </c>
      <c r="B949" s="0" t="str">
        <f aca="false">IF(Frota!$A23="","",Frota!$B23)</f>
        <v/>
      </c>
      <c r="C949" s="0" t="n">
        <v>10</v>
      </c>
      <c r="D949" s="0" t="n">
        <f aca="false">INDEX(Semanas!$E$3:$E$54,10)</f>
        <v>6</v>
      </c>
      <c r="E949" s="0" t="str">
        <f aca="false">IF(Frota!$A23="","",Cronograma!K23)</f>
        <v/>
      </c>
      <c r="F949" s="0" t="n">
        <f aca="false">IF(OR($E949="",$E949=0),0,1)</f>
        <v>0</v>
      </c>
      <c r="G949" s="0" t="n">
        <f aca="false">IF($F949=0,0,INDEX(Aux_HH!$D$4:$D$18,MATCH($B949&amp;"|"&amp;$E949,Aux_HH!$A$4:$A$18,0)))</f>
        <v>0</v>
      </c>
      <c r="H949" s="0" t="n">
        <f aca="false">IF($F949=0,0,INDEX(Aux_HH!$E$4:$E$18,MATCH($B949&amp;"|"&amp;$E949,Aux_HH!$A$4:$A$18,0)))</f>
        <v>0</v>
      </c>
      <c r="I949" s="0" t="n">
        <f aca="false">IF($F949=0,0,INDEX(Aux_HH!$F$4:$F$18,MATCH($B949&amp;"|"&amp;$E949,Aux_HH!$A$4:$A$18,0)))</f>
        <v>0</v>
      </c>
      <c r="J949" s="0" t="n">
        <f aca="false">IF($F949=0,0,INDEX(Aux_HH!$G$4:$G$18,MATCH($B949&amp;"|"&amp;$E949,Aux_HH!$A$4:$A$18,0)))</f>
        <v>0</v>
      </c>
      <c r="K949" s="0" t="n">
        <f aca="false">IF($F949=0,0,INDEX(Aux_HH!$H$4:$H$18,MATCH($B949&amp;"|"&amp;$E949,Aux_HH!$A$4:$A$18,0)))</f>
        <v>0</v>
      </c>
      <c r="L949" s="0" t="n">
        <f aca="false">IF($F949=0,0,INDEX(Aux_HH!$I$4:$I$18,MATCH($B949&amp;"|"&amp;$E949,Aux_HH!$A$4:$A$18,0)))</f>
        <v>0</v>
      </c>
    </row>
    <row r="950" customFormat="false" ht="15" hidden="false" customHeight="false" outlineLevel="0" collapsed="false">
      <c r="A950" s="0" t="str">
        <f aca="false">IF(Frota!$A23="","",Frota!$A23)</f>
        <v/>
      </c>
      <c r="B950" s="0" t="str">
        <f aca="false">IF(Frota!$A23="","",Frota!$B23)</f>
        <v/>
      </c>
      <c r="C950" s="0" t="n">
        <v>11</v>
      </c>
      <c r="D950" s="0" t="n">
        <f aca="false">INDEX(Semanas!$E$3:$E$54,11)</f>
        <v>6</v>
      </c>
      <c r="E950" s="0" t="str">
        <f aca="false">IF(Frota!$A23="","",Cronograma!L23)</f>
        <v/>
      </c>
      <c r="F950" s="0" t="n">
        <f aca="false">IF(OR($E950="",$E950=0),0,1)</f>
        <v>0</v>
      </c>
      <c r="G950" s="0" t="n">
        <f aca="false">IF($F950=0,0,INDEX(Aux_HH!$D$4:$D$18,MATCH($B950&amp;"|"&amp;$E950,Aux_HH!$A$4:$A$18,0)))</f>
        <v>0</v>
      </c>
      <c r="H950" s="0" t="n">
        <f aca="false">IF($F950=0,0,INDEX(Aux_HH!$E$4:$E$18,MATCH($B950&amp;"|"&amp;$E950,Aux_HH!$A$4:$A$18,0)))</f>
        <v>0</v>
      </c>
      <c r="I950" s="0" t="n">
        <f aca="false">IF($F950=0,0,INDEX(Aux_HH!$F$4:$F$18,MATCH($B950&amp;"|"&amp;$E950,Aux_HH!$A$4:$A$18,0)))</f>
        <v>0</v>
      </c>
      <c r="J950" s="0" t="n">
        <f aca="false">IF($F950=0,0,INDEX(Aux_HH!$G$4:$G$18,MATCH($B950&amp;"|"&amp;$E950,Aux_HH!$A$4:$A$18,0)))</f>
        <v>0</v>
      </c>
      <c r="K950" s="0" t="n">
        <f aca="false">IF($F950=0,0,INDEX(Aux_HH!$H$4:$H$18,MATCH($B950&amp;"|"&amp;$E950,Aux_HH!$A$4:$A$18,0)))</f>
        <v>0</v>
      </c>
      <c r="L950" s="0" t="n">
        <f aca="false">IF($F950=0,0,INDEX(Aux_HH!$I$4:$I$18,MATCH($B950&amp;"|"&amp;$E950,Aux_HH!$A$4:$A$18,0)))</f>
        <v>0</v>
      </c>
    </row>
    <row r="951" customFormat="false" ht="15" hidden="false" customHeight="false" outlineLevel="0" collapsed="false">
      <c r="A951" s="0" t="str">
        <f aca="false">IF(Frota!$A23="","",Frota!$A23)</f>
        <v/>
      </c>
      <c r="B951" s="0" t="str">
        <f aca="false">IF(Frota!$A23="","",Frota!$B23)</f>
        <v/>
      </c>
      <c r="C951" s="0" t="n">
        <v>12</v>
      </c>
      <c r="D951" s="0" t="n">
        <f aca="false">INDEX(Semanas!$E$3:$E$54,12)</f>
        <v>6</v>
      </c>
      <c r="E951" s="0" t="str">
        <f aca="false">IF(Frota!$A23="","",Cronograma!M23)</f>
        <v/>
      </c>
      <c r="F951" s="0" t="n">
        <f aca="false">IF(OR($E951="",$E951=0),0,1)</f>
        <v>0</v>
      </c>
      <c r="G951" s="0" t="n">
        <f aca="false">IF($F951=0,0,INDEX(Aux_HH!$D$4:$D$18,MATCH($B951&amp;"|"&amp;$E951,Aux_HH!$A$4:$A$18,0)))</f>
        <v>0</v>
      </c>
      <c r="H951" s="0" t="n">
        <f aca="false">IF($F951=0,0,INDEX(Aux_HH!$E$4:$E$18,MATCH($B951&amp;"|"&amp;$E951,Aux_HH!$A$4:$A$18,0)))</f>
        <v>0</v>
      </c>
      <c r="I951" s="0" t="n">
        <f aca="false">IF($F951=0,0,INDEX(Aux_HH!$F$4:$F$18,MATCH($B951&amp;"|"&amp;$E951,Aux_HH!$A$4:$A$18,0)))</f>
        <v>0</v>
      </c>
      <c r="J951" s="0" t="n">
        <f aca="false">IF($F951=0,0,INDEX(Aux_HH!$G$4:$G$18,MATCH($B951&amp;"|"&amp;$E951,Aux_HH!$A$4:$A$18,0)))</f>
        <v>0</v>
      </c>
      <c r="K951" s="0" t="n">
        <f aca="false">IF($F951=0,0,INDEX(Aux_HH!$H$4:$H$18,MATCH($B951&amp;"|"&amp;$E951,Aux_HH!$A$4:$A$18,0)))</f>
        <v>0</v>
      </c>
      <c r="L951" s="0" t="n">
        <f aca="false">IF($F951=0,0,INDEX(Aux_HH!$I$4:$I$18,MATCH($B951&amp;"|"&amp;$E951,Aux_HH!$A$4:$A$18,0)))</f>
        <v>0</v>
      </c>
    </row>
    <row r="952" customFormat="false" ht="15" hidden="false" customHeight="false" outlineLevel="0" collapsed="false">
      <c r="A952" s="0" t="str">
        <f aca="false">IF(Frota!$A23="","",Frota!$A23)</f>
        <v/>
      </c>
      <c r="B952" s="0" t="str">
        <f aca="false">IF(Frota!$A23="","",Frota!$B23)</f>
        <v/>
      </c>
      <c r="C952" s="0" t="n">
        <v>13</v>
      </c>
      <c r="D952" s="0" t="n">
        <f aca="false">INDEX(Semanas!$E$3:$E$54,13)</f>
        <v>6</v>
      </c>
      <c r="E952" s="0" t="str">
        <f aca="false">IF(Frota!$A23="","",Cronograma!N23)</f>
        <v/>
      </c>
      <c r="F952" s="0" t="n">
        <f aca="false">IF(OR($E952="",$E952=0),0,1)</f>
        <v>0</v>
      </c>
      <c r="G952" s="0" t="n">
        <f aca="false">IF($F952=0,0,INDEX(Aux_HH!$D$4:$D$18,MATCH($B952&amp;"|"&amp;$E952,Aux_HH!$A$4:$A$18,0)))</f>
        <v>0</v>
      </c>
      <c r="H952" s="0" t="n">
        <f aca="false">IF($F952=0,0,INDEX(Aux_HH!$E$4:$E$18,MATCH($B952&amp;"|"&amp;$E952,Aux_HH!$A$4:$A$18,0)))</f>
        <v>0</v>
      </c>
      <c r="I952" s="0" t="n">
        <f aca="false">IF($F952=0,0,INDEX(Aux_HH!$F$4:$F$18,MATCH($B952&amp;"|"&amp;$E952,Aux_HH!$A$4:$A$18,0)))</f>
        <v>0</v>
      </c>
      <c r="J952" s="0" t="n">
        <f aca="false">IF($F952=0,0,INDEX(Aux_HH!$G$4:$G$18,MATCH($B952&amp;"|"&amp;$E952,Aux_HH!$A$4:$A$18,0)))</f>
        <v>0</v>
      </c>
      <c r="K952" s="0" t="n">
        <f aca="false">IF($F952=0,0,INDEX(Aux_HH!$H$4:$H$18,MATCH($B952&amp;"|"&amp;$E952,Aux_HH!$A$4:$A$18,0)))</f>
        <v>0</v>
      </c>
      <c r="L952" s="0" t="n">
        <f aca="false">IF($F952=0,0,INDEX(Aux_HH!$I$4:$I$18,MATCH($B952&amp;"|"&amp;$E952,Aux_HH!$A$4:$A$18,0)))</f>
        <v>0</v>
      </c>
    </row>
    <row r="953" customFormat="false" ht="15" hidden="false" customHeight="false" outlineLevel="0" collapsed="false">
      <c r="A953" s="0" t="str">
        <f aca="false">IF(Frota!$A23="","",Frota!$A23)</f>
        <v/>
      </c>
      <c r="B953" s="0" t="str">
        <f aca="false">IF(Frota!$A23="","",Frota!$B23)</f>
        <v/>
      </c>
      <c r="C953" s="0" t="n">
        <v>14</v>
      </c>
      <c r="D953" s="0" t="n">
        <f aca="false">INDEX(Semanas!$E$3:$E$54,14)</f>
        <v>7</v>
      </c>
      <c r="E953" s="0" t="str">
        <f aca="false">IF(Frota!$A23="","",Cronograma!O23)</f>
        <v/>
      </c>
      <c r="F953" s="0" t="n">
        <f aca="false">IF(OR($E953="",$E953=0),0,1)</f>
        <v>0</v>
      </c>
      <c r="G953" s="0" t="n">
        <f aca="false">IF($F953=0,0,INDEX(Aux_HH!$D$4:$D$18,MATCH($B953&amp;"|"&amp;$E953,Aux_HH!$A$4:$A$18,0)))</f>
        <v>0</v>
      </c>
      <c r="H953" s="0" t="n">
        <f aca="false">IF($F953=0,0,INDEX(Aux_HH!$E$4:$E$18,MATCH($B953&amp;"|"&amp;$E953,Aux_HH!$A$4:$A$18,0)))</f>
        <v>0</v>
      </c>
      <c r="I953" s="0" t="n">
        <f aca="false">IF($F953=0,0,INDEX(Aux_HH!$F$4:$F$18,MATCH($B953&amp;"|"&amp;$E953,Aux_HH!$A$4:$A$18,0)))</f>
        <v>0</v>
      </c>
      <c r="J953" s="0" t="n">
        <f aca="false">IF($F953=0,0,INDEX(Aux_HH!$G$4:$G$18,MATCH($B953&amp;"|"&amp;$E953,Aux_HH!$A$4:$A$18,0)))</f>
        <v>0</v>
      </c>
      <c r="K953" s="0" t="n">
        <f aca="false">IF($F953=0,0,INDEX(Aux_HH!$H$4:$H$18,MATCH($B953&amp;"|"&amp;$E953,Aux_HH!$A$4:$A$18,0)))</f>
        <v>0</v>
      </c>
      <c r="L953" s="0" t="n">
        <f aca="false">IF($F953=0,0,INDEX(Aux_HH!$I$4:$I$18,MATCH($B953&amp;"|"&amp;$E953,Aux_HH!$A$4:$A$18,0)))</f>
        <v>0</v>
      </c>
    </row>
    <row r="954" customFormat="false" ht="15" hidden="false" customHeight="false" outlineLevel="0" collapsed="false">
      <c r="A954" s="0" t="str">
        <f aca="false">IF(Frota!$A23="","",Frota!$A23)</f>
        <v/>
      </c>
      <c r="B954" s="0" t="str">
        <f aca="false">IF(Frota!$A23="","",Frota!$B23)</f>
        <v/>
      </c>
      <c r="C954" s="0" t="n">
        <v>15</v>
      </c>
      <c r="D954" s="0" t="n">
        <f aca="false">INDEX(Semanas!$E$3:$E$54,15)</f>
        <v>7</v>
      </c>
      <c r="E954" s="0" t="str">
        <f aca="false">IF(Frota!$A23="","",Cronograma!P23)</f>
        <v/>
      </c>
      <c r="F954" s="0" t="n">
        <f aca="false">IF(OR($E954="",$E954=0),0,1)</f>
        <v>0</v>
      </c>
      <c r="G954" s="0" t="n">
        <f aca="false">IF($F954=0,0,INDEX(Aux_HH!$D$4:$D$18,MATCH($B954&amp;"|"&amp;$E954,Aux_HH!$A$4:$A$18,0)))</f>
        <v>0</v>
      </c>
      <c r="H954" s="0" t="n">
        <f aca="false">IF($F954=0,0,INDEX(Aux_HH!$E$4:$E$18,MATCH($B954&amp;"|"&amp;$E954,Aux_HH!$A$4:$A$18,0)))</f>
        <v>0</v>
      </c>
      <c r="I954" s="0" t="n">
        <f aca="false">IF($F954=0,0,INDEX(Aux_HH!$F$4:$F$18,MATCH($B954&amp;"|"&amp;$E954,Aux_HH!$A$4:$A$18,0)))</f>
        <v>0</v>
      </c>
      <c r="J954" s="0" t="n">
        <f aca="false">IF($F954=0,0,INDEX(Aux_HH!$G$4:$G$18,MATCH($B954&amp;"|"&amp;$E954,Aux_HH!$A$4:$A$18,0)))</f>
        <v>0</v>
      </c>
      <c r="K954" s="0" t="n">
        <f aca="false">IF($F954=0,0,INDEX(Aux_HH!$H$4:$H$18,MATCH($B954&amp;"|"&amp;$E954,Aux_HH!$A$4:$A$18,0)))</f>
        <v>0</v>
      </c>
      <c r="L954" s="0" t="n">
        <f aca="false">IF($F954=0,0,INDEX(Aux_HH!$I$4:$I$18,MATCH($B954&amp;"|"&amp;$E954,Aux_HH!$A$4:$A$18,0)))</f>
        <v>0</v>
      </c>
    </row>
    <row r="955" customFormat="false" ht="15" hidden="false" customHeight="false" outlineLevel="0" collapsed="false">
      <c r="A955" s="0" t="str">
        <f aca="false">IF(Frota!$A23="","",Frota!$A23)</f>
        <v/>
      </c>
      <c r="B955" s="0" t="str">
        <f aca="false">IF(Frota!$A23="","",Frota!$B23)</f>
        <v/>
      </c>
      <c r="C955" s="0" t="n">
        <v>16</v>
      </c>
      <c r="D955" s="0" t="n">
        <f aca="false">INDEX(Semanas!$E$3:$E$54,16)</f>
        <v>7</v>
      </c>
      <c r="E955" s="0" t="str">
        <f aca="false">IF(Frota!$A23="","",Cronograma!Q23)</f>
        <v/>
      </c>
      <c r="F955" s="0" t="n">
        <f aca="false">IF(OR($E955="",$E955=0),0,1)</f>
        <v>0</v>
      </c>
      <c r="G955" s="0" t="n">
        <f aca="false">IF($F955=0,0,INDEX(Aux_HH!$D$4:$D$18,MATCH($B955&amp;"|"&amp;$E955,Aux_HH!$A$4:$A$18,0)))</f>
        <v>0</v>
      </c>
      <c r="H955" s="0" t="n">
        <f aca="false">IF($F955=0,0,INDEX(Aux_HH!$E$4:$E$18,MATCH($B955&amp;"|"&amp;$E955,Aux_HH!$A$4:$A$18,0)))</f>
        <v>0</v>
      </c>
      <c r="I955" s="0" t="n">
        <f aca="false">IF($F955=0,0,INDEX(Aux_HH!$F$4:$F$18,MATCH($B955&amp;"|"&amp;$E955,Aux_HH!$A$4:$A$18,0)))</f>
        <v>0</v>
      </c>
      <c r="J955" s="0" t="n">
        <f aca="false">IF($F955=0,0,INDEX(Aux_HH!$G$4:$G$18,MATCH($B955&amp;"|"&amp;$E955,Aux_HH!$A$4:$A$18,0)))</f>
        <v>0</v>
      </c>
      <c r="K955" s="0" t="n">
        <f aca="false">IF($F955=0,0,INDEX(Aux_HH!$H$4:$H$18,MATCH($B955&amp;"|"&amp;$E955,Aux_HH!$A$4:$A$18,0)))</f>
        <v>0</v>
      </c>
      <c r="L955" s="0" t="n">
        <f aca="false">IF($F955=0,0,INDEX(Aux_HH!$I$4:$I$18,MATCH($B955&amp;"|"&amp;$E955,Aux_HH!$A$4:$A$18,0)))</f>
        <v>0</v>
      </c>
    </row>
    <row r="956" customFormat="false" ht="15" hidden="false" customHeight="false" outlineLevel="0" collapsed="false">
      <c r="A956" s="0" t="str">
        <f aca="false">IF(Frota!$A23="","",Frota!$A23)</f>
        <v/>
      </c>
      <c r="B956" s="0" t="str">
        <f aca="false">IF(Frota!$A23="","",Frota!$B23)</f>
        <v/>
      </c>
      <c r="C956" s="0" t="n">
        <v>17</v>
      </c>
      <c r="D956" s="0" t="n">
        <f aca="false">INDEX(Semanas!$E$3:$E$54,17)</f>
        <v>7</v>
      </c>
      <c r="E956" s="0" t="str">
        <f aca="false">IF(Frota!$A23="","",Cronograma!R23)</f>
        <v/>
      </c>
      <c r="F956" s="0" t="n">
        <f aca="false">IF(OR($E956="",$E956=0),0,1)</f>
        <v>0</v>
      </c>
      <c r="G956" s="0" t="n">
        <f aca="false">IF($F956=0,0,INDEX(Aux_HH!$D$4:$D$18,MATCH($B956&amp;"|"&amp;$E956,Aux_HH!$A$4:$A$18,0)))</f>
        <v>0</v>
      </c>
      <c r="H956" s="0" t="n">
        <f aca="false">IF($F956=0,0,INDEX(Aux_HH!$E$4:$E$18,MATCH($B956&amp;"|"&amp;$E956,Aux_HH!$A$4:$A$18,0)))</f>
        <v>0</v>
      </c>
      <c r="I956" s="0" t="n">
        <f aca="false">IF($F956=0,0,INDEX(Aux_HH!$F$4:$F$18,MATCH($B956&amp;"|"&amp;$E956,Aux_HH!$A$4:$A$18,0)))</f>
        <v>0</v>
      </c>
      <c r="J956" s="0" t="n">
        <f aca="false">IF($F956=0,0,INDEX(Aux_HH!$G$4:$G$18,MATCH($B956&amp;"|"&amp;$E956,Aux_HH!$A$4:$A$18,0)))</f>
        <v>0</v>
      </c>
      <c r="K956" s="0" t="n">
        <f aca="false">IF($F956=0,0,INDEX(Aux_HH!$H$4:$H$18,MATCH($B956&amp;"|"&amp;$E956,Aux_HH!$A$4:$A$18,0)))</f>
        <v>0</v>
      </c>
      <c r="L956" s="0" t="n">
        <f aca="false">IF($F956=0,0,INDEX(Aux_HH!$I$4:$I$18,MATCH($B956&amp;"|"&amp;$E956,Aux_HH!$A$4:$A$18,0)))</f>
        <v>0</v>
      </c>
    </row>
    <row r="957" customFormat="false" ht="15" hidden="false" customHeight="false" outlineLevel="0" collapsed="false">
      <c r="A957" s="0" t="str">
        <f aca="false">IF(Frota!$A23="","",Frota!$A23)</f>
        <v/>
      </c>
      <c r="B957" s="0" t="str">
        <f aca="false">IF(Frota!$A23="","",Frota!$B23)</f>
        <v/>
      </c>
      <c r="C957" s="0" t="n">
        <v>18</v>
      </c>
      <c r="D957" s="0" t="n">
        <f aca="false">INDEX(Semanas!$E$3:$E$54,18)</f>
        <v>7</v>
      </c>
      <c r="E957" s="0" t="str">
        <f aca="false">IF(Frota!$A23="","",Cronograma!S23)</f>
        <v/>
      </c>
      <c r="F957" s="0" t="n">
        <f aca="false">IF(OR($E957="",$E957=0),0,1)</f>
        <v>0</v>
      </c>
      <c r="G957" s="0" t="n">
        <f aca="false">IF($F957=0,0,INDEX(Aux_HH!$D$4:$D$18,MATCH($B957&amp;"|"&amp;$E957,Aux_HH!$A$4:$A$18,0)))</f>
        <v>0</v>
      </c>
      <c r="H957" s="0" t="n">
        <f aca="false">IF($F957=0,0,INDEX(Aux_HH!$E$4:$E$18,MATCH($B957&amp;"|"&amp;$E957,Aux_HH!$A$4:$A$18,0)))</f>
        <v>0</v>
      </c>
      <c r="I957" s="0" t="n">
        <f aca="false">IF($F957=0,0,INDEX(Aux_HH!$F$4:$F$18,MATCH($B957&amp;"|"&amp;$E957,Aux_HH!$A$4:$A$18,0)))</f>
        <v>0</v>
      </c>
      <c r="J957" s="0" t="n">
        <f aca="false">IF($F957=0,0,INDEX(Aux_HH!$G$4:$G$18,MATCH($B957&amp;"|"&amp;$E957,Aux_HH!$A$4:$A$18,0)))</f>
        <v>0</v>
      </c>
      <c r="K957" s="0" t="n">
        <f aca="false">IF($F957=0,0,INDEX(Aux_HH!$H$4:$H$18,MATCH($B957&amp;"|"&amp;$E957,Aux_HH!$A$4:$A$18,0)))</f>
        <v>0</v>
      </c>
      <c r="L957" s="0" t="n">
        <f aca="false">IF($F957=0,0,INDEX(Aux_HH!$I$4:$I$18,MATCH($B957&amp;"|"&amp;$E957,Aux_HH!$A$4:$A$18,0)))</f>
        <v>0</v>
      </c>
    </row>
    <row r="958" customFormat="false" ht="15" hidden="false" customHeight="false" outlineLevel="0" collapsed="false">
      <c r="A958" s="0" t="str">
        <f aca="false">IF(Frota!$A23="","",Frota!$A23)</f>
        <v/>
      </c>
      <c r="B958" s="0" t="str">
        <f aca="false">IF(Frota!$A23="","",Frota!$B23)</f>
        <v/>
      </c>
      <c r="C958" s="0" t="n">
        <v>19</v>
      </c>
      <c r="D958" s="0" t="n">
        <f aca="false">INDEX(Semanas!$E$3:$E$54,19)</f>
        <v>8</v>
      </c>
      <c r="E958" s="0" t="str">
        <f aca="false">IF(Frota!$A23="","",Cronograma!T23)</f>
        <v/>
      </c>
      <c r="F958" s="0" t="n">
        <f aca="false">IF(OR($E958="",$E958=0),0,1)</f>
        <v>0</v>
      </c>
      <c r="G958" s="0" t="n">
        <f aca="false">IF($F958=0,0,INDEX(Aux_HH!$D$4:$D$18,MATCH($B958&amp;"|"&amp;$E958,Aux_HH!$A$4:$A$18,0)))</f>
        <v>0</v>
      </c>
      <c r="H958" s="0" t="n">
        <f aca="false">IF($F958=0,0,INDEX(Aux_HH!$E$4:$E$18,MATCH($B958&amp;"|"&amp;$E958,Aux_HH!$A$4:$A$18,0)))</f>
        <v>0</v>
      </c>
      <c r="I958" s="0" t="n">
        <f aca="false">IF($F958=0,0,INDEX(Aux_HH!$F$4:$F$18,MATCH($B958&amp;"|"&amp;$E958,Aux_HH!$A$4:$A$18,0)))</f>
        <v>0</v>
      </c>
      <c r="J958" s="0" t="n">
        <f aca="false">IF($F958=0,0,INDEX(Aux_HH!$G$4:$G$18,MATCH($B958&amp;"|"&amp;$E958,Aux_HH!$A$4:$A$18,0)))</f>
        <v>0</v>
      </c>
      <c r="K958" s="0" t="n">
        <f aca="false">IF($F958=0,0,INDEX(Aux_HH!$H$4:$H$18,MATCH($B958&amp;"|"&amp;$E958,Aux_HH!$A$4:$A$18,0)))</f>
        <v>0</v>
      </c>
      <c r="L958" s="0" t="n">
        <f aca="false">IF($F958=0,0,INDEX(Aux_HH!$I$4:$I$18,MATCH($B958&amp;"|"&amp;$E958,Aux_HH!$A$4:$A$18,0)))</f>
        <v>0</v>
      </c>
    </row>
    <row r="959" customFormat="false" ht="15" hidden="false" customHeight="false" outlineLevel="0" collapsed="false">
      <c r="A959" s="0" t="str">
        <f aca="false">IF(Frota!$A23="","",Frota!$A23)</f>
        <v/>
      </c>
      <c r="B959" s="0" t="str">
        <f aca="false">IF(Frota!$A23="","",Frota!$B23)</f>
        <v/>
      </c>
      <c r="C959" s="0" t="n">
        <v>20</v>
      </c>
      <c r="D959" s="0" t="n">
        <f aca="false">INDEX(Semanas!$E$3:$E$54,20)</f>
        <v>8</v>
      </c>
      <c r="E959" s="0" t="str">
        <f aca="false">IF(Frota!$A23="","",Cronograma!U23)</f>
        <v/>
      </c>
      <c r="F959" s="0" t="n">
        <f aca="false">IF(OR($E959="",$E959=0),0,1)</f>
        <v>0</v>
      </c>
      <c r="G959" s="0" t="n">
        <f aca="false">IF($F959=0,0,INDEX(Aux_HH!$D$4:$D$18,MATCH($B959&amp;"|"&amp;$E959,Aux_HH!$A$4:$A$18,0)))</f>
        <v>0</v>
      </c>
      <c r="H959" s="0" t="n">
        <f aca="false">IF($F959=0,0,INDEX(Aux_HH!$E$4:$E$18,MATCH($B959&amp;"|"&amp;$E959,Aux_HH!$A$4:$A$18,0)))</f>
        <v>0</v>
      </c>
      <c r="I959" s="0" t="n">
        <f aca="false">IF($F959=0,0,INDEX(Aux_HH!$F$4:$F$18,MATCH($B959&amp;"|"&amp;$E959,Aux_HH!$A$4:$A$18,0)))</f>
        <v>0</v>
      </c>
      <c r="J959" s="0" t="n">
        <f aca="false">IF($F959=0,0,INDEX(Aux_HH!$G$4:$G$18,MATCH($B959&amp;"|"&amp;$E959,Aux_HH!$A$4:$A$18,0)))</f>
        <v>0</v>
      </c>
      <c r="K959" s="0" t="n">
        <f aca="false">IF($F959=0,0,INDEX(Aux_HH!$H$4:$H$18,MATCH($B959&amp;"|"&amp;$E959,Aux_HH!$A$4:$A$18,0)))</f>
        <v>0</v>
      </c>
      <c r="L959" s="0" t="n">
        <f aca="false">IF($F959=0,0,INDEX(Aux_HH!$I$4:$I$18,MATCH($B959&amp;"|"&amp;$E959,Aux_HH!$A$4:$A$18,0)))</f>
        <v>0</v>
      </c>
    </row>
    <row r="960" customFormat="false" ht="15" hidden="false" customHeight="false" outlineLevel="0" collapsed="false">
      <c r="A960" s="0" t="str">
        <f aca="false">IF(Frota!$A23="","",Frota!$A23)</f>
        <v/>
      </c>
      <c r="B960" s="0" t="str">
        <f aca="false">IF(Frota!$A23="","",Frota!$B23)</f>
        <v/>
      </c>
      <c r="C960" s="0" t="n">
        <v>21</v>
      </c>
      <c r="D960" s="0" t="n">
        <f aca="false">INDEX(Semanas!$E$3:$E$54,21)</f>
        <v>8</v>
      </c>
      <c r="E960" s="0" t="str">
        <f aca="false">IF(Frota!$A23="","",Cronograma!V23)</f>
        <v/>
      </c>
      <c r="F960" s="0" t="n">
        <f aca="false">IF(OR($E960="",$E960=0),0,1)</f>
        <v>0</v>
      </c>
      <c r="G960" s="0" t="n">
        <f aca="false">IF($F960=0,0,INDEX(Aux_HH!$D$4:$D$18,MATCH($B960&amp;"|"&amp;$E960,Aux_HH!$A$4:$A$18,0)))</f>
        <v>0</v>
      </c>
      <c r="H960" s="0" t="n">
        <f aca="false">IF($F960=0,0,INDEX(Aux_HH!$E$4:$E$18,MATCH($B960&amp;"|"&amp;$E960,Aux_HH!$A$4:$A$18,0)))</f>
        <v>0</v>
      </c>
      <c r="I960" s="0" t="n">
        <f aca="false">IF($F960=0,0,INDEX(Aux_HH!$F$4:$F$18,MATCH($B960&amp;"|"&amp;$E960,Aux_HH!$A$4:$A$18,0)))</f>
        <v>0</v>
      </c>
      <c r="J960" s="0" t="n">
        <f aca="false">IF($F960=0,0,INDEX(Aux_HH!$G$4:$G$18,MATCH($B960&amp;"|"&amp;$E960,Aux_HH!$A$4:$A$18,0)))</f>
        <v>0</v>
      </c>
      <c r="K960" s="0" t="n">
        <f aca="false">IF($F960=0,0,INDEX(Aux_HH!$H$4:$H$18,MATCH($B960&amp;"|"&amp;$E960,Aux_HH!$A$4:$A$18,0)))</f>
        <v>0</v>
      </c>
      <c r="L960" s="0" t="n">
        <f aca="false">IF($F960=0,0,INDEX(Aux_HH!$I$4:$I$18,MATCH($B960&amp;"|"&amp;$E960,Aux_HH!$A$4:$A$18,0)))</f>
        <v>0</v>
      </c>
    </row>
    <row r="961" customFormat="false" ht="15" hidden="false" customHeight="false" outlineLevel="0" collapsed="false">
      <c r="A961" s="0" t="str">
        <f aca="false">IF(Frota!$A23="","",Frota!$A23)</f>
        <v/>
      </c>
      <c r="B961" s="0" t="str">
        <f aca="false">IF(Frota!$A23="","",Frota!$B23)</f>
        <v/>
      </c>
      <c r="C961" s="0" t="n">
        <v>22</v>
      </c>
      <c r="D961" s="0" t="n">
        <f aca="false">INDEX(Semanas!$E$3:$E$54,22)</f>
        <v>8</v>
      </c>
      <c r="E961" s="0" t="str">
        <f aca="false">IF(Frota!$A23="","",Cronograma!W23)</f>
        <v/>
      </c>
      <c r="F961" s="0" t="n">
        <f aca="false">IF(OR($E961="",$E961=0),0,1)</f>
        <v>0</v>
      </c>
      <c r="G961" s="0" t="n">
        <f aca="false">IF($F961=0,0,INDEX(Aux_HH!$D$4:$D$18,MATCH($B961&amp;"|"&amp;$E961,Aux_HH!$A$4:$A$18,0)))</f>
        <v>0</v>
      </c>
      <c r="H961" s="0" t="n">
        <f aca="false">IF($F961=0,0,INDEX(Aux_HH!$E$4:$E$18,MATCH($B961&amp;"|"&amp;$E961,Aux_HH!$A$4:$A$18,0)))</f>
        <v>0</v>
      </c>
      <c r="I961" s="0" t="n">
        <f aca="false">IF($F961=0,0,INDEX(Aux_HH!$F$4:$F$18,MATCH($B961&amp;"|"&amp;$E961,Aux_HH!$A$4:$A$18,0)))</f>
        <v>0</v>
      </c>
      <c r="J961" s="0" t="n">
        <f aca="false">IF($F961=0,0,INDEX(Aux_HH!$G$4:$G$18,MATCH($B961&amp;"|"&amp;$E961,Aux_HH!$A$4:$A$18,0)))</f>
        <v>0</v>
      </c>
      <c r="K961" s="0" t="n">
        <f aca="false">IF($F961=0,0,INDEX(Aux_HH!$H$4:$H$18,MATCH($B961&amp;"|"&amp;$E961,Aux_HH!$A$4:$A$18,0)))</f>
        <v>0</v>
      </c>
      <c r="L961" s="0" t="n">
        <f aca="false">IF($F961=0,0,INDEX(Aux_HH!$I$4:$I$18,MATCH($B961&amp;"|"&amp;$E961,Aux_HH!$A$4:$A$18,0)))</f>
        <v>0</v>
      </c>
    </row>
    <row r="962" customFormat="false" ht="15" hidden="false" customHeight="false" outlineLevel="0" collapsed="false">
      <c r="A962" s="0" t="str">
        <f aca="false">IF(Frota!$A23="","",Frota!$A23)</f>
        <v/>
      </c>
      <c r="B962" s="0" t="str">
        <f aca="false">IF(Frota!$A23="","",Frota!$B23)</f>
        <v/>
      </c>
      <c r="C962" s="0" t="n">
        <v>23</v>
      </c>
      <c r="D962" s="0" t="n">
        <f aca="false">INDEX(Semanas!$E$3:$E$54,23)</f>
        <v>9</v>
      </c>
      <c r="E962" s="0" t="str">
        <f aca="false">IF(Frota!$A23="","",Cronograma!X23)</f>
        <v/>
      </c>
      <c r="F962" s="0" t="n">
        <f aca="false">IF(OR($E962="",$E962=0),0,1)</f>
        <v>0</v>
      </c>
      <c r="G962" s="0" t="n">
        <f aca="false">IF($F962=0,0,INDEX(Aux_HH!$D$4:$D$18,MATCH($B962&amp;"|"&amp;$E962,Aux_HH!$A$4:$A$18,0)))</f>
        <v>0</v>
      </c>
      <c r="H962" s="0" t="n">
        <f aca="false">IF($F962=0,0,INDEX(Aux_HH!$E$4:$E$18,MATCH($B962&amp;"|"&amp;$E962,Aux_HH!$A$4:$A$18,0)))</f>
        <v>0</v>
      </c>
      <c r="I962" s="0" t="n">
        <f aca="false">IF($F962=0,0,INDEX(Aux_HH!$F$4:$F$18,MATCH($B962&amp;"|"&amp;$E962,Aux_HH!$A$4:$A$18,0)))</f>
        <v>0</v>
      </c>
      <c r="J962" s="0" t="n">
        <f aca="false">IF($F962=0,0,INDEX(Aux_HH!$G$4:$G$18,MATCH($B962&amp;"|"&amp;$E962,Aux_HH!$A$4:$A$18,0)))</f>
        <v>0</v>
      </c>
      <c r="K962" s="0" t="n">
        <f aca="false">IF($F962=0,0,INDEX(Aux_HH!$H$4:$H$18,MATCH($B962&amp;"|"&amp;$E962,Aux_HH!$A$4:$A$18,0)))</f>
        <v>0</v>
      </c>
      <c r="L962" s="0" t="n">
        <f aca="false">IF($F962=0,0,INDEX(Aux_HH!$I$4:$I$18,MATCH($B962&amp;"|"&amp;$E962,Aux_HH!$A$4:$A$18,0)))</f>
        <v>0</v>
      </c>
    </row>
    <row r="963" customFormat="false" ht="15" hidden="false" customHeight="false" outlineLevel="0" collapsed="false">
      <c r="A963" s="0" t="str">
        <f aca="false">IF(Frota!$A23="","",Frota!$A23)</f>
        <v/>
      </c>
      <c r="B963" s="0" t="str">
        <f aca="false">IF(Frota!$A23="","",Frota!$B23)</f>
        <v/>
      </c>
      <c r="C963" s="0" t="n">
        <v>24</v>
      </c>
      <c r="D963" s="0" t="n">
        <f aca="false">INDEX(Semanas!$E$3:$E$54,24)</f>
        <v>9</v>
      </c>
      <c r="E963" s="0" t="str">
        <f aca="false">IF(Frota!$A23="","",Cronograma!Y23)</f>
        <v/>
      </c>
      <c r="F963" s="0" t="n">
        <f aca="false">IF(OR($E963="",$E963=0),0,1)</f>
        <v>0</v>
      </c>
      <c r="G963" s="0" t="n">
        <f aca="false">IF($F963=0,0,INDEX(Aux_HH!$D$4:$D$18,MATCH($B963&amp;"|"&amp;$E963,Aux_HH!$A$4:$A$18,0)))</f>
        <v>0</v>
      </c>
      <c r="H963" s="0" t="n">
        <f aca="false">IF($F963=0,0,INDEX(Aux_HH!$E$4:$E$18,MATCH($B963&amp;"|"&amp;$E963,Aux_HH!$A$4:$A$18,0)))</f>
        <v>0</v>
      </c>
      <c r="I963" s="0" t="n">
        <f aca="false">IF($F963=0,0,INDEX(Aux_HH!$F$4:$F$18,MATCH($B963&amp;"|"&amp;$E963,Aux_HH!$A$4:$A$18,0)))</f>
        <v>0</v>
      </c>
      <c r="J963" s="0" t="n">
        <f aca="false">IF($F963=0,0,INDEX(Aux_HH!$G$4:$G$18,MATCH($B963&amp;"|"&amp;$E963,Aux_HH!$A$4:$A$18,0)))</f>
        <v>0</v>
      </c>
      <c r="K963" s="0" t="n">
        <f aca="false">IF($F963=0,0,INDEX(Aux_HH!$H$4:$H$18,MATCH($B963&amp;"|"&amp;$E963,Aux_HH!$A$4:$A$18,0)))</f>
        <v>0</v>
      </c>
      <c r="L963" s="0" t="n">
        <f aca="false">IF($F963=0,0,INDEX(Aux_HH!$I$4:$I$18,MATCH($B963&amp;"|"&amp;$E963,Aux_HH!$A$4:$A$18,0)))</f>
        <v>0</v>
      </c>
    </row>
    <row r="964" customFormat="false" ht="15" hidden="false" customHeight="false" outlineLevel="0" collapsed="false">
      <c r="A964" s="0" t="str">
        <f aca="false">IF(Frota!$A23="","",Frota!$A23)</f>
        <v/>
      </c>
      <c r="B964" s="0" t="str">
        <f aca="false">IF(Frota!$A23="","",Frota!$B23)</f>
        <v/>
      </c>
      <c r="C964" s="0" t="n">
        <v>25</v>
      </c>
      <c r="D964" s="0" t="n">
        <f aca="false">INDEX(Semanas!$E$3:$E$54,25)</f>
        <v>9</v>
      </c>
      <c r="E964" s="0" t="str">
        <f aca="false">IF(Frota!$A23="","",Cronograma!Z23)</f>
        <v/>
      </c>
      <c r="F964" s="0" t="n">
        <f aca="false">IF(OR($E964="",$E964=0),0,1)</f>
        <v>0</v>
      </c>
      <c r="G964" s="0" t="n">
        <f aca="false">IF($F964=0,0,INDEX(Aux_HH!$D$4:$D$18,MATCH($B964&amp;"|"&amp;$E964,Aux_HH!$A$4:$A$18,0)))</f>
        <v>0</v>
      </c>
      <c r="H964" s="0" t="n">
        <f aca="false">IF($F964=0,0,INDEX(Aux_HH!$E$4:$E$18,MATCH($B964&amp;"|"&amp;$E964,Aux_HH!$A$4:$A$18,0)))</f>
        <v>0</v>
      </c>
      <c r="I964" s="0" t="n">
        <f aca="false">IF($F964=0,0,INDEX(Aux_HH!$F$4:$F$18,MATCH($B964&amp;"|"&amp;$E964,Aux_HH!$A$4:$A$18,0)))</f>
        <v>0</v>
      </c>
      <c r="J964" s="0" t="n">
        <f aca="false">IF($F964=0,0,INDEX(Aux_HH!$G$4:$G$18,MATCH($B964&amp;"|"&amp;$E964,Aux_HH!$A$4:$A$18,0)))</f>
        <v>0</v>
      </c>
      <c r="K964" s="0" t="n">
        <f aca="false">IF($F964=0,0,INDEX(Aux_HH!$H$4:$H$18,MATCH($B964&amp;"|"&amp;$E964,Aux_HH!$A$4:$A$18,0)))</f>
        <v>0</v>
      </c>
      <c r="L964" s="0" t="n">
        <f aca="false">IF($F964=0,0,INDEX(Aux_HH!$I$4:$I$18,MATCH($B964&amp;"|"&amp;$E964,Aux_HH!$A$4:$A$18,0)))</f>
        <v>0</v>
      </c>
    </row>
    <row r="965" customFormat="false" ht="15" hidden="false" customHeight="false" outlineLevel="0" collapsed="false">
      <c r="A965" s="0" t="str">
        <f aca="false">IF(Frota!$A23="","",Frota!$A23)</f>
        <v/>
      </c>
      <c r="B965" s="0" t="str">
        <f aca="false">IF(Frota!$A23="","",Frota!$B23)</f>
        <v/>
      </c>
      <c r="C965" s="0" t="n">
        <v>26</v>
      </c>
      <c r="D965" s="0" t="n">
        <f aca="false">INDEX(Semanas!$E$3:$E$54,26)</f>
        <v>9</v>
      </c>
      <c r="E965" s="0" t="str">
        <f aca="false">IF(Frota!$A23="","",Cronograma!AA23)</f>
        <v/>
      </c>
      <c r="F965" s="0" t="n">
        <f aca="false">IF(OR($E965="",$E965=0),0,1)</f>
        <v>0</v>
      </c>
      <c r="G965" s="0" t="n">
        <f aca="false">IF($F965=0,0,INDEX(Aux_HH!$D$4:$D$18,MATCH($B965&amp;"|"&amp;$E965,Aux_HH!$A$4:$A$18,0)))</f>
        <v>0</v>
      </c>
      <c r="H965" s="0" t="n">
        <f aca="false">IF($F965=0,0,INDEX(Aux_HH!$E$4:$E$18,MATCH($B965&amp;"|"&amp;$E965,Aux_HH!$A$4:$A$18,0)))</f>
        <v>0</v>
      </c>
      <c r="I965" s="0" t="n">
        <f aca="false">IF($F965=0,0,INDEX(Aux_HH!$F$4:$F$18,MATCH($B965&amp;"|"&amp;$E965,Aux_HH!$A$4:$A$18,0)))</f>
        <v>0</v>
      </c>
      <c r="J965" s="0" t="n">
        <f aca="false">IF($F965=0,0,INDEX(Aux_HH!$G$4:$G$18,MATCH($B965&amp;"|"&amp;$E965,Aux_HH!$A$4:$A$18,0)))</f>
        <v>0</v>
      </c>
      <c r="K965" s="0" t="n">
        <f aca="false">IF($F965=0,0,INDEX(Aux_HH!$H$4:$H$18,MATCH($B965&amp;"|"&amp;$E965,Aux_HH!$A$4:$A$18,0)))</f>
        <v>0</v>
      </c>
      <c r="L965" s="0" t="n">
        <f aca="false">IF($F965=0,0,INDEX(Aux_HH!$I$4:$I$18,MATCH($B965&amp;"|"&amp;$E965,Aux_HH!$A$4:$A$18,0)))</f>
        <v>0</v>
      </c>
    </row>
    <row r="966" customFormat="false" ht="15" hidden="false" customHeight="false" outlineLevel="0" collapsed="false">
      <c r="A966" s="0" t="str">
        <f aca="false">IF(Frota!$A23="","",Frota!$A23)</f>
        <v/>
      </c>
      <c r="B966" s="0" t="str">
        <f aca="false">IF(Frota!$A23="","",Frota!$B23)</f>
        <v/>
      </c>
      <c r="C966" s="0" t="n">
        <v>27</v>
      </c>
      <c r="D966" s="0" t="n">
        <f aca="false">INDEX(Semanas!$E$3:$E$54,27)</f>
        <v>9</v>
      </c>
      <c r="E966" s="0" t="str">
        <f aca="false">IF(Frota!$A23="","",Cronograma!AB23)</f>
        <v/>
      </c>
      <c r="F966" s="0" t="n">
        <f aca="false">IF(OR($E966="",$E966=0),0,1)</f>
        <v>0</v>
      </c>
      <c r="G966" s="0" t="n">
        <f aca="false">IF($F966=0,0,INDEX(Aux_HH!$D$4:$D$18,MATCH($B966&amp;"|"&amp;$E966,Aux_HH!$A$4:$A$18,0)))</f>
        <v>0</v>
      </c>
      <c r="H966" s="0" t="n">
        <f aca="false">IF($F966=0,0,INDEX(Aux_HH!$E$4:$E$18,MATCH($B966&amp;"|"&amp;$E966,Aux_HH!$A$4:$A$18,0)))</f>
        <v>0</v>
      </c>
      <c r="I966" s="0" t="n">
        <f aca="false">IF($F966=0,0,INDEX(Aux_HH!$F$4:$F$18,MATCH($B966&amp;"|"&amp;$E966,Aux_HH!$A$4:$A$18,0)))</f>
        <v>0</v>
      </c>
      <c r="J966" s="0" t="n">
        <f aca="false">IF($F966=0,0,INDEX(Aux_HH!$G$4:$G$18,MATCH($B966&amp;"|"&amp;$E966,Aux_HH!$A$4:$A$18,0)))</f>
        <v>0</v>
      </c>
      <c r="K966" s="0" t="n">
        <f aca="false">IF($F966=0,0,INDEX(Aux_HH!$H$4:$H$18,MATCH($B966&amp;"|"&amp;$E966,Aux_HH!$A$4:$A$18,0)))</f>
        <v>0</v>
      </c>
      <c r="L966" s="0" t="n">
        <f aca="false">IF($F966=0,0,INDEX(Aux_HH!$I$4:$I$18,MATCH($B966&amp;"|"&amp;$E966,Aux_HH!$A$4:$A$18,0)))</f>
        <v>0</v>
      </c>
    </row>
    <row r="967" customFormat="false" ht="15" hidden="false" customHeight="false" outlineLevel="0" collapsed="false">
      <c r="A967" s="0" t="str">
        <f aca="false">IF(Frota!$A23="","",Frota!$A23)</f>
        <v/>
      </c>
      <c r="B967" s="0" t="str">
        <f aca="false">IF(Frota!$A23="","",Frota!$B23)</f>
        <v/>
      </c>
      <c r="C967" s="0" t="n">
        <v>28</v>
      </c>
      <c r="D967" s="0" t="n">
        <f aca="false">INDEX(Semanas!$E$3:$E$54,28)</f>
        <v>10</v>
      </c>
      <c r="E967" s="0" t="str">
        <f aca="false">IF(Frota!$A23="","",Cronograma!AC23)</f>
        <v/>
      </c>
      <c r="F967" s="0" t="n">
        <f aca="false">IF(OR($E967="",$E967=0),0,1)</f>
        <v>0</v>
      </c>
      <c r="G967" s="0" t="n">
        <f aca="false">IF($F967=0,0,INDEX(Aux_HH!$D$4:$D$18,MATCH($B967&amp;"|"&amp;$E967,Aux_HH!$A$4:$A$18,0)))</f>
        <v>0</v>
      </c>
      <c r="H967" s="0" t="n">
        <f aca="false">IF($F967=0,0,INDEX(Aux_HH!$E$4:$E$18,MATCH($B967&amp;"|"&amp;$E967,Aux_HH!$A$4:$A$18,0)))</f>
        <v>0</v>
      </c>
      <c r="I967" s="0" t="n">
        <f aca="false">IF($F967=0,0,INDEX(Aux_HH!$F$4:$F$18,MATCH($B967&amp;"|"&amp;$E967,Aux_HH!$A$4:$A$18,0)))</f>
        <v>0</v>
      </c>
      <c r="J967" s="0" t="n">
        <f aca="false">IF($F967=0,0,INDEX(Aux_HH!$G$4:$G$18,MATCH($B967&amp;"|"&amp;$E967,Aux_HH!$A$4:$A$18,0)))</f>
        <v>0</v>
      </c>
      <c r="K967" s="0" t="n">
        <f aca="false">IF($F967=0,0,INDEX(Aux_HH!$H$4:$H$18,MATCH($B967&amp;"|"&amp;$E967,Aux_HH!$A$4:$A$18,0)))</f>
        <v>0</v>
      </c>
      <c r="L967" s="0" t="n">
        <f aca="false">IF($F967=0,0,INDEX(Aux_HH!$I$4:$I$18,MATCH($B967&amp;"|"&amp;$E967,Aux_HH!$A$4:$A$18,0)))</f>
        <v>0</v>
      </c>
    </row>
    <row r="968" customFormat="false" ht="15" hidden="false" customHeight="false" outlineLevel="0" collapsed="false">
      <c r="A968" s="0" t="str">
        <f aca="false">IF(Frota!$A23="","",Frota!$A23)</f>
        <v/>
      </c>
      <c r="B968" s="0" t="str">
        <f aca="false">IF(Frota!$A23="","",Frota!$B23)</f>
        <v/>
      </c>
      <c r="C968" s="0" t="n">
        <v>29</v>
      </c>
      <c r="D968" s="0" t="n">
        <f aca="false">INDEX(Semanas!$E$3:$E$54,29)</f>
        <v>10</v>
      </c>
      <c r="E968" s="0" t="str">
        <f aca="false">IF(Frota!$A23="","",Cronograma!AD23)</f>
        <v/>
      </c>
      <c r="F968" s="0" t="n">
        <f aca="false">IF(OR($E968="",$E968=0),0,1)</f>
        <v>0</v>
      </c>
      <c r="G968" s="0" t="n">
        <f aca="false">IF($F968=0,0,INDEX(Aux_HH!$D$4:$D$18,MATCH($B968&amp;"|"&amp;$E968,Aux_HH!$A$4:$A$18,0)))</f>
        <v>0</v>
      </c>
      <c r="H968" s="0" t="n">
        <f aca="false">IF($F968=0,0,INDEX(Aux_HH!$E$4:$E$18,MATCH($B968&amp;"|"&amp;$E968,Aux_HH!$A$4:$A$18,0)))</f>
        <v>0</v>
      </c>
      <c r="I968" s="0" t="n">
        <f aca="false">IF($F968=0,0,INDEX(Aux_HH!$F$4:$F$18,MATCH($B968&amp;"|"&amp;$E968,Aux_HH!$A$4:$A$18,0)))</f>
        <v>0</v>
      </c>
      <c r="J968" s="0" t="n">
        <f aca="false">IF($F968=0,0,INDEX(Aux_HH!$G$4:$G$18,MATCH($B968&amp;"|"&amp;$E968,Aux_HH!$A$4:$A$18,0)))</f>
        <v>0</v>
      </c>
      <c r="K968" s="0" t="n">
        <f aca="false">IF($F968=0,0,INDEX(Aux_HH!$H$4:$H$18,MATCH($B968&amp;"|"&amp;$E968,Aux_HH!$A$4:$A$18,0)))</f>
        <v>0</v>
      </c>
      <c r="L968" s="0" t="n">
        <f aca="false">IF($F968=0,0,INDEX(Aux_HH!$I$4:$I$18,MATCH($B968&amp;"|"&amp;$E968,Aux_HH!$A$4:$A$18,0)))</f>
        <v>0</v>
      </c>
    </row>
    <row r="969" customFormat="false" ht="15" hidden="false" customHeight="false" outlineLevel="0" collapsed="false">
      <c r="A969" s="0" t="str">
        <f aca="false">IF(Frota!$A23="","",Frota!$A23)</f>
        <v/>
      </c>
      <c r="B969" s="0" t="str">
        <f aca="false">IF(Frota!$A23="","",Frota!$B23)</f>
        <v/>
      </c>
      <c r="C969" s="0" t="n">
        <v>30</v>
      </c>
      <c r="D969" s="0" t="n">
        <f aca="false">INDEX(Semanas!$E$3:$E$54,30)</f>
        <v>10</v>
      </c>
      <c r="E969" s="0" t="str">
        <f aca="false">IF(Frota!$A23="","",Cronograma!AE23)</f>
        <v/>
      </c>
      <c r="F969" s="0" t="n">
        <f aca="false">IF(OR($E969="",$E969=0),0,1)</f>
        <v>0</v>
      </c>
      <c r="G969" s="0" t="n">
        <f aca="false">IF($F969=0,0,INDEX(Aux_HH!$D$4:$D$18,MATCH($B969&amp;"|"&amp;$E969,Aux_HH!$A$4:$A$18,0)))</f>
        <v>0</v>
      </c>
      <c r="H969" s="0" t="n">
        <f aca="false">IF($F969=0,0,INDEX(Aux_HH!$E$4:$E$18,MATCH($B969&amp;"|"&amp;$E969,Aux_HH!$A$4:$A$18,0)))</f>
        <v>0</v>
      </c>
      <c r="I969" s="0" t="n">
        <f aca="false">IF($F969=0,0,INDEX(Aux_HH!$F$4:$F$18,MATCH($B969&amp;"|"&amp;$E969,Aux_HH!$A$4:$A$18,0)))</f>
        <v>0</v>
      </c>
      <c r="J969" s="0" t="n">
        <f aca="false">IF($F969=0,0,INDEX(Aux_HH!$G$4:$G$18,MATCH($B969&amp;"|"&amp;$E969,Aux_HH!$A$4:$A$18,0)))</f>
        <v>0</v>
      </c>
      <c r="K969" s="0" t="n">
        <f aca="false">IF($F969=0,0,INDEX(Aux_HH!$H$4:$H$18,MATCH($B969&amp;"|"&amp;$E969,Aux_HH!$A$4:$A$18,0)))</f>
        <v>0</v>
      </c>
      <c r="L969" s="0" t="n">
        <f aca="false">IF($F969=0,0,INDEX(Aux_HH!$I$4:$I$18,MATCH($B969&amp;"|"&amp;$E969,Aux_HH!$A$4:$A$18,0)))</f>
        <v>0</v>
      </c>
    </row>
    <row r="970" customFormat="false" ht="15" hidden="false" customHeight="false" outlineLevel="0" collapsed="false">
      <c r="A970" s="0" t="str">
        <f aca="false">IF(Frota!$A23="","",Frota!$A23)</f>
        <v/>
      </c>
      <c r="B970" s="0" t="str">
        <f aca="false">IF(Frota!$A23="","",Frota!$B23)</f>
        <v/>
      </c>
      <c r="C970" s="0" t="n">
        <v>31</v>
      </c>
      <c r="D970" s="0" t="n">
        <f aca="false">INDEX(Semanas!$E$3:$E$54,31)</f>
        <v>10</v>
      </c>
      <c r="E970" s="0" t="str">
        <f aca="false">IF(Frota!$A23="","",Cronograma!AF23)</f>
        <v/>
      </c>
      <c r="F970" s="0" t="n">
        <f aca="false">IF(OR($E970="",$E970=0),0,1)</f>
        <v>0</v>
      </c>
      <c r="G970" s="0" t="n">
        <f aca="false">IF($F970=0,0,INDEX(Aux_HH!$D$4:$D$18,MATCH($B970&amp;"|"&amp;$E970,Aux_HH!$A$4:$A$18,0)))</f>
        <v>0</v>
      </c>
      <c r="H970" s="0" t="n">
        <f aca="false">IF($F970=0,0,INDEX(Aux_HH!$E$4:$E$18,MATCH($B970&amp;"|"&amp;$E970,Aux_HH!$A$4:$A$18,0)))</f>
        <v>0</v>
      </c>
      <c r="I970" s="0" t="n">
        <f aca="false">IF($F970=0,0,INDEX(Aux_HH!$F$4:$F$18,MATCH($B970&amp;"|"&amp;$E970,Aux_HH!$A$4:$A$18,0)))</f>
        <v>0</v>
      </c>
      <c r="J970" s="0" t="n">
        <f aca="false">IF($F970=0,0,INDEX(Aux_HH!$G$4:$G$18,MATCH($B970&amp;"|"&amp;$E970,Aux_HH!$A$4:$A$18,0)))</f>
        <v>0</v>
      </c>
      <c r="K970" s="0" t="n">
        <f aca="false">IF($F970=0,0,INDEX(Aux_HH!$H$4:$H$18,MATCH($B970&amp;"|"&amp;$E970,Aux_HH!$A$4:$A$18,0)))</f>
        <v>0</v>
      </c>
      <c r="L970" s="0" t="n">
        <f aca="false">IF($F970=0,0,INDEX(Aux_HH!$I$4:$I$18,MATCH($B970&amp;"|"&amp;$E970,Aux_HH!$A$4:$A$18,0)))</f>
        <v>0</v>
      </c>
    </row>
    <row r="971" customFormat="false" ht="15" hidden="false" customHeight="false" outlineLevel="0" collapsed="false">
      <c r="A971" s="0" t="str">
        <f aca="false">IF(Frota!$A23="","",Frota!$A23)</f>
        <v/>
      </c>
      <c r="B971" s="0" t="str">
        <f aca="false">IF(Frota!$A23="","",Frota!$B23)</f>
        <v/>
      </c>
      <c r="C971" s="0" t="n">
        <v>32</v>
      </c>
      <c r="D971" s="0" t="n">
        <f aca="false">INDEX(Semanas!$E$3:$E$54,32)</f>
        <v>11</v>
      </c>
      <c r="E971" s="0" t="str">
        <f aca="false">IF(Frota!$A23="","",Cronograma!AG23)</f>
        <v/>
      </c>
      <c r="F971" s="0" t="n">
        <f aca="false">IF(OR($E971="",$E971=0),0,1)</f>
        <v>0</v>
      </c>
      <c r="G971" s="0" t="n">
        <f aca="false">IF($F971=0,0,INDEX(Aux_HH!$D$4:$D$18,MATCH($B971&amp;"|"&amp;$E971,Aux_HH!$A$4:$A$18,0)))</f>
        <v>0</v>
      </c>
      <c r="H971" s="0" t="n">
        <f aca="false">IF($F971=0,0,INDEX(Aux_HH!$E$4:$E$18,MATCH($B971&amp;"|"&amp;$E971,Aux_HH!$A$4:$A$18,0)))</f>
        <v>0</v>
      </c>
      <c r="I971" s="0" t="n">
        <f aca="false">IF($F971=0,0,INDEX(Aux_HH!$F$4:$F$18,MATCH($B971&amp;"|"&amp;$E971,Aux_HH!$A$4:$A$18,0)))</f>
        <v>0</v>
      </c>
      <c r="J971" s="0" t="n">
        <f aca="false">IF($F971=0,0,INDEX(Aux_HH!$G$4:$G$18,MATCH($B971&amp;"|"&amp;$E971,Aux_HH!$A$4:$A$18,0)))</f>
        <v>0</v>
      </c>
      <c r="K971" s="0" t="n">
        <f aca="false">IF($F971=0,0,INDEX(Aux_HH!$H$4:$H$18,MATCH($B971&amp;"|"&amp;$E971,Aux_HH!$A$4:$A$18,0)))</f>
        <v>0</v>
      </c>
      <c r="L971" s="0" t="n">
        <f aca="false">IF($F971=0,0,INDEX(Aux_HH!$I$4:$I$18,MATCH($B971&amp;"|"&amp;$E971,Aux_HH!$A$4:$A$18,0)))</f>
        <v>0</v>
      </c>
    </row>
    <row r="972" customFormat="false" ht="15" hidden="false" customHeight="false" outlineLevel="0" collapsed="false">
      <c r="A972" s="0" t="str">
        <f aca="false">IF(Frota!$A23="","",Frota!$A23)</f>
        <v/>
      </c>
      <c r="B972" s="0" t="str">
        <f aca="false">IF(Frota!$A23="","",Frota!$B23)</f>
        <v/>
      </c>
      <c r="C972" s="0" t="n">
        <v>33</v>
      </c>
      <c r="D972" s="0" t="n">
        <f aca="false">INDEX(Semanas!$E$3:$E$54,33)</f>
        <v>11</v>
      </c>
      <c r="E972" s="0" t="str">
        <f aca="false">IF(Frota!$A23="","",Cronograma!AH23)</f>
        <v/>
      </c>
      <c r="F972" s="0" t="n">
        <f aca="false">IF(OR($E972="",$E972=0),0,1)</f>
        <v>0</v>
      </c>
      <c r="G972" s="0" t="n">
        <f aca="false">IF($F972=0,0,INDEX(Aux_HH!$D$4:$D$18,MATCH($B972&amp;"|"&amp;$E972,Aux_HH!$A$4:$A$18,0)))</f>
        <v>0</v>
      </c>
      <c r="H972" s="0" t="n">
        <f aca="false">IF($F972=0,0,INDEX(Aux_HH!$E$4:$E$18,MATCH($B972&amp;"|"&amp;$E972,Aux_HH!$A$4:$A$18,0)))</f>
        <v>0</v>
      </c>
      <c r="I972" s="0" t="n">
        <f aca="false">IF($F972=0,0,INDEX(Aux_HH!$F$4:$F$18,MATCH($B972&amp;"|"&amp;$E972,Aux_HH!$A$4:$A$18,0)))</f>
        <v>0</v>
      </c>
      <c r="J972" s="0" t="n">
        <f aca="false">IF($F972=0,0,INDEX(Aux_HH!$G$4:$G$18,MATCH($B972&amp;"|"&amp;$E972,Aux_HH!$A$4:$A$18,0)))</f>
        <v>0</v>
      </c>
      <c r="K972" s="0" t="n">
        <f aca="false">IF($F972=0,0,INDEX(Aux_HH!$H$4:$H$18,MATCH($B972&amp;"|"&amp;$E972,Aux_HH!$A$4:$A$18,0)))</f>
        <v>0</v>
      </c>
      <c r="L972" s="0" t="n">
        <f aca="false">IF($F972=0,0,INDEX(Aux_HH!$I$4:$I$18,MATCH($B972&amp;"|"&amp;$E972,Aux_HH!$A$4:$A$18,0)))</f>
        <v>0</v>
      </c>
    </row>
    <row r="973" customFormat="false" ht="15" hidden="false" customHeight="false" outlineLevel="0" collapsed="false">
      <c r="A973" s="0" t="str">
        <f aca="false">IF(Frota!$A23="","",Frota!$A23)</f>
        <v/>
      </c>
      <c r="B973" s="0" t="str">
        <f aca="false">IF(Frota!$A23="","",Frota!$B23)</f>
        <v/>
      </c>
      <c r="C973" s="0" t="n">
        <v>34</v>
      </c>
      <c r="D973" s="0" t="n">
        <f aca="false">INDEX(Semanas!$E$3:$E$54,34)</f>
        <v>11</v>
      </c>
      <c r="E973" s="0" t="str">
        <f aca="false">IF(Frota!$A23="","",Cronograma!AI23)</f>
        <v/>
      </c>
      <c r="F973" s="0" t="n">
        <f aca="false">IF(OR($E973="",$E973=0),0,1)</f>
        <v>0</v>
      </c>
      <c r="G973" s="0" t="n">
        <f aca="false">IF($F973=0,0,INDEX(Aux_HH!$D$4:$D$18,MATCH($B973&amp;"|"&amp;$E973,Aux_HH!$A$4:$A$18,0)))</f>
        <v>0</v>
      </c>
      <c r="H973" s="0" t="n">
        <f aca="false">IF($F973=0,0,INDEX(Aux_HH!$E$4:$E$18,MATCH($B973&amp;"|"&amp;$E973,Aux_HH!$A$4:$A$18,0)))</f>
        <v>0</v>
      </c>
      <c r="I973" s="0" t="n">
        <f aca="false">IF($F973=0,0,INDEX(Aux_HH!$F$4:$F$18,MATCH($B973&amp;"|"&amp;$E973,Aux_HH!$A$4:$A$18,0)))</f>
        <v>0</v>
      </c>
      <c r="J973" s="0" t="n">
        <f aca="false">IF($F973=0,0,INDEX(Aux_HH!$G$4:$G$18,MATCH($B973&amp;"|"&amp;$E973,Aux_HH!$A$4:$A$18,0)))</f>
        <v>0</v>
      </c>
      <c r="K973" s="0" t="n">
        <f aca="false">IF($F973=0,0,INDEX(Aux_HH!$H$4:$H$18,MATCH($B973&amp;"|"&amp;$E973,Aux_HH!$A$4:$A$18,0)))</f>
        <v>0</v>
      </c>
      <c r="L973" s="0" t="n">
        <f aca="false">IF($F973=0,0,INDEX(Aux_HH!$I$4:$I$18,MATCH($B973&amp;"|"&amp;$E973,Aux_HH!$A$4:$A$18,0)))</f>
        <v>0</v>
      </c>
    </row>
    <row r="974" customFormat="false" ht="15" hidden="false" customHeight="false" outlineLevel="0" collapsed="false">
      <c r="A974" s="0" t="str">
        <f aca="false">IF(Frota!$A23="","",Frota!$A23)</f>
        <v/>
      </c>
      <c r="B974" s="0" t="str">
        <f aca="false">IF(Frota!$A23="","",Frota!$B23)</f>
        <v/>
      </c>
      <c r="C974" s="0" t="n">
        <v>35</v>
      </c>
      <c r="D974" s="0" t="n">
        <f aca="false">INDEX(Semanas!$E$3:$E$54,35)</f>
        <v>11</v>
      </c>
      <c r="E974" s="0" t="str">
        <f aca="false">IF(Frota!$A23="","",Cronograma!AJ23)</f>
        <v/>
      </c>
      <c r="F974" s="0" t="n">
        <f aca="false">IF(OR($E974="",$E974=0),0,1)</f>
        <v>0</v>
      </c>
      <c r="G974" s="0" t="n">
        <f aca="false">IF($F974=0,0,INDEX(Aux_HH!$D$4:$D$18,MATCH($B974&amp;"|"&amp;$E974,Aux_HH!$A$4:$A$18,0)))</f>
        <v>0</v>
      </c>
      <c r="H974" s="0" t="n">
        <f aca="false">IF($F974=0,0,INDEX(Aux_HH!$E$4:$E$18,MATCH($B974&amp;"|"&amp;$E974,Aux_HH!$A$4:$A$18,0)))</f>
        <v>0</v>
      </c>
      <c r="I974" s="0" t="n">
        <f aca="false">IF($F974=0,0,INDEX(Aux_HH!$F$4:$F$18,MATCH($B974&amp;"|"&amp;$E974,Aux_HH!$A$4:$A$18,0)))</f>
        <v>0</v>
      </c>
      <c r="J974" s="0" t="n">
        <f aca="false">IF($F974=0,0,INDEX(Aux_HH!$G$4:$G$18,MATCH($B974&amp;"|"&amp;$E974,Aux_HH!$A$4:$A$18,0)))</f>
        <v>0</v>
      </c>
      <c r="K974" s="0" t="n">
        <f aca="false">IF($F974=0,0,INDEX(Aux_HH!$H$4:$H$18,MATCH($B974&amp;"|"&amp;$E974,Aux_HH!$A$4:$A$18,0)))</f>
        <v>0</v>
      </c>
      <c r="L974" s="0" t="n">
        <f aca="false">IF($F974=0,0,INDEX(Aux_HH!$I$4:$I$18,MATCH($B974&amp;"|"&amp;$E974,Aux_HH!$A$4:$A$18,0)))</f>
        <v>0</v>
      </c>
    </row>
    <row r="975" customFormat="false" ht="15" hidden="false" customHeight="false" outlineLevel="0" collapsed="false">
      <c r="A975" s="0" t="str">
        <f aca="false">IF(Frota!$A23="","",Frota!$A23)</f>
        <v/>
      </c>
      <c r="B975" s="0" t="str">
        <f aca="false">IF(Frota!$A23="","",Frota!$B23)</f>
        <v/>
      </c>
      <c r="C975" s="0" t="n">
        <v>36</v>
      </c>
      <c r="D975" s="0" t="n">
        <f aca="false">INDEX(Semanas!$E$3:$E$54,36)</f>
        <v>12</v>
      </c>
      <c r="E975" s="0" t="str">
        <f aca="false">IF(Frota!$A23="","",Cronograma!AK23)</f>
        <v/>
      </c>
      <c r="F975" s="0" t="n">
        <f aca="false">IF(OR($E975="",$E975=0),0,1)</f>
        <v>0</v>
      </c>
      <c r="G975" s="0" t="n">
        <f aca="false">IF($F975=0,0,INDEX(Aux_HH!$D$4:$D$18,MATCH($B975&amp;"|"&amp;$E975,Aux_HH!$A$4:$A$18,0)))</f>
        <v>0</v>
      </c>
      <c r="H975" s="0" t="n">
        <f aca="false">IF($F975=0,0,INDEX(Aux_HH!$E$4:$E$18,MATCH($B975&amp;"|"&amp;$E975,Aux_HH!$A$4:$A$18,0)))</f>
        <v>0</v>
      </c>
      <c r="I975" s="0" t="n">
        <f aca="false">IF($F975=0,0,INDEX(Aux_HH!$F$4:$F$18,MATCH($B975&amp;"|"&amp;$E975,Aux_HH!$A$4:$A$18,0)))</f>
        <v>0</v>
      </c>
      <c r="J975" s="0" t="n">
        <f aca="false">IF($F975=0,0,INDEX(Aux_HH!$G$4:$G$18,MATCH($B975&amp;"|"&amp;$E975,Aux_HH!$A$4:$A$18,0)))</f>
        <v>0</v>
      </c>
      <c r="K975" s="0" t="n">
        <f aca="false">IF($F975=0,0,INDEX(Aux_HH!$H$4:$H$18,MATCH($B975&amp;"|"&amp;$E975,Aux_HH!$A$4:$A$18,0)))</f>
        <v>0</v>
      </c>
      <c r="L975" s="0" t="n">
        <f aca="false">IF($F975=0,0,INDEX(Aux_HH!$I$4:$I$18,MATCH($B975&amp;"|"&amp;$E975,Aux_HH!$A$4:$A$18,0)))</f>
        <v>0</v>
      </c>
    </row>
    <row r="976" customFormat="false" ht="15" hidden="false" customHeight="false" outlineLevel="0" collapsed="false">
      <c r="A976" s="0" t="str">
        <f aca="false">IF(Frota!$A23="","",Frota!$A23)</f>
        <v/>
      </c>
      <c r="B976" s="0" t="str">
        <f aca="false">IF(Frota!$A23="","",Frota!$B23)</f>
        <v/>
      </c>
      <c r="C976" s="0" t="n">
        <v>37</v>
      </c>
      <c r="D976" s="0" t="n">
        <f aca="false">INDEX(Semanas!$E$3:$E$54,37)</f>
        <v>12</v>
      </c>
      <c r="E976" s="0" t="str">
        <f aca="false">IF(Frota!$A23="","",Cronograma!AL23)</f>
        <v/>
      </c>
      <c r="F976" s="0" t="n">
        <f aca="false">IF(OR($E976="",$E976=0),0,1)</f>
        <v>0</v>
      </c>
      <c r="G976" s="0" t="n">
        <f aca="false">IF($F976=0,0,INDEX(Aux_HH!$D$4:$D$18,MATCH($B976&amp;"|"&amp;$E976,Aux_HH!$A$4:$A$18,0)))</f>
        <v>0</v>
      </c>
      <c r="H976" s="0" t="n">
        <f aca="false">IF($F976=0,0,INDEX(Aux_HH!$E$4:$E$18,MATCH($B976&amp;"|"&amp;$E976,Aux_HH!$A$4:$A$18,0)))</f>
        <v>0</v>
      </c>
      <c r="I976" s="0" t="n">
        <f aca="false">IF($F976=0,0,INDEX(Aux_HH!$F$4:$F$18,MATCH($B976&amp;"|"&amp;$E976,Aux_HH!$A$4:$A$18,0)))</f>
        <v>0</v>
      </c>
      <c r="J976" s="0" t="n">
        <f aca="false">IF($F976=0,0,INDEX(Aux_HH!$G$4:$G$18,MATCH($B976&amp;"|"&amp;$E976,Aux_HH!$A$4:$A$18,0)))</f>
        <v>0</v>
      </c>
      <c r="K976" s="0" t="n">
        <f aca="false">IF($F976=0,0,INDEX(Aux_HH!$H$4:$H$18,MATCH($B976&amp;"|"&amp;$E976,Aux_HH!$A$4:$A$18,0)))</f>
        <v>0</v>
      </c>
      <c r="L976" s="0" t="n">
        <f aca="false">IF($F976=0,0,INDEX(Aux_HH!$I$4:$I$18,MATCH($B976&amp;"|"&amp;$E976,Aux_HH!$A$4:$A$18,0)))</f>
        <v>0</v>
      </c>
    </row>
    <row r="977" customFormat="false" ht="15" hidden="false" customHeight="false" outlineLevel="0" collapsed="false">
      <c r="A977" s="0" t="str">
        <f aca="false">IF(Frota!$A23="","",Frota!$A23)</f>
        <v/>
      </c>
      <c r="B977" s="0" t="str">
        <f aca="false">IF(Frota!$A23="","",Frota!$B23)</f>
        <v/>
      </c>
      <c r="C977" s="0" t="n">
        <v>38</v>
      </c>
      <c r="D977" s="0" t="n">
        <f aca="false">INDEX(Semanas!$E$3:$E$54,38)</f>
        <v>12</v>
      </c>
      <c r="E977" s="0" t="str">
        <f aca="false">IF(Frota!$A23="","",Cronograma!AM23)</f>
        <v/>
      </c>
      <c r="F977" s="0" t="n">
        <f aca="false">IF(OR($E977="",$E977=0),0,1)</f>
        <v>0</v>
      </c>
      <c r="G977" s="0" t="n">
        <f aca="false">IF($F977=0,0,INDEX(Aux_HH!$D$4:$D$18,MATCH($B977&amp;"|"&amp;$E977,Aux_HH!$A$4:$A$18,0)))</f>
        <v>0</v>
      </c>
      <c r="H977" s="0" t="n">
        <f aca="false">IF($F977=0,0,INDEX(Aux_HH!$E$4:$E$18,MATCH($B977&amp;"|"&amp;$E977,Aux_HH!$A$4:$A$18,0)))</f>
        <v>0</v>
      </c>
      <c r="I977" s="0" t="n">
        <f aca="false">IF($F977=0,0,INDEX(Aux_HH!$F$4:$F$18,MATCH($B977&amp;"|"&amp;$E977,Aux_HH!$A$4:$A$18,0)))</f>
        <v>0</v>
      </c>
      <c r="J977" s="0" t="n">
        <f aca="false">IF($F977=0,0,INDEX(Aux_HH!$G$4:$G$18,MATCH($B977&amp;"|"&amp;$E977,Aux_HH!$A$4:$A$18,0)))</f>
        <v>0</v>
      </c>
      <c r="K977" s="0" t="n">
        <f aca="false">IF($F977=0,0,INDEX(Aux_HH!$H$4:$H$18,MATCH($B977&amp;"|"&amp;$E977,Aux_HH!$A$4:$A$18,0)))</f>
        <v>0</v>
      </c>
      <c r="L977" s="0" t="n">
        <f aca="false">IF($F977=0,0,INDEX(Aux_HH!$I$4:$I$18,MATCH($B977&amp;"|"&amp;$E977,Aux_HH!$A$4:$A$18,0)))</f>
        <v>0</v>
      </c>
    </row>
    <row r="978" customFormat="false" ht="15" hidden="false" customHeight="false" outlineLevel="0" collapsed="false">
      <c r="A978" s="0" t="str">
        <f aca="false">IF(Frota!$A23="","",Frota!$A23)</f>
        <v/>
      </c>
      <c r="B978" s="0" t="str">
        <f aca="false">IF(Frota!$A23="","",Frota!$B23)</f>
        <v/>
      </c>
      <c r="C978" s="0" t="n">
        <v>39</v>
      </c>
      <c r="D978" s="0" t="n">
        <f aca="false">INDEX(Semanas!$E$3:$E$54,39)</f>
        <v>12</v>
      </c>
      <c r="E978" s="0" t="str">
        <f aca="false">IF(Frota!$A23="","",Cronograma!AN23)</f>
        <v/>
      </c>
      <c r="F978" s="0" t="n">
        <f aca="false">IF(OR($E978="",$E978=0),0,1)</f>
        <v>0</v>
      </c>
      <c r="G978" s="0" t="n">
        <f aca="false">IF($F978=0,0,INDEX(Aux_HH!$D$4:$D$18,MATCH($B978&amp;"|"&amp;$E978,Aux_HH!$A$4:$A$18,0)))</f>
        <v>0</v>
      </c>
      <c r="H978" s="0" t="n">
        <f aca="false">IF($F978=0,0,INDEX(Aux_HH!$E$4:$E$18,MATCH($B978&amp;"|"&amp;$E978,Aux_HH!$A$4:$A$18,0)))</f>
        <v>0</v>
      </c>
      <c r="I978" s="0" t="n">
        <f aca="false">IF($F978=0,0,INDEX(Aux_HH!$F$4:$F$18,MATCH($B978&amp;"|"&amp;$E978,Aux_HH!$A$4:$A$18,0)))</f>
        <v>0</v>
      </c>
      <c r="J978" s="0" t="n">
        <f aca="false">IF($F978=0,0,INDEX(Aux_HH!$G$4:$G$18,MATCH($B978&amp;"|"&amp;$E978,Aux_HH!$A$4:$A$18,0)))</f>
        <v>0</v>
      </c>
      <c r="K978" s="0" t="n">
        <f aca="false">IF($F978=0,0,INDEX(Aux_HH!$H$4:$H$18,MATCH($B978&amp;"|"&amp;$E978,Aux_HH!$A$4:$A$18,0)))</f>
        <v>0</v>
      </c>
      <c r="L978" s="0" t="n">
        <f aca="false">IF($F978=0,0,INDEX(Aux_HH!$I$4:$I$18,MATCH($B978&amp;"|"&amp;$E978,Aux_HH!$A$4:$A$18,0)))</f>
        <v>0</v>
      </c>
    </row>
    <row r="979" customFormat="false" ht="15" hidden="false" customHeight="false" outlineLevel="0" collapsed="false">
      <c r="A979" s="0" t="str">
        <f aca="false">IF(Frota!$A23="","",Frota!$A23)</f>
        <v/>
      </c>
      <c r="B979" s="0" t="str">
        <f aca="false">IF(Frota!$A23="","",Frota!$B23)</f>
        <v/>
      </c>
      <c r="C979" s="0" t="n">
        <v>40</v>
      </c>
      <c r="D979" s="0" t="n">
        <f aca="false">INDEX(Semanas!$E$3:$E$54,40)</f>
        <v>12</v>
      </c>
      <c r="E979" s="0" t="str">
        <f aca="false">IF(Frota!$A23="","",Cronograma!AO23)</f>
        <v/>
      </c>
      <c r="F979" s="0" t="n">
        <f aca="false">IF(OR($E979="",$E979=0),0,1)</f>
        <v>0</v>
      </c>
      <c r="G979" s="0" t="n">
        <f aca="false">IF($F979=0,0,INDEX(Aux_HH!$D$4:$D$18,MATCH($B979&amp;"|"&amp;$E979,Aux_HH!$A$4:$A$18,0)))</f>
        <v>0</v>
      </c>
      <c r="H979" s="0" t="n">
        <f aca="false">IF($F979=0,0,INDEX(Aux_HH!$E$4:$E$18,MATCH($B979&amp;"|"&amp;$E979,Aux_HH!$A$4:$A$18,0)))</f>
        <v>0</v>
      </c>
      <c r="I979" s="0" t="n">
        <f aca="false">IF($F979=0,0,INDEX(Aux_HH!$F$4:$F$18,MATCH($B979&amp;"|"&amp;$E979,Aux_HH!$A$4:$A$18,0)))</f>
        <v>0</v>
      </c>
      <c r="J979" s="0" t="n">
        <f aca="false">IF($F979=0,0,INDEX(Aux_HH!$G$4:$G$18,MATCH($B979&amp;"|"&amp;$E979,Aux_HH!$A$4:$A$18,0)))</f>
        <v>0</v>
      </c>
      <c r="K979" s="0" t="n">
        <f aca="false">IF($F979=0,0,INDEX(Aux_HH!$H$4:$H$18,MATCH($B979&amp;"|"&amp;$E979,Aux_HH!$A$4:$A$18,0)))</f>
        <v>0</v>
      </c>
      <c r="L979" s="0" t="n">
        <f aca="false">IF($F979=0,0,INDEX(Aux_HH!$I$4:$I$18,MATCH($B979&amp;"|"&amp;$E979,Aux_HH!$A$4:$A$18,0)))</f>
        <v>0</v>
      </c>
    </row>
    <row r="980" customFormat="false" ht="15" hidden="false" customHeight="false" outlineLevel="0" collapsed="false">
      <c r="A980" s="0" t="str">
        <f aca="false">IF(Frota!$A23="","",Frota!$A23)</f>
        <v/>
      </c>
      <c r="B980" s="0" t="str">
        <f aca="false">IF(Frota!$A23="","",Frota!$B23)</f>
        <v/>
      </c>
      <c r="C980" s="0" t="n">
        <v>41</v>
      </c>
      <c r="D980" s="0" t="n">
        <f aca="false">INDEX(Semanas!$E$3:$E$54,41)</f>
        <v>1</v>
      </c>
      <c r="E980" s="0" t="str">
        <f aca="false">IF(Frota!$A23="","",Cronograma!AP23)</f>
        <v/>
      </c>
      <c r="F980" s="0" t="n">
        <f aca="false">IF(OR($E980="",$E980=0),0,1)</f>
        <v>0</v>
      </c>
      <c r="G980" s="0" t="n">
        <f aca="false">IF($F980=0,0,INDEX(Aux_HH!$D$4:$D$18,MATCH($B980&amp;"|"&amp;$E980,Aux_HH!$A$4:$A$18,0)))</f>
        <v>0</v>
      </c>
      <c r="H980" s="0" t="n">
        <f aca="false">IF($F980=0,0,INDEX(Aux_HH!$E$4:$E$18,MATCH($B980&amp;"|"&amp;$E980,Aux_HH!$A$4:$A$18,0)))</f>
        <v>0</v>
      </c>
      <c r="I980" s="0" t="n">
        <f aca="false">IF($F980=0,0,INDEX(Aux_HH!$F$4:$F$18,MATCH($B980&amp;"|"&amp;$E980,Aux_HH!$A$4:$A$18,0)))</f>
        <v>0</v>
      </c>
      <c r="J980" s="0" t="n">
        <f aca="false">IF($F980=0,0,INDEX(Aux_HH!$G$4:$G$18,MATCH($B980&amp;"|"&amp;$E980,Aux_HH!$A$4:$A$18,0)))</f>
        <v>0</v>
      </c>
      <c r="K980" s="0" t="n">
        <f aca="false">IF($F980=0,0,INDEX(Aux_HH!$H$4:$H$18,MATCH($B980&amp;"|"&amp;$E980,Aux_HH!$A$4:$A$18,0)))</f>
        <v>0</v>
      </c>
      <c r="L980" s="0" t="n">
        <f aca="false">IF($F980=0,0,INDEX(Aux_HH!$I$4:$I$18,MATCH($B980&amp;"|"&amp;$E980,Aux_HH!$A$4:$A$18,0)))</f>
        <v>0</v>
      </c>
    </row>
    <row r="981" customFormat="false" ht="15" hidden="false" customHeight="false" outlineLevel="0" collapsed="false">
      <c r="A981" s="0" t="str">
        <f aca="false">IF(Frota!$A23="","",Frota!$A23)</f>
        <v/>
      </c>
      <c r="B981" s="0" t="str">
        <f aca="false">IF(Frota!$A23="","",Frota!$B23)</f>
        <v/>
      </c>
      <c r="C981" s="0" t="n">
        <v>42</v>
      </c>
      <c r="D981" s="0" t="n">
        <f aca="false">INDEX(Semanas!$E$3:$E$54,42)</f>
        <v>1</v>
      </c>
      <c r="E981" s="0" t="str">
        <f aca="false">IF(Frota!$A23="","",Cronograma!AQ23)</f>
        <v/>
      </c>
      <c r="F981" s="0" t="n">
        <f aca="false">IF(OR($E981="",$E981=0),0,1)</f>
        <v>0</v>
      </c>
      <c r="G981" s="0" t="n">
        <f aca="false">IF($F981=0,0,INDEX(Aux_HH!$D$4:$D$18,MATCH($B981&amp;"|"&amp;$E981,Aux_HH!$A$4:$A$18,0)))</f>
        <v>0</v>
      </c>
      <c r="H981" s="0" t="n">
        <f aca="false">IF($F981=0,0,INDEX(Aux_HH!$E$4:$E$18,MATCH($B981&amp;"|"&amp;$E981,Aux_HH!$A$4:$A$18,0)))</f>
        <v>0</v>
      </c>
      <c r="I981" s="0" t="n">
        <f aca="false">IF($F981=0,0,INDEX(Aux_HH!$F$4:$F$18,MATCH($B981&amp;"|"&amp;$E981,Aux_HH!$A$4:$A$18,0)))</f>
        <v>0</v>
      </c>
      <c r="J981" s="0" t="n">
        <f aca="false">IF($F981=0,0,INDEX(Aux_HH!$G$4:$G$18,MATCH($B981&amp;"|"&amp;$E981,Aux_HH!$A$4:$A$18,0)))</f>
        <v>0</v>
      </c>
      <c r="K981" s="0" t="n">
        <f aca="false">IF($F981=0,0,INDEX(Aux_HH!$H$4:$H$18,MATCH($B981&amp;"|"&amp;$E981,Aux_HH!$A$4:$A$18,0)))</f>
        <v>0</v>
      </c>
      <c r="L981" s="0" t="n">
        <f aca="false">IF($F981=0,0,INDEX(Aux_HH!$I$4:$I$18,MATCH($B981&amp;"|"&amp;$E981,Aux_HH!$A$4:$A$18,0)))</f>
        <v>0</v>
      </c>
    </row>
    <row r="982" customFormat="false" ht="15" hidden="false" customHeight="false" outlineLevel="0" collapsed="false">
      <c r="A982" s="0" t="str">
        <f aca="false">IF(Frota!$A23="","",Frota!$A23)</f>
        <v/>
      </c>
      <c r="B982" s="0" t="str">
        <f aca="false">IF(Frota!$A23="","",Frota!$B23)</f>
        <v/>
      </c>
      <c r="C982" s="0" t="n">
        <v>43</v>
      </c>
      <c r="D982" s="0" t="n">
        <f aca="false">INDEX(Semanas!$E$3:$E$54,43)</f>
        <v>1</v>
      </c>
      <c r="E982" s="0" t="str">
        <f aca="false">IF(Frota!$A23="","",Cronograma!AR23)</f>
        <v/>
      </c>
      <c r="F982" s="0" t="n">
        <f aca="false">IF(OR($E982="",$E982=0),0,1)</f>
        <v>0</v>
      </c>
      <c r="G982" s="0" t="n">
        <f aca="false">IF($F982=0,0,INDEX(Aux_HH!$D$4:$D$18,MATCH($B982&amp;"|"&amp;$E982,Aux_HH!$A$4:$A$18,0)))</f>
        <v>0</v>
      </c>
      <c r="H982" s="0" t="n">
        <f aca="false">IF($F982=0,0,INDEX(Aux_HH!$E$4:$E$18,MATCH($B982&amp;"|"&amp;$E982,Aux_HH!$A$4:$A$18,0)))</f>
        <v>0</v>
      </c>
      <c r="I982" s="0" t="n">
        <f aca="false">IF($F982=0,0,INDEX(Aux_HH!$F$4:$F$18,MATCH($B982&amp;"|"&amp;$E982,Aux_HH!$A$4:$A$18,0)))</f>
        <v>0</v>
      </c>
      <c r="J982" s="0" t="n">
        <f aca="false">IF($F982=0,0,INDEX(Aux_HH!$G$4:$G$18,MATCH($B982&amp;"|"&amp;$E982,Aux_HH!$A$4:$A$18,0)))</f>
        <v>0</v>
      </c>
      <c r="K982" s="0" t="n">
        <f aca="false">IF($F982=0,0,INDEX(Aux_HH!$H$4:$H$18,MATCH($B982&amp;"|"&amp;$E982,Aux_HH!$A$4:$A$18,0)))</f>
        <v>0</v>
      </c>
      <c r="L982" s="0" t="n">
        <f aca="false">IF($F982=0,0,INDEX(Aux_HH!$I$4:$I$18,MATCH($B982&amp;"|"&amp;$E982,Aux_HH!$A$4:$A$18,0)))</f>
        <v>0</v>
      </c>
    </row>
    <row r="983" customFormat="false" ht="15" hidden="false" customHeight="false" outlineLevel="0" collapsed="false">
      <c r="A983" s="0" t="str">
        <f aca="false">IF(Frota!$A23="","",Frota!$A23)</f>
        <v/>
      </c>
      <c r="B983" s="0" t="str">
        <f aca="false">IF(Frota!$A23="","",Frota!$B23)</f>
        <v/>
      </c>
      <c r="C983" s="0" t="n">
        <v>44</v>
      </c>
      <c r="D983" s="0" t="n">
        <f aca="false">INDEX(Semanas!$E$3:$E$54,44)</f>
        <v>1</v>
      </c>
      <c r="E983" s="0" t="str">
        <f aca="false">IF(Frota!$A23="","",Cronograma!AS23)</f>
        <v/>
      </c>
      <c r="F983" s="0" t="n">
        <f aca="false">IF(OR($E983="",$E983=0),0,1)</f>
        <v>0</v>
      </c>
      <c r="G983" s="0" t="n">
        <f aca="false">IF($F983=0,0,INDEX(Aux_HH!$D$4:$D$18,MATCH($B983&amp;"|"&amp;$E983,Aux_HH!$A$4:$A$18,0)))</f>
        <v>0</v>
      </c>
      <c r="H983" s="0" t="n">
        <f aca="false">IF($F983=0,0,INDEX(Aux_HH!$E$4:$E$18,MATCH($B983&amp;"|"&amp;$E983,Aux_HH!$A$4:$A$18,0)))</f>
        <v>0</v>
      </c>
      <c r="I983" s="0" t="n">
        <f aca="false">IF($F983=0,0,INDEX(Aux_HH!$F$4:$F$18,MATCH($B983&amp;"|"&amp;$E983,Aux_HH!$A$4:$A$18,0)))</f>
        <v>0</v>
      </c>
      <c r="J983" s="0" t="n">
        <f aca="false">IF($F983=0,0,INDEX(Aux_HH!$G$4:$G$18,MATCH($B983&amp;"|"&amp;$E983,Aux_HH!$A$4:$A$18,0)))</f>
        <v>0</v>
      </c>
      <c r="K983" s="0" t="n">
        <f aca="false">IF($F983=0,0,INDEX(Aux_HH!$H$4:$H$18,MATCH($B983&amp;"|"&amp;$E983,Aux_HH!$A$4:$A$18,0)))</f>
        <v>0</v>
      </c>
      <c r="L983" s="0" t="n">
        <f aca="false">IF($F983=0,0,INDEX(Aux_HH!$I$4:$I$18,MATCH($B983&amp;"|"&amp;$E983,Aux_HH!$A$4:$A$18,0)))</f>
        <v>0</v>
      </c>
    </row>
    <row r="984" customFormat="false" ht="15" hidden="false" customHeight="false" outlineLevel="0" collapsed="false">
      <c r="A984" s="0" t="str">
        <f aca="false">IF(Frota!$A23="","",Frota!$A23)</f>
        <v/>
      </c>
      <c r="B984" s="0" t="str">
        <f aca="false">IF(Frota!$A23="","",Frota!$B23)</f>
        <v/>
      </c>
      <c r="C984" s="0" t="n">
        <v>45</v>
      </c>
      <c r="D984" s="0" t="n">
        <f aca="false">INDEX(Semanas!$E$3:$E$54,45)</f>
        <v>2</v>
      </c>
      <c r="E984" s="0" t="str">
        <f aca="false">IF(Frota!$A23="","",Cronograma!AT23)</f>
        <v/>
      </c>
      <c r="F984" s="0" t="n">
        <f aca="false">IF(OR($E984="",$E984=0),0,1)</f>
        <v>0</v>
      </c>
      <c r="G984" s="0" t="n">
        <f aca="false">IF($F984=0,0,INDEX(Aux_HH!$D$4:$D$18,MATCH($B984&amp;"|"&amp;$E984,Aux_HH!$A$4:$A$18,0)))</f>
        <v>0</v>
      </c>
      <c r="H984" s="0" t="n">
        <f aca="false">IF($F984=0,0,INDEX(Aux_HH!$E$4:$E$18,MATCH($B984&amp;"|"&amp;$E984,Aux_HH!$A$4:$A$18,0)))</f>
        <v>0</v>
      </c>
      <c r="I984" s="0" t="n">
        <f aca="false">IF($F984=0,0,INDEX(Aux_HH!$F$4:$F$18,MATCH($B984&amp;"|"&amp;$E984,Aux_HH!$A$4:$A$18,0)))</f>
        <v>0</v>
      </c>
      <c r="J984" s="0" t="n">
        <f aca="false">IF($F984=0,0,INDEX(Aux_HH!$G$4:$G$18,MATCH($B984&amp;"|"&amp;$E984,Aux_HH!$A$4:$A$18,0)))</f>
        <v>0</v>
      </c>
      <c r="K984" s="0" t="n">
        <f aca="false">IF($F984=0,0,INDEX(Aux_HH!$H$4:$H$18,MATCH($B984&amp;"|"&amp;$E984,Aux_HH!$A$4:$A$18,0)))</f>
        <v>0</v>
      </c>
      <c r="L984" s="0" t="n">
        <f aca="false">IF($F984=0,0,INDEX(Aux_HH!$I$4:$I$18,MATCH($B984&amp;"|"&amp;$E984,Aux_HH!$A$4:$A$18,0)))</f>
        <v>0</v>
      </c>
    </row>
    <row r="985" customFormat="false" ht="15" hidden="false" customHeight="false" outlineLevel="0" collapsed="false">
      <c r="A985" s="0" t="str">
        <f aca="false">IF(Frota!$A23="","",Frota!$A23)</f>
        <v/>
      </c>
      <c r="B985" s="0" t="str">
        <f aca="false">IF(Frota!$A23="","",Frota!$B23)</f>
        <v/>
      </c>
      <c r="C985" s="0" t="n">
        <v>46</v>
      </c>
      <c r="D985" s="0" t="n">
        <f aca="false">INDEX(Semanas!$E$3:$E$54,46)</f>
        <v>2</v>
      </c>
      <c r="E985" s="0" t="str">
        <f aca="false">IF(Frota!$A23="","",Cronograma!AU23)</f>
        <v/>
      </c>
      <c r="F985" s="0" t="n">
        <f aca="false">IF(OR($E985="",$E985=0),0,1)</f>
        <v>0</v>
      </c>
      <c r="G985" s="0" t="n">
        <f aca="false">IF($F985=0,0,INDEX(Aux_HH!$D$4:$D$18,MATCH($B985&amp;"|"&amp;$E985,Aux_HH!$A$4:$A$18,0)))</f>
        <v>0</v>
      </c>
      <c r="H985" s="0" t="n">
        <f aca="false">IF($F985=0,0,INDEX(Aux_HH!$E$4:$E$18,MATCH($B985&amp;"|"&amp;$E985,Aux_HH!$A$4:$A$18,0)))</f>
        <v>0</v>
      </c>
      <c r="I985" s="0" t="n">
        <f aca="false">IF($F985=0,0,INDEX(Aux_HH!$F$4:$F$18,MATCH($B985&amp;"|"&amp;$E985,Aux_HH!$A$4:$A$18,0)))</f>
        <v>0</v>
      </c>
      <c r="J985" s="0" t="n">
        <f aca="false">IF($F985=0,0,INDEX(Aux_HH!$G$4:$G$18,MATCH($B985&amp;"|"&amp;$E985,Aux_HH!$A$4:$A$18,0)))</f>
        <v>0</v>
      </c>
      <c r="K985" s="0" t="n">
        <f aca="false">IF($F985=0,0,INDEX(Aux_HH!$H$4:$H$18,MATCH($B985&amp;"|"&amp;$E985,Aux_HH!$A$4:$A$18,0)))</f>
        <v>0</v>
      </c>
      <c r="L985" s="0" t="n">
        <f aca="false">IF($F985=0,0,INDEX(Aux_HH!$I$4:$I$18,MATCH($B985&amp;"|"&amp;$E985,Aux_HH!$A$4:$A$18,0)))</f>
        <v>0</v>
      </c>
    </row>
    <row r="986" customFormat="false" ht="15" hidden="false" customHeight="false" outlineLevel="0" collapsed="false">
      <c r="A986" s="0" t="str">
        <f aca="false">IF(Frota!$A23="","",Frota!$A23)</f>
        <v/>
      </c>
      <c r="B986" s="0" t="str">
        <f aca="false">IF(Frota!$A23="","",Frota!$B23)</f>
        <v/>
      </c>
      <c r="C986" s="0" t="n">
        <v>47</v>
      </c>
      <c r="D986" s="0" t="n">
        <f aca="false">INDEX(Semanas!$E$3:$E$54,47)</f>
        <v>2</v>
      </c>
      <c r="E986" s="0" t="str">
        <f aca="false">IF(Frota!$A23="","",Cronograma!AV23)</f>
        <v/>
      </c>
      <c r="F986" s="0" t="n">
        <f aca="false">IF(OR($E986="",$E986=0),0,1)</f>
        <v>0</v>
      </c>
      <c r="G986" s="0" t="n">
        <f aca="false">IF($F986=0,0,INDEX(Aux_HH!$D$4:$D$18,MATCH($B986&amp;"|"&amp;$E986,Aux_HH!$A$4:$A$18,0)))</f>
        <v>0</v>
      </c>
      <c r="H986" s="0" t="n">
        <f aca="false">IF($F986=0,0,INDEX(Aux_HH!$E$4:$E$18,MATCH($B986&amp;"|"&amp;$E986,Aux_HH!$A$4:$A$18,0)))</f>
        <v>0</v>
      </c>
      <c r="I986" s="0" t="n">
        <f aca="false">IF($F986=0,0,INDEX(Aux_HH!$F$4:$F$18,MATCH($B986&amp;"|"&amp;$E986,Aux_HH!$A$4:$A$18,0)))</f>
        <v>0</v>
      </c>
      <c r="J986" s="0" t="n">
        <f aca="false">IF($F986=0,0,INDEX(Aux_HH!$G$4:$G$18,MATCH($B986&amp;"|"&amp;$E986,Aux_HH!$A$4:$A$18,0)))</f>
        <v>0</v>
      </c>
      <c r="K986" s="0" t="n">
        <f aca="false">IF($F986=0,0,INDEX(Aux_HH!$H$4:$H$18,MATCH($B986&amp;"|"&amp;$E986,Aux_HH!$A$4:$A$18,0)))</f>
        <v>0</v>
      </c>
      <c r="L986" s="0" t="n">
        <f aca="false">IF($F986=0,0,INDEX(Aux_HH!$I$4:$I$18,MATCH($B986&amp;"|"&amp;$E986,Aux_HH!$A$4:$A$18,0)))</f>
        <v>0</v>
      </c>
    </row>
    <row r="987" customFormat="false" ht="15" hidden="false" customHeight="false" outlineLevel="0" collapsed="false">
      <c r="A987" s="0" t="str">
        <f aca="false">IF(Frota!$A23="","",Frota!$A23)</f>
        <v/>
      </c>
      <c r="B987" s="0" t="str">
        <f aca="false">IF(Frota!$A23="","",Frota!$B23)</f>
        <v/>
      </c>
      <c r="C987" s="0" t="n">
        <v>48</v>
      </c>
      <c r="D987" s="0" t="n">
        <f aca="false">INDEX(Semanas!$E$3:$E$54,48)</f>
        <v>2</v>
      </c>
      <c r="E987" s="0" t="str">
        <f aca="false">IF(Frota!$A23="","",Cronograma!AW23)</f>
        <v/>
      </c>
      <c r="F987" s="0" t="n">
        <f aca="false">IF(OR($E987="",$E987=0),0,1)</f>
        <v>0</v>
      </c>
      <c r="G987" s="0" t="n">
        <f aca="false">IF($F987=0,0,INDEX(Aux_HH!$D$4:$D$18,MATCH($B987&amp;"|"&amp;$E987,Aux_HH!$A$4:$A$18,0)))</f>
        <v>0</v>
      </c>
      <c r="H987" s="0" t="n">
        <f aca="false">IF($F987=0,0,INDEX(Aux_HH!$E$4:$E$18,MATCH($B987&amp;"|"&amp;$E987,Aux_HH!$A$4:$A$18,0)))</f>
        <v>0</v>
      </c>
      <c r="I987" s="0" t="n">
        <f aca="false">IF($F987=0,0,INDEX(Aux_HH!$F$4:$F$18,MATCH($B987&amp;"|"&amp;$E987,Aux_HH!$A$4:$A$18,0)))</f>
        <v>0</v>
      </c>
      <c r="J987" s="0" t="n">
        <f aca="false">IF($F987=0,0,INDEX(Aux_HH!$G$4:$G$18,MATCH($B987&amp;"|"&amp;$E987,Aux_HH!$A$4:$A$18,0)))</f>
        <v>0</v>
      </c>
      <c r="K987" s="0" t="n">
        <f aca="false">IF($F987=0,0,INDEX(Aux_HH!$H$4:$H$18,MATCH($B987&amp;"|"&amp;$E987,Aux_HH!$A$4:$A$18,0)))</f>
        <v>0</v>
      </c>
      <c r="L987" s="0" t="n">
        <f aca="false">IF($F987=0,0,INDEX(Aux_HH!$I$4:$I$18,MATCH($B987&amp;"|"&amp;$E987,Aux_HH!$A$4:$A$18,0)))</f>
        <v>0</v>
      </c>
    </row>
    <row r="988" customFormat="false" ht="15" hidden="false" customHeight="false" outlineLevel="0" collapsed="false">
      <c r="A988" s="0" t="str">
        <f aca="false">IF(Frota!$A23="","",Frota!$A23)</f>
        <v/>
      </c>
      <c r="B988" s="0" t="str">
        <f aca="false">IF(Frota!$A23="","",Frota!$B23)</f>
        <v/>
      </c>
      <c r="C988" s="0" t="n">
        <v>49</v>
      </c>
      <c r="D988" s="0" t="n">
        <f aca="false">INDEX(Semanas!$E$3:$E$54,49)</f>
        <v>3</v>
      </c>
      <c r="E988" s="0" t="str">
        <f aca="false">IF(Frota!$A23="","",Cronograma!AX23)</f>
        <v/>
      </c>
      <c r="F988" s="0" t="n">
        <f aca="false">IF(OR($E988="",$E988=0),0,1)</f>
        <v>0</v>
      </c>
      <c r="G988" s="0" t="n">
        <f aca="false">IF($F988=0,0,INDEX(Aux_HH!$D$4:$D$18,MATCH($B988&amp;"|"&amp;$E988,Aux_HH!$A$4:$A$18,0)))</f>
        <v>0</v>
      </c>
      <c r="H988" s="0" t="n">
        <f aca="false">IF($F988=0,0,INDEX(Aux_HH!$E$4:$E$18,MATCH($B988&amp;"|"&amp;$E988,Aux_HH!$A$4:$A$18,0)))</f>
        <v>0</v>
      </c>
      <c r="I988" s="0" t="n">
        <f aca="false">IF($F988=0,0,INDEX(Aux_HH!$F$4:$F$18,MATCH($B988&amp;"|"&amp;$E988,Aux_HH!$A$4:$A$18,0)))</f>
        <v>0</v>
      </c>
      <c r="J988" s="0" t="n">
        <f aca="false">IF($F988=0,0,INDEX(Aux_HH!$G$4:$G$18,MATCH($B988&amp;"|"&amp;$E988,Aux_HH!$A$4:$A$18,0)))</f>
        <v>0</v>
      </c>
      <c r="K988" s="0" t="n">
        <f aca="false">IF($F988=0,0,INDEX(Aux_HH!$H$4:$H$18,MATCH($B988&amp;"|"&amp;$E988,Aux_HH!$A$4:$A$18,0)))</f>
        <v>0</v>
      </c>
      <c r="L988" s="0" t="n">
        <f aca="false">IF($F988=0,0,INDEX(Aux_HH!$I$4:$I$18,MATCH($B988&amp;"|"&amp;$E988,Aux_HH!$A$4:$A$18,0)))</f>
        <v>0</v>
      </c>
    </row>
    <row r="989" customFormat="false" ht="15" hidden="false" customHeight="false" outlineLevel="0" collapsed="false">
      <c r="A989" s="0" t="str">
        <f aca="false">IF(Frota!$A23="","",Frota!$A23)</f>
        <v/>
      </c>
      <c r="B989" s="0" t="str">
        <f aca="false">IF(Frota!$A23="","",Frota!$B23)</f>
        <v/>
      </c>
      <c r="C989" s="0" t="n">
        <v>50</v>
      </c>
      <c r="D989" s="0" t="n">
        <f aca="false">INDEX(Semanas!$E$3:$E$54,50)</f>
        <v>3</v>
      </c>
      <c r="E989" s="0" t="str">
        <f aca="false">IF(Frota!$A23="","",Cronograma!AY23)</f>
        <v/>
      </c>
      <c r="F989" s="0" t="n">
        <f aca="false">IF(OR($E989="",$E989=0),0,1)</f>
        <v>0</v>
      </c>
      <c r="G989" s="0" t="n">
        <f aca="false">IF($F989=0,0,INDEX(Aux_HH!$D$4:$D$18,MATCH($B989&amp;"|"&amp;$E989,Aux_HH!$A$4:$A$18,0)))</f>
        <v>0</v>
      </c>
      <c r="H989" s="0" t="n">
        <f aca="false">IF($F989=0,0,INDEX(Aux_HH!$E$4:$E$18,MATCH($B989&amp;"|"&amp;$E989,Aux_HH!$A$4:$A$18,0)))</f>
        <v>0</v>
      </c>
      <c r="I989" s="0" t="n">
        <f aca="false">IF($F989=0,0,INDEX(Aux_HH!$F$4:$F$18,MATCH($B989&amp;"|"&amp;$E989,Aux_HH!$A$4:$A$18,0)))</f>
        <v>0</v>
      </c>
      <c r="J989" s="0" t="n">
        <f aca="false">IF($F989=0,0,INDEX(Aux_HH!$G$4:$G$18,MATCH($B989&amp;"|"&amp;$E989,Aux_HH!$A$4:$A$18,0)))</f>
        <v>0</v>
      </c>
      <c r="K989" s="0" t="n">
        <f aca="false">IF($F989=0,0,INDEX(Aux_HH!$H$4:$H$18,MATCH($B989&amp;"|"&amp;$E989,Aux_HH!$A$4:$A$18,0)))</f>
        <v>0</v>
      </c>
      <c r="L989" s="0" t="n">
        <f aca="false">IF($F989=0,0,INDEX(Aux_HH!$I$4:$I$18,MATCH($B989&amp;"|"&amp;$E989,Aux_HH!$A$4:$A$18,0)))</f>
        <v>0</v>
      </c>
    </row>
    <row r="990" customFormat="false" ht="15" hidden="false" customHeight="false" outlineLevel="0" collapsed="false">
      <c r="A990" s="0" t="str">
        <f aca="false">IF(Frota!$A23="","",Frota!$A23)</f>
        <v/>
      </c>
      <c r="B990" s="0" t="str">
        <f aca="false">IF(Frota!$A23="","",Frota!$B23)</f>
        <v/>
      </c>
      <c r="C990" s="0" t="n">
        <v>51</v>
      </c>
      <c r="D990" s="0" t="n">
        <f aca="false">INDEX(Semanas!$E$3:$E$54,51)</f>
        <v>3</v>
      </c>
      <c r="E990" s="0" t="str">
        <f aca="false">IF(Frota!$A23="","",Cronograma!AZ23)</f>
        <v/>
      </c>
      <c r="F990" s="0" t="n">
        <f aca="false">IF(OR($E990="",$E990=0),0,1)</f>
        <v>0</v>
      </c>
      <c r="G990" s="0" t="n">
        <f aca="false">IF($F990=0,0,INDEX(Aux_HH!$D$4:$D$18,MATCH($B990&amp;"|"&amp;$E990,Aux_HH!$A$4:$A$18,0)))</f>
        <v>0</v>
      </c>
      <c r="H990" s="0" t="n">
        <f aca="false">IF($F990=0,0,INDEX(Aux_HH!$E$4:$E$18,MATCH($B990&amp;"|"&amp;$E990,Aux_HH!$A$4:$A$18,0)))</f>
        <v>0</v>
      </c>
      <c r="I990" s="0" t="n">
        <f aca="false">IF($F990=0,0,INDEX(Aux_HH!$F$4:$F$18,MATCH($B990&amp;"|"&amp;$E990,Aux_HH!$A$4:$A$18,0)))</f>
        <v>0</v>
      </c>
      <c r="J990" s="0" t="n">
        <f aca="false">IF($F990=0,0,INDEX(Aux_HH!$G$4:$G$18,MATCH($B990&amp;"|"&amp;$E990,Aux_HH!$A$4:$A$18,0)))</f>
        <v>0</v>
      </c>
      <c r="K990" s="0" t="n">
        <f aca="false">IF($F990=0,0,INDEX(Aux_HH!$H$4:$H$18,MATCH($B990&amp;"|"&amp;$E990,Aux_HH!$A$4:$A$18,0)))</f>
        <v>0</v>
      </c>
      <c r="L990" s="0" t="n">
        <f aca="false">IF($F990=0,0,INDEX(Aux_HH!$I$4:$I$18,MATCH($B990&amp;"|"&amp;$E990,Aux_HH!$A$4:$A$18,0)))</f>
        <v>0</v>
      </c>
    </row>
    <row r="991" customFormat="false" ht="15" hidden="false" customHeight="false" outlineLevel="0" collapsed="false">
      <c r="A991" s="0" t="str">
        <f aca="false">IF(Frota!$A23="","",Frota!$A23)</f>
        <v/>
      </c>
      <c r="B991" s="0" t="str">
        <f aca="false">IF(Frota!$A23="","",Frota!$B23)</f>
        <v/>
      </c>
      <c r="C991" s="0" t="n">
        <v>52</v>
      </c>
      <c r="D991" s="0" t="n">
        <f aca="false">INDEX(Semanas!$E$3:$E$54,52)</f>
        <v>3</v>
      </c>
      <c r="E991" s="0" t="str">
        <f aca="false">IF(Frota!$A23="","",Cronograma!BA23)</f>
        <v/>
      </c>
      <c r="F991" s="0" t="n">
        <f aca="false">IF(OR($E991="",$E991=0),0,1)</f>
        <v>0</v>
      </c>
      <c r="G991" s="0" t="n">
        <f aca="false">IF($F991=0,0,INDEX(Aux_HH!$D$4:$D$18,MATCH($B991&amp;"|"&amp;$E991,Aux_HH!$A$4:$A$18,0)))</f>
        <v>0</v>
      </c>
      <c r="H991" s="0" t="n">
        <f aca="false">IF($F991=0,0,INDEX(Aux_HH!$E$4:$E$18,MATCH($B991&amp;"|"&amp;$E991,Aux_HH!$A$4:$A$18,0)))</f>
        <v>0</v>
      </c>
      <c r="I991" s="0" t="n">
        <f aca="false">IF($F991=0,0,INDEX(Aux_HH!$F$4:$F$18,MATCH($B991&amp;"|"&amp;$E991,Aux_HH!$A$4:$A$18,0)))</f>
        <v>0</v>
      </c>
      <c r="J991" s="0" t="n">
        <f aca="false">IF($F991=0,0,INDEX(Aux_HH!$G$4:$G$18,MATCH($B991&amp;"|"&amp;$E991,Aux_HH!$A$4:$A$18,0)))</f>
        <v>0</v>
      </c>
      <c r="K991" s="0" t="n">
        <f aca="false">IF($F991=0,0,INDEX(Aux_HH!$H$4:$H$18,MATCH($B991&amp;"|"&amp;$E991,Aux_HH!$A$4:$A$18,0)))</f>
        <v>0</v>
      </c>
      <c r="L991" s="0" t="n">
        <f aca="false">IF($F991=0,0,INDEX(Aux_HH!$I$4:$I$18,MATCH($B991&amp;"|"&amp;$E991,Aux_HH!$A$4:$A$18,0)))</f>
        <v>0</v>
      </c>
    </row>
    <row r="992" customFormat="false" ht="15" hidden="false" customHeight="false" outlineLevel="0" collapsed="false">
      <c r="A992" s="0" t="str">
        <f aca="false">IF(Frota!$A24="","",Frota!$A24)</f>
        <v/>
      </c>
      <c r="B992" s="0" t="str">
        <f aca="false">IF(Frota!$A24="","",Frota!$B24)</f>
        <v/>
      </c>
      <c r="C992" s="0" t="n">
        <v>1</v>
      </c>
      <c r="D992" s="0" t="n">
        <f aca="false">INDEX(Semanas!$E$3:$E$54,1)</f>
        <v>4</v>
      </c>
      <c r="E992" s="0" t="str">
        <f aca="false">IF(Frota!$A24="","",Cronograma!B24)</f>
        <v/>
      </c>
      <c r="F992" s="0" t="n">
        <f aca="false">IF(OR($E992="",$E992=0),0,1)</f>
        <v>0</v>
      </c>
      <c r="G992" s="0" t="n">
        <f aca="false">IF($F992=0,0,INDEX(Aux_HH!$D$4:$D$18,MATCH($B992&amp;"|"&amp;$E992,Aux_HH!$A$4:$A$18,0)))</f>
        <v>0</v>
      </c>
      <c r="H992" s="0" t="n">
        <f aca="false">IF($F992=0,0,INDEX(Aux_HH!$E$4:$E$18,MATCH($B992&amp;"|"&amp;$E992,Aux_HH!$A$4:$A$18,0)))</f>
        <v>0</v>
      </c>
      <c r="I992" s="0" t="n">
        <f aca="false">IF($F992=0,0,INDEX(Aux_HH!$F$4:$F$18,MATCH($B992&amp;"|"&amp;$E992,Aux_HH!$A$4:$A$18,0)))</f>
        <v>0</v>
      </c>
      <c r="J992" s="0" t="n">
        <f aca="false">IF($F992=0,0,INDEX(Aux_HH!$G$4:$G$18,MATCH($B992&amp;"|"&amp;$E992,Aux_HH!$A$4:$A$18,0)))</f>
        <v>0</v>
      </c>
      <c r="K992" s="0" t="n">
        <f aca="false">IF($F992=0,0,INDEX(Aux_HH!$H$4:$H$18,MATCH($B992&amp;"|"&amp;$E992,Aux_HH!$A$4:$A$18,0)))</f>
        <v>0</v>
      </c>
      <c r="L992" s="0" t="n">
        <f aca="false">IF($F992=0,0,INDEX(Aux_HH!$I$4:$I$18,MATCH($B992&amp;"|"&amp;$E992,Aux_HH!$A$4:$A$18,0)))</f>
        <v>0</v>
      </c>
    </row>
    <row r="993" customFormat="false" ht="15" hidden="false" customHeight="false" outlineLevel="0" collapsed="false">
      <c r="A993" s="0" t="str">
        <f aca="false">IF(Frota!$A24="","",Frota!$A24)</f>
        <v/>
      </c>
      <c r="B993" s="0" t="str">
        <f aca="false">IF(Frota!$A24="","",Frota!$B24)</f>
        <v/>
      </c>
      <c r="C993" s="0" t="n">
        <v>2</v>
      </c>
      <c r="D993" s="0" t="n">
        <f aca="false">INDEX(Semanas!$E$3:$E$54,2)</f>
        <v>4</v>
      </c>
      <c r="E993" s="0" t="str">
        <f aca="false">IF(Frota!$A24="","",Cronograma!C24)</f>
        <v/>
      </c>
      <c r="F993" s="0" t="n">
        <f aca="false">IF(OR($E993="",$E993=0),0,1)</f>
        <v>0</v>
      </c>
      <c r="G993" s="0" t="n">
        <f aca="false">IF($F993=0,0,INDEX(Aux_HH!$D$4:$D$18,MATCH($B993&amp;"|"&amp;$E993,Aux_HH!$A$4:$A$18,0)))</f>
        <v>0</v>
      </c>
      <c r="H993" s="0" t="n">
        <f aca="false">IF($F993=0,0,INDEX(Aux_HH!$E$4:$E$18,MATCH($B993&amp;"|"&amp;$E993,Aux_HH!$A$4:$A$18,0)))</f>
        <v>0</v>
      </c>
      <c r="I993" s="0" t="n">
        <f aca="false">IF($F993=0,0,INDEX(Aux_HH!$F$4:$F$18,MATCH($B993&amp;"|"&amp;$E993,Aux_HH!$A$4:$A$18,0)))</f>
        <v>0</v>
      </c>
      <c r="J993" s="0" t="n">
        <f aca="false">IF($F993=0,0,INDEX(Aux_HH!$G$4:$G$18,MATCH($B993&amp;"|"&amp;$E993,Aux_HH!$A$4:$A$18,0)))</f>
        <v>0</v>
      </c>
      <c r="K993" s="0" t="n">
        <f aca="false">IF($F993=0,0,INDEX(Aux_HH!$H$4:$H$18,MATCH($B993&amp;"|"&amp;$E993,Aux_HH!$A$4:$A$18,0)))</f>
        <v>0</v>
      </c>
      <c r="L993" s="0" t="n">
        <f aca="false">IF($F993=0,0,INDEX(Aux_HH!$I$4:$I$18,MATCH($B993&amp;"|"&amp;$E993,Aux_HH!$A$4:$A$18,0)))</f>
        <v>0</v>
      </c>
    </row>
    <row r="994" customFormat="false" ht="15" hidden="false" customHeight="false" outlineLevel="0" collapsed="false">
      <c r="A994" s="0" t="str">
        <f aca="false">IF(Frota!$A24="","",Frota!$A24)</f>
        <v/>
      </c>
      <c r="B994" s="0" t="str">
        <f aca="false">IF(Frota!$A24="","",Frota!$B24)</f>
        <v/>
      </c>
      <c r="C994" s="0" t="n">
        <v>3</v>
      </c>
      <c r="D994" s="0" t="n">
        <f aca="false">INDEX(Semanas!$E$3:$E$54,3)</f>
        <v>4</v>
      </c>
      <c r="E994" s="0" t="str">
        <f aca="false">IF(Frota!$A24="","",Cronograma!D24)</f>
        <v/>
      </c>
      <c r="F994" s="0" t="n">
        <f aca="false">IF(OR($E994="",$E994=0),0,1)</f>
        <v>0</v>
      </c>
      <c r="G994" s="0" t="n">
        <f aca="false">IF($F994=0,0,INDEX(Aux_HH!$D$4:$D$18,MATCH($B994&amp;"|"&amp;$E994,Aux_HH!$A$4:$A$18,0)))</f>
        <v>0</v>
      </c>
      <c r="H994" s="0" t="n">
        <f aca="false">IF($F994=0,0,INDEX(Aux_HH!$E$4:$E$18,MATCH($B994&amp;"|"&amp;$E994,Aux_HH!$A$4:$A$18,0)))</f>
        <v>0</v>
      </c>
      <c r="I994" s="0" t="n">
        <f aca="false">IF($F994=0,0,INDEX(Aux_HH!$F$4:$F$18,MATCH($B994&amp;"|"&amp;$E994,Aux_HH!$A$4:$A$18,0)))</f>
        <v>0</v>
      </c>
      <c r="J994" s="0" t="n">
        <f aca="false">IF($F994=0,0,INDEX(Aux_HH!$G$4:$G$18,MATCH($B994&amp;"|"&amp;$E994,Aux_HH!$A$4:$A$18,0)))</f>
        <v>0</v>
      </c>
      <c r="K994" s="0" t="n">
        <f aca="false">IF($F994=0,0,INDEX(Aux_HH!$H$4:$H$18,MATCH($B994&amp;"|"&amp;$E994,Aux_HH!$A$4:$A$18,0)))</f>
        <v>0</v>
      </c>
      <c r="L994" s="0" t="n">
        <f aca="false">IF($F994=0,0,INDEX(Aux_HH!$I$4:$I$18,MATCH($B994&amp;"|"&amp;$E994,Aux_HH!$A$4:$A$18,0)))</f>
        <v>0</v>
      </c>
    </row>
    <row r="995" customFormat="false" ht="15" hidden="false" customHeight="false" outlineLevel="0" collapsed="false">
      <c r="A995" s="0" t="str">
        <f aca="false">IF(Frota!$A24="","",Frota!$A24)</f>
        <v/>
      </c>
      <c r="B995" s="0" t="str">
        <f aca="false">IF(Frota!$A24="","",Frota!$B24)</f>
        <v/>
      </c>
      <c r="C995" s="0" t="n">
        <v>4</v>
      </c>
      <c r="D995" s="0" t="n">
        <f aca="false">INDEX(Semanas!$E$3:$E$54,4)</f>
        <v>4</v>
      </c>
      <c r="E995" s="0" t="str">
        <f aca="false">IF(Frota!$A24="","",Cronograma!E24)</f>
        <v/>
      </c>
      <c r="F995" s="0" t="n">
        <f aca="false">IF(OR($E995="",$E995=0),0,1)</f>
        <v>0</v>
      </c>
      <c r="G995" s="0" t="n">
        <f aca="false">IF($F995=0,0,INDEX(Aux_HH!$D$4:$D$18,MATCH($B995&amp;"|"&amp;$E995,Aux_HH!$A$4:$A$18,0)))</f>
        <v>0</v>
      </c>
      <c r="H995" s="0" t="n">
        <f aca="false">IF($F995=0,0,INDEX(Aux_HH!$E$4:$E$18,MATCH($B995&amp;"|"&amp;$E995,Aux_HH!$A$4:$A$18,0)))</f>
        <v>0</v>
      </c>
      <c r="I995" s="0" t="n">
        <f aca="false">IF($F995=0,0,INDEX(Aux_HH!$F$4:$F$18,MATCH($B995&amp;"|"&amp;$E995,Aux_HH!$A$4:$A$18,0)))</f>
        <v>0</v>
      </c>
      <c r="J995" s="0" t="n">
        <f aca="false">IF($F995=0,0,INDEX(Aux_HH!$G$4:$G$18,MATCH($B995&amp;"|"&amp;$E995,Aux_HH!$A$4:$A$18,0)))</f>
        <v>0</v>
      </c>
      <c r="K995" s="0" t="n">
        <f aca="false">IF($F995=0,0,INDEX(Aux_HH!$H$4:$H$18,MATCH($B995&amp;"|"&amp;$E995,Aux_HH!$A$4:$A$18,0)))</f>
        <v>0</v>
      </c>
      <c r="L995" s="0" t="n">
        <f aca="false">IF($F995=0,0,INDEX(Aux_HH!$I$4:$I$18,MATCH($B995&amp;"|"&amp;$E995,Aux_HH!$A$4:$A$18,0)))</f>
        <v>0</v>
      </c>
    </row>
    <row r="996" customFormat="false" ht="15" hidden="false" customHeight="false" outlineLevel="0" collapsed="false">
      <c r="A996" s="0" t="str">
        <f aca="false">IF(Frota!$A24="","",Frota!$A24)</f>
        <v/>
      </c>
      <c r="B996" s="0" t="str">
        <f aca="false">IF(Frota!$A24="","",Frota!$B24)</f>
        <v/>
      </c>
      <c r="C996" s="0" t="n">
        <v>5</v>
      </c>
      <c r="D996" s="0" t="n">
        <f aca="false">INDEX(Semanas!$E$3:$E$54,5)</f>
        <v>4</v>
      </c>
      <c r="E996" s="0" t="str">
        <f aca="false">IF(Frota!$A24="","",Cronograma!F24)</f>
        <v/>
      </c>
      <c r="F996" s="0" t="n">
        <f aca="false">IF(OR($E996="",$E996=0),0,1)</f>
        <v>0</v>
      </c>
      <c r="G996" s="0" t="n">
        <f aca="false">IF($F996=0,0,INDEX(Aux_HH!$D$4:$D$18,MATCH($B996&amp;"|"&amp;$E996,Aux_HH!$A$4:$A$18,0)))</f>
        <v>0</v>
      </c>
      <c r="H996" s="0" t="n">
        <f aca="false">IF($F996=0,0,INDEX(Aux_HH!$E$4:$E$18,MATCH($B996&amp;"|"&amp;$E996,Aux_HH!$A$4:$A$18,0)))</f>
        <v>0</v>
      </c>
      <c r="I996" s="0" t="n">
        <f aca="false">IF($F996=0,0,INDEX(Aux_HH!$F$4:$F$18,MATCH($B996&amp;"|"&amp;$E996,Aux_HH!$A$4:$A$18,0)))</f>
        <v>0</v>
      </c>
      <c r="J996" s="0" t="n">
        <f aca="false">IF($F996=0,0,INDEX(Aux_HH!$G$4:$G$18,MATCH($B996&amp;"|"&amp;$E996,Aux_HH!$A$4:$A$18,0)))</f>
        <v>0</v>
      </c>
      <c r="K996" s="0" t="n">
        <f aca="false">IF($F996=0,0,INDEX(Aux_HH!$H$4:$H$18,MATCH($B996&amp;"|"&amp;$E996,Aux_HH!$A$4:$A$18,0)))</f>
        <v>0</v>
      </c>
      <c r="L996" s="0" t="n">
        <f aca="false">IF($F996=0,0,INDEX(Aux_HH!$I$4:$I$18,MATCH($B996&amp;"|"&amp;$E996,Aux_HH!$A$4:$A$18,0)))</f>
        <v>0</v>
      </c>
    </row>
    <row r="997" customFormat="false" ht="15" hidden="false" customHeight="false" outlineLevel="0" collapsed="false">
      <c r="A997" s="0" t="str">
        <f aca="false">IF(Frota!$A24="","",Frota!$A24)</f>
        <v/>
      </c>
      <c r="B997" s="0" t="str">
        <f aca="false">IF(Frota!$A24="","",Frota!$B24)</f>
        <v/>
      </c>
      <c r="C997" s="0" t="n">
        <v>6</v>
      </c>
      <c r="D997" s="0" t="n">
        <f aca="false">INDEX(Semanas!$E$3:$E$54,6)</f>
        <v>5</v>
      </c>
      <c r="E997" s="0" t="str">
        <f aca="false">IF(Frota!$A24="","",Cronograma!G24)</f>
        <v/>
      </c>
      <c r="F997" s="0" t="n">
        <f aca="false">IF(OR($E997="",$E997=0),0,1)</f>
        <v>0</v>
      </c>
      <c r="G997" s="0" t="n">
        <f aca="false">IF($F997=0,0,INDEX(Aux_HH!$D$4:$D$18,MATCH($B997&amp;"|"&amp;$E997,Aux_HH!$A$4:$A$18,0)))</f>
        <v>0</v>
      </c>
      <c r="H997" s="0" t="n">
        <f aca="false">IF($F997=0,0,INDEX(Aux_HH!$E$4:$E$18,MATCH($B997&amp;"|"&amp;$E997,Aux_HH!$A$4:$A$18,0)))</f>
        <v>0</v>
      </c>
      <c r="I997" s="0" t="n">
        <f aca="false">IF($F997=0,0,INDEX(Aux_HH!$F$4:$F$18,MATCH($B997&amp;"|"&amp;$E997,Aux_HH!$A$4:$A$18,0)))</f>
        <v>0</v>
      </c>
      <c r="J997" s="0" t="n">
        <f aca="false">IF($F997=0,0,INDEX(Aux_HH!$G$4:$G$18,MATCH($B997&amp;"|"&amp;$E997,Aux_HH!$A$4:$A$18,0)))</f>
        <v>0</v>
      </c>
      <c r="K997" s="0" t="n">
        <f aca="false">IF($F997=0,0,INDEX(Aux_HH!$H$4:$H$18,MATCH($B997&amp;"|"&amp;$E997,Aux_HH!$A$4:$A$18,0)))</f>
        <v>0</v>
      </c>
      <c r="L997" s="0" t="n">
        <f aca="false">IF($F997=0,0,INDEX(Aux_HH!$I$4:$I$18,MATCH($B997&amp;"|"&amp;$E997,Aux_HH!$A$4:$A$18,0)))</f>
        <v>0</v>
      </c>
    </row>
    <row r="998" customFormat="false" ht="15" hidden="false" customHeight="false" outlineLevel="0" collapsed="false">
      <c r="A998" s="0" t="str">
        <f aca="false">IF(Frota!$A24="","",Frota!$A24)</f>
        <v/>
      </c>
      <c r="B998" s="0" t="str">
        <f aca="false">IF(Frota!$A24="","",Frota!$B24)</f>
        <v/>
      </c>
      <c r="C998" s="0" t="n">
        <v>7</v>
      </c>
      <c r="D998" s="0" t="n">
        <f aca="false">INDEX(Semanas!$E$3:$E$54,7)</f>
        <v>5</v>
      </c>
      <c r="E998" s="0" t="str">
        <f aca="false">IF(Frota!$A24="","",Cronograma!H24)</f>
        <v/>
      </c>
      <c r="F998" s="0" t="n">
        <f aca="false">IF(OR($E998="",$E998=0),0,1)</f>
        <v>0</v>
      </c>
      <c r="G998" s="0" t="n">
        <f aca="false">IF($F998=0,0,INDEX(Aux_HH!$D$4:$D$18,MATCH($B998&amp;"|"&amp;$E998,Aux_HH!$A$4:$A$18,0)))</f>
        <v>0</v>
      </c>
      <c r="H998" s="0" t="n">
        <f aca="false">IF($F998=0,0,INDEX(Aux_HH!$E$4:$E$18,MATCH($B998&amp;"|"&amp;$E998,Aux_HH!$A$4:$A$18,0)))</f>
        <v>0</v>
      </c>
      <c r="I998" s="0" t="n">
        <f aca="false">IF($F998=0,0,INDEX(Aux_HH!$F$4:$F$18,MATCH($B998&amp;"|"&amp;$E998,Aux_HH!$A$4:$A$18,0)))</f>
        <v>0</v>
      </c>
      <c r="J998" s="0" t="n">
        <f aca="false">IF($F998=0,0,INDEX(Aux_HH!$G$4:$G$18,MATCH($B998&amp;"|"&amp;$E998,Aux_HH!$A$4:$A$18,0)))</f>
        <v>0</v>
      </c>
      <c r="K998" s="0" t="n">
        <f aca="false">IF($F998=0,0,INDEX(Aux_HH!$H$4:$H$18,MATCH($B998&amp;"|"&amp;$E998,Aux_HH!$A$4:$A$18,0)))</f>
        <v>0</v>
      </c>
      <c r="L998" s="0" t="n">
        <f aca="false">IF($F998=0,0,INDEX(Aux_HH!$I$4:$I$18,MATCH($B998&amp;"|"&amp;$E998,Aux_HH!$A$4:$A$18,0)))</f>
        <v>0</v>
      </c>
    </row>
    <row r="999" customFormat="false" ht="15" hidden="false" customHeight="false" outlineLevel="0" collapsed="false">
      <c r="A999" s="0" t="str">
        <f aca="false">IF(Frota!$A24="","",Frota!$A24)</f>
        <v/>
      </c>
      <c r="B999" s="0" t="str">
        <f aca="false">IF(Frota!$A24="","",Frota!$B24)</f>
        <v/>
      </c>
      <c r="C999" s="0" t="n">
        <v>8</v>
      </c>
      <c r="D999" s="0" t="n">
        <f aca="false">INDEX(Semanas!$E$3:$E$54,8)</f>
        <v>5</v>
      </c>
      <c r="E999" s="0" t="str">
        <f aca="false">IF(Frota!$A24="","",Cronograma!I24)</f>
        <v/>
      </c>
      <c r="F999" s="0" t="n">
        <f aca="false">IF(OR($E999="",$E999=0),0,1)</f>
        <v>0</v>
      </c>
      <c r="G999" s="0" t="n">
        <f aca="false">IF($F999=0,0,INDEX(Aux_HH!$D$4:$D$18,MATCH($B999&amp;"|"&amp;$E999,Aux_HH!$A$4:$A$18,0)))</f>
        <v>0</v>
      </c>
      <c r="H999" s="0" t="n">
        <f aca="false">IF($F999=0,0,INDEX(Aux_HH!$E$4:$E$18,MATCH($B999&amp;"|"&amp;$E999,Aux_HH!$A$4:$A$18,0)))</f>
        <v>0</v>
      </c>
      <c r="I999" s="0" t="n">
        <f aca="false">IF($F999=0,0,INDEX(Aux_HH!$F$4:$F$18,MATCH($B999&amp;"|"&amp;$E999,Aux_HH!$A$4:$A$18,0)))</f>
        <v>0</v>
      </c>
      <c r="J999" s="0" t="n">
        <f aca="false">IF($F999=0,0,INDEX(Aux_HH!$G$4:$G$18,MATCH($B999&amp;"|"&amp;$E999,Aux_HH!$A$4:$A$18,0)))</f>
        <v>0</v>
      </c>
      <c r="K999" s="0" t="n">
        <f aca="false">IF($F999=0,0,INDEX(Aux_HH!$H$4:$H$18,MATCH($B999&amp;"|"&amp;$E999,Aux_HH!$A$4:$A$18,0)))</f>
        <v>0</v>
      </c>
      <c r="L999" s="0" t="n">
        <f aca="false">IF($F999=0,0,INDEX(Aux_HH!$I$4:$I$18,MATCH($B999&amp;"|"&amp;$E999,Aux_HH!$A$4:$A$18,0)))</f>
        <v>0</v>
      </c>
    </row>
    <row r="1000" customFormat="false" ht="15" hidden="false" customHeight="false" outlineLevel="0" collapsed="false">
      <c r="A1000" s="0" t="str">
        <f aca="false">IF(Frota!$A24="","",Frota!$A24)</f>
        <v/>
      </c>
      <c r="B1000" s="0" t="str">
        <f aca="false">IF(Frota!$A24="","",Frota!$B24)</f>
        <v/>
      </c>
      <c r="C1000" s="0" t="n">
        <v>9</v>
      </c>
      <c r="D1000" s="0" t="n">
        <f aca="false">INDEX(Semanas!$E$3:$E$54,9)</f>
        <v>5</v>
      </c>
      <c r="E1000" s="0" t="str">
        <f aca="false">IF(Frota!$A24="","",Cronograma!J24)</f>
        <v/>
      </c>
      <c r="F1000" s="0" t="n">
        <f aca="false">IF(OR($E1000="",$E1000=0),0,1)</f>
        <v>0</v>
      </c>
      <c r="G1000" s="0" t="n">
        <f aca="false">IF($F1000=0,0,INDEX(Aux_HH!$D$4:$D$18,MATCH($B1000&amp;"|"&amp;$E1000,Aux_HH!$A$4:$A$18,0)))</f>
        <v>0</v>
      </c>
      <c r="H1000" s="0" t="n">
        <f aca="false">IF($F1000=0,0,INDEX(Aux_HH!$E$4:$E$18,MATCH($B1000&amp;"|"&amp;$E1000,Aux_HH!$A$4:$A$18,0)))</f>
        <v>0</v>
      </c>
      <c r="I1000" s="0" t="n">
        <f aca="false">IF($F1000=0,0,INDEX(Aux_HH!$F$4:$F$18,MATCH($B1000&amp;"|"&amp;$E1000,Aux_HH!$A$4:$A$18,0)))</f>
        <v>0</v>
      </c>
      <c r="J1000" s="0" t="n">
        <f aca="false">IF($F1000=0,0,INDEX(Aux_HH!$G$4:$G$18,MATCH($B1000&amp;"|"&amp;$E1000,Aux_HH!$A$4:$A$18,0)))</f>
        <v>0</v>
      </c>
      <c r="K1000" s="0" t="n">
        <f aca="false">IF($F1000=0,0,INDEX(Aux_HH!$H$4:$H$18,MATCH($B1000&amp;"|"&amp;$E1000,Aux_HH!$A$4:$A$18,0)))</f>
        <v>0</v>
      </c>
      <c r="L1000" s="0" t="n">
        <f aca="false">IF($F1000=0,0,INDEX(Aux_HH!$I$4:$I$18,MATCH($B1000&amp;"|"&amp;$E1000,Aux_HH!$A$4:$A$18,0)))</f>
        <v>0</v>
      </c>
    </row>
    <row r="1001" customFormat="false" ht="15" hidden="false" customHeight="false" outlineLevel="0" collapsed="false">
      <c r="A1001" s="0" t="str">
        <f aca="false">IF(Frota!$A24="","",Frota!$A24)</f>
        <v/>
      </c>
      <c r="B1001" s="0" t="str">
        <f aca="false">IF(Frota!$A24="","",Frota!$B24)</f>
        <v/>
      </c>
      <c r="C1001" s="0" t="n">
        <v>10</v>
      </c>
      <c r="D1001" s="0" t="n">
        <f aca="false">INDEX(Semanas!$E$3:$E$54,10)</f>
        <v>6</v>
      </c>
      <c r="E1001" s="0" t="str">
        <f aca="false">IF(Frota!$A24="","",Cronograma!K24)</f>
        <v/>
      </c>
      <c r="F1001" s="0" t="n">
        <f aca="false">IF(OR($E1001="",$E1001=0),0,1)</f>
        <v>0</v>
      </c>
      <c r="G1001" s="0" t="n">
        <f aca="false">IF($F1001=0,0,INDEX(Aux_HH!$D$4:$D$18,MATCH($B1001&amp;"|"&amp;$E1001,Aux_HH!$A$4:$A$18,0)))</f>
        <v>0</v>
      </c>
      <c r="H1001" s="0" t="n">
        <f aca="false">IF($F1001=0,0,INDEX(Aux_HH!$E$4:$E$18,MATCH($B1001&amp;"|"&amp;$E1001,Aux_HH!$A$4:$A$18,0)))</f>
        <v>0</v>
      </c>
      <c r="I1001" s="0" t="n">
        <f aca="false">IF($F1001=0,0,INDEX(Aux_HH!$F$4:$F$18,MATCH($B1001&amp;"|"&amp;$E1001,Aux_HH!$A$4:$A$18,0)))</f>
        <v>0</v>
      </c>
      <c r="J1001" s="0" t="n">
        <f aca="false">IF($F1001=0,0,INDEX(Aux_HH!$G$4:$G$18,MATCH($B1001&amp;"|"&amp;$E1001,Aux_HH!$A$4:$A$18,0)))</f>
        <v>0</v>
      </c>
      <c r="K1001" s="0" t="n">
        <f aca="false">IF($F1001=0,0,INDEX(Aux_HH!$H$4:$H$18,MATCH($B1001&amp;"|"&amp;$E1001,Aux_HH!$A$4:$A$18,0)))</f>
        <v>0</v>
      </c>
      <c r="L1001" s="0" t="n">
        <f aca="false">IF($F1001=0,0,INDEX(Aux_HH!$I$4:$I$18,MATCH($B1001&amp;"|"&amp;$E1001,Aux_HH!$A$4:$A$18,0)))</f>
        <v>0</v>
      </c>
    </row>
    <row r="1002" customFormat="false" ht="15" hidden="false" customHeight="false" outlineLevel="0" collapsed="false">
      <c r="A1002" s="0" t="str">
        <f aca="false">IF(Frota!$A24="","",Frota!$A24)</f>
        <v/>
      </c>
      <c r="B1002" s="0" t="str">
        <f aca="false">IF(Frota!$A24="","",Frota!$B24)</f>
        <v/>
      </c>
      <c r="C1002" s="0" t="n">
        <v>11</v>
      </c>
      <c r="D1002" s="0" t="n">
        <f aca="false">INDEX(Semanas!$E$3:$E$54,11)</f>
        <v>6</v>
      </c>
      <c r="E1002" s="0" t="str">
        <f aca="false">IF(Frota!$A24="","",Cronograma!L24)</f>
        <v/>
      </c>
      <c r="F1002" s="0" t="n">
        <f aca="false">IF(OR($E1002="",$E1002=0),0,1)</f>
        <v>0</v>
      </c>
      <c r="G1002" s="0" t="n">
        <f aca="false">IF($F1002=0,0,INDEX(Aux_HH!$D$4:$D$18,MATCH($B1002&amp;"|"&amp;$E1002,Aux_HH!$A$4:$A$18,0)))</f>
        <v>0</v>
      </c>
      <c r="H1002" s="0" t="n">
        <f aca="false">IF($F1002=0,0,INDEX(Aux_HH!$E$4:$E$18,MATCH($B1002&amp;"|"&amp;$E1002,Aux_HH!$A$4:$A$18,0)))</f>
        <v>0</v>
      </c>
      <c r="I1002" s="0" t="n">
        <f aca="false">IF($F1002=0,0,INDEX(Aux_HH!$F$4:$F$18,MATCH($B1002&amp;"|"&amp;$E1002,Aux_HH!$A$4:$A$18,0)))</f>
        <v>0</v>
      </c>
      <c r="J1002" s="0" t="n">
        <f aca="false">IF($F1002=0,0,INDEX(Aux_HH!$G$4:$G$18,MATCH($B1002&amp;"|"&amp;$E1002,Aux_HH!$A$4:$A$18,0)))</f>
        <v>0</v>
      </c>
      <c r="K1002" s="0" t="n">
        <f aca="false">IF($F1002=0,0,INDEX(Aux_HH!$H$4:$H$18,MATCH($B1002&amp;"|"&amp;$E1002,Aux_HH!$A$4:$A$18,0)))</f>
        <v>0</v>
      </c>
      <c r="L1002" s="0" t="n">
        <f aca="false">IF($F1002=0,0,INDEX(Aux_HH!$I$4:$I$18,MATCH($B1002&amp;"|"&amp;$E1002,Aux_HH!$A$4:$A$18,0)))</f>
        <v>0</v>
      </c>
    </row>
    <row r="1003" customFormat="false" ht="15" hidden="false" customHeight="false" outlineLevel="0" collapsed="false">
      <c r="A1003" s="0" t="str">
        <f aca="false">IF(Frota!$A24="","",Frota!$A24)</f>
        <v/>
      </c>
      <c r="B1003" s="0" t="str">
        <f aca="false">IF(Frota!$A24="","",Frota!$B24)</f>
        <v/>
      </c>
      <c r="C1003" s="0" t="n">
        <v>12</v>
      </c>
      <c r="D1003" s="0" t="n">
        <f aca="false">INDEX(Semanas!$E$3:$E$54,12)</f>
        <v>6</v>
      </c>
      <c r="E1003" s="0" t="str">
        <f aca="false">IF(Frota!$A24="","",Cronograma!M24)</f>
        <v/>
      </c>
      <c r="F1003" s="0" t="n">
        <f aca="false">IF(OR($E1003="",$E1003=0),0,1)</f>
        <v>0</v>
      </c>
      <c r="G1003" s="0" t="n">
        <f aca="false">IF($F1003=0,0,INDEX(Aux_HH!$D$4:$D$18,MATCH($B1003&amp;"|"&amp;$E1003,Aux_HH!$A$4:$A$18,0)))</f>
        <v>0</v>
      </c>
      <c r="H1003" s="0" t="n">
        <f aca="false">IF($F1003=0,0,INDEX(Aux_HH!$E$4:$E$18,MATCH($B1003&amp;"|"&amp;$E1003,Aux_HH!$A$4:$A$18,0)))</f>
        <v>0</v>
      </c>
      <c r="I1003" s="0" t="n">
        <f aca="false">IF($F1003=0,0,INDEX(Aux_HH!$F$4:$F$18,MATCH($B1003&amp;"|"&amp;$E1003,Aux_HH!$A$4:$A$18,0)))</f>
        <v>0</v>
      </c>
      <c r="J1003" s="0" t="n">
        <f aca="false">IF($F1003=0,0,INDEX(Aux_HH!$G$4:$G$18,MATCH($B1003&amp;"|"&amp;$E1003,Aux_HH!$A$4:$A$18,0)))</f>
        <v>0</v>
      </c>
      <c r="K1003" s="0" t="n">
        <f aca="false">IF($F1003=0,0,INDEX(Aux_HH!$H$4:$H$18,MATCH($B1003&amp;"|"&amp;$E1003,Aux_HH!$A$4:$A$18,0)))</f>
        <v>0</v>
      </c>
      <c r="L1003" s="0" t="n">
        <f aca="false">IF($F1003=0,0,INDEX(Aux_HH!$I$4:$I$18,MATCH($B1003&amp;"|"&amp;$E1003,Aux_HH!$A$4:$A$18,0)))</f>
        <v>0</v>
      </c>
    </row>
    <row r="1004" customFormat="false" ht="15" hidden="false" customHeight="false" outlineLevel="0" collapsed="false">
      <c r="A1004" s="0" t="str">
        <f aca="false">IF(Frota!$A24="","",Frota!$A24)</f>
        <v/>
      </c>
      <c r="B1004" s="0" t="str">
        <f aca="false">IF(Frota!$A24="","",Frota!$B24)</f>
        <v/>
      </c>
      <c r="C1004" s="0" t="n">
        <v>13</v>
      </c>
      <c r="D1004" s="0" t="n">
        <f aca="false">INDEX(Semanas!$E$3:$E$54,13)</f>
        <v>6</v>
      </c>
      <c r="E1004" s="0" t="str">
        <f aca="false">IF(Frota!$A24="","",Cronograma!N24)</f>
        <v/>
      </c>
      <c r="F1004" s="0" t="n">
        <f aca="false">IF(OR($E1004="",$E1004=0),0,1)</f>
        <v>0</v>
      </c>
      <c r="G1004" s="0" t="n">
        <f aca="false">IF($F1004=0,0,INDEX(Aux_HH!$D$4:$D$18,MATCH($B1004&amp;"|"&amp;$E1004,Aux_HH!$A$4:$A$18,0)))</f>
        <v>0</v>
      </c>
      <c r="H1004" s="0" t="n">
        <f aca="false">IF($F1004=0,0,INDEX(Aux_HH!$E$4:$E$18,MATCH($B1004&amp;"|"&amp;$E1004,Aux_HH!$A$4:$A$18,0)))</f>
        <v>0</v>
      </c>
      <c r="I1004" s="0" t="n">
        <f aca="false">IF($F1004=0,0,INDEX(Aux_HH!$F$4:$F$18,MATCH($B1004&amp;"|"&amp;$E1004,Aux_HH!$A$4:$A$18,0)))</f>
        <v>0</v>
      </c>
      <c r="J1004" s="0" t="n">
        <f aca="false">IF($F1004=0,0,INDEX(Aux_HH!$G$4:$G$18,MATCH($B1004&amp;"|"&amp;$E1004,Aux_HH!$A$4:$A$18,0)))</f>
        <v>0</v>
      </c>
      <c r="K1004" s="0" t="n">
        <f aca="false">IF($F1004=0,0,INDEX(Aux_HH!$H$4:$H$18,MATCH($B1004&amp;"|"&amp;$E1004,Aux_HH!$A$4:$A$18,0)))</f>
        <v>0</v>
      </c>
      <c r="L1004" s="0" t="n">
        <f aca="false">IF($F1004=0,0,INDEX(Aux_HH!$I$4:$I$18,MATCH($B1004&amp;"|"&amp;$E1004,Aux_HH!$A$4:$A$18,0)))</f>
        <v>0</v>
      </c>
    </row>
    <row r="1005" customFormat="false" ht="15" hidden="false" customHeight="false" outlineLevel="0" collapsed="false">
      <c r="A1005" s="0" t="str">
        <f aca="false">IF(Frota!$A24="","",Frota!$A24)</f>
        <v/>
      </c>
      <c r="B1005" s="0" t="str">
        <f aca="false">IF(Frota!$A24="","",Frota!$B24)</f>
        <v/>
      </c>
      <c r="C1005" s="0" t="n">
        <v>14</v>
      </c>
      <c r="D1005" s="0" t="n">
        <f aca="false">INDEX(Semanas!$E$3:$E$54,14)</f>
        <v>7</v>
      </c>
      <c r="E1005" s="0" t="str">
        <f aca="false">IF(Frota!$A24="","",Cronograma!O24)</f>
        <v/>
      </c>
      <c r="F1005" s="0" t="n">
        <f aca="false">IF(OR($E1005="",$E1005=0),0,1)</f>
        <v>0</v>
      </c>
      <c r="G1005" s="0" t="n">
        <f aca="false">IF($F1005=0,0,INDEX(Aux_HH!$D$4:$D$18,MATCH($B1005&amp;"|"&amp;$E1005,Aux_HH!$A$4:$A$18,0)))</f>
        <v>0</v>
      </c>
      <c r="H1005" s="0" t="n">
        <f aca="false">IF($F1005=0,0,INDEX(Aux_HH!$E$4:$E$18,MATCH($B1005&amp;"|"&amp;$E1005,Aux_HH!$A$4:$A$18,0)))</f>
        <v>0</v>
      </c>
      <c r="I1005" s="0" t="n">
        <f aca="false">IF($F1005=0,0,INDEX(Aux_HH!$F$4:$F$18,MATCH($B1005&amp;"|"&amp;$E1005,Aux_HH!$A$4:$A$18,0)))</f>
        <v>0</v>
      </c>
      <c r="J1005" s="0" t="n">
        <f aca="false">IF($F1005=0,0,INDEX(Aux_HH!$G$4:$G$18,MATCH($B1005&amp;"|"&amp;$E1005,Aux_HH!$A$4:$A$18,0)))</f>
        <v>0</v>
      </c>
      <c r="K1005" s="0" t="n">
        <f aca="false">IF($F1005=0,0,INDEX(Aux_HH!$H$4:$H$18,MATCH($B1005&amp;"|"&amp;$E1005,Aux_HH!$A$4:$A$18,0)))</f>
        <v>0</v>
      </c>
      <c r="L1005" s="0" t="n">
        <f aca="false">IF($F1005=0,0,INDEX(Aux_HH!$I$4:$I$18,MATCH($B1005&amp;"|"&amp;$E1005,Aux_HH!$A$4:$A$18,0)))</f>
        <v>0</v>
      </c>
    </row>
    <row r="1006" customFormat="false" ht="15" hidden="false" customHeight="false" outlineLevel="0" collapsed="false">
      <c r="A1006" s="0" t="str">
        <f aca="false">IF(Frota!$A24="","",Frota!$A24)</f>
        <v/>
      </c>
      <c r="B1006" s="0" t="str">
        <f aca="false">IF(Frota!$A24="","",Frota!$B24)</f>
        <v/>
      </c>
      <c r="C1006" s="0" t="n">
        <v>15</v>
      </c>
      <c r="D1006" s="0" t="n">
        <f aca="false">INDEX(Semanas!$E$3:$E$54,15)</f>
        <v>7</v>
      </c>
      <c r="E1006" s="0" t="str">
        <f aca="false">IF(Frota!$A24="","",Cronograma!P24)</f>
        <v/>
      </c>
      <c r="F1006" s="0" t="n">
        <f aca="false">IF(OR($E1006="",$E1006=0),0,1)</f>
        <v>0</v>
      </c>
      <c r="G1006" s="0" t="n">
        <f aca="false">IF($F1006=0,0,INDEX(Aux_HH!$D$4:$D$18,MATCH($B1006&amp;"|"&amp;$E1006,Aux_HH!$A$4:$A$18,0)))</f>
        <v>0</v>
      </c>
      <c r="H1006" s="0" t="n">
        <f aca="false">IF($F1006=0,0,INDEX(Aux_HH!$E$4:$E$18,MATCH($B1006&amp;"|"&amp;$E1006,Aux_HH!$A$4:$A$18,0)))</f>
        <v>0</v>
      </c>
      <c r="I1006" s="0" t="n">
        <f aca="false">IF($F1006=0,0,INDEX(Aux_HH!$F$4:$F$18,MATCH($B1006&amp;"|"&amp;$E1006,Aux_HH!$A$4:$A$18,0)))</f>
        <v>0</v>
      </c>
      <c r="J1006" s="0" t="n">
        <f aca="false">IF($F1006=0,0,INDEX(Aux_HH!$G$4:$G$18,MATCH($B1006&amp;"|"&amp;$E1006,Aux_HH!$A$4:$A$18,0)))</f>
        <v>0</v>
      </c>
      <c r="K1006" s="0" t="n">
        <f aca="false">IF($F1006=0,0,INDEX(Aux_HH!$H$4:$H$18,MATCH($B1006&amp;"|"&amp;$E1006,Aux_HH!$A$4:$A$18,0)))</f>
        <v>0</v>
      </c>
      <c r="L1006" s="0" t="n">
        <f aca="false">IF($F1006=0,0,INDEX(Aux_HH!$I$4:$I$18,MATCH($B1006&amp;"|"&amp;$E1006,Aux_HH!$A$4:$A$18,0)))</f>
        <v>0</v>
      </c>
    </row>
    <row r="1007" customFormat="false" ht="15" hidden="false" customHeight="false" outlineLevel="0" collapsed="false">
      <c r="A1007" s="0" t="str">
        <f aca="false">IF(Frota!$A24="","",Frota!$A24)</f>
        <v/>
      </c>
      <c r="B1007" s="0" t="str">
        <f aca="false">IF(Frota!$A24="","",Frota!$B24)</f>
        <v/>
      </c>
      <c r="C1007" s="0" t="n">
        <v>16</v>
      </c>
      <c r="D1007" s="0" t="n">
        <f aca="false">INDEX(Semanas!$E$3:$E$54,16)</f>
        <v>7</v>
      </c>
      <c r="E1007" s="0" t="str">
        <f aca="false">IF(Frota!$A24="","",Cronograma!Q24)</f>
        <v/>
      </c>
      <c r="F1007" s="0" t="n">
        <f aca="false">IF(OR($E1007="",$E1007=0),0,1)</f>
        <v>0</v>
      </c>
      <c r="G1007" s="0" t="n">
        <f aca="false">IF($F1007=0,0,INDEX(Aux_HH!$D$4:$D$18,MATCH($B1007&amp;"|"&amp;$E1007,Aux_HH!$A$4:$A$18,0)))</f>
        <v>0</v>
      </c>
      <c r="H1007" s="0" t="n">
        <f aca="false">IF($F1007=0,0,INDEX(Aux_HH!$E$4:$E$18,MATCH($B1007&amp;"|"&amp;$E1007,Aux_HH!$A$4:$A$18,0)))</f>
        <v>0</v>
      </c>
      <c r="I1007" s="0" t="n">
        <f aca="false">IF($F1007=0,0,INDEX(Aux_HH!$F$4:$F$18,MATCH($B1007&amp;"|"&amp;$E1007,Aux_HH!$A$4:$A$18,0)))</f>
        <v>0</v>
      </c>
      <c r="J1007" s="0" t="n">
        <f aca="false">IF($F1007=0,0,INDEX(Aux_HH!$G$4:$G$18,MATCH($B1007&amp;"|"&amp;$E1007,Aux_HH!$A$4:$A$18,0)))</f>
        <v>0</v>
      </c>
      <c r="K1007" s="0" t="n">
        <f aca="false">IF($F1007=0,0,INDEX(Aux_HH!$H$4:$H$18,MATCH($B1007&amp;"|"&amp;$E1007,Aux_HH!$A$4:$A$18,0)))</f>
        <v>0</v>
      </c>
      <c r="L1007" s="0" t="n">
        <f aca="false">IF($F1007=0,0,INDEX(Aux_HH!$I$4:$I$18,MATCH($B1007&amp;"|"&amp;$E1007,Aux_HH!$A$4:$A$18,0)))</f>
        <v>0</v>
      </c>
    </row>
    <row r="1008" customFormat="false" ht="15" hidden="false" customHeight="false" outlineLevel="0" collapsed="false">
      <c r="A1008" s="0" t="str">
        <f aca="false">IF(Frota!$A24="","",Frota!$A24)</f>
        <v/>
      </c>
      <c r="B1008" s="0" t="str">
        <f aca="false">IF(Frota!$A24="","",Frota!$B24)</f>
        <v/>
      </c>
      <c r="C1008" s="0" t="n">
        <v>17</v>
      </c>
      <c r="D1008" s="0" t="n">
        <f aca="false">INDEX(Semanas!$E$3:$E$54,17)</f>
        <v>7</v>
      </c>
      <c r="E1008" s="0" t="str">
        <f aca="false">IF(Frota!$A24="","",Cronograma!R24)</f>
        <v/>
      </c>
      <c r="F1008" s="0" t="n">
        <f aca="false">IF(OR($E1008="",$E1008=0),0,1)</f>
        <v>0</v>
      </c>
      <c r="G1008" s="0" t="n">
        <f aca="false">IF($F1008=0,0,INDEX(Aux_HH!$D$4:$D$18,MATCH($B1008&amp;"|"&amp;$E1008,Aux_HH!$A$4:$A$18,0)))</f>
        <v>0</v>
      </c>
      <c r="H1008" s="0" t="n">
        <f aca="false">IF($F1008=0,0,INDEX(Aux_HH!$E$4:$E$18,MATCH($B1008&amp;"|"&amp;$E1008,Aux_HH!$A$4:$A$18,0)))</f>
        <v>0</v>
      </c>
      <c r="I1008" s="0" t="n">
        <f aca="false">IF($F1008=0,0,INDEX(Aux_HH!$F$4:$F$18,MATCH($B1008&amp;"|"&amp;$E1008,Aux_HH!$A$4:$A$18,0)))</f>
        <v>0</v>
      </c>
      <c r="J1008" s="0" t="n">
        <f aca="false">IF($F1008=0,0,INDEX(Aux_HH!$G$4:$G$18,MATCH($B1008&amp;"|"&amp;$E1008,Aux_HH!$A$4:$A$18,0)))</f>
        <v>0</v>
      </c>
      <c r="K1008" s="0" t="n">
        <f aca="false">IF($F1008=0,0,INDEX(Aux_HH!$H$4:$H$18,MATCH($B1008&amp;"|"&amp;$E1008,Aux_HH!$A$4:$A$18,0)))</f>
        <v>0</v>
      </c>
      <c r="L1008" s="0" t="n">
        <f aca="false">IF($F1008=0,0,INDEX(Aux_HH!$I$4:$I$18,MATCH($B1008&amp;"|"&amp;$E1008,Aux_HH!$A$4:$A$18,0)))</f>
        <v>0</v>
      </c>
    </row>
    <row r="1009" customFormat="false" ht="15" hidden="false" customHeight="false" outlineLevel="0" collapsed="false">
      <c r="A1009" s="0" t="str">
        <f aca="false">IF(Frota!$A24="","",Frota!$A24)</f>
        <v/>
      </c>
      <c r="B1009" s="0" t="str">
        <f aca="false">IF(Frota!$A24="","",Frota!$B24)</f>
        <v/>
      </c>
      <c r="C1009" s="0" t="n">
        <v>18</v>
      </c>
      <c r="D1009" s="0" t="n">
        <f aca="false">INDEX(Semanas!$E$3:$E$54,18)</f>
        <v>7</v>
      </c>
      <c r="E1009" s="0" t="str">
        <f aca="false">IF(Frota!$A24="","",Cronograma!S24)</f>
        <v/>
      </c>
      <c r="F1009" s="0" t="n">
        <f aca="false">IF(OR($E1009="",$E1009=0),0,1)</f>
        <v>0</v>
      </c>
      <c r="G1009" s="0" t="n">
        <f aca="false">IF($F1009=0,0,INDEX(Aux_HH!$D$4:$D$18,MATCH($B1009&amp;"|"&amp;$E1009,Aux_HH!$A$4:$A$18,0)))</f>
        <v>0</v>
      </c>
      <c r="H1009" s="0" t="n">
        <f aca="false">IF($F1009=0,0,INDEX(Aux_HH!$E$4:$E$18,MATCH($B1009&amp;"|"&amp;$E1009,Aux_HH!$A$4:$A$18,0)))</f>
        <v>0</v>
      </c>
      <c r="I1009" s="0" t="n">
        <f aca="false">IF($F1009=0,0,INDEX(Aux_HH!$F$4:$F$18,MATCH($B1009&amp;"|"&amp;$E1009,Aux_HH!$A$4:$A$18,0)))</f>
        <v>0</v>
      </c>
      <c r="J1009" s="0" t="n">
        <f aca="false">IF($F1009=0,0,INDEX(Aux_HH!$G$4:$G$18,MATCH($B1009&amp;"|"&amp;$E1009,Aux_HH!$A$4:$A$18,0)))</f>
        <v>0</v>
      </c>
      <c r="K1009" s="0" t="n">
        <f aca="false">IF($F1009=0,0,INDEX(Aux_HH!$H$4:$H$18,MATCH($B1009&amp;"|"&amp;$E1009,Aux_HH!$A$4:$A$18,0)))</f>
        <v>0</v>
      </c>
      <c r="L1009" s="0" t="n">
        <f aca="false">IF($F1009=0,0,INDEX(Aux_HH!$I$4:$I$18,MATCH($B1009&amp;"|"&amp;$E1009,Aux_HH!$A$4:$A$18,0)))</f>
        <v>0</v>
      </c>
    </row>
    <row r="1010" customFormat="false" ht="15" hidden="false" customHeight="false" outlineLevel="0" collapsed="false">
      <c r="A1010" s="0" t="str">
        <f aca="false">IF(Frota!$A24="","",Frota!$A24)</f>
        <v/>
      </c>
      <c r="B1010" s="0" t="str">
        <f aca="false">IF(Frota!$A24="","",Frota!$B24)</f>
        <v/>
      </c>
      <c r="C1010" s="0" t="n">
        <v>19</v>
      </c>
      <c r="D1010" s="0" t="n">
        <f aca="false">INDEX(Semanas!$E$3:$E$54,19)</f>
        <v>8</v>
      </c>
      <c r="E1010" s="0" t="str">
        <f aca="false">IF(Frota!$A24="","",Cronograma!T24)</f>
        <v/>
      </c>
      <c r="F1010" s="0" t="n">
        <f aca="false">IF(OR($E1010="",$E1010=0),0,1)</f>
        <v>0</v>
      </c>
      <c r="G1010" s="0" t="n">
        <f aca="false">IF($F1010=0,0,INDEX(Aux_HH!$D$4:$D$18,MATCH($B1010&amp;"|"&amp;$E1010,Aux_HH!$A$4:$A$18,0)))</f>
        <v>0</v>
      </c>
      <c r="H1010" s="0" t="n">
        <f aca="false">IF($F1010=0,0,INDEX(Aux_HH!$E$4:$E$18,MATCH($B1010&amp;"|"&amp;$E1010,Aux_HH!$A$4:$A$18,0)))</f>
        <v>0</v>
      </c>
      <c r="I1010" s="0" t="n">
        <f aca="false">IF($F1010=0,0,INDEX(Aux_HH!$F$4:$F$18,MATCH($B1010&amp;"|"&amp;$E1010,Aux_HH!$A$4:$A$18,0)))</f>
        <v>0</v>
      </c>
      <c r="J1010" s="0" t="n">
        <f aca="false">IF($F1010=0,0,INDEX(Aux_HH!$G$4:$G$18,MATCH($B1010&amp;"|"&amp;$E1010,Aux_HH!$A$4:$A$18,0)))</f>
        <v>0</v>
      </c>
      <c r="K1010" s="0" t="n">
        <f aca="false">IF($F1010=0,0,INDEX(Aux_HH!$H$4:$H$18,MATCH($B1010&amp;"|"&amp;$E1010,Aux_HH!$A$4:$A$18,0)))</f>
        <v>0</v>
      </c>
      <c r="L1010" s="0" t="n">
        <f aca="false">IF($F1010=0,0,INDEX(Aux_HH!$I$4:$I$18,MATCH($B1010&amp;"|"&amp;$E1010,Aux_HH!$A$4:$A$18,0)))</f>
        <v>0</v>
      </c>
    </row>
    <row r="1011" customFormat="false" ht="15" hidden="false" customHeight="false" outlineLevel="0" collapsed="false">
      <c r="A1011" s="0" t="str">
        <f aca="false">IF(Frota!$A24="","",Frota!$A24)</f>
        <v/>
      </c>
      <c r="B1011" s="0" t="str">
        <f aca="false">IF(Frota!$A24="","",Frota!$B24)</f>
        <v/>
      </c>
      <c r="C1011" s="0" t="n">
        <v>20</v>
      </c>
      <c r="D1011" s="0" t="n">
        <f aca="false">INDEX(Semanas!$E$3:$E$54,20)</f>
        <v>8</v>
      </c>
      <c r="E1011" s="0" t="str">
        <f aca="false">IF(Frota!$A24="","",Cronograma!U24)</f>
        <v/>
      </c>
      <c r="F1011" s="0" t="n">
        <f aca="false">IF(OR($E1011="",$E1011=0),0,1)</f>
        <v>0</v>
      </c>
      <c r="G1011" s="0" t="n">
        <f aca="false">IF($F1011=0,0,INDEX(Aux_HH!$D$4:$D$18,MATCH($B1011&amp;"|"&amp;$E1011,Aux_HH!$A$4:$A$18,0)))</f>
        <v>0</v>
      </c>
      <c r="H1011" s="0" t="n">
        <f aca="false">IF($F1011=0,0,INDEX(Aux_HH!$E$4:$E$18,MATCH($B1011&amp;"|"&amp;$E1011,Aux_HH!$A$4:$A$18,0)))</f>
        <v>0</v>
      </c>
      <c r="I1011" s="0" t="n">
        <f aca="false">IF($F1011=0,0,INDEX(Aux_HH!$F$4:$F$18,MATCH($B1011&amp;"|"&amp;$E1011,Aux_HH!$A$4:$A$18,0)))</f>
        <v>0</v>
      </c>
      <c r="J1011" s="0" t="n">
        <f aca="false">IF($F1011=0,0,INDEX(Aux_HH!$G$4:$G$18,MATCH($B1011&amp;"|"&amp;$E1011,Aux_HH!$A$4:$A$18,0)))</f>
        <v>0</v>
      </c>
      <c r="K1011" s="0" t="n">
        <f aca="false">IF($F1011=0,0,INDEX(Aux_HH!$H$4:$H$18,MATCH($B1011&amp;"|"&amp;$E1011,Aux_HH!$A$4:$A$18,0)))</f>
        <v>0</v>
      </c>
      <c r="L1011" s="0" t="n">
        <f aca="false">IF($F1011=0,0,INDEX(Aux_HH!$I$4:$I$18,MATCH($B1011&amp;"|"&amp;$E1011,Aux_HH!$A$4:$A$18,0)))</f>
        <v>0</v>
      </c>
    </row>
    <row r="1012" customFormat="false" ht="15" hidden="false" customHeight="false" outlineLevel="0" collapsed="false">
      <c r="A1012" s="0" t="str">
        <f aca="false">IF(Frota!$A24="","",Frota!$A24)</f>
        <v/>
      </c>
      <c r="B1012" s="0" t="str">
        <f aca="false">IF(Frota!$A24="","",Frota!$B24)</f>
        <v/>
      </c>
      <c r="C1012" s="0" t="n">
        <v>21</v>
      </c>
      <c r="D1012" s="0" t="n">
        <f aca="false">INDEX(Semanas!$E$3:$E$54,21)</f>
        <v>8</v>
      </c>
      <c r="E1012" s="0" t="str">
        <f aca="false">IF(Frota!$A24="","",Cronograma!V24)</f>
        <v/>
      </c>
      <c r="F1012" s="0" t="n">
        <f aca="false">IF(OR($E1012="",$E1012=0),0,1)</f>
        <v>0</v>
      </c>
      <c r="G1012" s="0" t="n">
        <f aca="false">IF($F1012=0,0,INDEX(Aux_HH!$D$4:$D$18,MATCH($B1012&amp;"|"&amp;$E1012,Aux_HH!$A$4:$A$18,0)))</f>
        <v>0</v>
      </c>
      <c r="H1012" s="0" t="n">
        <f aca="false">IF($F1012=0,0,INDEX(Aux_HH!$E$4:$E$18,MATCH($B1012&amp;"|"&amp;$E1012,Aux_HH!$A$4:$A$18,0)))</f>
        <v>0</v>
      </c>
      <c r="I1012" s="0" t="n">
        <f aca="false">IF($F1012=0,0,INDEX(Aux_HH!$F$4:$F$18,MATCH($B1012&amp;"|"&amp;$E1012,Aux_HH!$A$4:$A$18,0)))</f>
        <v>0</v>
      </c>
      <c r="J1012" s="0" t="n">
        <f aca="false">IF($F1012=0,0,INDEX(Aux_HH!$G$4:$G$18,MATCH($B1012&amp;"|"&amp;$E1012,Aux_HH!$A$4:$A$18,0)))</f>
        <v>0</v>
      </c>
      <c r="K1012" s="0" t="n">
        <f aca="false">IF($F1012=0,0,INDEX(Aux_HH!$H$4:$H$18,MATCH($B1012&amp;"|"&amp;$E1012,Aux_HH!$A$4:$A$18,0)))</f>
        <v>0</v>
      </c>
      <c r="L1012" s="0" t="n">
        <f aca="false">IF($F1012=0,0,INDEX(Aux_HH!$I$4:$I$18,MATCH($B1012&amp;"|"&amp;$E1012,Aux_HH!$A$4:$A$18,0)))</f>
        <v>0</v>
      </c>
    </row>
    <row r="1013" customFormat="false" ht="15" hidden="false" customHeight="false" outlineLevel="0" collapsed="false">
      <c r="A1013" s="0" t="str">
        <f aca="false">IF(Frota!$A24="","",Frota!$A24)</f>
        <v/>
      </c>
      <c r="B1013" s="0" t="str">
        <f aca="false">IF(Frota!$A24="","",Frota!$B24)</f>
        <v/>
      </c>
      <c r="C1013" s="0" t="n">
        <v>22</v>
      </c>
      <c r="D1013" s="0" t="n">
        <f aca="false">INDEX(Semanas!$E$3:$E$54,22)</f>
        <v>8</v>
      </c>
      <c r="E1013" s="0" t="str">
        <f aca="false">IF(Frota!$A24="","",Cronograma!W24)</f>
        <v/>
      </c>
      <c r="F1013" s="0" t="n">
        <f aca="false">IF(OR($E1013="",$E1013=0),0,1)</f>
        <v>0</v>
      </c>
      <c r="G1013" s="0" t="n">
        <f aca="false">IF($F1013=0,0,INDEX(Aux_HH!$D$4:$D$18,MATCH($B1013&amp;"|"&amp;$E1013,Aux_HH!$A$4:$A$18,0)))</f>
        <v>0</v>
      </c>
      <c r="H1013" s="0" t="n">
        <f aca="false">IF($F1013=0,0,INDEX(Aux_HH!$E$4:$E$18,MATCH($B1013&amp;"|"&amp;$E1013,Aux_HH!$A$4:$A$18,0)))</f>
        <v>0</v>
      </c>
      <c r="I1013" s="0" t="n">
        <f aca="false">IF($F1013=0,0,INDEX(Aux_HH!$F$4:$F$18,MATCH($B1013&amp;"|"&amp;$E1013,Aux_HH!$A$4:$A$18,0)))</f>
        <v>0</v>
      </c>
      <c r="J1013" s="0" t="n">
        <f aca="false">IF($F1013=0,0,INDEX(Aux_HH!$G$4:$G$18,MATCH($B1013&amp;"|"&amp;$E1013,Aux_HH!$A$4:$A$18,0)))</f>
        <v>0</v>
      </c>
      <c r="K1013" s="0" t="n">
        <f aca="false">IF($F1013=0,0,INDEX(Aux_HH!$H$4:$H$18,MATCH($B1013&amp;"|"&amp;$E1013,Aux_HH!$A$4:$A$18,0)))</f>
        <v>0</v>
      </c>
      <c r="L1013" s="0" t="n">
        <f aca="false">IF($F1013=0,0,INDEX(Aux_HH!$I$4:$I$18,MATCH($B1013&amp;"|"&amp;$E1013,Aux_HH!$A$4:$A$18,0)))</f>
        <v>0</v>
      </c>
    </row>
    <row r="1014" customFormat="false" ht="15" hidden="false" customHeight="false" outlineLevel="0" collapsed="false">
      <c r="A1014" s="0" t="str">
        <f aca="false">IF(Frota!$A24="","",Frota!$A24)</f>
        <v/>
      </c>
      <c r="B1014" s="0" t="str">
        <f aca="false">IF(Frota!$A24="","",Frota!$B24)</f>
        <v/>
      </c>
      <c r="C1014" s="0" t="n">
        <v>23</v>
      </c>
      <c r="D1014" s="0" t="n">
        <f aca="false">INDEX(Semanas!$E$3:$E$54,23)</f>
        <v>9</v>
      </c>
      <c r="E1014" s="0" t="str">
        <f aca="false">IF(Frota!$A24="","",Cronograma!X24)</f>
        <v/>
      </c>
      <c r="F1014" s="0" t="n">
        <f aca="false">IF(OR($E1014="",$E1014=0),0,1)</f>
        <v>0</v>
      </c>
      <c r="G1014" s="0" t="n">
        <f aca="false">IF($F1014=0,0,INDEX(Aux_HH!$D$4:$D$18,MATCH($B1014&amp;"|"&amp;$E1014,Aux_HH!$A$4:$A$18,0)))</f>
        <v>0</v>
      </c>
      <c r="H1014" s="0" t="n">
        <f aca="false">IF($F1014=0,0,INDEX(Aux_HH!$E$4:$E$18,MATCH($B1014&amp;"|"&amp;$E1014,Aux_HH!$A$4:$A$18,0)))</f>
        <v>0</v>
      </c>
      <c r="I1014" s="0" t="n">
        <f aca="false">IF($F1014=0,0,INDEX(Aux_HH!$F$4:$F$18,MATCH($B1014&amp;"|"&amp;$E1014,Aux_HH!$A$4:$A$18,0)))</f>
        <v>0</v>
      </c>
      <c r="J1014" s="0" t="n">
        <f aca="false">IF($F1014=0,0,INDEX(Aux_HH!$G$4:$G$18,MATCH($B1014&amp;"|"&amp;$E1014,Aux_HH!$A$4:$A$18,0)))</f>
        <v>0</v>
      </c>
      <c r="K1014" s="0" t="n">
        <f aca="false">IF($F1014=0,0,INDEX(Aux_HH!$H$4:$H$18,MATCH($B1014&amp;"|"&amp;$E1014,Aux_HH!$A$4:$A$18,0)))</f>
        <v>0</v>
      </c>
      <c r="L1014" s="0" t="n">
        <f aca="false">IF($F1014=0,0,INDEX(Aux_HH!$I$4:$I$18,MATCH($B1014&amp;"|"&amp;$E1014,Aux_HH!$A$4:$A$18,0)))</f>
        <v>0</v>
      </c>
    </row>
    <row r="1015" customFormat="false" ht="15" hidden="false" customHeight="false" outlineLevel="0" collapsed="false">
      <c r="A1015" s="0" t="str">
        <f aca="false">IF(Frota!$A24="","",Frota!$A24)</f>
        <v/>
      </c>
      <c r="B1015" s="0" t="str">
        <f aca="false">IF(Frota!$A24="","",Frota!$B24)</f>
        <v/>
      </c>
      <c r="C1015" s="0" t="n">
        <v>24</v>
      </c>
      <c r="D1015" s="0" t="n">
        <f aca="false">INDEX(Semanas!$E$3:$E$54,24)</f>
        <v>9</v>
      </c>
      <c r="E1015" s="0" t="str">
        <f aca="false">IF(Frota!$A24="","",Cronograma!Y24)</f>
        <v/>
      </c>
      <c r="F1015" s="0" t="n">
        <f aca="false">IF(OR($E1015="",$E1015=0),0,1)</f>
        <v>0</v>
      </c>
      <c r="G1015" s="0" t="n">
        <f aca="false">IF($F1015=0,0,INDEX(Aux_HH!$D$4:$D$18,MATCH($B1015&amp;"|"&amp;$E1015,Aux_HH!$A$4:$A$18,0)))</f>
        <v>0</v>
      </c>
      <c r="H1015" s="0" t="n">
        <f aca="false">IF($F1015=0,0,INDEX(Aux_HH!$E$4:$E$18,MATCH($B1015&amp;"|"&amp;$E1015,Aux_HH!$A$4:$A$18,0)))</f>
        <v>0</v>
      </c>
      <c r="I1015" s="0" t="n">
        <f aca="false">IF($F1015=0,0,INDEX(Aux_HH!$F$4:$F$18,MATCH($B1015&amp;"|"&amp;$E1015,Aux_HH!$A$4:$A$18,0)))</f>
        <v>0</v>
      </c>
      <c r="J1015" s="0" t="n">
        <f aca="false">IF($F1015=0,0,INDEX(Aux_HH!$G$4:$G$18,MATCH($B1015&amp;"|"&amp;$E1015,Aux_HH!$A$4:$A$18,0)))</f>
        <v>0</v>
      </c>
      <c r="K1015" s="0" t="n">
        <f aca="false">IF($F1015=0,0,INDEX(Aux_HH!$H$4:$H$18,MATCH($B1015&amp;"|"&amp;$E1015,Aux_HH!$A$4:$A$18,0)))</f>
        <v>0</v>
      </c>
      <c r="L1015" s="0" t="n">
        <f aca="false">IF($F1015=0,0,INDEX(Aux_HH!$I$4:$I$18,MATCH($B1015&amp;"|"&amp;$E1015,Aux_HH!$A$4:$A$18,0)))</f>
        <v>0</v>
      </c>
    </row>
    <row r="1016" customFormat="false" ht="15" hidden="false" customHeight="false" outlineLevel="0" collapsed="false">
      <c r="A1016" s="0" t="str">
        <f aca="false">IF(Frota!$A24="","",Frota!$A24)</f>
        <v/>
      </c>
      <c r="B1016" s="0" t="str">
        <f aca="false">IF(Frota!$A24="","",Frota!$B24)</f>
        <v/>
      </c>
      <c r="C1016" s="0" t="n">
        <v>25</v>
      </c>
      <c r="D1016" s="0" t="n">
        <f aca="false">INDEX(Semanas!$E$3:$E$54,25)</f>
        <v>9</v>
      </c>
      <c r="E1016" s="0" t="str">
        <f aca="false">IF(Frota!$A24="","",Cronograma!Z24)</f>
        <v/>
      </c>
      <c r="F1016" s="0" t="n">
        <f aca="false">IF(OR($E1016="",$E1016=0),0,1)</f>
        <v>0</v>
      </c>
      <c r="G1016" s="0" t="n">
        <f aca="false">IF($F1016=0,0,INDEX(Aux_HH!$D$4:$D$18,MATCH($B1016&amp;"|"&amp;$E1016,Aux_HH!$A$4:$A$18,0)))</f>
        <v>0</v>
      </c>
      <c r="H1016" s="0" t="n">
        <f aca="false">IF($F1016=0,0,INDEX(Aux_HH!$E$4:$E$18,MATCH($B1016&amp;"|"&amp;$E1016,Aux_HH!$A$4:$A$18,0)))</f>
        <v>0</v>
      </c>
      <c r="I1016" s="0" t="n">
        <f aca="false">IF($F1016=0,0,INDEX(Aux_HH!$F$4:$F$18,MATCH($B1016&amp;"|"&amp;$E1016,Aux_HH!$A$4:$A$18,0)))</f>
        <v>0</v>
      </c>
      <c r="J1016" s="0" t="n">
        <f aca="false">IF($F1016=0,0,INDEX(Aux_HH!$G$4:$G$18,MATCH($B1016&amp;"|"&amp;$E1016,Aux_HH!$A$4:$A$18,0)))</f>
        <v>0</v>
      </c>
      <c r="K1016" s="0" t="n">
        <f aca="false">IF($F1016=0,0,INDEX(Aux_HH!$H$4:$H$18,MATCH($B1016&amp;"|"&amp;$E1016,Aux_HH!$A$4:$A$18,0)))</f>
        <v>0</v>
      </c>
      <c r="L1016" s="0" t="n">
        <f aca="false">IF($F1016=0,0,INDEX(Aux_HH!$I$4:$I$18,MATCH($B1016&amp;"|"&amp;$E1016,Aux_HH!$A$4:$A$18,0)))</f>
        <v>0</v>
      </c>
    </row>
    <row r="1017" customFormat="false" ht="15" hidden="false" customHeight="false" outlineLevel="0" collapsed="false">
      <c r="A1017" s="0" t="str">
        <f aca="false">IF(Frota!$A24="","",Frota!$A24)</f>
        <v/>
      </c>
      <c r="B1017" s="0" t="str">
        <f aca="false">IF(Frota!$A24="","",Frota!$B24)</f>
        <v/>
      </c>
      <c r="C1017" s="0" t="n">
        <v>26</v>
      </c>
      <c r="D1017" s="0" t="n">
        <f aca="false">INDEX(Semanas!$E$3:$E$54,26)</f>
        <v>9</v>
      </c>
      <c r="E1017" s="0" t="str">
        <f aca="false">IF(Frota!$A24="","",Cronograma!AA24)</f>
        <v/>
      </c>
      <c r="F1017" s="0" t="n">
        <f aca="false">IF(OR($E1017="",$E1017=0),0,1)</f>
        <v>0</v>
      </c>
      <c r="G1017" s="0" t="n">
        <f aca="false">IF($F1017=0,0,INDEX(Aux_HH!$D$4:$D$18,MATCH($B1017&amp;"|"&amp;$E1017,Aux_HH!$A$4:$A$18,0)))</f>
        <v>0</v>
      </c>
      <c r="H1017" s="0" t="n">
        <f aca="false">IF($F1017=0,0,INDEX(Aux_HH!$E$4:$E$18,MATCH($B1017&amp;"|"&amp;$E1017,Aux_HH!$A$4:$A$18,0)))</f>
        <v>0</v>
      </c>
      <c r="I1017" s="0" t="n">
        <f aca="false">IF($F1017=0,0,INDEX(Aux_HH!$F$4:$F$18,MATCH($B1017&amp;"|"&amp;$E1017,Aux_HH!$A$4:$A$18,0)))</f>
        <v>0</v>
      </c>
      <c r="J1017" s="0" t="n">
        <f aca="false">IF($F1017=0,0,INDEX(Aux_HH!$G$4:$G$18,MATCH($B1017&amp;"|"&amp;$E1017,Aux_HH!$A$4:$A$18,0)))</f>
        <v>0</v>
      </c>
      <c r="K1017" s="0" t="n">
        <f aca="false">IF($F1017=0,0,INDEX(Aux_HH!$H$4:$H$18,MATCH($B1017&amp;"|"&amp;$E1017,Aux_HH!$A$4:$A$18,0)))</f>
        <v>0</v>
      </c>
      <c r="L1017" s="0" t="n">
        <f aca="false">IF($F1017=0,0,INDEX(Aux_HH!$I$4:$I$18,MATCH($B1017&amp;"|"&amp;$E1017,Aux_HH!$A$4:$A$18,0)))</f>
        <v>0</v>
      </c>
    </row>
    <row r="1018" customFormat="false" ht="15" hidden="false" customHeight="false" outlineLevel="0" collapsed="false">
      <c r="A1018" s="0" t="str">
        <f aca="false">IF(Frota!$A24="","",Frota!$A24)</f>
        <v/>
      </c>
      <c r="B1018" s="0" t="str">
        <f aca="false">IF(Frota!$A24="","",Frota!$B24)</f>
        <v/>
      </c>
      <c r="C1018" s="0" t="n">
        <v>27</v>
      </c>
      <c r="D1018" s="0" t="n">
        <f aca="false">INDEX(Semanas!$E$3:$E$54,27)</f>
        <v>9</v>
      </c>
      <c r="E1018" s="0" t="str">
        <f aca="false">IF(Frota!$A24="","",Cronograma!AB24)</f>
        <v/>
      </c>
      <c r="F1018" s="0" t="n">
        <f aca="false">IF(OR($E1018="",$E1018=0),0,1)</f>
        <v>0</v>
      </c>
      <c r="G1018" s="0" t="n">
        <f aca="false">IF($F1018=0,0,INDEX(Aux_HH!$D$4:$D$18,MATCH($B1018&amp;"|"&amp;$E1018,Aux_HH!$A$4:$A$18,0)))</f>
        <v>0</v>
      </c>
      <c r="H1018" s="0" t="n">
        <f aca="false">IF($F1018=0,0,INDEX(Aux_HH!$E$4:$E$18,MATCH($B1018&amp;"|"&amp;$E1018,Aux_HH!$A$4:$A$18,0)))</f>
        <v>0</v>
      </c>
      <c r="I1018" s="0" t="n">
        <f aca="false">IF($F1018=0,0,INDEX(Aux_HH!$F$4:$F$18,MATCH($B1018&amp;"|"&amp;$E1018,Aux_HH!$A$4:$A$18,0)))</f>
        <v>0</v>
      </c>
      <c r="J1018" s="0" t="n">
        <f aca="false">IF($F1018=0,0,INDEX(Aux_HH!$G$4:$G$18,MATCH($B1018&amp;"|"&amp;$E1018,Aux_HH!$A$4:$A$18,0)))</f>
        <v>0</v>
      </c>
      <c r="K1018" s="0" t="n">
        <f aca="false">IF($F1018=0,0,INDEX(Aux_HH!$H$4:$H$18,MATCH($B1018&amp;"|"&amp;$E1018,Aux_HH!$A$4:$A$18,0)))</f>
        <v>0</v>
      </c>
      <c r="L1018" s="0" t="n">
        <f aca="false">IF($F1018=0,0,INDEX(Aux_HH!$I$4:$I$18,MATCH($B1018&amp;"|"&amp;$E1018,Aux_HH!$A$4:$A$18,0)))</f>
        <v>0</v>
      </c>
    </row>
    <row r="1019" customFormat="false" ht="15" hidden="false" customHeight="false" outlineLevel="0" collapsed="false">
      <c r="A1019" s="0" t="str">
        <f aca="false">IF(Frota!$A24="","",Frota!$A24)</f>
        <v/>
      </c>
      <c r="B1019" s="0" t="str">
        <f aca="false">IF(Frota!$A24="","",Frota!$B24)</f>
        <v/>
      </c>
      <c r="C1019" s="0" t="n">
        <v>28</v>
      </c>
      <c r="D1019" s="0" t="n">
        <f aca="false">INDEX(Semanas!$E$3:$E$54,28)</f>
        <v>10</v>
      </c>
      <c r="E1019" s="0" t="str">
        <f aca="false">IF(Frota!$A24="","",Cronograma!AC24)</f>
        <v/>
      </c>
      <c r="F1019" s="0" t="n">
        <f aca="false">IF(OR($E1019="",$E1019=0),0,1)</f>
        <v>0</v>
      </c>
      <c r="G1019" s="0" t="n">
        <f aca="false">IF($F1019=0,0,INDEX(Aux_HH!$D$4:$D$18,MATCH($B1019&amp;"|"&amp;$E1019,Aux_HH!$A$4:$A$18,0)))</f>
        <v>0</v>
      </c>
      <c r="H1019" s="0" t="n">
        <f aca="false">IF($F1019=0,0,INDEX(Aux_HH!$E$4:$E$18,MATCH($B1019&amp;"|"&amp;$E1019,Aux_HH!$A$4:$A$18,0)))</f>
        <v>0</v>
      </c>
      <c r="I1019" s="0" t="n">
        <f aca="false">IF($F1019=0,0,INDEX(Aux_HH!$F$4:$F$18,MATCH($B1019&amp;"|"&amp;$E1019,Aux_HH!$A$4:$A$18,0)))</f>
        <v>0</v>
      </c>
      <c r="J1019" s="0" t="n">
        <f aca="false">IF($F1019=0,0,INDEX(Aux_HH!$G$4:$G$18,MATCH($B1019&amp;"|"&amp;$E1019,Aux_HH!$A$4:$A$18,0)))</f>
        <v>0</v>
      </c>
      <c r="K1019" s="0" t="n">
        <f aca="false">IF($F1019=0,0,INDEX(Aux_HH!$H$4:$H$18,MATCH($B1019&amp;"|"&amp;$E1019,Aux_HH!$A$4:$A$18,0)))</f>
        <v>0</v>
      </c>
      <c r="L1019" s="0" t="n">
        <f aca="false">IF($F1019=0,0,INDEX(Aux_HH!$I$4:$I$18,MATCH($B1019&amp;"|"&amp;$E1019,Aux_HH!$A$4:$A$18,0)))</f>
        <v>0</v>
      </c>
    </row>
    <row r="1020" customFormat="false" ht="15" hidden="false" customHeight="false" outlineLevel="0" collapsed="false">
      <c r="A1020" s="0" t="str">
        <f aca="false">IF(Frota!$A24="","",Frota!$A24)</f>
        <v/>
      </c>
      <c r="B1020" s="0" t="str">
        <f aca="false">IF(Frota!$A24="","",Frota!$B24)</f>
        <v/>
      </c>
      <c r="C1020" s="0" t="n">
        <v>29</v>
      </c>
      <c r="D1020" s="0" t="n">
        <f aca="false">INDEX(Semanas!$E$3:$E$54,29)</f>
        <v>10</v>
      </c>
      <c r="E1020" s="0" t="str">
        <f aca="false">IF(Frota!$A24="","",Cronograma!AD24)</f>
        <v/>
      </c>
      <c r="F1020" s="0" t="n">
        <f aca="false">IF(OR($E1020="",$E1020=0),0,1)</f>
        <v>0</v>
      </c>
      <c r="G1020" s="0" t="n">
        <f aca="false">IF($F1020=0,0,INDEX(Aux_HH!$D$4:$D$18,MATCH($B1020&amp;"|"&amp;$E1020,Aux_HH!$A$4:$A$18,0)))</f>
        <v>0</v>
      </c>
      <c r="H1020" s="0" t="n">
        <f aca="false">IF($F1020=0,0,INDEX(Aux_HH!$E$4:$E$18,MATCH($B1020&amp;"|"&amp;$E1020,Aux_HH!$A$4:$A$18,0)))</f>
        <v>0</v>
      </c>
      <c r="I1020" s="0" t="n">
        <f aca="false">IF($F1020=0,0,INDEX(Aux_HH!$F$4:$F$18,MATCH($B1020&amp;"|"&amp;$E1020,Aux_HH!$A$4:$A$18,0)))</f>
        <v>0</v>
      </c>
      <c r="J1020" s="0" t="n">
        <f aca="false">IF($F1020=0,0,INDEX(Aux_HH!$G$4:$G$18,MATCH($B1020&amp;"|"&amp;$E1020,Aux_HH!$A$4:$A$18,0)))</f>
        <v>0</v>
      </c>
      <c r="K1020" s="0" t="n">
        <f aca="false">IF($F1020=0,0,INDEX(Aux_HH!$H$4:$H$18,MATCH($B1020&amp;"|"&amp;$E1020,Aux_HH!$A$4:$A$18,0)))</f>
        <v>0</v>
      </c>
      <c r="L1020" s="0" t="n">
        <f aca="false">IF($F1020=0,0,INDEX(Aux_HH!$I$4:$I$18,MATCH($B1020&amp;"|"&amp;$E1020,Aux_HH!$A$4:$A$18,0)))</f>
        <v>0</v>
      </c>
    </row>
    <row r="1021" customFormat="false" ht="15" hidden="false" customHeight="false" outlineLevel="0" collapsed="false">
      <c r="A1021" s="0" t="str">
        <f aca="false">IF(Frota!$A24="","",Frota!$A24)</f>
        <v/>
      </c>
      <c r="B1021" s="0" t="str">
        <f aca="false">IF(Frota!$A24="","",Frota!$B24)</f>
        <v/>
      </c>
      <c r="C1021" s="0" t="n">
        <v>30</v>
      </c>
      <c r="D1021" s="0" t="n">
        <f aca="false">INDEX(Semanas!$E$3:$E$54,30)</f>
        <v>10</v>
      </c>
      <c r="E1021" s="0" t="str">
        <f aca="false">IF(Frota!$A24="","",Cronograma!AE24)</f>
        <v/>
      </c>
      <c r="F1021" s="0" t="n">
        <f aca="false">IF(OR($E1021="",$E1021=0),0,1)</f>
        <v>0</v>
      </c>
      <c r="G1021" s="0" t="n">
        <f aca="false">IF($F1021=0,0,INDEX(Aux_HH!$D$4:$D$18,MATCH($B1021&amp;"|"&amp;$E1021,Aux_HH!$A$4:$A$18,0)))</f>
        <v>0</v>
      </c>
      <c r="H1021" s="0" t="n">
        <f aca="false">IF($F1021=0,0,INDEX(Aux_HH!$E$4:$E$18,MATCH($B1021&amp;"|"&amp;$E1021,Aux_HH!$A$4:$A$18,0)))</f>
        <v>0</v>
      </c>
      <c r="I1021" s="0" t="n">
        <f aca="false">IF($F1021=0,0,INDEX(Aux_HH!$F$4:$F$18,MATCH($B1021&amp;"|"&amp;$E1021,Aux_HH!$A$4:$A$18,0)))</f>
        <v>0</v>
      </c>
      <c r="J1021" s="0" t="n">
        <f aca="false">IF($F1021=0,0,INDEX(Aux_HH!$G$4:$G$18,MATCH($B1021&amp;"|"&amp;$E1021,Aux_HH!$A$4:$A$18,0)))</f>
        <v>0</v>
      </c>
      <c r="K1021" s="0" t="n">
        <f aca="false">IF($F1021=0,0,INDEX(Aux_HH!$H$4:$H$18,MATCH($B1021&amp;"|"&amp;$E1021,Aux_HH!$A$4:$A$18,0)))</f>
        <v>0</v>
      </c>
      <c r="L1021" s="0" t="n">
        <f aca="false">IF($F1021=0,0,INDEX(Aux_HH!$I$4:$I$18,MATCH($B1021&amp;"|"&amp;$E1021,Aux_HH!$A$4:$A$18,0)))</f>
        <v>0</v>
      </c>
    </row>
    <row r="1022" customFormat="false" ht="15" hidden="false" customHeight="false" outlineLevel="0" collapsed="false">
      <c r="A1022" s="0" t="str">
        <f aca="false">IF(Frota!$A24="","",Frota!$A24)</f>
        <v/>
      </c>
      <c r="B1022" s="0" t="str">
        <f aca="false">IF(Frota!$A24="","",Frota!$B24)</f>
        <v/>
      </c>
      <c r="C1022" s="0" t="n">
        <v>31</v>
      </c>
      <c r="D1022" s="0" t="n">
        <f aca="false">INDEX(Semanas!$E$3:$E$54,31)</f>
        <v>10</v>
      </c>
      <c r="E1022" s="0" t="str">
        <f aca="false">IF(Frota!$A24="","",Cronograma!AF24)</f>
        <v/>
      </c>
      <c r="F1022" s="0" t="n">
        <f aca="false">IF(OR($E1022="",$E1022=0),0,1)</f>
        <v>0</v>
      </c>
      <c r="G1022" s="0" t="n">
        <f aca="false">IF($F1022=0,0,INDEX(Aux_HH!$D$4:$D$18,MATCH($B1022&amp;"|"&amp;$E1022,Aux_HH!$A$4:$A$18,0)))</f>
        <v>0</v>
      </c>
      <c r="H1022" s="0" t="n">
        <f aca="false">IF($F1022=0,0,INDEX(Aux_HH!$E$4:$E$18,MATCH($B1022&amp;"|"&amp;$E1022,Aux_HH!$A$4:$A$18,0)))</f>
        <v>0</v>
      </c>
      <c r="I1022" s="0" t="n">
        <f aca="false">IF($F1022=0,0,INDEX(Aux_HH!$F$4:$F$18,MATCH($B1022&amp;"|"&amp;$E1022,Aux_HH!$A$4:$A$18,0)))</f>
        <v>0</v>
      </c>
      <c r="J1022" s="0" t="n">
        <f aca="false">IF($F1022=0,0,INDEX(Aux_HH!$G$4:$G$18,MATCH($B1022&amp;"|"&amp;$E1022,Aux_HH!$A$4:$A$18,0)))</f>
        <v>0</v>
      </c>
      <c r="K1022" s="0" t="n">
        <f aca="false">IF($F1022=0,0,INDEX(Aux_HH!$H$4:$H$18,MATCH($B1022&amp;"|"&amp;$E1022,Aux_HH!$A$4:$A$18,0)))</f>
        <v>0</v>
      </c>
      <c r="L1022" s="0" t="n">
        <f aca="false">IF($F1022=0,0,INDEX(Aux_HH!$I$4:$I$18,MATCH($B1022&amp;"|"&amp;$E1022,Aux_HH!$A$4:$A$18,0)))</f>
        <v>0</v>
      </c>
    </row>
    <row r="1023" customFormat="false" ht="15" hidden="false" customHeight="false" outlineLevel="0" collapsed="false">
      <c r="A1023" s="0" t="str">
        <f aca="false">IF(Frota!$A24="","",Frota!$A24)</f>
        <v/>
      </c>
      <c r="B1023" s="0" t="str">
        <f aca="false">IF(Frota!$A24="","",Frota!$B24)</f>
        <v/>
      </c>
      <c r="C1023" s="0" t="n">
        <v>32</v>
      </c>
      <c r="D1023" s="0" t="n">
        <f aca="false">INDEX(Semanas!$E$3:$E$54,32)</f>
        <v>11</v>
      </c>
      <c r="E1023" s="0" t="str">
        <f aca="false">IF(Frota!$A24="","",Cronograma!AG24)</f>
        <v/>
      </c>
      <c r="F1023" s="0" t="n">
        <f aca="false">IF(OR($E1023="",$E1023=0),0,1)</f>
        <v>0</v>
      </c>
      <c r="G1023" s="0" t="n">
        <f aca="false">IF($F1023=0,0,INDEX(Aux_HH!$D$4:$D$18,MATCH($B1023&amp;"|"&amp;$E1023,Aux_HH!$A$4:$A$18,0)))</f>
        <v>0</v>
      </c>
      <c r="H1023" s="0" t="n">
        <f aca="false">IF($F1023=0,0,INDEX(Aux_HH!$E$4:$E$18,MATCH($B1023&amp;"|"&amp;$E1023,Aux_HH!$A$4:$A$18,0)))</f>
        <v>0</v>
      </c>
      <c r="I1023" s="0" t="n">
        <f aca="false">IF($F1023=0,0,INDEX(Aux_HH!$F$4:$F$18,MATCH($B1023&amp;"|"&amp;$E1023,Aux_HH!$A$4:$A$18,0)))</f>
        <v>0</v>
      </c>
      <c r="J1023" s="0" t="n">
        <f aca="false">IF($F1023=0,0,INDEX(Aux_HH!$G$4:$G$18,MATCH($B1023&amp;"|"&amp;$E1023,Aux_HH!$A$4:$A$18,0)))</f>
        <v>0</v>
      </c>
      <c r="K1023" s="0" t="n">
        <f aca="false">IF($F1023=0,0,INDEX(Aux_HH!$H$4:$H$18,MATCH($B1023&amp;"|"&amp;$E1023,Aux_HH!$A$4:$A$18,0)))</f>
        <v>0</v>
      </c>
      <c r="L1023" s="0" t="n">
        <f aca="false">IF($F1023=0,0,INDEX(Aux_HH!$I$4:$I$18,MATCH($B1023&amp;"|"&amp;$E1023,Aux_HH!$A$4:$A$18,0)))</f>
        <v>0</v>
      </c>
    </row>
    <row r="1024" customFormat="false" ht="15" hidden="false" customHeight="false" outlineLevel="0" collapsed="false">
      <c r="A1024" s="0" t="str">
        <f aca="false">IF(Frota!$A24="","",Frota!$A24)</f>
        <v/>
      </c>
      <c r="B1024" s="0" t="str">
        <f aca="false">IF(Frota!$A24="","",Frota!$B24)</f>
        <v/>
      </c>
      <c r="C1024" s="0" t="n">
        <v>33</v>
      </c>
      <c r="D1024" s="0" t="n">
        <f aca="false">INDEX(Semanas!$E$3:$E$54,33)</f>
        <v>11</v>
      </c>
      <c r="E1024" s="0" t="str">
        <f aca="false">IF(Frota!$A24="","",Cronograma!AH24)</f>
        <v/>
      </c>
      <c r="F1024" s="0" t="n">
        <f aca="false">IF(OR($E1024="",$E1024=0),0,1)</f>
        <v>0</v>
      </c>
      <c r="G1024" s="0" t="n">
        <f aca="false">IF($F1024=0,0,INDEX(Aux_HH!$D$4:$D$18,MATCH($B1024&amp;"|"&amp;$E1024,Aux_HH!$A$4:$A$18,0)))</f>
        <v>0</v>
      </c>
      <c r="H1024" s="0" t="n">
        <f aca="false">IF($F1024=0,0,INDEX(Aux_HH!$E$4:$E$18,MATCH($B1024&amp;"|"&amp;$E1024,Aux_HH!$A$4:$A$18,0)))</f>
        <v>0</v>
      </c>
      <c r="I1024" s="0" t="n">
        <f aca="false">IF($F1024=0,0,INDEX(Aux_HH!$F$4:$F$18,MATCH($B1024&amp;"|"&amp;$E1024,Aux_HH!$A$4:$A$18,0)))</f>
        <v>0</v>
      </c>
      <c r="J1024" s="0" t="n">
        <f aca="false">IF($F1024=0,0,INDEX(Aux_HH!$G$4:$G$18,MATCH($B1024&amp;"|"&amp;$E1024,Aux_HH!$A$4:$A$18,0)))</f>
        <v>0</v>
      </c>
      <c r="K1024" s="0" t="n">
        <f aca="false">IF($F1024=0,0,INDEX(Aux_HH!$H$4:$H$18,MATCH($B1024&amp;"|"&amp;$E1024,Aux_HH!$A$4:$A$18,0)))</f>
        <v>0</v>
      </c>
      <c r="L1024" s="0" t="n">
        <f aca="false">IF($F1024=0,0,INDEX(Aux_HH!$I$4:$I$18,MATCH($B1024&amp;"|"&amp;$E1024,Aux_HH!$A$4:$A$18,0)))</f>
        <v>0</v>
      </c>
    </row>
    <row r="1025" customFormat="false" ht="15" hidden="false" customHeight="false" outlineLevel="0" collapsed="false">
      <c r="A1025" s="0" t="str">
        <f aca="false">IF(Frota!$A24="","",Frota!$A24)</f>
        <v/>
      </c>
      <c r="B1025" s="0" t="str">
        <f aca="false">IF(Frota!$A24="","",Frota!$B24)</f>
        <v/>
      </c>
      <c r="C1025" s="0" t="n">
        <v>34</v>
      </c>
      <c r="D1025" s="0" t="n">
        <f aca="false">INDEX(Semanas!$E$3:$E$54,34)</f>
        <v>11</v>
      </c>
      <c r="E1025" s="0" t="str">
        <f aca="false">IF(Frota!$A24="","",Cronograma!AI24)</f>
        <v/>
      </c>
      <c r="F1025" s="0" t="n">
        <f aca="false">IF(OR($E1025="",$E1025=0),0,1)</f>
        <v>0</v>
      </c>
      <c r="G1025" s="0" t="n">
        <f aca="false">IF($F1025=0,0,INDEX(Aux_HH!$D$4:$D$18,MATCH($B1025&amp;"|"&amp;$E1025,Aux_HH!$A$4:$A$18,0)))</f>
        <v>0</v>
      </c>
      <c r="H1025" s="0" t="n">
        <f aca="false">IF($F1025=0,0,INDEX(Aux_HH!$E$4:$E$18,MATCH($B1025&amp;"|"&amp;$E1025,Aux_HH!$A$4:$A$18,0)))</f>
        <v>0</v>
      </c>
      <c r="I1025" s="0" t="n">
        <f aca="false">IF($F1025=0,0,INDEX(Aux_HH!$F$4:$F$18,MATCH($B1025&amp;"|"&amp;$E1025,Aux_HH!$A$4:$A$18,0)))</f>
        <v>0</v>
      </c>
      <c r="J1025" s="0" t="n">
        <f aca="false">IF($F1025=0,0,INDEX(Aux_HH!$G$4:$G$18,MATCH($B1025&amp;"|"&amp;$E1025,Aux_HH!$A$4:$A$18,0)))</f>
        <v>0</v>
      </c>
      <c r="K1025" s="0" t="n">
        <f aca="false">IF($F1025=0,0,INDEX(Aux_HH!$H$4:$H$18,MATCH($B1025&amp;"|"&amp;$E1025,Aux_HH!$A$4:$A$18,0)))</f>
        <v>0</v>
      </c>
      <c r="L1025" s="0" t="n">
        <f aca="false">IF($F1025=0,0,INDEX(Aux_HH!$I$4:$I$18,MATCH($B1025&amp;"|"&amp;$E1025,Aux_HH!$A$4:$A$18,0)))</f>
        <v>0</v>
      </c>
    </row>
    <row r="1026" customFormat="false" ht="15" hidden="false" customHeight="false" outlineLevel="0" collapsed="false">
      <c r="A1026" s="0" t="str">
        <f aca="false">IF(Frota!$A24="","",Frota!$A24)</f>
        <v/>
      </c>
      <c r="B1026" s="0" t="str">
        <f aca="false">IF(Frota!$A24="","",Frota!$B24)</f>
        <v/>
      </c>
      <c r="C1026" s="0" t="n">
        <v>35</v>
      </c>
      <c r="D1026" s="0" t="n">
        <f aca="false">INDEX(Semanas!$E$3:$E$54,35)</f>
        <v>11</v>
      </c>
      <c r="E1026" s="0" t="str">
        <f aca="false">IF(Frota!$A24="","",Cronograma!AJ24)</f>
        <v/>
      </c>
      <c r="F1026" s="0" t="n">
        <f aca="false">IF(OR($E1026="",$E1026=0),0,1)</f>
        <v>0</v>
      </c>
      <c r="G1026" s="0" t="n">
        <f aca="false">IF($F1026=0,0,INDEX(Aux_HH!$D$4:$D$18,MATCH($B1026&amp;"|"&amp;$E1026,Aux_HH!$A$4:$A$18,0)))</f>
        <v>0</v>
      </c>
      <c r="H1026" s="0" t="n">
        <f aca="false">IF($F1026=0,0,INDEX(Aux_HH!$E$4:$E$18,MATCH($B1026&amp;"|"&amp;$E1026,Aux_HH!$A$4:$A$18,0)))</f>
        <v>0</v>
      </c>
      <c r="I1026" s="0" t="n">
        <f aca="false">IF($F1026=0,0,INDEX(Aux_HH!$F$4:$F$18,MATCH($B1026&amp;"|"&amp;$E1026,Aux_HH!$A$4:$A$18,0)))</f>
        <v>0</v>
      </c>
      <c r="J1026" s="0" t="n">
        <f aca="false">IF($F1026=0,0,INDEX(Aux_HH!$G$4:$G$18,MATCH($B1026&amp;"|"&amp;$E1026,Aux_HH!$A$4:$A$18,0)))</f>
        <v>0</v>
      </c>
      <c r="K1026" s="0" t="n">
        <f aca="false">IF($F1026=0,0,INDEX(Aux_HH!$H$4:$H$18,MATCH($B1026&amp;"|"&amp;$E1026,Aux_HH!$A$4:$A$18,0)))</f>
        <v>0</v>
      </c>
      <c r="L1026" s="0" t="n">
        <f aca="false">IF($F1026=0,0,INDEX(Aux_HH!$I$4:$I$18,MATCH($B1026&amp;"|"&amp;$E1026,Aux_HH!$A$4:$A$18,0)))</f>
        <v>0</v>
      </c>
    </row>
    <row r="1027" customFormat="false" ht="15" hidden="false" customHeight="false" outlineLevel="0" collapsed="false">
      <c r="A1027" s="0" t="str">
        <f aca="false">IF(Frota!$A24="","",Frota!$A24)</f>
        <v/>
      </c>
      <c r="B1027" s="0" t="str">
        <f aca="false">IF(Frota!$A24="","",Frota!$B24)</f>
        <v/>
      </c>
      <c r="C1027" s="0" t="n">
        <v>36</v>
      </c>
      <c r="D1027" s="0" t="n">
        <f aca="false">INDEX(Semanas!$E$3:$E$54,36)</f>
        <v>12</v>
      </c>
      <c r="E1027" s="0" t="str">
        <f aca="false">IF(Frota!$A24="","",Cronograma!AK24)</f>
        <v/>
      </c>
      <c r="F1027" s="0" t="n">
        <f aca="false">IF(OR($E1027="",$E1027=0),0,1)</f>
        <v>0</v>
      </c>
      <c r="G1027" s="0" t="n">
        <f aca="false">IF($F1027=0,0,INDEX(Aux_HH!$D$4:$D$18,MATCH($B1027&amp;"|"&amp;$E1027,Aux_HH!$A$4:$A$18,0)))</f>
        <v>0</v>
      </c>
      <c r="H1027" s="0" t="n">
        <f aca="false">IF($F1027=0,0,INDEX(Aux_HH!$E$4:$E$18,MATCH($B1027&amp;"|"&amp;$E1027,Aux_HH!$A$4:$A$18,0)))</f>
        <v>0</v>
      </c>
      <c r="I1027" s="0" t="n">
        <f aca="false">IF($F1027=0,0,INDEX(Aux_HH!$F$4:$F$18,MATCH($B1027&amp;"|"&amp;$E1027,Aux_HH!$A$4:$A$18,0)))</f>
        <v>0</v>
      </c>
      <c r="J1027" s="0" t="n">
        <f aca="false">IF($F1027=0,0,INDEX(Aux_HH!$G$4:$G$18,MATCH($B1027&amp;"|"&amp;$E1027,Aux_HH!$A$4:$A$18,0)))</f>
        <v>0</v>
      </c>
      <c r="K1027" s="0" t="n">
        <f aca="false">IF($F1027=0,0,INDEX(Aux_HH!$H$4:$H$18,MATCH($B1027&amp;"|"&amp;$E1027,Aux_HH!$A$4:$A$18,0)))</f>
        <v>0</v>
      </c>
      <c r="L1027" s="0" t="n">
        <f aca="false">IF($F1027=0,0,INDEX(Aux_HH!$I$4:$I$18,MATCH($B1027&amp;"|"&amp;$E1027,Aux_HH!$A$4:$A$18,0)))</f>
        <v>0</v>
      </c>
    </row>
    <row r="1028" customFormat="false" ht="15" hidden="false" customHeight="false" outlineLevel="0" collapsed="false">
      <c r="A1028" s="0" t="str">
        <f aca="false">IF(Frota!$A24="","",Frota!$A24)</f>
        <v/>
      </c>
      <c r="B1028" s="0" t="str">
        <f aca="false">IF(Frota!$A24="","",Frota!$B24)</f>
        <v/>
      </c>
      <c r="C1028" s="0" t="n">
        <v>37</v>
      </c>
      <c r="D1028" s="0" t="n">
        <f aca="false">INDEX(Semanas!$E$3:$E$54,37)</f>
        <v>12</v>
      </c>
      <c r="E1028" s="0" t="str">
        <f aca="false">IF(Frota!$A24="","",Cronograma!AL24)</f>
        <v/>
      </c>
      <c r="F1028" s="0" t="n">
        <f aca="false">IF(OR($E1028="",$E1028=0),0,1)</f>
        <v>0</v>
      </c>
      <c r="G1028" s="0" t="n">
        <f aca="false">IF($F1028=0,0,INDEX(Aux_HH!$D$4:$D$18,MATCH($B1028&amp;"|"&amp;$E1028,Aux_HH!$A$4:$A$18,0)))</f>
        <v>0</v>
      </c>
      <c r="H1028" s="0" t="n">
        <f aca="false">IF($F1028=0,0,INDEX(Aux_HH!$E$4:$E$18,MATCH($B1028&amp;"|"&amp;$E1028,Aux_HH!$A$4:$A$18,0)))</f>
        <v>0</v>
      </c>
      <c r="I1028" s="0" t="n">
        <f aca="false">IF($F1028=0,0,INDEX(Aux_HH!$F$4:$F$18,MATCH($B1028&amp;"|"&amp;$E1028,Aux_HH!$A$4:$A$18,0)))</f>
        <v>0</v>
      </c>
      <c r="J1028" s="0" t="n">
        <f aca="false">IF($F1028=0,0,INDEX(Aux_HH!$G$4:$G$18,MATCH($B1028&amp;"|"&amp;$E1028,Aux_HH!$A$4:$A$18,0)))</f>
        <v>0</v>
      </c>
      <c r="K1028" s="0" t="n">
        <f aca="false">IF($F1028=0,0,INDEX(Aux_HH!$H$4:$H$18,MATCH($B1028&amp;"|"&amp;$E1028,Aux_HH!$A$4:$A$18,0)))</f>
        <v>0</v>
      </c>
      <c r="L1028" s="0" t="n">
        <f aca="false">IF($F1028=0,0,INDEX(Aux_HH!$I$4:$I$18,MATCH($B1028&amp;"|"&amp;$E1028,Aux_HH!$A$4:$A$18,0)))</f>
        <v>0</v>
      </c>
    </row>
    <row r="1029" customFormat="false" ht="15" hidden="false" customHeight="false" outlineLevel="0" collapsed="false">
      <c r="A1029" s="0" t="str">
        <f aca="false">IF(Frota!$A24="","",Frota!$A24)</f>
        <v/>
      </c>
      <c r="B1029" s="0" t="str">
        <f aca="false">IF(Frota!$A24="","",Frota!$B24)</f>
        <v/>
      </c>
      <c r="C1029" s="0" t="n">
        <v>38</v>
      </c>
      <c r="D1029" s="0" t="n">
        <f aca="false">INDEX(Semanas!$E$3:$E$54,38)</f>
        <v>12</v>
      </c>
      <c r="E1029" s="0" t="str">
        <f aca="false">IF(Frota!$A24="","",Cronograma!AM24)</f>
        <v/>
      </c>
      <c r="F1029" s="0" t="n">
        <f aca="false">IF(OR($E1029="",$E1029=0),0,1)</f>
        <v>0</v>
      </c>
      <c r="G1029" s="0" t="n">
        <f aca="false">IF($F1029=0,0,INDEX(Aux_HH!$D$4:$D$18,MATCH($B1029&amp;"|"&amp;$E1029,Aux_HH!$A$4:$A$18,0)))</f>
        <v>0</v>
      </c>
      <c r="H1029" s="0" t="n">
        <f aca="false">IF($F1029=0,0,INDEX(Aux_HH!$E$4:$E$18,MATCH($B1029&amp;"|"&amp;$E1029,Aux_HH!$A$4:$A$18,0)))</f>
        <v>0</v>
      </c>
      <c r="I1029" s="0" t="n">
        <f aca="false">IF($F1029=0,0,INDEX(Aux_HH!$F$4:$F$18,MATCH($B1029&amp;"|"&amp;$E1029,Aux_HH!$A$4:$A$18,0)))</f>
        <v>0</v>
      </c>
      <c r="J1029" s="0" t="n">
        <f aca="false">IF($F1029=0,0,INDEX(Aux_HH!$G$4:$G$18,MATCH($B1029&amp;"|"&amp;$E1029,Aux_HH!$A$4:$A$18,0)))</f>
        <v>0</v>
      </c>
      <c r="K1029" s="0" t="n">
        <f aca="false">IF($F1029=0,0,INDEX(Aux_HH!$H$4:$H$18,MATCH($B1029&amp;"|"&amp;$E1029,Aux_HH!$A$4:$A$18,0)))</f>
        <v>0</v>
      </c>
      <c r="L1029" s="0" t="n">
        <f aca="false">IF($F1029=0,0,INDEX(Aux_HH!$I$4:$I$18,MATCH($B1029&amp;"|"&amp;$E1029,Aux_HH!$A$4:$A$18,0)))</f>
        <v>0</v>
      </c>
    </row>
    <row r="1030" customFormat="false" ht="15" hidden="false" customHeight="false" outlineLevel="0" collapsed="false">
      <c r="A1030" s="0" t="str">
        <f aca="false">IF(Frota!$A24="","",Frota!$A24)</f>
        <v/>
      </c>
      <c r="B1030" s="0" t="str">
        <f aca="false">IF(Frota!$A24="","",Frota!$B24)</f>
        <v/>
      </c>
      <c r="C1030" s="0" t="n">
        <v>39</v>
      </c>
      <c r="D1030" s="0" t="n">
        <f aca="false">INDEX(Semanas!$E$3:$E$54,39)</f>
        <v>12</v>
      </c>
      <c r="E1030" s="0" t="str">
        <f aca="false">IF(Frota!$A24="","",Cronograma!AN24)</f>
        <v/>
      </c>
      <c r="F1030" s="0" t="n">
        <f aca="false">IF(OR($E1030="",$E1030=0),0,1)</f>
        <v>0</v>
      </c>
      <c r="G1030" s="0" t="n">
        <f aca="false">IF($F1030=0,0,INDEX(Aux_HH!$D$4:$D$18,MATCH($B1030&amp;"|"&amp;$E1030,Aux_HH!$A$4:$A$18,0)))</f>
        <v>0</v>
      </c>
      <c r="H1030" s="0" t="n">
        <f aca="false">IF($F1030=0,0,INDEX(Aux_HH!$E$4:$E$18,MATCH($B1030&amp;"|"&amp;$E1030,Aux_HH!$A$4:$A$18,0)))</f>
        <v>0</v>
      </c>
      <c r="I1030" s="0" t="n">
        <f aca="false">IF($F1030=0,0,INDEX(Aux_HH!$F$4:$F$18,MATCH($B1030&amp;"|"&amp;$E1030,Aux_HH!$A$4:$A$18,0)))</f>
        <v>0</v>
      </c>
      <c r="J1030" s="0" t="n">
        <f aca="false">IF($F1030=0,0,INDEX(Aux_HH!$G$4:$G$18,MATCH($B1030&amp;"|"&amp;$E1030,Aux_HH!$A$4:$A$18,0)))</f>
        <v>0</v>
      </c>
      <c r="K1030" s="0" t="n">
        <f aca="false">IF($F1030=0,0,INDEX(Aux_HH!$H$4:$H$18,MATCH($B1030&amp;"|"&amp;$E1030,Aux_HH!$A$4:$A$18,0)))</f>
        <v>0</v>
      </c>
      <c r="L1030" s="0" t="n">
        <f aca="false">IF($F1030=0,0,INDEX(Aux_HH!$I$4:$I$18,MATCH($B1030&amp;"|"&amp;$E1030,Aux_HH!$A$4:$A$18,0)))</f>
        <v>0</v>
      </c>
    </row>
    <row r="1031" customFormat="false" ht="15" hidden="false" customHeight="false" outlineLevel="0" collapsed="false">
      <c r="A1031" s="0" t="str">
        <f aca="false">IF(Frota!$A24="","",Frota!$A24)</f>
        <v/>
      </c>
      <c r="B1031" s="0" t="str">
        <f aca="false">IF(Frota!$A24="","",Frota!$B24)</f>
        <v/>
      </c>
      <c r="C1031" s="0" t="n">
        <v>40</v>
      </c>
      <c r="D1031" s="0" t="n">
        <f aca="false">INDEX(Semanas!$E$3:$E$54,40)</f>
        <v>12</v>
      </c>
      <c r="E1031" s="0" t="str">
        <f aca="false">IF(Frota!$A24="","",Cronograma!AO24)</f>
        <v/>
      </c>
      <c r="F1031" s="0" t="n">
        <f aca="false">IF(OR($E1031="",$E1031=0),0,1)</f>
        <v>0</v>
      </c>
      <c r="G1031" s="0" t="n">
        <f aca="false">IF($F1031=0,0,INDEX(Aux_HH!$D$4:$D$18,MATCH($B1031&amp;"|"&amp;$E1031,Aux_HH!$A$4:$A$18,0)))</f>
        <v>0</v>
      </c>
      <c r="H1031" s="0" t="n">
        <f aca="false">IF($F1031=0,0,INDEX(Aux_HH!$E$4:$E$18,MATCH($B1031&amp;"|"&amp;$E1031,Aux_HH!$A$4:$A$18,0)))</f>
        <v>0</v>
      </c>
      <c r="I1031" s="0" t="n">
        <f aca="false">IF($F1031=0,0,INDEX(Aux_HH!$F$4:$F$18,MATCH($B1031&amp;"|"&amp;$E1031,Aux_HH!$A$4:$A$18,0)))</f>
        <v>0</v>
      </c>
      <c r="J1031" s="0" t="n">
        <f aca="false">IF($F1031=0,0,INDEX(Aux_HH!$G$4:$G$18,MATCH($B1031&amp;"|"&amp;$E1031,Aux_HH!$A$4:$A$18,0)))</f>
        <v>0</v>
      </c>
      <c r="K1031" s="0" t="n">
        <f aca="false">IF($F1031=0,0,INDEX(Aux_HH!$H$4:$H$18,MATCH($B1031&amp;"|"&amp;$E1031,Aux_HH!$A$4:$A$18,0)))</f>
        <v>0</v>
      </c>
      <c r="L1031" s="0" t="n">
        <f aca="false">IF($F1031=0,0,INDEX(Aux_HH!$I$4:$I$18,MATCH($B1031&amp;"|"&amp;$E1031,Aux_HH!$A$4:$A$18,0)))</f>
        <v>0</v>
      </c>
    </row>
    <row r="1032" customFormat="false" ht="15" hidden="false" customHeight="false" outlineLevel="0" collapsed="false">
      <c r="A1032" s="0" t="str">
        <f aca="false">IF(Frota!$A24="","",Frota!$A24)</f>
        <v/>
      </c>
      <c r="B1032" s="0" t="str">
        <f aca="false">IF(Frota!$A24="","",Frota!$B24)</f>
        <v/>
      </c>
      <c r="C1032" s="0" t="n">
        <v>41</v>
      </c>
      <c r="D1032" s="0" t="n">
        <f aca="false">INDEX(Semanas!$E$3:$E$54,41)</f>
        <v>1</v>
      </c>
      <c r="E1032" s="0" t="str">
        <f aca="false">IF(Frota!$A24="","",Cronograma!AP24)</f>
        <v/>
      </c>
      <c r="F1032" s="0" t="n">
        <f aca="false">IF(OR($E1032="",$E1032=0),0,1)</f>
        <v>0</v>
      </c>
      <c r="G1032" s="0" t="n">
        <f aca="false">IF($F1032=0,0,INDEX(Aux_HH!$D$4:$D$18,MATCH($B1032&amp;"|"&amp;$E1032,Aux_HH!$A$4:$A$18,0)))</f>
        <v>0</v>
      </c>
      <c r="H1032" s="0" t="n">
        <f aca="false">IF($F1032=0,0,INDEX(Aux_HH!$E$4:$E$18,MATCH($B1032&amp;"|"&amp;$E1032,Aux_HH!$A$4:$A$18,0)))</f>
        <v>0</v>
      </c>
      <c r="I1032" s="0" t="n">
        <f aca="false">IF($F1032=0,0,INDEX(Aux_HH!$F$4:$F$18,MATCH($B1032&amp;"|"&amp;$E1032,Aux_HH!$A$4:$A$18,0)))</f>
        <v>0</v>
      </c>
      <c r="J1032" s="0" t="n">
        <f aca="false">IF($F1032=0,0,INDEX(Aux_HH!$G$4:$G$18,MATCH($B1032&amp;"|"&amp;$E1032,Aux_HH!$A$4:$A$18,0)))</f>
        <v>0</v>
      </c>
      <c r="K1032" s="0" t="n">
        <f aca="false">IF($F1032=0,0,INDEX(Aux_HH!$H$4:$H$18,MATCH($B1032&amp;"|"&amp;$E1032,Aux_HH!$A$4:$A$18,0)))</f>
        <v>0</v>
      </c>
      <c r="L1032" s="0" t="n">
        <f aca="false">IF($F1032=0,0,INDEX(Aux_HH!$I$4:$I$18,MATCH($B1032&amp;"|"&amp;$E1032,Aux_HH!$A$4:$A$18,0)))</f>
        <v>0</v>
      </c>
    </row>
    <row r="1033" customFormat="false" ht="15" hidden="false" customHeight="false" outlineLevel="0" collapsed="false">
      <c r="A1033" s="0" t="str">
        <f aca="false">IF(Frota!$A24="","",Frota!$A24)</f>
        <v/>
      </c>
      <c r="B1033" s="0" t="str">
        <f aca="false">IF(Frota!$A24="","",Frota!$B24)</f>
        <v/>
      </c>
      <c r="C1033" s="0" t="n">
        <v>42</v>
      </c>
      <c r="D1033" s="0" t="n">
        <f aca="false">INDEX(Semanas!$E$3:$E$54,42)</f>
        <v>1</v>
      </c>
      <c r="E1033" s="0" t="str">
        <f aca="false">IF(Frota!$A24="","",Cronograma!AQ24)</f>
        <v/>
      </c>
      <c r="F1033" s="0" t="n">
        <f aca="false">IF(OR($E1033="",$E1033=0),0,1)</f>
        <v>0</v>
      </c>
      <c r="G1033" s="0" t="n">
        <f aca="false">IF($F1033=0,0,INDEX(Aux_HH!$D$4:$D$18,MATCH($B1033&amp;"|"&amp;$E1033,Aux_HH!$A$4:$A$18,0)))</f>
        <v>0</v>
      </c>
      <c r="H1033" s="0" t="n">
        <f aca="false">IF($F1033=0,0,INDEX(Aux_HH!$E$4:$E$18,MATCH($B1033&amp;"|"&amp;$E1033,Aux_HH!$A$4:$A$18,0)))</f>
        <v>0</v>
      </c>
      <c r="I1033" s="0" t="n">
        <f aca="false">IF($F1033=0,0,INDEX(Aux_HH!$F$4:$F$18,MATCH($B1033&amp;"|"&amp;$E1033,Aux_HH!$A$4:$A$18,0)))</f>
        <v>0</v>
      </c>
      <c r="J1033" s="0" t="n">
        <f aca="false">IF($F1033=0,0,INDEX(Aux_HH!$G$4:$G$18,MATCH($B1033&amp;"|"&amp;$E1033,Aux_HH!$A$4:$A$18,0)))</f>
        <v>0</v>
      </c>
      <c r="K1033" s="0" t="n">
        <f aca="false">IF($F1033=0,0,INDEX(Aux_HH!$H$4:$H$18,MATCH($B1033&amp;"|"&amp;$E1033,Aux_HH!$A$4:$A$18,0)))</f>
        <v>0</v>
      </c>
      <c r="L1033" s="0" t="n">
        <f aca="false">IF($F1033=0,0,INDEX(Aux_HH!$I$4:$I$18,MATCH($B1033&amp;"|"&amp;$E1033,Aux_HH!$A$4:$A$18,0)))</f>
        <v>0</v>
      </c>
    </row>
    <row r="1034" customFormat="false" ht="15" hidden="false" customHeight="false" outlineLevel="0" collapsed="false">
      <c r="A1034" s="0" t="str">
        <f aca="false">IF(Frota!$A24="","",Frota!$A24)</f>
        <v/>
      </c>
      <c r="B1034" s="0" t="str">
        <f aca="false">IF(Frota!$A24="","",Frota!$B24)</f>
        <v/>
      </c>
      <c r="C1034" s="0" t="n">
        <v>43</v>
      </c>
      <c r="D1034" s="0" t="n">
        <f aca="false">INDEX(Semanas!$E$3:$E$54,43)</f>
        <v>1</v>
      </c>
      <c r="E1034" s="0" t="str">
        <f aca="false">IF(Frota!$A24="","",Cronograma!AR24)</f>
        <v/>
      </c>
      <c r="F1034" s="0" t="n">
        <f aca="false">IF(OR($E1034="",$E1034=0),0,1)</f>
        <v>0</v>
      </c>
      <c r="G1034" s="0" t="n">
        <f aca="false">IF($F1034=0,0,INDEX(Aux_HH!$D$4:$D$18,MATCH($B1034&amp;"|"&amp;$E1034,Aux_HH!$A$4:$A$18,0)))</f>
        <v>0</v>
      </c>
      <c r="H1034" s="0" t="n">
        <f aca="false">IF($F1034=0,0,INDEX(Aux_HH!$E$4:$E$18,MATCH($B1034&amp;"|"&amp;$E1034,Aux_HH!$A$4:$A$18,0)))</f>
        <v>0</v>
      </c>
      <c r="I1034" s="0" t="n">
        <f aca="false">IF($F1034=0,0,INDEX(Aux_HH!$F$4:$F$18,MATCH($B1034&amp;"|"&amp;$E1034,Aux_HH!$A$4:$A$18,0)))</f>
        <v>0</v>
      </c>
      <c r="J1034" s="0" t="n">
        <f aca="false">IF($F1034=0,0,INDEX(Aux_HH!$G$4:$G$18,MATCH($B1034&amp;"|"&amp;$E1034,Aux_HH!$A$4:$A$18,0)))</f>
        <v>0</v>
      </c>
      <c r="K1034" s="0" t="n">
        <f aca="false">IF($F1034=0,0,INDEX(Aux_HH!$H$4:$H$18,MATCH($B1034&amp;"|"&amp;$E1034,Aux_HH!$A$4:$A$18,0)))</f>
        <v>0</v>
      </c>
      <c r="L1034" s="0" t="n">
        <f aca="false">IF($F1034=0,0,INDEX(Aux_HH!$I$4:$I$18,MATCH($B1034&amp;"|"&amp;$E1034,Aux_HH!$A$4:$A$18,0)))</f>
        <v>0</v>
      </c>
    </row>
    <row r="1035" customFormat="false" ht="15" hidden="false" customHeight="false" outlineLevel="0" collapsed="false">
      <c r="A1035" s="0" t="str">
        <f aca="false">IF(Frota!$A24="","",Frota!$A24)</f>
        <v/>
      </c>
      <c r="B1035" s="0" t="str">
        <f aca="false">IF(Frota!$A24="","",Frota!$B24)</f>
        <v/>
      </c>
      <c r="C1035" s="0" t="n">
        <v>44</v>
      </c>
      <c r="D1035" s="0" t="n">
        <f aca="false">INDEX(Semanas!$E$3:$E$54,44)</f>
        <v>1</v>
      </c>
      <c r="E1035" s="0" t="str">
        <f aca="false">IF(Frota!$A24="","",Cronograma!AS24)</f>
        <v/>
      </c>
      <c r="F1035" s="0" t="n">
        <f aca="false">IF(OR($E1035="",$E1035=0),0,1)</f>
        <v>0</v>
      </c>
      <c r="G1035" s="0" t="n">
        <f aca="false">IF($F1035=0,0,INDEX(Aux_HH!$D$4:$D$18,MATCH($B1035&amp;"|"&amp;$E1035,Aux_HH!$A$4:$A$18,0)))</f>
        <v>0</v>
      </c>
      <c r="H1035" s="0" t="n">
        <f aca="false">IF($F1035=0,0,INDEX(Aux_HH!$E$4:$E$18,MATCH($B1035&amp;"|"&amp;$E1035,Aux_HH!$A$4:$A$18,0)))</f>
        <v>0</v>
      </c>
      <c r="I1035" s="0" t="n">
        <f aca="false">IF($F1035=0,0,INDEX(Aux_HH!$F$4:$F$18,MATCH($B1035&amp;"|"&amp;$E1035,Aux_HH!$A$4:$A$18,0)))</f>
        <v>0</v>
      </c>
      <c r="J1035" s="0" t="n">
        <f aca="false">IF($F1035=0,0,INDEX(Aux_HH!$G$4:$G$18,MATCH($B1035&amp;"|"&amp;$E1035,Aux_HH!$A$4:$A$18,0)))</f>
        <v>0</v>
      </c>
      <c r="K1035" s="0" t="n">
        <f aca="false">IF($F1035=0,0,INDEX(Aux_HH!$H$4:$H$18,MATCH($B1035&amp;"|"&amp;$E1035,Aux_HH!$A$4:$A$18,0)))</f>
        <v>0</v>
      </c>
      <c r="L1035" s="0" t="n">
        <f aca="false">IF($F1035=0,0,INDEX(Aux_HH!$I$4:$I$18,MATCH($B1035&amp;"|"&amp;$E1035,Aux_HH!$A$4:$A$18,0)))</f>
        <v>0</v>
      </c>
    </row>
    <row r="1036" customFormat="false" ht="15" hidden="false" customHeight="false" outlineLevel="0" collapsed="false">
      <c r="A1036" s="0" t="str">
        <f aca="false">IF(Frota!$A24="","",Frota!$A24)</f>
        <v/>
      </c>
      <c r="B1036" s="0" t="str">
        <f aca="false">IF(Frota!$A24="","",Frota!$B24)</f>
        <v/>
      </c>
      <c r="C1036" s="0" t="n">
        <v>45</v>
      </c>
      <c r="D1036" s="0" t="n">
        <f aca="false">INDEX(Semanas!$E$3:$E$54,45)</f>
        <v>2</v>
      </c>
      <c r="E1036" s="0" t="str">
        <f aca="false">IF(Frota!$A24="","",Cronograma!AT24)</f>
        <v/>
      </c>
      <c r="F1036" s="0" t="n">
        <f aca="false">IF(OR($E1036="",$E1036=0),0,1)</f>
        <v>0</v>
      </c>
      <c r="G1036" s="0" t="n">
        <f aca="false">IF($F1036=0,0,INDEX(Aux_HH!$D$4:$D$18,MATCH($B1036&amp;"|"&amp;$E1036,Aux_HH!$A$4:$A$18,0)))</f>
        <v>0</v>
      </c>
      <c r="H1036" s="0" t="n">
        <f aca="false">IF($F1036=0,0,INDEX(Aux_HH!$E$4:$E$18,MATCH($B1036&amp;"|"&amp;$E1036,Aux_HH!$A$4:$A$18,0)))</f>
        <v>0</v>
      </c>
      <c r="I1036" s="0" t="n">
        <f aca="false">IF($F1036=0,0,INDEX(Aux_HH!$F$4:$F$18,MATCH($B1036&amp;"|"&amp;$E1036,Aux_HH!$A$4:$A$18,0)))</f>
        <v>0</v>
      </c>
      <c r="J1036" s="0" t="n">
        <f aca="false">IF($F1036=0,0,INDEX(Aux_HH!$G$4:$G$18,MATCH($B1036&amp;"|"&amp;$E1036,Aux_HH!$A$4:$A$18,0)))</f>
        <v>0</v>
      </c>
      <c r="K1036" s="0" t="n">
        <f aca="false">IF($F1036=0,0,INDEX(Aux_HH!$H$4:$H$18,MATCH($B1036&amp;"|"&amp;$E1036,Aux_HH!$A$4:$A$18,0)))</f>
        <v>0</v>
      </c>
      <c r="L1036" s="0" t="n">
        <f aca="false">IF($F1036=0,0,INDEX(Aux_HH!$I$4:$I$18,MATCH($B1036&amp;"|"&amp;$E1036,Aux_HH!$A$4:$A$18,0)))</f>
        <v>0</v>
      </c>
    </row>
    <row r="1037" customFormat="false" ht="15" hidden="false" customHeight="false" outlineLevel="0" collapsed="false">
      <c r="A1037" s="0" t="str">
        <f aca="false">IF(Frota!$A24="","",Frota!$A24)</f>
        <v/>
      </c>
      <c r="B1037" s="0" t="str">
        <f aca="false">IF(Frota!$A24="","",Frota!$B24)</f>
        <v/>
      </c>
      <c r="C1037" s="0" t="n">
        <v>46</v>
      </c>
      <c r="D1037" s="0" t="n">
        <f aca="false">INDEX(Semanas!$E$3:$E$54,46)</f>
        <v>2</v>
      </c>
      <c r="E1037" s="0" t="str">
        <f aca="false">IF(Frota!$A24="","",Cronograma!AU24)</f>
        <v/>
      </c>
      <c r="F1037" s="0" t="n">
        <f aca="false">IF(OR($E1037="",$E1037=0),0,1)</f>
        <v>0</v>
      </c>
      <c r="G1037" s="0" t="n">
        <f aca="false">IF($F1037=0,0,INDEX(Aux_HH!$D$4:$D$18,MATCH($B1037&amp;"|"&amp;$E1037,Aux_HH!$A$4:$A$18,0)))</f>
        <v>0</v>
      </c>
      <c r="H1037" s="0" t="n">
        <f aca="false">IF($F1037=0,0,INDEX(Aux_HH!$E$4:$E$18,MATCH($B1037&amp;"|"&amp;$E1037,Aux_HH!$A$4:$A$18,0)))</f>
        <v>0</v>
      </c>
      <c r="I1037" s="0" t="n">
        <f aca="false">IF($F1037=0,0,INDEX(Aux_HH!$F$4:$F$18,MATCH($B1037&amp;"|"&amp;$E1037,Aux_HH!$A$4:$A$18,0)))</f>
        <v>0</v>
      </c>
      <c r="J1037" s="0" t="n">
        <f aca="false">IF($F1037=0,0,INDEX(Aux_HH!$G$4:$G$18,MATCH($B1037&amp;"|"&amp;$E1037,Aux_HH!$A$4:$A$18,0)))</f>
        <v>0</v>
      </c>
      <c r="K1037" s="0" t="n">
        <f aca="false">IF($F1037=0,0,INDEX(Aux_HH!$H$4:$H$18,MATCH($B1037&amp;"|"&amp;$E1037,Aux_HH!$A$4:$A$18,0)))</f>
        <v>0</v>
      </c>
      <c r="L1037" s="0" t="n">
        <f aca="false">IF($F1037=0,0,INDEX(Aux_HH!$I$4:$I$18,MATCH($B1037&amp;"|"&amp;$E1037,Aux_HH!$A$4:$A$18,0)))</f>
        <v>0</v>
      </c>
    </row>
    <row r="1038" customFormat="false" ht="15" hidden="false" customHeight="false" outlineLevel="0" collapsed="false">
      <c r="A1038" s="0" t="str">
        <f aca="false">IF(Frota!$A24="","",Frota!$A24)</f>
        <v/>
      </c>
      <c r="B1038" s="0" t="str">
        <f aca="false">IF(Frota!$A24="","",Frota!$B24)</f>
        <v/>
      </c>
      <c r="C1038" s="0" t="n">
        <v>47</v>
      </c>
      <c r="D1038" s="0" t="n">
        <f aca="false">INDEX(Semanas!$E$3:$E$54,47)</f>
        <v>2</v>
      </c>
      <c r="E1038" s="0" t="str">
        <f aca="false">IF(Frota!$A24="","",Cronograma!AV24)</f>
        <v/>
      </c>
      <c r="F1038" s="0" t="n">
        <f aca="false">IF(OR($E1038="",$E1038=0),0,1)</f>
        <v>0</v>
      </c>
      <c r="G1038" s="0" t="n">
        <f aca="false">IF($F1038=0,0,INDEX(Aux_HH!$D$4:$D$18,MATCH($B1038&amp;"|"&amp;$E1038,Aux_HH!$A$4:$A$18,0)))</f>
        <v>0</v>
      </c>
      <c r="H1038" s="0" t="n">
        <f aca="false">IF($F1038=0,0,INDEX(Aux_HH!$E$4:$E$18,MATCH($B1038&amp;"|"&amp;$E1038,Aux_HH!$A$4:$A$18,0)))</f>
        <v>0</v>
      </c>
      <c r="I1038" s="0" t="n">
        <f aca="false">IF($F1038=0,0,INDEX(Aux_HH!$F$4:$F$18,MATCH($B1038&amp;"|"&amp;$E1038,Aux_HH!$A$4:$A$18,0)))</f>
        <v>0</v>
      </c>
      <c r="J1038" s="0" t="n">
        <f aca="false">IF($F1038=0,0,INDEX(Aux_HH!$G$4:$G$18,MATCH($B1038&amp;"|"&amp;$E1038,Aux_HH!$A$4:$A$18,0)))</f>
        <v>0</v>
      </c>
      <c r="K1038" s="0" t="n">
        <f aca="false">IF($F1038=0,0,INDEX(Aux_HH!$H$4:$H$18,MATCH($B1038&amp;"|"&amp;$E1038,Aux_HH!$A$4:$A$18,0)))</f>
        <v>0</v>
      </c>
      <c r="L1038" s="0" t="n">
        <f aca="false">IF($F1038=0,0,INDEX(Aux_HH!$I$4:$I$18,MATCH($B1038&amp;"|"&amp;$E1038,Aux_HH!$A$4:$A$18,0)))</f>
        <v>0</v>
      </c>
    </row>
    <row r="1039" customFormat="false" ht="15" hidden="false" customHeight="false" outlineLevel="0" collapsed="false">
      <c r="A1039" s="0" t="str">
        <f aca="false">IF(Frota!$A24="","",Frota!$A24)</f>
        <v/>
      </c>
      <c r="B1039" s="0" t="str">
        <f aca="false">IF(Frota!$A24="","",Frota!$B24)</f>
        <v/>
      </c>
      <c r="C1039" s="0" t="n">
        <v>48</v>
      </c>
      <c r="D1039" s="0" t="n">
        <f aca="false">INDEX(Semanas!$E$3:$E$54,48)</f>
        <v>2</v>
      </c>
      <c r="E1039" s="0" t="str">
        <f aca="false">IF(Frota!$A24="","",Cronograma!AW24)</f>
        <v/>
      </c>
      <c r="F1039" s="0" t="n">
        <f aca="false">IF(OR($E1039="",$E1039=0),0,1)</f>
        <v>0</v>
      </c>
      <c r="G1039" s="0" t="n">
        <f aca="false">IF($F1039=0,0,INDEX(Aux_HH!$D$4:$D$18,MATCH($B1039&amp;"|"&amp;$E1039,Aux_HH!$A$4:$A$18,0)))</f>
        <v>0</v>
      </c>
      <c r="H1039" s="0" t="n">
        <f aca="false">IF($F1039=0,0,INDEX(Aux_HH!$E$4:$E$18,MATCH($B1039&amp;"|"&amp;$E1039,Aux_HH!$A$4:$A$18,0)))</f>
        <v>0</v>
      </c>
      <c r="I1039" s="0" t="n">
        <f aca="false">IF($F1039=0,0,INDEX(Aux_HH!$F$4:$F$18,MATCH($B1039&amp;"|"&amp;$E1039,Aux_HH!$A$4:$A$18,0)))</f>
        <v>0</v>
      </c>
      <c r="J1039" s="0" t="n">
        <f aca="false">IF($F1039=0,0,INDEX(Aux_HH!$G$4:$G$18,MATCH($B1039&amp;"|"&amp;$E1039,Aux_HH!$A$4:$A$18,0)))</f>
        <v>0</v>
      </c>
      <c r="K1039" s="0" t="n">
        <f aca="false">IF($F1039=0,0,INDEX(Aux_HH!$H$4:$H$18,MATCH($B1039&amp;"|"&amp;$E1039,Aux_HH!$A$4:$A$18,0)))</f>
        <v>0</v>
      </c>
      <c r="L1039" s="0" t="n">
        <f aca="false">IF($F1039=0,0,INDEX(Aux_HH!$I$4:$I$18,MATCH($B1039&amp;"|"&amp;$E1039,Aux_HH!$A$4:$A$18,0)))</f>
        <v>0</v>
      </c>
    </row>
    <row r="1040" customFormat="false" ht="15" hidden="false" customHeight="false" outlineLevel="0" collapsed="false">
      <c r="A1040" s="0" t="str">
        <f aca="false">IF(Frota!$A24="","",Frota!$A24)</f>
        <v/>
      </c>
      <c r="B1040" s="0" t="str">
        <f aca="false">IF(Frota!$A24="","",Frota!$B24)</f>
        <v/>
      </c>
      <c r="C1040" s="0" t="n">
        <v>49</v>
      </c>
      <c r="D1040" s="0" t="n">
        <f aca="false">INDEX(Semanas!$E$3:$E$54,49)</f>
        <v>3</v>
      </c>
      <c r="E1040" s="0" t="str">
        <f aca="false">IF(Frota!$A24="","",Cronograma!AX24)</f>
        <v/>
      </c>
      <c r="F1040" s="0" t="n">
        <f aca="false">IF(OR($E1040="",$E1040=0),0,1)</f>
        <v>0</v>
      </c>
      <c r="G1040" s="0" t="n">
        <f aca="false">IF($F1040=0,0,INDEX(Aux_HH!$D$4:$D$18,MATCH($B1040&amp;"|"&amp;$E1040,Aux_HH!$A$4:$A$18,0)))</f>
        <v>0</v>
      </c>
      <c r="H1040" s="0" t="n">
        <f aca="false">IF($F1040=0,0,INDEX(Aux_HH!$E$4:$E$18,MATCH($B1040&amp;"|"&amp;$E1040,Aux_HH!$A$4:$A$18,0)))</f>
        <v>0</v>
      </c>
      <c r="I1040" s="0" t="n">
        <f aca="false">IF($F1040=0,0,INDEX(Aux_HH!$F$4:$F$18,MATCH($B1040&amp;"|"&amp;$E1040,Aux_HH!$A$4:$A$18,0)))</f>
        <v>0</v>
      </c>
      <c r="J1040" s="0" t="n">
        <f aca="false">IF($F1040=0,0,INDEX(Aux_HH!$G$4:$G$18,MATCH($B1040&amp;"|"&amp;$E1040,Aux_HH!$A$4:$A$18,0)))</f>
        <v>0</v>
      </c>
      <c r="K1040" s="0" t="n">
        <f aca="false">IF($F1040=0,0,INDEX(Aux_HH!$H$4:$H$18,MATCH($B1040&amp;"|"&amp;$E1040,Aux_HH!$A$4:$A$18,0)))</f>
        <v>0</v>
      </c>
      <c r="L1040" s="0" t="n">
        <f aca="false">IF($F1040=0,0,INDEX(Aux_HH!$I$4:$I$18,MATCH($B1040&amp;"|"&amp;$E1040,Aux_HH!$A$4:$A$18,0)))</f>
        <v>0</v>
      </c>
    </row>
    <row r="1041" customFormat="false" ht="15" hidden="false" customHeight="false" outlineLevel="0" collapsed="false">
      <c r="A1041" s="0" t="str">
        <f aca="false">IF(Frota!$A24="","",Frota!$A24)</f>
        <v/>
      </c>
      <c r="B1041" s="0" t="str">
        <f aca="false">IF(Frota!$A24="","",Frota!$B24)</f>
        <v/>
      </c>
      <c r="C1041" s="0" t="n">
        <v>50</v>
      </c>
      <c r="D1041" s="0" t="n">
        <f aca="false">INDEX(Semanas!$E$3:$E$54,50)</f>
        <v>3</v>
      </c>
      <c r="E1041" s="0" t="str">
        <f aca="false">IF(Frota!$A24="","",Cronograma!AY24)</f>
        <v/>
      </c>
      <c r="F1041" s="0" t="n">
        <f aca="false">IF(OR($E1041="",$E1041=0),0,1)</f>
        <v>0</v>
      </c>
      <c r="G1041" s="0" t="n">
        <f aca="false">IF($F1041=0,0,INDEX(Aux_HH!$D$4:$D$18,MATCH($B1041&amp;"|"&amp;$E1041,Aux_HH!$A$4:$A$18,0)))</f>
        <v>0</v>
      </c>
      <c r="H1041" s="0" t="n">
        <f aca="false">IF($F1041=0,0,INDEX(Aux_HH!$E$4:$E$18,MATCH($B1041&amp;"|"&amp;$E1041,Aux_HH!$A$4:$A$18,0)))</f>
        <v>0</v>
      </c>
      <c r="I1041" s="0" t="n">
        <f aca="false">IF($F1041=0,0,INDEX(Aux_HH!$F$4:$F$18,MATCH($B1041&amp;"|"&amp;$E1041,Aux_HH!$A$4:$A$18,0)))</f>
        <v>0</v>
      </c>
      <c r="J1041" s="0" t="n">
        <f aca="false">IF($F1041=0,0,INDEX(Aux_HH!$G$4:$G$18,MATCH($B1041&amp;"|"&amp;$E1041,Aux_HH!$A$4:$A$18,0)))</f>
        <v>0</v>
      </c>
      <c r="K1041" s="0" t="n">
        <f aca="false">IF($F1041=0,0,INDEX(Aux_HH!$H$4:$H$18,MATCH($B1041&amp;"|"&amp;$E1041,Aux_HH!$A$4:$A$18,0)))</f>
        <v>0</v>
      </c>
      <c r="L1041" s="0" t="n">
        <f aca="false">IF($F1041=0,0,INDEX(Aux_HH!$I$4:$I$18,MATCH($B1041&amp;"|"&amp;$E1041,Aux_HH!$A$4:$A$18,0)))</f>
        <v>0</v>
      </c>
    </row>
    <row r="1042" customFormat="false" ht="15" hidden="false" customHeight="false" outlineLevel="0" collapsed="false">
      <c r="A1042" s="0" t="str">
        <f aca="false">IF(Frota!$A24="","",Frota!$A24)</f>
        <v/>
      </c>
      <c r="B1042" s="0" t="str">
        <f aca="false">IF(Frota!$A24="","",Frota!$B24)</f>
        <v/>
      </c>
      <c r="C1042" s="0" t="n">
        <v>51</v>
      </c>
      <c r="D1042" s="0" t="n">
        <f aca="false">INDEX(Semanas!$E$3:$E$54,51)</f>
        <v>3</v>
      </c>
      <c r="E1042" s="0" t="str">
        <f aca="false">IF(Frota!$A24="","",Cronograma!AZ24)</f>
        <v/>
      </c>
      <c r="F1042" s="0" t="n">
        <f aca="false">IF(OR($E1042="",$E1042=0),0,1)</f>
        <v>0</v>
      </c>
      <c r="G1042" s="0" t="n">
        <f aca="false">IF($F1042=0,0,INDEX(Aux_HH!$D$4:$D$18,MATCH($B1042&amp;"|"&amp;$E1042,Aux_HH!$A$4:$A$18,0)))</f>
        <v>0</v>
      </c>
      <c r="H1042" s="0" t="n">
        <f aca="false">IF($F1042=0,0,INDEX(Aux_HH!$E$4:$E$18,MATCH($B1042&amp;"|"&amp;$E1042,Aux_HH!$A$4:$A$18,0)))</f>
        <v>0</v>
      </c>
      <c r="I1042" s="0" t="n">
        <f aca="false">IF($F1042=0,0,INDEX(Aux_HH!$F$4:$F$18,MATCH($B1042&amp;"|"&amp;$E1042,Aux_HH!$A$4:$A$18,0)))</f>
        <v>0</v>
      </c>
      <c r="J1042" s="0" t="n">
        <f aca="false">IF($F1042=0,0,INDEX(Aux_HH!$G$4:$G$18,MATCH($B1042&amp;"|"&amp;$E1042,Aux_HH!$A$4:$A$18,0)))</f>
        <v>0</v>
      </c>
      <c r="K1042" s="0" t="n">
        <f aca="false">IF($F1042=0,0,INDEX(Aux_HH!$H$4:$H$18,MATCH($B1042&amp;"|"&amp;$E1042,Aux_HH!$A$4:$A$18,0)))</f>
        <v>0</v>
      </c>
      <c r="L1042" s="0" t="n">
        <f aca="false">IF($F1042=0,0,INDEX(Aux_HH!$I$4:$I$18,MATCH($B1042&amp;"|"&amp;$E1042,Aux_HH!$A$4:$A$18,0)))</f>
        <v>0</v>
      </c>
    </row>
    <row r="1043" customFormat="false" ht="15" hidden="false" customHeight="false" outlineLevel="0" collapsed="false">
      <c r="A1043" s="0" t="str">
        <f aca="false">IF(Frota!$A24="","",Frota!$A24)</f>
        <v/>
      </c>
      <c r="B1043" s="0" t="str">
        <f aca="false">IF(Frota!$A24="","",Frota!$B24)</f>
        <v/>
      </c>
      <c r="C1043" s="0" t="n">
        <v>52</v>
      </c>
      <c r="D1043" s="0" t="n">
        <f aca="false">INDEX(Semanas!$E$3:$E$54,52)</f>
        <v>3</v>
      </c>
      <c r="E1043" s="0" t="str">
        <f aca="false">IF(Frota!$A24="","",Cronograma!BA24)</f>
        <v/>
      </c>
      <c r="F1043" s="0" t="n">
        <f aca="false">IF(OR($E1043="",$E1043=0),0,1)</f>
        <v>0</v>
      </c>
      <c r="G1043" s="0" t="n">
        <f aca="false">IF($F1043=0,0,INDEX(Aux_HH!$D$4:$D$18,MATCH($B1043&amp;"|"&amp;$E1043,Aux_HH!$A$4:$A$18,0)))</f>
        <v>0</v>
      </c>
      <c r="H1043" s="0" t="n">
        <f aca="false">IF($F1043=0,0,INDEX(Aux_HH!$E$4:$E$18,MATCH($B1043&amp;"|"&amp;$E1043,Aux_HH!$A$4:$A$18,0)))</f>
        <v>0</v>
      </c>
      <c r="I1043" s="0" t="n">
        <f aca="false">IF($F1043=0,0,INDEX(Aux_HH!$F$4:$F$18,MATCH($B1043&amp;"|"&amp;$E1043,Aux_HH!$A$4:$A$18,0)))</f>
        <v>0</v>
      </c>
      <c r="J1043" s="0" t="n">
        <f aca="false">IF($F1043=0,0,INDEX(Aux_HH!$G$4:$G$18,MATCH($B1043&amp;"|"&amp;$E1043,Aux_HH!$A$4:$A$18,0)))</f>
        <v>0</v>
      </c>
      <c r="K1043" s="0" t="n">
        <f aca="false">IF($F1043=0,0,INDEX(Aux_HH!$H$4:$H$18,MATCH($B1043&amp;"|"&amp;$E1043,Aux_HH!$A$4:$A$18,0)))</f>
        <v>0</v>
      </c>
      <c r="L1043" s="0" t="n">
        <f aca="false">IF($F1043=0,0,INDEX(Aux_HH!$I$4:$I$18,MATCH($B1043&amp;"|"&amp;$E1043,Aux_HH!$A$4:$A$18,0)))</f>
        <v>0</v>
      </c>
    </row>
    <row r="1044" customFormat="false" ht="15" hidden="false" customHeight="false" outlineLevel="0" collapsed="false">
      <c r="A1044" s="0" t="str">
        <f aca="false">IF(Frota!$A25="","",Frota!$A25)</f>
        <v/>
      </c>
      <c r="B1044" s="0" t="str">
        <f aca="false">IF(Frota!$A25="","",Frota!$B25)</f>
        <v/>
      </c>
      <c r="C1044" s="0" t="n">
        <v>1</v>
      </c>
      <c r="D1044" s="0" t="n">
        <f aca="false">INDEX(Semanas!$E$3:$E$54,1)</f>
        <v>4</v>
      </c>
      <c r="E1044" s="0" t="str">
        <f aca="false">IF(Frota!$A25="","",Cronograma!B25)</f>
        <v/>
      </c>
      <c r="F1044" s="0" t="n">
        <f aca="false">IF(OR($E1044="",$E1044=0),0,1)</f>
        <v>0</v>
      </c>
      <c r="G1044" s="0" t="n">
        <f aca="false">IF($F1044=0,0,INDEX(Aux_HH!$D$4:$D$18,MATCH($B1044&amp;"|"&amp;$E1044,Aux_HH!$A$4:$A$18,0)))</f>
        <v>0</v>
      </c>
      <c r="H1044" s="0" t="n">
        <f aca="false">IF($F1044=0,0,INDEX(Aux_HH!$E$4:$E$18,MATCH($B1044&amp;"|"&amp;$E1044,Aux_HH!$A$4:$A$18,0)))</f>
        <v>0</v>
      </c>
      <c r="I1044" s="0" t="n">
        <f aca="false">IF($F1044=0,0,INDEX(Aux_HH!$F$4:$F$18,MATCH($B1044&amp;"|"&amp;$E1044,Aux_HH!$A$4:$A$18,0)))</f>
        <v>0</v>
      </c>
      <c r="J1044" s="0" t="n">
        <f aca="false">IF($F1044=0,0,INDEX(Aux_HH!$G$4:$G$18,MATCH($B1044&amp;"|"&amp;$E1044,Aux_HH!$A$4:$A$18,0)))</f>
        <v>0</v>
      </c>
      <c r="K1044" s="0" t="n">
        <f aca="false">IF($F1044=0,0,INDEX(Aux_HH!$H$4:$H$18,MATCH($B1044&amp;"|"&amp;$E1044,Aux_HH!$A$4:$A$18,0)))</f>
        <v>0</v>
      </c>
      <c r="L1044" s="0" t="n">
        <f aca="false">IF($F1044=0,0,INDEX(Aux_HH!$I$4:$I$18,MATCH($B1044&amp;"|"&amp;$E1044,Aux_HH!$A$4:$A$18,0)))</f>
        <v>0</v>
      </c>
    </row>
    <row r="1045" customFormat="false" ht="15" hidden="false" customHeight="false" outlineLevel="0" collapsed="false">
      <c r="A1045" s="0" t="str">
        <f aca="false">IF(Frota!$A25="","",Frota!$A25)</f>
        <v/>
      </c>
      <c r="B1045" s="0" t="str">
        <f aca="false">IF(Frota!$A25="","",Frota!$B25)</f>
        <v/>
      </c>
      <c r="C1045" s="0" t="n">
        <v>2</v>
      </c>
      <c r="D1045" s="0" t="n">
        <f aca="false">INDEX(Semanas!$E$3:$E$54,2)</f>
        <v>4</v>
      </c>
      <c r="E1045" s="0" t="str">
        <f aca="false">IF(Frota!$A25="","",Cronograma!C25)</f>
        <v/>
      </c>
      <c r="F1045" s="0" t="n">
        <f aca="false">IF(OR($E1045="",$E1045=0),0,1)</f>
        <v>0</v>
      </c>
      <c r="G1045" s="0" t="n">
        <f aca="false">IF($F1045=0,0,INDEX(Aux_HH!$D$4:$D$18,MATCH($B1045&amp;"|"&amp;$E1045,Aux_HH!$A$4:$A$18,0)))</f>
        <v>0</v>
      </c>
      <c r="H1045" s="0" t="n">
        <f aca="false">IF($F1045=0,0,INDEX(Aux_HH!$E$4:$E$18,MATCH($B1045&amp;"|"&amp;$E1045,Aux_HH!$A$4:$A$18,0)))</f>
        <v>0</v>
      </c>
      <c r="I1045" s="0" t="n">
        <f aca="false">IF($F1045=0,0,INDEX(Aux_HH!$F$4:$F$18,MATCH($B1045&amp;"|"&amp;$E1045,Aux_HH!$A$4:$A$18,0)))</f>
        <v>0</v>
      </c>
      <c r="J1045" s="0" t="n">
        <f aca="false">IF($F1045=0,0,INDEX(Aux_HH!$G$4:$G$18,MATCH($B1045&amp;"|"&amp;$E1045,Aux_HH!$A$4:$A$18,0)))</f>
        <v>0</v>
      </c>
      <c r="K1045" s="0" t="n">
        <f aca="false">IF($F1045=0,0,INDEX(Aux_HH!$H$4:$H$18,MATCH($B1045&amp;"|"&amp;$E1045,Aux_HH!$A$4:$A$18,0)))</f>
        <v>0</v>
      </c>
      <c r="L1045" s="0" t="n">
        <f aca="false">IF($F1045=0,0,INDEX(Aux_HH!$I$4:$I$18,MATCH($B1045&amp;"|"&amp;$E1045,Aux_HH!$A$4:$A$18,0)))</f>
        <v>0</v>
      </c>
    </row>
    <row r="1046" customFormat="false" ht="15" hidden="false" customHeight="false" outlineLevel="0" collapsed="false">
      <c r="A1046" s="0" t="str">
        <f aca="false">IF(Frota!$A25="","",Frota!$A25)</f>
        <v/>
      </c>
      <c r="B1046" s="0" t="str">
        <f aca="false">IF(Frota!$A25="","",Frota!$B25)</f>
        <v/>
      </c>
      <c r="C1046" s="0" t="n">
        <v>3</v>
      </c>
      <c r="D1046" s="0" t="n">
        <f aca="false">INDEX(Semanas!$E$3:$E$54,3)</f>
        <v>4</v>
      </c>
      <c r="E1046" s="0" t="str">
        <f aca="false">IF(Frota!$A25="","",Cronograma!D25)</f>
        <v/>
      </c>
      <c r="F1046" s="0" t="n">
        <f aca="false">IF(OR($E1046="",$E1046=0),0,1)</f>
        <v>0</v>
      </c>
      <c r="G1046" s="0" t="n">
        <f aca="false">IF($F1046=0,0,INDEX(Aux_HH!$D$4:$D$18,MATCH($B1046&amp;"|"&amp;$E1046,Aux_HH!$A$4:$A$18,0)))</f>
        <v>0</v>
      </c>
      <c r="H1046" s="0" t="n">
        <f aca="false">IF($F1046=0,0,INDEX(Aux_HH!$E$4:$E$18,MATCH($B1046&amp;"|"&amp;$E1046,Aux_HH!$A$4:$A$18,0)))</f>
        <v>0</v>
      </c>
      <c r="I1046" s="0" t="n">
        <f aca="false">IF($F1046=0,0,INDEX(Aux_HH!$F$4:$F$18,MATCH($B1046&amp;"|"&amp;$E1046,Aux_HH!$A$4:$A$18,0)))</f>
        <v>0</v>
      </c>
      <c r="J1046" s="0" t="n">
        <f aca="false">IF($F1046=0,0,INDEX(Aux_HH!$G$4:$G$18,MATCH($B1046&amp;"|"&amp;$E1046,Aux_HH!$A$4:$A$18,0)))</f>
        <v>0</v>
      </c>
      <c r="K1046" s="0" t="n">
        <f aca="false">IF($F1046=0,0,INDEX(Aux_HH!$H$4:$H$18,MATCH($B1046&amp;"|"&amp;$E1046,Aux_HH!$A$4:$A$18,0)))</f>
        <v>0</v>
      </c>
      <c r="L1046" s="0" t="n">
        <f aca="false">IF($F1046=0,0,INDEX(Aux_HH!$I$4:$I$18,MATCH($B1046&amp;"|"&amp;$E1046,Aux_HH!$A$4:$A$18,0)))</f>
        <v>0</v>
      </c>
    </row>
    <row r="1047" customFormat="false" ht="15" hidden="false" customHeight="false" outlineLevel="0" collapsed="false">
      <c r="A1047" s="0" t="str">
        <f aca="false">IF(Frota!$A25="","",Frota!$A25)</f>
        <v/>
      </c>
      <c r="B1047" s="0" t="str">
        <f aca="false">IF(Frota!$A25="","",Frota!$B25)</f>
        <v/>
      </c>
      <c r="C1047" s="0" t="n">
        <v>4</v>
      </c>
      <c r="D1047" s="0" t="n">
        <f aca="false">INDEX(Semanas!$E$3:$E$54,4)</f>
        <v>4</v>
      </c>
      <c r="E1047" s="0" t="str">
        <f aca="false">IF(Frota!$A25="","",Cronograma!E25)</f>
        <v/>
      </c>
      <c r="F1047" s="0" t="n">
        <f aca="false">IF(OR($E1047="",$E1047=0),0,1)</f>
        <v>0</v>
      </c>
      <c r="G1047" s="0" t="n">
        <f aca="false">IF($F1047=0,0,INDEX(Aux_HH!$D$4:$D$18,MATCH($B1047&amp;"|"&amp;$E1047,Aux_HH!$A$4:$A$18,0)))</f>
        <v>0</v>
      </c>
      <c r="H1047" s="0" t="n">
        <f aca="false">IF($F1047=0,0,INDEX(Aux_HH!$E$4:$E$18,MATCH($B1047&amp;"|"&amp;$E1047,Aux_HH!$A$4:$A$18,0)))</f>
        <v>0</v>
      </c>
      <c r="I1047" s="0" t="n">
        <f aca="false">IF($F1047=0,0,INDEX(Aux_HH!$F$4:$F$18,MATCH($B1047&amp;"|"&amp;$E1047,Aux_HH!$A$4:$A$18,0)))</f>
        <v>0</v>
      </c>
      <c r="J1047" s="0" t="n">
        <f aca="false">IF($F1047=0,0,INDEX(Aux_HH!$G$4:$G$18,MATCH($B1047&amp;"|"&amp;$E1047,Aux_HH!$A$4:$A$18,0)))</f>
        <v>0</v>
      </c>
      <c r="K1047" s="0" t="n">
        <f aca="false">IF($F1047=0,0,INDEX(Aux_HH!$H$4:$H$18,MATCH($B1047&amp;"|"&amp;$E1047,Aux_HH!$A$4:$A$18,0)))</f>
        <v>0</v>
      </c>
      <c r="L1047" s="0" t="n">
        <f aca="false">IF($F1047=0,0,INDEX(Aux_HH!$I$4:$I$18,MATCH($B1047&amp;"|"&amp;$E1047,Aux_HH!$A$4:$A$18,0)))</f>
        <v>0</v>
      </c>
    </row>
    <row r="1048" customFormat="false" ht="15" hidden="false" customHeight="false" outlineLevel="0" collapsed="false">
      <c r="A1048" s="0" t="str">
        <f aca="false">IF(Frota!$A25="","",Frota!$A25)</f>
        <v/>
      </c>
      <c r="B1048" s="0" t="str">
        <f aca="false">IF(Frota!$A25="","",Frota!$B25)</f>
        <v/>
      </c>
      <c r="C1048" s="0" t="n">
        <v>5</v>
      </c>
      <c r="D1048" s="0" t="n">
        <f aca="false">INDEX(Semanas!$E$3:$E$54,5)</f>
        <v>4</v>
      </c>
      <c r="E1048" s="0" t="str">
        <f aca="false">IF(Frota!$A25="","",Cronograma!F25)</f>
        <v/>
      </c>
      <c r="F1048" s="0" t="n">
        <f aca="false">IF(OR($E1048="",$E1048=0),0,1)</f>
        <v>0</v>
      </c>
      <c r="G1048" s="0" t="n">
        <f aca="false">IF($F1048=0,0,INDEX(Aux_HH!$D$4:$D$18,MATCH($B1048&amp;"|"&amp;$E1048,Aux_HH!$A$4:$A$18,0)))</f>
        <v>0</v>
      </c>
      <c r="H1048" s="0" t="n">
        <f aca="false">IF($F1048=0,0,INDEX(Aux_HH!$E$4:$E$18,MATCH($B1048&amp;"|"&amp;$E1048,Aux_HH!$A$4:$A$18,0)))</f>
        <v>0</v>
      </c>
      <c r="I1048" s="0" t="n">
        <f aca="false">IF($F1048=0,0,INDEX(Aux_HH!$F$4:$F$18,MATCH($B1048&amp;"|"&amp;$E1048,Aux_HH!$A$4:$A$18,0)))</f>
        <v>0</v>
      </c>
      <c r="J1048" s="0" t="n">
        <f aca="false">IF($F1048=0,0,INDEX(Aux_HH!$G$4:$G$18,MATCH($B1048&amp;"|"&amp;$E1048,Aux_HH!$A$4:$A$18,0)))</f>
        <v>0</v>
      </c>
      <c r="K1048" s="0" t="n">
        <f aca="false">IF($F1048=0,0,INDEX(Aux_HH!$H$4:$H$18,MATCH($B1048&amp;"|"&amp;$E1048,Aux_HH!$A$4:$A$18,0)))</f>
        <v>0</v>
      </c>
      <c r="L1048" s="0" t="n">
        <f aca="false">IF($F1048=0,0,INDEX(Aux_HH!$I$4:$I$18,MATCH($B1048&amp;"|"&amp;$E1048,Aux_HH!$A$4:$A$18,0)))</f>
        <v>0</v>
      </c>
    </row>
    <row r="1049" customFormat="false" ht="15" hidden="false" customHeight="false" outlineLevel="0" collapsed="false">
      <c r="A1049" s="0" t="str">
        <f aca="false">IF(Frota!$A25="","",Frota!$A25)</f>
        <v/>
      </c>
      <c r="B1049" s="0" t="str">
        <f aca="false">IF(Frota!$A25="","",Frota!$B25)</f>
        <v/>
      </c>
      <c r="C1049" s="0" t="n">
        <v>6</v>
      </c>
      <c r="D1049" s="0" t="n">
        <f aca="false">INDEX(Semanas!$E$3:$E$54,6)</f>
        <v>5</v>
      </c>
      <c r="E1049" s="0" t="str">
        <f aca="false">IF(Frota!$A25="","",Cronograma!G25)</f>
        <v/>
      </c>
      <c r="F1049" s="0" t="n">
        <f aca="false">IF(OR($E1049="",$E1049=0),0,1)</f>
        <v>0</v>
      </c>
      <c r="G1049" s="0" t="n">
        <f aca="false">IF($F1049=0,0,INDEX(Aux_HH!$D$4:$D$18,MATCH($B1049&amp;"|"&amp;$E1049,Aux_HH!$A$4:$A$18,0)))</f>
        <v>0</v>
      </c>
      <c r="H1049" s="0" t="n">
        <f aca="false">IF($F1049=0,0,INDEX(Aux_HH!$E$4:$E$18,MATCH($B1049&amp;"|"&amp;$E1049,Aux_HH!$A$4:$A$18,0)))</f>
        <v>0</v>
      </c>
      <c r="I1049" s="0" t="n">
        <f aca="false">IF($F1049=0,0,INDEX(Aux_HH!$F$4:$F$18,MATCH($B1049&amp;"|"&amp;$E1049,Aux_HH!$A$4:$A$18,0)))</f>
        <v>0</v>
      </c>
      <c r="J1049" s="0" t="n">
        <f aca="false">IF($F1049=0,0,INDEX(Aux_HH!$G$4:$G$18,MATCH($B1049&amp;"|"&amp;$E1049,Aux_HH!$A$4:$A$18,0)))</f>
        <v>0</v>
      </c>
      <c r="K1049" s="0" t="n">
        <f aca="false">IF($F1049=0,0,INDEX(Aux_HH!$H$4:$H$18,MATCH($B1049&amp;"|"&amp;$E1049,Aux_HH!$A$4:$A$18,0)))</f>
        <v>0</v>
      </c>
      <c r="L1049" s="0" t="n">
        <f aca="false">IF($F1049=0,0,INDEX(Aux_HH!$I$4:$I$18,MATCH($B1049&amp;"|"&amp;$E1049,Aux_HH!$A$4:$A$18,0)))</f>
        <v>0</v>
      </c>
    </row>
    <row r="1050" customFormat="false" ht="15" hidden="false" customHeight="false" outlineLevel="0" collapsed="false">
      <c r="A1050" s="0" t="str">
        <f aca="false">IF(Frota!$A25="","",Frota!$A25)</f>
        <v/>
      </c>
      <c r="B1050" s="0" t="str">
        <f aca="false">IF(Frota!$A25="","",Frota!$B25)</f>
        <v/>
      </c>
      <c r="C1050" s="0" t="n">
        <v>7</v>
      </c>
      <c r="D1050" s="0" t="n">
        <f aca="false">INDEX(Semanas!$E$3:$E$54,7)</f>
        <v>5</v>
      </c>
      <c r="E1050" s="0" t="str">
        <f aca="false">IF(Frota!$A25="","",Cronograma!H25)</f>
        <v/>
      </c>
      <c r="F1050" s="0" t="n">
        <f aca="false">IF(OR($E1050="",$E1050=0),0,1)</f>
        <v>0</v>
      </c>
      <c r="G1050" s="0" t="n">
        <f aca="false">IF($F1050=0,0,INDEX(Aux_HH!$D$4:$D$18,MATCH($B1050&amp;"|"&amp;$E1050,Aux_HH!$A$4:$A$18,0)))</f>
        <v>0</v>
      </c>
      <c r="H1050" s="0" t="n">
        <f aca="false">IF($F1050=0,0,INDEX(Aux_HH!$E$4:$E$18,MATCH($B1050&amp;"|"&amp;$E1050,Aux_HH!$A$4:$A$18,0)))</f>
        <v>0</v>
      </c>
      <c r="I1050" s="0" t="n">
        <f aca="false">IF($F1050=0,0,INDEX(Aux_HH!$F$4:$F$18,MATCH($B1050&amp;"|"&amp;$E1050,Aux_HH!$A$4:$A$18,0)))</f>
        <v>0</v>
      </c>
      <c r="J1050" s="0" t="n">
        <f aca="false">IF($F1050=0,0,INDEX(Aux_HH!$G$4:$G$18,MATCH($B1050&amp;"|"&amp;$E1050,Aux_HH!$A$4:$A$18,0)))</f>
        <v>0</v>
      </c>
      <c r="K1050" s="0" t="n">
        <f aca="false">IF($F1050=0,0,INDEX(Aux_HH!$H$4:$H$18,MATCH($B1050&amp;"|"&amp;$E1050,Aux_HH!$A$4:$A$18,0)))</f>
        <v>0</v>
      </c>
      <c r="L1050" s="0" t="n">
        <f aca="false">IF($F1050=0,0,INDEX(Aux_HH!$I$4:$I$18,MATCH($B1050&amp;"|"&amp;$E1050,Aux_HH!$A$4:$A$18,0)))</f>
        <v>0</v>
      </c>
    </row>
    <row r="1051" customFormat="false" ht="15" hidden="false" customHeight="false" outlineLevel="0" collapsed="false">
      <c r="A1051" s="0" t="str">
        <f aca="false">IF(Frota!$A25="","",Frota!$A25)</f>
        <v/>
      </c>
      <c r="B1051" s="0" t="str">
        <f aca="false">IF(Frota!$A25="","",Frota!$B25)</f>
        <v/>
      </c>
      <c r="C1051" s="0" t="n">
        <v>8</v>
      </c>
      <c r="D1051" s="0" t="n">
        <f aca="false">INDEX(Semanas!$E$3:$E$54,8)</f>
        <v>5</v>
      </c>
      <c r="E1051" s="0" t="str">
        <f aca="false">IF(Frota!$A25="","",Cronograma!I25)</f>
        <v/>
      </c>
      <c r="F1051" s="0" t="n">
        <f aca="false">IF(OR($E1051="",$E1051=0),0,1)</f>
        <v>0</v>
      </c>
      <c r="G1051" s="0" t="n">
        <f aca="false">IF($F1051=0,0,INDEX(Aux_HH!$D$4:$D$18,MATCH($B1051&amp;"|"&amp;$E1051,Aux_HH!$A$4:$A$18,0)))</f>
        <v>0</v>
      </c>
      <c r="H1051" s="0" t="n">
        <f aca="false">IF($F1051=0,0,INDEX(Aux_HH!$E$4:$E$18,MATCH($B1051&amp;"|"&amp;$E1051,Aux_HH!$A$4:$A$18,0)))</f>
        <v>0</v>
      </c>
      <c r="I1051" s="0" t="n">
        <f aca="false">IF($F1051=0,0,INDEX(Aux_HH!$F$4:$F$18,MATCH($B1051&amp;"|"&amp;$E1051,Aux_HH!$A$4:$A$18,0)))</f>
        <v>0</v>
      </c>
      <c r="J1051" s="0" t="n">
        <f aca="false">IF($F1051=0,0,INDEX(Aux_HH!$G$4:$G$18,MATCH($B1051&amp;"|"&amp;$E1051,Aux_HH!$A$4:$A$18,0)))</f>
        <v>0</v>
      </c>
      <c r="K1051" s="0" t="n">
        <f aca="false">IF($F1051=0,0,INDEX(Aux_HH!$H$4:$H$18,MATCH($B1051&amp;"|"&amp;$E1051,Aux_HH!$A$4:$A$18,0)))</f>
        <v>0</v>
      </c>
      <c r="L1051" s="0" t="n">
        <f aca="false">IF($F1051=0,0,INDEX(Aux_HH!$I$4:$I$18,MATCH($B1051&amp;"|"&amp;$E1051,Aux_HH!$A$4:$A$18,0)))</f>
        <v>0</v>
      </c>
    </row>
    <row r="1052" customFormat="false" ht="15" hidden="false" customHeight="false" outlineLevel="0" collapsed="false">
      <c r="A1052" s="0" t="str">
        <f aca="false">IF(Frota!$A25="","",Frota!$A25)</f>
        <v/>
      </c>
      <c r="B1052" s="0" t="str">
        <f aca="false">IF(Frota!$A25="","",Frota!$B25)</f>
        <v/>
      </c>
      <c r="C1052" s="0" t="n">
        <v>9</v>
      </c>
      <c r="D1052" s="0" t="n">
        <f aca="false">INDEX(Semanas!$E$3:$E$54,9)</f>
        <v>5</v>
      </c>
      <c r="E1052" s="0" t="str">
        <f aca="false">IF(Frota!$A25="","",Cronograma!J25)</f>
        <v/>
      </c>
      <c r="F1052" s="0" t="n">
        <f aca="false">IF(OR($E1052="",$E1052=0),0,1)</f>
        <v>0</v>
      </c>
      <c r="G1052" s="0" t="n">
        <f aca="false">IF($F1052=0,0,INDEX(Aux_HH!$D$4:$D$18,MATCH($B1052&amp;"|"&amp;$E1052,Aux_HH!$A$4:$A$18,0)))</f>
        <v>0</v>
      </c>
      <c r="H1052" s="0" t="n">
        <f aca="false">IF($F1052=0,0,INDEX(Aux_HH!$E$4:$E$18,MATCH($B1052&amp;"|"&amp;$E1052,Aux_HH!$A$4:$A$18,0)))</f>
        <v>0</v>
      </c>
      <c r="I1052" s="0" t="n">
        <f aca="false">IF($F1052=0,0,INDEX(Aux_HH!$F$4:$F$18,MATCH($B1052&amp;"|"&amp;$E1052,Aux_HH!$A$4:$A$18,0)))</f>
        <v>0</v>
      </c>
      <c r="J1052" s="0" t="n">
        <f aca="false">IF($F1052=0,0,INDEX(Aux_HH!$G$4:$G$18,MATCH($B1052&amp;"|"&amp;$E1052,Aux_HH!$A$4:$A$18,0)))</f>
        <v>0</v>
      </c>
      <c r="K1052" s="0" t="n">
        <f aca="false">IF($F1052=0,0,INDEX(Aux_HH!$H$4:$H$18,MATCH($B1052&amp;"|"&amp;$E1052,Aux_HH!$A$4:$A$18,0)))</f>
        <v>0</v>
      </c>
      <c r="L1052" s="0" t="n">
        <f aca="false">IF($F1052=0,0,INDEX(Aux_HH!$I$4:$I$18,MATCH($B1052&amp;"|"&amp;$E1052,Aux_HH!$A$4:$A$18,0)))</f>
        <v>0</v>
      </c>
    </row>
    <row r="1053" customFormat="false" ht="15" hidden="false" customHeight="false" outlineLevel="0" collapsed="false">
      <c r="A1053" s="0" t="str">
        <f aca="false">IF(Frota!$A25="","",Frota!$A25)</f>
        <v/>
      </c>
      <c r="B1053" s="0" t="str">
        <f aca="false">IF(Frota!$A25="","",Frota!$B25)</f>
        <v/>
      </c>
      <c r="C1053" s="0" t="n">
        <v>10</v>
      </c>
      <c r="D1053" s="0" t="n">
        <f aca="false">INDEX(Semanas!$E$3:$E$54,10)</f>
        <v>6</v>
      </c>
      <c r="E1053" s="0" t="str">
        <f aca="false">IF(Frota!$A25="","",Cronograma!K25)</f>
        <v/>
      </c>
      <c r="F1053" s="0" t="n">
        <f aca="false">IF(OR($E1053="",$E1053=0),0,1)</f>
        <v>0</v>
      </c>
      <c r="G1053" s="0" t="n">
        <f aca="false">IF($F1053=0,0,INDEX(Aux_HH!$D$4:$D$18,MATCH($B1053&amp;"|"&amp;$E1053,Aux_HH!$A$4:$A$18,0)))</f>
        <v>0</v>
      </c>
      <c r="H1053" s="0" t="n">
        <f aca="false">IF($F1053=0,0,INDEX(Aux_HH!$E$4:$E$18,MATCH($B1053&amp;"|"&amp;$E1053,Aux_HH!$A$4:$A$18,0)))</f>
        <v>0</v>
      </c>
      <c r="I1053" s="0" t="n">
        <f aca="false">IF($F1053=0,0,INDEX(Aux_HH!$F$4:$F$18,MATCH($B1053&amp;"|"&amp;$E1053,Aux_HH!$A$4:$A$18,0)))</f>
        <v>0</v>
      </c>
      <c r="J1053" s="0" t="n">
        <f aca="false">IF($F1053=0,0,INDEX(Aux_HH!$G$4:$G$18,MATCH($B1053&amp;"|"&amp;$E1053,Aux_HH!$A$4:$A$18,0)))</f>
        <v>0</v>
      </c>
      <c r="K1053" s="0" t="n">
        <f aca="false">IF($F1053=0,0,INDEX(Aux_HH!$H$4:$H$18,MATCH($B1053&amp;"|"&amp;$E1053,Aux_HH!$A$4:$A$18,0)))</f>
        <v>0</v>
      </c>
      <c r="L1053" s="0" t="n">
        <f aca="false">IF($F1053=0,0,INDEX(Aux_HH!$I$4:$I$18,MATCH($B1053&amp;"|"&amp;$E1053,Aux_HH!$A$4:$A$18,0)))</f>
        <v>0</v>
      </c>
    </row>
    <row r="1054" customFormat="false" ht="15" hidden="false" customHeight="false" outlineLevel="0" collapsed="false">
      <c r="A1054" s="0" t="str">
        <f aca="false">IF(Frota!$A25="","",Frota!$A25)</f>
        <v/>
      </c>
      <c r="B1054" s="0" t="str">
        <f aca="false">IF(Frota!$A25="","",Frota!$B25)</f>
        <v/>
      </c>
      <c r="C1054" s="0" t="n">
        <v>11</v>
      </c>
      <c r="D1054" s="0" t="n">
        <f aca="false">INDEX(Semanas!$E$3:$E$54,11)</f>
        <v>6</v>
      </c>
      <c r="E1054" s="0" t="str">
        <f aca="false">IF(Frota!$A25="","",Cronograma!L25)</f>
        <v/>
      </c>
      <c r="F1054" s="0" t="n">
        <f aca="false">IF(OR($E1054="",$E1054=0),0,1)</f>
        <v>0</v>
      </c>
      <c r="G1054" s="0" t="n">
        <f aca="false">IF($F1054=0,0,INDEX(Aux_HH!$D$4:$D$18,MATCH($B1054&amp;"|"&amp;$E1054,Aux_HH!$A$4:$A$18,0)))</f>
        <v>0</v>
      </c>
      <c r="H1054" s="0" t="n">
        <f aca="false">IF($F1054=0,0,INDEX(Aux_HH!$E$4:$E$18,MATCH($B1054&amp;"|"&amp;$E1054,Aux_HH!$A$4:$A$18,0)))</f>
        <v>0</v>
      </c>
      <c r="I1054" s="0" t="n">
        <f aca="false">IF($F1054=0,0,INDEX(Aux_HH!$F$4:$F$18,MATCH($B1054&amp;"|"&amp;$E1054,Aux_HH!$A$4:$A$18,0)))</f>
        <v>0</v>
      </c>
      <c r="J1054" s="0" t="n">
        <f aca="false">IF($F1054=0,0,INDEX(Aux_HH!$G$4:$G$18,MATCH($B1054&amp;"|"&amp;$E1054,Aux_HH!$A$4:$A$18,0)))</f>
        <v>0</v>
      </c>
      <c r="K1054" s="0" t="n">
        <f aca="false">IF($F1054=0,0,INDEX(Aux_HH!$H$4:$H$18,MATCH($B1054&amp;"|"&amp;$E1054,Aux_HH!$A$4:$A$18,0)))</f>
        <v>0</v>
      </c>
      <c r="L1054" s="0" t="n">
        <f aca="false">IF($F1054=0,0,INDEX(Aux_HH!$I$4:$I$18,MATCH($B1054&amp;"|"&amp;$E1054,Aux_HH!$A$4:$A$18,0)))</f>
        <v>0</v>
      </c>
    </row>
    <row r="1055" customFormat="false" ht="15" hidden="false" customHeight="false" outlineLevel="0" collapsed="false">
      <c r="A1055" s="0" t="str">
        <f aca="false">IF(Frota!$A25="","",Frota!$A25)</f>
        <v/>
      </c>
      <c r="B1055" s="0" t="str">
        <f aca="false">IF(Frota!$A25="","",Frota!$B25)</f>
        <v/>
      </c>
      <c r="C1055" s="0" t="n">
        <v>12</v>
      </c>
      <c r="D1055" s="0" t="n">
        <f aca="false">INDEX(Semanas!$E$3:$E$54,12)</f>
        <v>6</v>
      </c>
      <c r="E1055" s="0" t="str">
        <f aca="false">IF(Frota!$A25="","",Cronograma!M25)</f>
        <v/>
      </c>
      <c r="F1055" s="0" t="n">
        <f aca="false">IF(OR($E1055="",$E1055=0),0,1)</f>
        <v>0</v>
      </c>
      <c r="G1055" s="0" t="n">
        <f aca="false">IF($F1055=0,0,INDEX(Aux_HH!$D$4:$D$18,MATCH($B1055&amp;"|"&amp;$E1055,Aux_HH!$A$4:$A$18,0)))</f>
        <v>0</v>
      </c>
      <c r="H1055" s="0" t="n">
        <f aca="false">IF($F1055=0,0,INDEX(Aux_HH!$E$4:$E$18,MATCH($B1055&amp;"|"&amp;$E1055,Aux_HH!$A$4:$A$18,0)))</f>
        <v>0</v>
      </c>
      <c r="I1055" s="0" t="n">
        <f aca="false">IF($F1055=0,0,INDEX(Aux_HH!$F$4:$F$18,MATCH($B1055&amp;"|"&amp;$E1055,Aux_HH!$A$4:$A$18,0)))</f>
        <v>0</v>
      </c>
      <c r="J1055" s="0" t="n">
        <f aca="false">IF($F1055=0,0,INDEX(Aux_HH!$G$4:$G$18,MATCH($B1055&amp;"|"&amp;$E1055,Aux_HH!$A$4:$A$18,0)))</f>
        <v>0</v>
      </c>
      <c r="K1055" s="0" t="n">
        <f aca="false">IF($F1055=0,0,INDEX(Aux_HH!$H$4:$H$18,MATCH($B1055&amp;"|"&amp;$E1055,Aux_HH!$A$4:$A$18,0)))</f>
        <v>0</v>
      </c>
      <c r="L1055" s="0" t="n">
        <f aca="false">IF($F1055=0,0,INDEX(Aux_HH!$I$4:$I$18,MATCH($B1055&amp;"|"&amp;$E1055,Aux_HH!$A$4:$A$18,0)))</f>
        <v>0</v>
      </c>
    </row>
    <row r="1056" customFormat="false" ht="15" hidden="false" customHeight="false" outlineLevel="0" collapsed="false">
      <c r="A1056" s="0" t="str">
        <f aca="false">IF(Frota!$A25="","",Frota!$A25)</f>
        <v/>
      </c>
      <c r="B1056" s="0" t="str">
        <f aca="false">IF(Frota!$A25="","",Frota!$B25)</f>
        <v/>
      </c>
      <c r="C1056" s="0" t="n">
        <v>13</v>
      </c>
      <c r="D1056" s="0" t="n">
        <f aca="false">INDEX(Semanas!$E$3:$E$54,13)</f>
        <v>6</v>
      </c>
      <c r="E1056" s="0" t="str">
        <f aca="false">IF(Frota!$A25="","",Cronograma!N25)</f>
        <v/>
      </c>
      <c r="F1056" s="0" t="n">
        <f aca="false">IF(OR($E1056="",$E1056=0),0,1)</f>
        <v>0</v>
      </c>
      <c r="G1056" s="0" t="n">
        <f aca="false">IF($F1056=0,0,INDEX(Aux_HH!$D$4:$D$18,MATCH($B1056&amp;"|"&amp;$E1056,Aux_HH!$A$4:$A$18,0)))</f>
        <v>0</v>
      </c>
      <c r="H1056" s="0" t="n">
        <f aca="false">IF($F1056=0,0,INDEX(Aux_HH!$E$4:$E$18,MATCH($B1056&amp;"|"&amp;$E1056,Aux_HH!$A$4:$A$18,0)))</f>
        <v>0</v>
      </c>
      <c r="I1056" s="0" t="n">
        <f aca="false">IF($F1056=0,0,INDEX(Aux_HH!$F$4:$F$18,MATCH($B1056&amp;"|"&amp;$E1056,Aux_HH!$A$4:$A$18,0)))</f>
        <v>0</v>
      </c>
      <c r="J1056" s="0" t="n">
        <f aca="false">IF($F1056=0,0,INDEX(Aux_HH!$G$4:$G$18,MATCH($B1056&amp;"|"&amp;$E1056,Aux_HH!$A$4:$A$18,0)))</f>
        <v>0</v>
      </c>
      <c r="K1056" s="0" t="n">
        <f aca="false">IF($F1056=0,0,INDEX(Aux_HH!$H$4:$H$18,MATCH($B1056&amp;"|"&amp;$E1056,Aux_HH!$A$4:$A$18,0)))</f>
        <v>0</v>
      </c>
      <c r="L1056" s="0" t="n">
        <f aca="false">IF($F1056=0,0,INDEX(Aux_HH!$I$4:$I$18,MATCH($B1056&amp;"|"&amp;$E1056,Aux_HH!$A$4:$A$18,0)))</f>
        <v>0</v>
      </c>
    </row>
    <row r="1057" customFormat="false" ht="15" hidden="false" customHeight="false" outlineLevel="0" collapsed="false">
      <c r="A1057" s="0" t="str">
        <f aca="false">IF(Frota!$A25="","",Frota!$A25)</f>
        <v/>
      </c>
      <c r="B1057" s="0" t="str">
        <f aca="false">IF(Frota!$A25="","",Frota!$B25)</f>
        <v/>
      </c>
      <c r="C1057" s="0" t="n">
        <v>14</v>
      </c>
      <c r="D1057" s="0" t="n">
        <f aca="false">INDEX(Semanas!$E$3:$E$54,14)</f>
        <v>7</v>
      </c>
      <c r="E1057" s="0" t="str">
        <f aca="false">IF(Frota!$A25="","",Cronograma!O25)</f>
        <v/>
      </c>
      <c r="F1057" s="0" t="n">
        <f aca="false">IF(OR($E1057="",$E1057=0),0,1)</f>
        <v>0</v>
      </c>
      <c r="G1057" s="0" t="n">
        <f aca="false">IF($F1057=0,0,INDEX(Aux_HH!$D$4:$D$18,MATCH($B1057&amp;"|"&amp;$E1057,Aux_HH!$A$4:$A$18,0)))</f>
        <v>0</v>
      </c>
      <c r="H1057" s="0" t="n">
        <f aca="false">IF($F1057=0,0,INDEX(Aux_HH!$E$4:$E$18,MATCH($B1057&amp;"|"&amp;$E1057,Aux_HH!$A$4:$A$18,0)))</f>
        <v>0</v>
      </c>
      <c r="I1057" s="0" t="n">
        <f aca="false">IF($F1057=0,0,INDEX(Aux_HH!$F$4:$F$18,MATCH($B1057&amp;"|"&amp;$E1057,Aux_HH!$A$4:$A$18,0)))</f>
        <v>0</v>
      </c>
      <c r="J1057" s="0" t="n">
        <f aca="false">IF($F1057=0,0,INDEX(Aux_HH!$G$4:$G$18,MATCH($B1057&amp;"|"&amp;$E1057,Aux_HH!$A$4:$A$18,0)))</f>
        <v>0</v>
      </c>
      <c r="K1057" s="0" t="n">
        <f aca="false">IF($F1057=0,0,INDEX(Aux_HH!$H$4:$H$18,MATCH($B1057&amp;"|"&amp;$E1057,Aux_HH!$A$4:$A$18,0)))</f>
        <v>0</v>
      </c>
      <c r="L1057" s="0" t="n">
        <f aca="false">IF($F1057=0,0,INDEX(Aux_HH!$I$4:$I$18,MATCH($B1057&amp;"|"&amp;$E1057,Aux_HH!$A$4:$A$18,0)))</f>
        <v>0</v>
      </c>
    </row>
    <row r="1058" customFormat="false" ht="15" hidden="false" customHeight="false" outlineLevel="0" collapsed="false">
      <c r="A1058" s="0" t="str">
        <f aca="false">IF(Frota!$A25="","",Frota!$A25)</f>
        <v/>
      </c>
      <c r="B1058" s="0" t="str">
        <f aca="false">IF(Frota!$A25="","",Frota!$B25)</f>
        <v/>
      </c>
      <c r="C1058" s="0" t="n">
        <v>15</v>
      </c>
      <c r="D1058" s="0" t="n">
        <f aca="false">INDEX(Semanas!$E$3:$E$54,15)</f>
        <v>7</v>
      </c>
      <c r="E1058" s="0" t="str">
        <f aca="false">IF(Frota!$A25="","",Cronograma!P25)</f>
        <v/>
      </c>
      <c r="F1058" s="0" t="n">
        <f aca="false">IF(OR($E1058="",$E1058=0),0,1)</f>
        <v>0</v>
      </c>
      <c r="G1058" s="0" t="n">
        <f aca="false">IF($F1058=0,0,INDEX(Aux_HH!$D$4:$D$18,MATCH($B1058&amp;"|"&amp;$E1058,Aux_HH!$A$4:$A$18,0)))</f>
        <v>0</v>
      </c>
      <c r="H1058" s="0" t="n">
        <f aca="false">IF($F1058=0,0,INDEX(Aux_HH!$E$4:$E$18,MATCH($B1058&amp;"|"&amp;$E1058,Aux_HH!$A$4:$A$18,0)))</f>
        <v>0</v>
      </c>
      <c r="I1058" s="0" t="n">
        <f aca="false">IF($F1058=0,0,INDEX(Aux_HH!$F$4:$F$18,MATCH($B1058&amp;"|"&amp;$E1058,Aux_HH!$A$4:$A$18,0)))</f>
        <v>0</v>
      </c>
      <c r="J1058" s="0" t="n">
        <f aca="false">IF($F1058=0,0,INDEX(Aux_HH!$G$4:$G$18,MATCH($B1058&amp;"|"&amp;$E1058,Aux_HH!$A$4:$A$18,0)))</f>
        <v>0</v>
      </c>
      <c r="K1058" s="0" t="n">
        <f aca="false">IF($F1058=0,0,INDEX(Aux_HH!$H$4:$H$18,MATCH($B1058&amp;"|"&amp;$E1058,Aux_HH!$A$4:$A$18,0)))</f>
        <v>0</v>
      </c>
      <c r="L1058" s="0" t="n">
        <f aca="false">IF($F1058=0,0,INDEX(Aux_HH!$I$4:$I$18,MATCH($B1058&amp;"|"&amp;$E1058,Aux_HH!$A$4:$A$18,0)))</f>
        <v>0</v>
      </c>
    </row>
    <row r="1059" customFormat="false" ht="15" hidden="false" customHeight="false" outlineLevel="0" collapsed="false">
      <c r="A1059" s="0" t="str">
        <f aca="false">IF(Frota!$A25="","",Frota!$A25)</f>
        <v/>
      </c>
      <c r="B1059" s="0" t="str">
        <f aca="false">IF(Frota!$A25="","",Frota!$B25)</f>
        <v/>
      </c>
      <c r="C1059" s="0" t="n">
        <v>16</v>
      </c>
      <c r="D1059" s="0" t="n">
        <f aca="false">INDEX(Semanas!$E$3:$E$54,16)</f>
        <v>7</v>
      </c>
      <c r="E1059" s="0" t="str">
        <f aca="false">IF(Frota!$A25="","",Cronograma!Q25)</f>
        <v/>
      </c>
      <c r="F1059" s="0" t="n">
        <f aca="false">IF(OR($E1059="",$E1059=0),0,1)</f>
        <v>0</v>
      </c>
      <c r="G1059" s="0" t="n">
        <f aca="false">IF($F1059=0,0,INDEX(Aux_HH!$D$4:$D$18,MATCH($B1059&amp;"|"&amp;$E1059,Aux_HH!$A$4:$A$18,0)))</f>
        <v>0</v>
      </c>
      <c r="H1059" s="0" t="n">
        <f aca="false">IF($F1059=0,0,INDEX(Aux_HH!$E$4:$E$18,MATCH($B1059&amp;"|"&amp;$E1059,Aux_HH!$A$4:$A$18,0)))</f>
        <v>0</v>
      </c>
      <c r="I1059" s="0" t="n">
        <f aca="false">IF($F1059=0,0,INDEX(Aux_HH!$F$4:$F$18,MATCH($B1059&amp;"|"&amp;$E1059,Aux_HH!$A$4:$A$18,0)))</f>
        <v>0</v>
      </c>
      <c r="J1059" s="0" t="n">
        <f aca="false">IF($F1059=0,0,INDEX(Aux_HH!$G$4:$G$18,MATCH($B1059&amp;"|"&amp;$E1059,Aux_HH!$A$4:$A$18,0)))</f>
        <v>0</v>
      </c>
      <c r="K1059" s="0" t="n">
        <f aca="false">IF($F1059=0,0,INDEX(Aux_HH!$H$4:$H$18,MATCH($B1059&amp;"|"&amp;$E1059,Aux_HH!$A$4:$A$18,0)))</f>
        <v>0</v>
      </c>
      <c r="L1059" s="0" t="n">
        <f aca="false">IF($F1059=0,0,INDEX(Aux_HH!$I$4:$I$18,MATCH($B1059&amp;"|"&amp;$E1059,Aux_HH!$A$4:$A$18,0)))</f>
        <v>0</v>
      </c>
    </row>
    <row r="1060" customFormat="false" ht="15" hidden="false" customHeight="false" outlineLevel="0" collapsed="false">
      <c r="A1060" s="0" t="str">
        <f aca="false">IF(Frota!$A25="","",Frota!$A25)</f>
        <v/>
      </c>
      <c r="B1060" s="0" t="str">
        <f aca="false">IF(Frota!$A25="","",Frota!$B25)</f>
        <v/>
      </c>
      <c r="C1060" s="0" t="n">
        <v>17</v>
      </c>
      <c r="D1060" s="0" t="n">
        <f aca="false">INDEX(Semanas!$E$3:$E$54,17)</f>
        <v>7</v>
      </c>
      <c r="E1060" s="0" t="str">
        <f aca="false">IF(Frota!$A25="","",Cronograma!R25)</f>
        <v/>
      </c>
      <c r="F1060" s="0" t="n">
        <f aca="false">IF(OR($E1060="",$E1060=0),0,1)</f>
        <v>0</v>
      </c>
      <c r="G1060" s="0" t="n">
        <f aca="false">IF($F1060=0,0,INDEX(Aux_HH!$D$4:$D$18,MATCH($B1060&amp;"|"&amp;$E1060,Aux_HH!$A$4:$A$18,0)))</f>
        <v>0</v>
      </c>
      <c r="H1060" s="0" t="n">
        <f aca="false">IF($F1060=0,0,INDEX(Aux_HH!$E$4:$E$18,MATCH($B1060&amp;"|"&amp;$E1060,Aux_HH!$A$4:$A$18,0)))</f>
        <v>0</v>
      </c>
      <c r="I1060" s="0" t="n">
        <f aca="false">IF($F1060=0,0,INDEX(Aux_HH!$F$4:$F$18,MATCH($B1060&amp;"|"&amp;$E1060,Aux_HH!$A$4:$A$18,0)))</f>
        <v>0</v>
      </c>
      <c r="J1060" s="0" t="n">
        <f aca="false">IF($F1060=0,0,INDEX(Aux_HH!$G$4:$G$18,MATCH($B1060&amp;"|"&amp;$E1060,Aux_HH!$A$4:$A$18,0)))</f>
        <v>0</v>
      </c>
      <c r="K1060" s="0" t="n">
        <f aca="false">IF($F1060=0,0,INDEX(Aux_HH!$H$4:$H$18,MATCH($B1060&amp;"|"&amp;$E1060,Aux_HH!$A$4:$A$18,0)))</f>
        <v>0</v>
      </c>
      <c r="L1060" s="0" t="n">
        <f aca="false">IF($F1060=0,0,INDEX(Aux_HH!$I$4:$I$18,MATCH($B1060&amp;"|"&amp;$E1060,Aux_HH!$A$4:$A$18,0)))</f>
        <v>0</v>
      </c>
    </row>
    <row r="1061" customFormat="false" ht="15" hidden="false" customHeight="false" outlineLevel="0" collapsed="false">
      <c r="A1061" s="0" t="str">
        <f aca="false">IF(Frota!$A25="","",Frota!$A25)</f>
        <v/>
      </c>
      <c r="B1061" s="0" t="str">
        <f aca="false">IF(Frota!$A25="","",Frota!$B25)</f>
        <v/>
      </c>
      <c r="C1061" s="0" t="n">
        <v>18</v>
      </c>
      <c r="D1061" s="0" t="n">
        <f aca="false">INDEX(Semanas!$E$3:$E$54,18)</f>
        <v>7</v>
      </c>
      <c r="E1061" s="0" t="str">
        <f aca="false">IF(Frota!$A25="","",Cronograma!S25)</f>
        <v/>
      </c>
      <c r="F1061" s="0" t="n">
        <f aca="false">IF(OR($E1061="",$E1061=0),0,1)</f>
        <v>0</v>
      </c>
      <c r="G1061" s="0" t="n">
        <f aca="false">IF($F1061=0,0,INDEX(Aux_HH!$D$4:$D$18,MATCH($B1061&amp;"|"&amp;$E1061,Aux_HH!$A$4:$A$18,0)))</f>
        <v>0</v>
      </c>
      <c r="H1061" s="0" t="n">
        <f aca="false">IF($F1061=0,0,INDEX(Aux_HH!$E$4:$E$18,MATCH($B1061&amp;"|"&amp;$E1061,Aux_HH!$A$4:$A$18,0)))</f>
        <v>0</v>
      </c>
      <c r="I1061" s="0" t="n">
        <f aca="false">IF($F1061=0,0,INDEX(Aux_HH!$F$4:$F$18,MATCH($B1061&amp;"|"&amp;$E1061,Aux_HH!$A$4:$A$18,0)))</f>
        <v>0</v>
      </c>
      <c r="J1061" s="0" t="n">
        <f aca="false">IF($F1061=0,0,INDEX(Aux_HH!$G$4:$G$18,MATCH($B1061&amp;"|"&amp;$E1061,Aux_HH!$A$4:$A$18,0)))</f>
        <v>0</v>
      </c>
      <c r="K1061" s="0" t="n">
        <f aca="false">IF($F1061=0,0,INDEX(Aux_HH!$H$4:$H$18,MATCH($B1061&amp;"|"&amp;$E1061,Aux_HH!$A$4:$A$18,0)))</f>
        <v>0</v>
      </c>
      <c r="L1061" s="0" t="n">
        <f aca="false">IF($F1061=0,0,INDEX(Aux_HH!$I$4:$I$18,MATCH($B1061&amp;"|"&amp;$E1061,Aux_HH!$A$4:$A$18,0)))</f>
        <v>0</v>
      </c>
    </row>
    <row r="1062" customFormat="false" ht="15" hidden="false" customHeight="false" outlineLevel="0" collapsed="false">
      <c r="A1062" s="0" t="str">
        <f aca="false">IF(Frota!$A25="","",Frota!$A25)</f>
        <v/>
      </c>
      <c r="B1062" s="0" t="str">
        <f aca="false">IF(Frota!$A25="","",Frota!$B25)</f>
        <v/>
      </c>
      <c r="C1062" s="0" t="n">
        <v>19</v>
      </c>
      <c r="D1062" s="0" t="n">
        <f aca="false">INDEX(Semanas!$E$3:$E$54,19)</f>
        <v>8</v>
      </c>
      <c r="E1062" s="0" t="str">
        <f aca="false">IF(Frota!$A25="","",Cronograma!T25)</f>
        <v/>
      </c>
      <c r="F1062" s="0" t="n">
        <f aca="false">IF(OR($E1062="",$E1062=0),0,1)</f>
        <v>0</v>
      </c>
      <c r="G1062" s="0" t="n">
        <f aca="false">IF($F1062=0,0,INDEX(Aux_HH!$D$4:$D$18,MATCH($B1062&amp;"|"&amp;$E1062,Aux_HH!$A$4:$A$18,0)))</f>
        <v>0</v>
      </c>
      <c r="H1062" s="0" t="n">
        <f aca="false">IF($F1062=0,0,INDEX(Aux_HH!$E$4:$E$18,MATCH($B1062&amp;"|"&amp;$E1062,Aux_HH!$A$4:$A$18,0)))</f>
        <v>0</v>
      </c>
      <c r="I1062" s="0" t="n">
        <f aca="false">IF($F1062=0,0,INDEX(Aux_HH!$F$4:$F$18,MATCH($B1062&amp;"|"&amp;$E1062,Aux_HH!$A$4:$A$18,0)))</f>
        <v>0</v>
      </c>
      <c r="J1062" s="0" t="n">
        <f aca="false">IF($F1062=0,0,INDEX(Aux_HH!$G$4:$G$18,MATCH($B1062&amp;"|"&amp;$E1062,Aux_HH!$A$4:$A$18,0)))</f>
        <v>0</v>
      </c>
      <c r="K1062" s="0" t="n">
        <f aca="false">IF($F1062=0,0,INDEX(Aux_HH!$H$4:$H$18,MATCH($B1062&amp;"|"&amp;$E1062,Aux_HH!$A$4:$A$18,0)))</f>
        <v>0</v>
      </c>
      <c r="L1062" s="0" t="n">
        <f aca="false">IF($F1062=0,0,INDEX(Aux_HH!$I$4:$I$18,MATCH($B1062&amp;"|"&amp;$E1062,Aux_HH!$A$4:$A$18,0)))</f>
        <v>0</v>
      </c>
    </row>
    <row r="1063" customFormat="false" ht="15" hidden="false" customHeight="false" outlineLevel="0" collapsed="false">
      <c r="A1063" s="0" t="str">
        <f aca="false">IF(Frota!$A25="","",Frota!$A25)</f>
        <v/>
      </c>
      <c r="B1063" s="0" t="str">
        <f aca="false">IF(Frota!$A25="","",Frota!$B25)</f>
        <v/>
      </c>
      <c r="C1063" s="0" t="n">
        <v>20</v>
      </c>
      <c r="D1063" s="0" t="n">
        <f aca="false">INDEX(Semanas!$E$3:$E$54,20)</f>
        <v>8</v>
      </c>
      <c r="E1063" s="0" t="str">
        <f aca="false">IF(Frota!$A25="","",Cronograma!U25)</f>
        <v/>
      </c>
      <c r="F1063" s="0" t="n">
        <f aca="false">IF(OR($E1063="",$E1063=0),0,1)</f>
        <v>0</v>
      </c>
      <c r="G1063" s="0" t="n">
        <f aca="false">IF($F1063=0,0,INDEX(Aux_HH!$D$4:$D$18,MATCH($B1063&amp;"|"&amp;$E1063,Aux_HH!$A$4:$A$18,0)))</f>
        <v>0</v>
      </c>
      <c r="H1063" s="0" t="n">
        <f aca="false">IF($F1063=0,0,INDEX(Aux_HH!$E$4:$E$18,MATCH($B1063&amp;"|"&amp;$E1063,Aux_HH!$A$4:$A$18,0)))</f>
        <v>0</v>
      </c>
      <c r="I1063" s="0" t="n">
        <f aca="false">IF($F1063=0,0,INDEX(Aux_HH!$F$4:$F$18,MATCH($B1063&amp;"|"&amp;$E1063,Aux_HH!$A$4:$A$18,0)))</f>
        <v>0</v>
      </c>
      <c r="J1063" s="0" t="n">
        <f aca="false">IF($F1063=0,0,INDEX(Aux_HH!$G$4:$G$18,MATCH($B1063&amp;"|"&amp;$E1063,Aux_HH!$A$4:$A$18,0)))</f>
        <v>0</v>
      </c>
      <c r="K1063" s="0" t="n">
        <f aca="false">IF($F1063=0,0,INDEX(Aux_HH!$H$4:$H$18,MATCH($B1063&amp;"|"&amp;$E1063,Aux_HH!$A$4:$A$18,0)))</f>
        <v>0</v>
      </c>
      <c r="L1063" s="0" t="n">
        <f aca="false">IF($F1063=0,0,INDEX(Aux_HH!$I$4:$I$18,MATCH($B1063&amp;"|"&amp;$E1063,Aux_HH!$A$4:$A$18,0)))</f>
        <v>0</v>
      </c>
    </row>
    <row r="1064" customFormat="false" ht="15" hidden="false" customHeight="false" outlineLevel="0" collapsed="false">
      <c r="A1064" s="0" t="str">
        <f aca="false">IF(Frota!$A25="","",Frota!$A25)</f>
        <v/>
      </c>
      <c r="B1064" s="0" t="str">
        <f aca="false">IF(Frota!$A25="","",Frota!$B25)</f>
        <v/>
      </c>
      <c r="C1064" s="0" t="n">
        <v>21</v>
      </c>
      <c r="D1064" s="0" t="n">
        <f aca="false">INDEX(Semanas!$E$3:$E$54,21)</f>
        <v>8</v>
      </c>
      <c r="E1064" s="0" t="str">
        <f aca="false">IF(Frota!$A25="","",Cronograma!V25)</f>
        <v/>
      </c>
      <c r="F1064" s="0" t="n">
        <f aca="false">IF(OR($E1064="",$E1064=0),0,1)</f>
        <v>0</v>
      </c>
      <c r="G1064" s="0" t="n">
        <f aca="false">IF($F1064=0,0,INDEX(Aux_HH!$D$4:$D$18,MATCH($B1064&amp;"|"&amp;$E1064,Aux_HH!$A$4:$A$18,0)))</f>
        <v>0</v>
      </c>
      <c r="H1064" s="0" t="n">
        <f aca="false">IF($F1064=0,0,INDEX(Aux_HH!$E$4:$E$18,MATCH($B1064&amp;"|"&amp;$E1064,Aux_HH!$A$4:$A$18,0)))</f>
        <v>0</v>
      </c>
      <c r="I1064" s="0" t="n">
        <f aca="false">IF($F1064=0,0,INDEX(Aux_HH!$F$4:$F$18,MATCH($B1064&amp;"|"&amp;$E1064,Aux_HH!$A$4:$A$18,0)))</f>
        <v>0</v>
      </c>
      <c r="J1064" s="0" t="n">
        <f aca="false">IF($F1064=0,0,INDEX(Aux_HH!$G$4:$G$18,MATCH($B1064&amp;"|"&amp;$E1064,Aux_HH!$A$4:$A$18,0)))</f>
        <v>0</v>
      </c>
      <c r="K1064" s="0" t="n">
        <f aca="false">IF($F1064=0,0,INDEX(Aux_HH!$H$4:$H$18,MATCH($B1064&amp;"|"&amp;$E1064,Aux_HH!$A$4:$A$18,0)))</f>
        <v>0</v>
      </c>
      <c r="L1064" s="0" t="n">
        <f aca="false">IF($F1064=0,0,INDEX(Aux_HH!$I$4:$I$18,MATCH($B1064&amp;"|"&amp;$E1064,Aux_HH!$A$4:$A$18,0)))</f>
        <v>0</v>
      </c>
    </row>
    <row r="1065" customFormat="false" ht="15" hidden="false" customHeight="false" outlineLevel="0" collapsed="false">
      <c r="A1065" s="0" t="str">
        <f aca="false">IF(Frota!$A25="","",Frota!$A25)</f>
        <v/>
      </c>
      <c r="B1065" s="0" t="str">
        <f aca="false">IF(Frota!$A25="","",Frota!$B25)</f>
        <v/>
      </c>
      <c r="C1065" s="0" t="n">
        <v>22</v>
      </c>
      <c r="D1065" s="0" t="n">
        <f aca="false">INDEX(Semanas!$E$3:$E$54,22)</f>
        <v>8</v>
      </c>
      <c r="E1065" s="0" t="str">
        <f aca="false">IF(Frota!$A25="","",Cronograma!W25)</f>
        <v/>
      </c>
      <c r="F1065" s="0" t="n">
        <f aca="false">IF(OR($E1065="",$E1065=0),0,1)</f>
        <v>0</v>
      </c>
      <c r="G1065" s="0" t="n">
        <f aca="false">IF($F1065=0,0,INDEX(Aux_HH!$D$4:$D$18,MATCH($B1065&amp;"|"&amp;$E1065,Aux_HH!$A$4:$A$18,0)))</f>
        <v>0</v>
      </c>
      <c r="H1065" s="0" t="n">
        <f aca="false">IF($F1065=0,0,INDEX(Aux_HH!$E$4:$E$18,MATCH($B1065&amp;"|"&amp;$E1065,Aux_HH!$A$4:$A$18,0)))</f>
        <v>0</v>
      </c>
      <c r="I1065" s="0" t="n">
        <f aca="false">IF($F1065=0,0,INDEX(Aux_HH!$F$4:$F$18,MATCH($B1065&amp;"|"&amp;$E1065,Aux_HH!$A$4:$A$18,0)))</f>
        <v>0</v>
      </c>
      <c r="J1065" s="0" t="n">
        <f aca="false">IF($F1065=0,0,INDEX(Aux_HH!$G$4:$G$18,MATCH($B1065&amp;"|"&amp;$E1065,Aux_HH!$A$4:$A$18,0)))</f>
        <v>0</v>
      </c>
      <c r="K1065" s="0" t="n">
        <f aca="false">IF($F1065=0,0,INDEX(Aux_HH!$H$4:$H$18,MATCH($B1065&amp;"|"&amp;$E1065,Aux_HH!$A$4:$A$18,0)))</f>
        <v>0</v>
      </c>
      <c r="L1065" s="0" t="n">
        <f aca="false">IF($F1065=0,0,INDEX(Aux_HH!$I$4:$I$18,MATCH($B1065&amp;"|"&amp;$E1065,Aux_HH!$A$4:$A$18,0)))</f>
        <v>0</v>
      </c>
    </row>
    <row r="1066" customFormat="false" ht="15" hidden="false" customHeight="false" outlineLevel="0" collapsed="false">
      <c r="A1066" s="0" t="str">
        <f aca="false">IF(Frota!$A25="","",Frota!$A25)</f>
        <v/>
      </c>
      <c r="B1066" s="0" t="str">
        <f aca="false">IF(Frota!$A25="","",Frota!$B25)</f>
        <v/>
      </c>
      <c r="C1066" s="0" t="n">
        <v>23</v>
      </c>
      <c r="D1066" s="0" t="n">
        <f aca="false">INDEX(Semanas!$E$3:$E$54,23)</f>
        <v>9</v>
      </c>
      <c r="E1066" s="0" t="str">
        <f aca="false">IF(Frota!$A25="","",Cronograma!X25)</f>
        <v/>
      </c>
      <c r="F1066" s="0" t="n">
        <f aca="false">IF(OR($E1066="",$E1066=0),0,1)</f>
        <v>0</v>
      </c>
      <c r="G1066" s="0" t="n">
        <f aca="false">IF($F1066=0,0,INDEX(Aux_HH!$D$4:$D$18,MATCH($B1066&amp;"|"&amp;$E1066,Aux_HH!$A$4:$A$18,0)))</f>
        <v>0</v>
      </c>
      <c r="H1066" s="0" t="n">
        <f aca="false">IF($F1066=0,0,INDEX(Aux_HH!$E$4:$E$18,MATCH($B1066&amp;"|"&amp;$E1066,Aux_HH!$A$4:$A$18,0)))</f>
        <v>0</v>
      </c>
      <c r="I1066" s="0" t="n">
        <f aca="false">IF($F1066=0,0,INDEX(Aux_HH!$F$4:$F$18,MATCH($B1066&amp;"|"&amp;$E1066,Aux_HH!$A$4:$A$18,0)))</f>
        <v>0</v>
      </c>
      <c r="J1066" s="0" t="n">
        <f aca="false">IF($F1066=0,0,INDEX(Aux_HH!$G$4:$G$18,MATCH($B1066&amp;"|"&amp;$E1066,Aux_HH!$A$4:$A$18,0)))</f>
        <v>0</v>
      </c>
      <c r="K1066" s="0" t="n">
        <f aca="false">IF($F1066=0,0,INDEX(Aux_HH!$H$4:$H$18,MATCH($B1066&amp;"|"&amp;$E1066,Aux_HH!$A$4:$A$18,0)))</f>
        <v>0</v>
      </c>
      <c r="L1066" s="0" t="n">
        <f aca="false">IF($F1066=0,0,INDEX(Aux_HH!$I$4:$I$18,MATCH($B1066&amp;"|"&amp;$E1066,Aux_HH!$A$4:$A$18,0)))</f>
        <v>0</v>
      </c>
    </row>
    <row r="1067" customFormat="false" ht="15" hidden="false" customHeight="false" outlineLevel="0" collapsed="false">
      <c r="A1067" s="0" t="str">
        <f aca="false">IF(Frota!$A25="","",Frota!$A25)</f>
        <v/>
      </c>
      <c r="B1067" s="0" t="str">
        <f aca="false">IF(Frota!$A25="","",Frota!$B25)</f>
        <v/>
      </c>
      <c r="C1067" s="0" t="n">
        <v>24</v>
      </c>
      <c r="D1067" s="0" t="n">
        <f aca="false">INDEX(Semanas!$E$3:$E$54,24)</f>
        <v>9</v>
      </c>
      <c r="E1067" s="0" t="str">
        <f aca="false">IF(Frota!$A25="","",Cronograma!Y25)</f>
        <v/>
      </c>
      <c r="F1067" s="0" t="n">
        <f aca="false">IF(OR($E1067="",$E1067=0),0,1)</f>
        <v>0</v>
      </c>
      <c r="G1067" s="0" t="n">
        <f aca="false">IF($F1067=0,0,INDEX(Aux_HH!$D$4:$D$18,MATCH($B1067&amp;"|"&amp;$E1067,Aux_HH!$A$4:$A$18,0)))</f>
        <v>0</v>
      </c>
      <c r="H1067" s="0" t="n">
        <f aca="false">IF($F1067=0,0,INDEX(Aux_HH!$E$4:$E$18,MATCH($B1067&amp;"|"&amp;$E1067,Aux_HH!$A$4:$A$18,0)))</f>
        <v>0</v>
      </c>
      <c r="I1067" s="0" t="n">
        <f aca="false">IF($F1067=0,0,INDEX(Aux_HH!$F$4:$F$18,MATCH($B1067&amp;"|"&amp;$E1067,Aux_HH!$A$4:$A$18,0)))</f>
        <v>0</v>
      </c>
      <c r="J1067" s="0" t="n">
        <f aca="false">IF($F1067=0,0,INDEX(Aux_HH!$G$4:$G$18,MATCH($B1067&amp;"|"&amp;$E1067,Aux_HH!$A$4:$A$18,0)))</f>
        <v>0</v>
      </c>
      <c r="K1067" s="0" t="n">
        <f aca="false">IF($F1067=0,0,INDEX(Aux_HH!$H$4:$H$18,MATCH($B1067&amp;"|"&amp;$E1067,Aux_HH!$A$4:$A$18,0)))</f>
        <v>0</v>
      </c>
      <c r="L1067" s="0" t="n">
        <f aca="false">IF($F1067=0,0,INDEX(Aux_HH!$I$4:$I$18,MATCH($B1067&amp;"|"&amp;$E1067,Aux_HH!$A$4:$A$18,0)))</f>
        <v>0</v>
      </c>
    </row>
    <row r="1068" customFormat="false" ht="15" hidden="false" customHeight="false" outlineLevel="0" collapsed="false">
      <c r="A1068" s="0" t="str">
        <f aca="false">IF(Frota!$A25="","",Frota!$A25)</f>
        <v/>
      </c>
      <c r="B1068" s="0" t="str">
        <f aca="false">IF(Frota!$A25="","",Frota!$B25)</f>
        <v/>
      </c>
      <c r="C1068" s="0" t="n">
        <v>25</v>
      </c>
      <c r="D1068" s="0" t="n">
        <f aca="false">INDEX(Semanas!$E$3:$E$54,25)</f>
        <v>9</v>
      </c>
      <c r="E1068" s="0" t="str">
        <f aca="false">IF(Frota!$A25="","",Cronograma!Z25)</f>
        <v/>
      </c>
      <c r="F1068" s="0" t="n">
        <f aca="false">IF(OR($E1068="",$E1068=0),0,1)</f>
        <v>0</v>
      </c>
      <c r="G1068" s="0" t="n">
        <f aca="false">IF($F1068=0,0,INDEX(Aux_HH!$D$4:$D$18,MATCH($B1068&amp;"|"&amp;$E1068,Aux_HH!$A$4:$A$18,0)))</f>
        <v>0</v>
      </c>
      <c r="H1068" s="0" t="n">
        <f aca="false">IF($F1068=0,0,INDEX(Aux_HH!$E$4:$E$18,MATCH($B1068&amp;"|"&amp;$E1068,Aux_HH!$A$4:$A$18,0)))</f>
        <v>0</v>
      </c>
      <c r="I1068" s="0" t="n">
        <f aca="false">IF($F1068=0,0,INDEX(Aux_HH!$F$4:$F$18,MATCH($B1068&amp;"|"&amp;$E1068,Aux_HH!$A$4:$A$18,0)))</f>
        <v>0</v>
      </c>
      <c r="J1068" s="0" t="n">
        <f aca="false">IF($F1068=0,0,INDEX(Aux_HH!$G$4:$G$18,MATCH($B1068&amp;"|"&amp;$E1068,Aux_HH!$A$4:$A$18,0)))</f>
        <v>0</v>
      </c>
      <c r="K1068" s="0" t="n">
        <f aca="false">IF($F1068=0,0,INDEX(Aux_HH!$H$4:$H$18,MATCH($B1068&amp;"|"&amp;$E1068,Aux_HH!$A$4:$A$18,0)))</f>
        <v>0</v>
      </c>
      <c r="L1068" s="0" t="n">
        <f aca="false">IF($F1068=0,0,INDEX(Aux_HH!$I$4:$I$18,MATCH($B1068&amp;"|"&amp;$E1068,Aux_HH!$A$4:$A$18,0)))</f>
        <v>0</v>
      </c>
    </row>
    <row r="1069" customFormat="false" ht="15" hidden="false" customHeight="false" outlineLevel="0" collapsed="false">
      <c r="A1069" s="0" t="str">
        <f aca="false">IF(Frota!$A25="","",Frota!$A25)</f>
        <v/>
      </c>
      <c r="B1069" s="0" t="str">
        <f aca="false">IF(Frota!$A25="","",Frota!$B25)</f>
        <v/>
      </c>
      <c r="C1069" s="0" t="n">
        <v>26</v>
      </c>
      <c r="D1069" s="0" t="n">
        <f aca="false">INDEX(Semanas!$E$3:$E$54,26)</f>
        <v>9</v>
      </c>
      <c r="E1069" s="0" t="str">
        <f aca="false">IF(Frota!$A25="","",Cronograma!AA25)</f>
        <v/>
      </c>
      <c r="F1069" s="0" t="n">
        <f aca="false">IF(OR($E1069="",$E1069=0),0,1)</f>
        <v>0</v>
      </c>
      <c r="G1069" s="0" t="n">
        <f aca="false">IF($F1069=0,0,INDEX(Aux_HH!$D$4:$D$18,MATCH($B1069&amp;"|"&amp;$E1069,Aux_HH!$A$4:$A$18,0)))</f>
        <v>0</v>
      </c>
      <c r="H1069" s="0" t="n">
        <f aca="false">IF($F1069=0,0,INDEX(Aux_HH!$E$4:$E$18,MATCH($B1069&amp;"|"&amp;$E1069,Aux_HH!$A$4:$A$18,0)))</f>
        <v>0</v>
      </c>
      <c r="I1069" s="0" t="n">
        <f aca="false">IF($F1069=0,0,INDEX(Aux_HH!$F$4:$F$18,MATCH($B1069&amp;"|"&amp;$E1069,Aux_HH!$A$4:$A$18,0)))</f>
        <v>0</v>
      </c>
      <c r="J1069" s="0" t="n">
        <f aca="false">IF($F1069=0,0,INDEX(Aux_HH!$G$4:$G$18,MATCH($B1069&amp;"|"&amp;$E1069,Aux_HH!$A$4:$A$18,0)))</f>
        <v>0</v>
      </c>
      <c r="K1069" s="0" t="n">
        <f aca="false">IF($F1069=0,0,INDEX(Aux_HH!$H$4:$H$18,MATCH($B1069&amp;"|"&amp;$E1069,Aux_HH!$A$4:$A$18,0)))</f>
        <v>0</v>
      </c>
      <c r="L1069" s="0" t="n">
        <f aca="false">IF($F1069=0,0,INDEX(Aux_HH!$I$4:$I$18,MATCH($B1069&amp;"|"&amp;$E1069,Aux_HH!$A$4:$A$18,0)))</f>
        <v>0</v>
      </c>
    </row>
    <row r="1070" customFormat="false" ht="15" hidden="false" customHeight="false" outlineLevel="0" collapsed="false">
      <c r="A1070" s="0" t="str">
        <f aca="false">IF(Frota!$A25="","",Frota!$A25)</f>
        <v/>
      </c>
      <c r="B1070" s="0" t="str">
        <f aca="false">IF(Frota!$A25="","",Frota!$B25)</f>
        <v/>
      </c>
      <c r="C1070" s="0" t="n">
        <v>27</v>
      </c>
      <c r="D1070" s="0" t="n">
        <f aca="false">INDEX(Semanas!$E$3:$E$54,27)</f>
        <v>9</v>
      </c>
      <c r="E1070" s="0" t="str">
        <f aca="false">IF(Frota!$A25="","",Cronograma!AB25)</f>
        <v/>
      </c>
      <c r="F1070" s="0" t="n">
        <f aca="false">IF(OR($E1070="",$E1070=0),0,1)</f>
        <v>0</v>
      </c>
      <c r="G1070" s="0" t="n">
        <f aca="false">IF($F1070=0,0,INDEX(Aux_HH!$D$4:$D$18,MATCH($B1070&amp;"|"&amp;$E1070,Aux_HH!$A$4:$A$18,0)))</f>
        <v>0</v>
      </c>
      <c r="H1070" s="0" t="n">
        <f aca="false">IF($F1070=0,0,INDEX(Aux_HH!$E$4:$E$18,MATCH($B1070&amp;"|"&amp;$E1070,Aux_HH!$A$4:$A$18,0)))</f>
        <v>0</v>
      </c>
      <c r="I1070" s="0" t="n">
        <f aca="false">IF($F1070=0,0,INDEX(Aux_HH!$F$4:$F$18,MATCH($B1070&amp;"|"&amp;$E1070,Aux_HH!$A$4:$A$18,0)))</f>
        <v>0</v>
      </c>
      <c r="J1070" s="0" t="n">
        <f aca="false">IF($F1070=0,0,INDEX(Aux_HH!$G$4:$G$18,MATCH($B1070&amp;"|"&amp;$E1070,Aux_HH!$A$4:$A$18,0)))</f>
        <v>0</v>
      </c>
      <c r="K1070" s="0" t="n">
        <f aca="false">IF($F1070=0,0,INDEX(Aux_HH!$H$4:$H$18,MATCH($B1070&amp;"|"&amp;$E1070,Aux_HH!$A$4:$A$18,0)))</f>
        <v>0</v>
      </c>
      <c r="L1070" s="0" t="n">
        <f aca="false">IF($F1070=0,0,INDEX(Aux_HH!$I$4:$I$18,MATCH($B1070&amp;"|"&amp;$E1070,Aux_HH!$A$4:$A$18,0)))</f>
        <v>0</v>
      </c>
    </row>
    <row r="1071" customFormat="false" ht="15" hidden="false" customHeight="false" outlineLevel="0" collapsed="false">
      <c r="A1071" s="0" t="str">
        <f aca="false">IF(Frota!$A25="","",Frota!$A25)</f>
        <v/>
      </c>
      <c r="B1071" s="0" t="str">
        <f aca="false">IF(Frota!$A25="","",Frota!$B25)</f>
        <v/>
      </c>
      <c r="C1071" s="0" t="n">
        <v>28</v>
      </c>
      <c r="D1071" s="0" t="n">
        <f aca="false">INDEX(Semanas!$E$3:$E$54,28)</f>
        <v>10</v>
      </c>
      <c r="E1071" s="0" t="str">
        <f aca="false">IF(Frota!$A25="","",Cronograma!AC25)</f>
        <v/>
      </c>
      <c r="F1071" s="0" t="n">
        <f aca="false">IF(OR($E1071="",$E1071=0),0,1)</f>
        <v>0</v>
      </c>
      <c r="G1071" s="0" t="n">
        <f aca="false">IF($F1071=0,0,INDEX(Aux_HH!$D$4:$D$18,MATCH($B1071&amp;"|"&amp;$E1071,Aux_HH!$A$4:$A$18,0)))</f>
        <v>0</v>
      </c>
      <c r="H1071" s="0" t="n">
        <f aca="false">IF($F1071=0,0,INDEX(Aux_HH!$E$4:$E$18,MATCH($B1071&amp;"|"&amp;$E1071,Aux_HH!$A$4:$A$18,0)))</f>
        <v>0</v>
      </c>
      <c r="I1071" s="0" t="n">
        <f aca="false">IF($F1071=0,0,INDEX(Aux_HH!$F$4:$F$18,MATCH($B1071&amp;"|"&amp;$E1071,Aux_HH!$A$4:$A$18,0)))</f>
        <v>0</v>
      </c>
      <c r="J1071" s="0" t="n">
        <f aca="false">IF($F1071=0,0,INDEX(Aux_HH!$G$4:$G$18,MATCH($B1071&amp;"|"&amp;$E1071,Aux_HH!$A$4:$A$18,0)))</f>
        <v>0</v>
      </c>
      <c r="K1071" s="0" t="n">
        <f aca="false">IF($F1071=0,0,INDEX(Aux_HH!$H$4:$H$18,MATCH($B1071&amp;"|"&amp;$E1071,Aux_HH!$A$4:$A$18,0)))</f>
        <v>0</v>
      </c>
      <c r="L1071" s="0" t="n">
        <f aca="false">IF($F1071=0,0,INDEX(Aux_HH!$I$4:$I$18,MATCH($B1071&amp;"|"&amp;$E1071,Aux_HH!$A$4:$A$18,0)))</f>
        <v>0</v>
      </c>
    </row>
    <row r="1072" customFormat="false" ht="15" hidden="false" customHeight="false" outlineLevel="0" collapsed="false">
      <c r="A1072" s="0" t="str">
        <f aca="false">IF(Frota!$A25="","",Frota!$A25)</f>
        <v/>
      </c>
      <c r="B1072" s="0" t="str">
        <f aca="false">IF(Frota!$A25="","",Frota!$B25)</f>
        <v/>
      </c>
      <c r="C1072" s="0" t="n">
        <v>29</v>
      </c>
      <c r="D1072" s="0" t="n">
        <f aca="false">INDEX(Semanas!$E$3:$E$54,29)</f>
        <v>10</v>
      </c>
      <c r="E1072" s="0" t="str">
        <f aca="false">IF(Frota!$A25="","",Cronograma!AD25)</f>
        <v/>
      </c>
      <c r="F1072" s="0" t="n">
        <f aca="false">IF(OR($E1072="",$E1072=0),0,1)</f>
        <v>0</v>
      </c>
      <c r="G1072" s="0" t="n">
        <f aca="false">IF($F1072=0,0,INDEX(Aux_HH!$D$4:$D$18,MATCH($B1072&amp;"|"&amp;$E1072,Aux_HH!$A$4:$A$18,0)))</f>
        <v>0</v>
      </c>
      <c r="H1072" s="0" t="n">
        <f aca="false">IF($F1072=0,0,INDEX(Aux_HH!$E$4:$E$18,MATCH($B1072&amp;"|"&amp;$E1072,Aux_HH!$A$4:$A$18,0)))</f>
        <v>0</v>
      </c>
      <c r="I1072" s="0" t="n">
        <f aca="false">IF($F1072=0,0,INDEX(Aux_HH!$F$4:$F$18,MATCH($B1072&amp;"|"&amp;$E1072,Aux_HH!$A$4:$A$18,0)))</f>
        <v>0</v>
      </c>
      <c r="J1072" s="0" t="n">
        <f aca="false">IF($F1072=0,0,INDEX(Aux_HH!$G$4:$G$18,MATCH($B1072&amp;"|"&amp;$E1072,Aux_HH!$A$4:$A$18,0)))</f>
        <v>0</v>
      </c>
      <c r="K1072" s="0" t="n">
        <f aca="false">IF($F1072=0,0,INDEX(Aux_HH!$H$4:$H$18,MATCH($B1072&amp;"|"&amp;$E1072,Aux_HH!$A$4:$A$18,0)))</f>
        <v>0</v>
      </c>
      <c r="L1072" s="0" t="n">
        <f aca="false">IF($F1072=0,0,INDEX(Aux_HH!$I$4:$I$18,MATCH($B1072&amp;"|"&amp;$E1072,Aux_HH!$A$4:$A$18,0)))</f>
        <v>0</v>
      </c>
    </row>
    <row r="1073" customFormat="false" ht="15" hidden="false" customHeight="false" outlineLevel="0" collapsed="false">
      <c r="A1073" s="0" t="str">
        <f aca="false">IF(Frota!$A25="","",Frota!$A25)</f>
        <v/>
      </c>
      <c r="B1073" s="0" t="str">
        <f aca="false">IF(Frota!$A25="","",Frota!$B25)</f>
        <v/>
      </c>
      <c r="C1073" s="0" t="n">
        <v>30</v>
      </c>
      <c r="D1073" s="0" t="n">
        <f aca="false">INDEX(Semanas!$E$3:$E$54,30)</f>
        <v>10</v>
      </c>
      <c r="E1073" s="0" t="str">
        <f aca="false">IF(Frota!$A25="","",Cronograma!AE25)</f>
        <v/>
      </c>
      <c r="F1073" s="0" t="n">
        <f aca="false">IF(OR($E1073="",$E1073=0),0,1)</f>
        <v>0</v>
      </c>
      <c r="G1073" s="0" t="n">
        <f aca="false">IF($F1073=0,0,INDEX(Aux_HH!$D$4:$D$18,MATCH($B1073&amp;"|"&amp;$E1073,Aux_HH!$A$4:$A$18,0)))</f>
        <v>0</v>
      </c>
      <c r="H1073" s="0" t="n">
        <f aca="false">IF($F1073=0,0,INDEX(Aux_HH!$E$4:$E$18,MATCH($B1073&amp;"|"&amp;$E1073,Aux_HH!$A$4:$A$18,0)))</f>
        <v>0</v>
      </c>
      <c r="I1073" s="0" t="n">
        <f aca="false">IF($F1073=0,0,INDEX(Aux_HH!$F$4:$F$18,MATCH($B1073&amp;"|"&amp;$E1073,Aux_HH!$A$4:$A$18,0)))</f>
        <v>0</v>
      </c>
      <c r="J1073" s="0" t="n">
        <f aca="false">IF($F1073=0,0,INDEX(Aux_HH!$G$4:$G$18,MATCH($B1073&amp;"|"&amp;$E1073,Aux_HH!$A$4:$A$18,0)))</f>
        <v>0</v>
      </c>
      <c r="K1073" s="0" t="n">
        <f aca="false">IF($F1073=0,0,INDEX(Aux_HH!$H$4:$H$18,MATCH($B1073&amp;"|"&amp;$E1073,Aux_HH!$A$4:$A$18,0)))</f>
        <v>0</v>
      </c>
      <c r="L1073" s="0" t="n">
        <f aca="false">IF($F1073=0,0,INDEX(Aux_HH!$I$4:$I$18,MATCH($B1073&amp;"|"&amp;$E1073,Aux_HH!$A$4:$A$18,0)))</f>
        <v>0</v>
      </c>
    </row>
    <row r="1074" customFormat="false" ht="15" hidden="false" customHeight="false" outlineLevel="0" collapsed="false">
      <c r="A1074" s="0" t="str">
        <f aca="false">IF(Frota!$A25="","",Frota!$A25)</f>
        <v/>
      </c>
      <c r="B1074" s="0" t="str">
        <f aca="false">IF(Frota!$A25="","",Frota!$B25)</f>
        <v/>
      </c>
      <c r="C1074" s="0" t="n">
        <v>31</v>
      </c>
      <c r="D1074" s="0" t="n">
        <f aca="false">INDEX(Semanas!$E$3:$E$54,31)</f>
        <v>10</v>
      </c>
      <c r="E1074" s="0" t="str">
        <f aca="false">IF(Frota!$A25="","",Cronograma!AF25)</f>
        <v/>
      </c>
      <c r="F1074" s="0" t="n">
        <f aca="false">IF(OR($E1074="",$E1074=0),0,1)</f>
        <v>0</v>
      </c>
      <c r="G1074" s="0" t="n">
        <f aca="false">IF($F1074=0,0,INDEX(Aux_HH!$D$4:$D$18,MATCH($B1074&amp;"|"&amp;$E1074,Aux_HH!$A$4:$A$18,0)))</f>
        <v>0</v>
      </c>
      <c r="H1074" s="0" t="n">
        <f aca="false">IF($F1074=0,0,INDEX(Aux_HH!$E$4:$E$18,MATCH($B1074&amp;"|"&amp;$E1074,Aux_HH!$A$4:$A$18,0)))</f>
        <v>0</v>
      </c>
      <c r="I1074" s="0" t="n">
        <f aca="false">IF($F1074=0,0,INDEX(Aux_HH!$F$4:$F$18,MATCH($B1074&amp;"|"&amp;$E1074,Aux_HH!$A$4:$A$18,0)))</f>
        <v>0</v>
      </c>
      <c r="J1074" s="0" t="n">
        <f aca="false">IF($F1074=0,0,INDEX(Aux_HH!$G$4:$G$18,MATCH($B1074&amp;"|"&amp;$E1074,Aux_HH!$A$4:$A$18,0)))</f>
        <v>0</v>
      </c>
      <c r="K1074" s="0" t="n">
        <f aca="false">IF($F1074=0,0,INDEX(Aux_HH!$H$4:$H$18,MATCH($B1074&amp;"|"&amp;$E1074,Aux_HH!$A$4:$A$18,0)))</f>
        <v>0</v>
      </c>
      <c r="L1074" s="0" t="n">
        <f aca="false">IF($F1074=0,0,INDEX(Aux_HH!$I$4:$I$18,MATCH($B1074&amp;"|"&amp;$E1074,Aux_HH!$A$4:$A$18,0)))</f>
        <v>0</v>
      </c>
    </row>
    <row r="1075" customFormat="false" ht="15" hidden="false" customHeight="false" outlineLevel="0" collapsed="false">
      <c r="A1075" s="0" t="str">
        <f aca="false">IF(Frota!$A25="","",Frota!$A25)</f>
        <v/>
      </c>
      <c r="B1075" s="0" t="str">
        <f aca="false">IF(Frota!$A25="","",Frota!$B25)</f>
        <v/>
      </c>
      <c r="C1075" s="0" t="n">
        <v>32</v>
      </c>
      <c r="D1075" s="0" t="n">
        <f aca="false">INDEX(Semanas!$E$3:$E$54,32)</f>
        <v>11</v>
      </c>
      <c r="E1075" s="0" t="str">
        <f aca="false">IF(Frota!$A25="","",Cronograma!AG25)</f>
        <v/>
      </c>
      <c r="F1075" s="0" t="n">
        <f aca="false">IF(OR($E1075="",$E1075=0),0,1)</f>
        <v>0</v>
      </c>
      <c r="G1075" s="0" t="n">
        <f aca="false">IF($F1075=0,0,INDEX(Aux_HH!$D$4:$D$18,MATCH($B1075&amp;"|"&amp;$E1075,Aux_HH!$A$4:$A$18,0)))</f>
        <v>0</v>
      </c>
      <c r="H1075" s="0" t="n">
        <f aca="false">IF($F1075=0,0,INDEX(Aux_HH!$E$4:$E$18,MATCH($B1075&amp;"|"&amp;$E1075,Aux_HH!$A$4:$A$18,0)))</f>
        <v>0</v>
      </c>
      <c r="I1075" s="0" t="n">
        <f aca="false">IF($F1075=0,0,INDEX(Aux_HH!$F$4:$F$18,MATCH($B1075&amp;"|"&amp;$E1075,Aux_HH!$A$4:$A$18,0)))</f>
        <v>0</v>
      </c>
      <c r="J1075" s="0" t="n">
        <f aca="false">IF($F1075=0,0,INDEX(Aux_HH!$G$4:$G$18,MATCH($B1075&amp;"|"&amp;$E1075,Aux_HH!$A$4:$A$18,0)))</f>
        <v>0</v>
      </c>
      <c r="K1075" s="0" t="n">
        <f aca="false">IF($F1075=0,0,INDEX(Aux_HH!$H$4:$H$18,MATCH($B1075&amp;"|"&amp;$E1075,Aux_HH!$A$4:$A$18,0)))</f>
        <v>0</v>
      </c>
      <c r="L1075" s="0" t="n">
        <f aca="false">IF($F1075=0,0,INDEX(Aux_HH!$I$4:$I$18,MATCH($B1075&amp;"|"&amp;$E1075,Aux_HH!$A$4:$A$18,0)))</f>
        <v>0</v>
      </c>
    </row>
    <row r="1076" customFormat="false" ht="15" hidden="false" customHeight="false" outlineLevel="0" collapsed="false">
      <c r="A1076" s="0" t="str">
        <f aca="false">IF(Frota!$A25="","",Frota!$A25)</f>
        <v/>
      </c>
      <c r="B1076" s="0" t="str">
        <f aca="false">IF(Frota!$A25="","",Frota!$B25)</f>
        <v/>
      </c>
      <c r="C1076" s="0" t="n">
        <v>33</v>
      </c>
      <c r="D1076" s="0" t="n">
        <f aca="false">INDEX(Semanas!$E$3:$E$54,33)</f>
        <v>11</v>
      </c>
      <c r="E1076" s="0" t="str">
        <f aca="false">IF(Frota!$A25="","",Cronograma!AH25)</f>
        <v/>
      </c>
      <c r="F1076" s="0" t="n">
        <f aca="false">IF(OR($E1076="",$E1076=0),0,1)</f>
        <v>0</v>
      </c>
      <c r="G1076" s="0" t="n">
        <f aca="false">IF($F1076=0,0,INDEX(Aux_HH!$D$4:$D$18,MATCH($B1076&amp;"|"&amp;$E1076,Aux_HH!$A$4:$A$18,0)))</f>
        <v>0</v>
      </c>
      <c r="H1076" s="0" t="n">
        <f aca="false">IF($F1076=0,0,INDEX(Aux_HH!$E$4:$E$18,MATCH($B1076&amp;"|"&amp;$E1076,Aux_HH!$A$4:$A$18,0)))</f>
        <v>0</v>
      </c>
      <c r="I1076" s="0" t="n">
        <f aca="false">IF($F1076=0,0,INDEX(Aux_HH!$F$4:$F$18,MATCH($B1076&amp;"|"&amp;$E1076,Aux_HH!$A$4:$A$18,0)))</f>
        <v>0</v>
      </c>
      <c r="J1076" s="0" t="n">
        <f aca="false">IF($F1076=0,0,INDEX(Aux_HH!$G$4:$G$18,MATCH($B1076&amp;"|"&amp;$E1076,Aux_HH!$A$4:$A$18,0)))</f>
        <v>0</v>
      </c>
      <c r="K1076" s="0" t="n">
        <f aca="false">IF($F1076=0,0,INDEX(Aux_HH!$H$4:$H$18,MATCH($B1076&amp;"|"&amp;$E1076,Aux_HH!$A$4:$A$18,0)))</f>
        <v>0</v>
      </c>
      <c r="L1076" s="0" t="n">
        <f aca="false">IF($F1076=0,0,INDEX(Aux_HH!$I$4:$I$18,MATCH($B1076&amp;"|"&amp;$E1076,Aux_HH!$A$4:$A$18,0)))</f>
        <v>0</v>
      </c>
    </row>
    <row r="1077" customFormat="false" ht="15" hidden="false" customHeight="false" outlineLevel="0" collapsed="false">
      <c r="A1077" s="0" t="str">
        <f aca="false">IF(Frota!$A25="","",Frota!$A25)</f>
        <v/>
      </c>
      <c r="B1077" s="0" t="str">
        <f aca="false">IF(Frota!$A25="","",Frota!$B25)</f>
        <v/>
      </c>
      <c r="C1077" s="0" t="n">
        <v>34</v>
      </c>
      <c r="D1077" s="0" t="n">
        <f aca="false">INDEX(Semanas!$E$3:$E$54,34)</f>
        <v>11</v>
      </c>
      <c r="E1077" s="0" t="str">
        <f aca="false">IF(Frota!$A25="","",Cronograma!AI25)</f>
        <v/>
      </c>
      <c r="F1077" s="0" t="n">
        <f aca="false">IF(OR($E1077="",$E1077=0),0,1)</f>
        <v>0</v>
      </c>
      <c r="G1077" s="0" t="n">
        <f aca="false">IF($F1077=0,0,INDEX(Aux_HH!$D$4:$D$18,MATCH($B1077&amp;"|"&amp;$E1077,Aux_HH!$A$4:$A$18,0)))</f>
        <v>0</v>
      </c>
      <c r="H1077" s="0" t="n">
        <f aca="false">IF($F1077=0,0,INDEX(Aux_HH!$E$4:$E$18,MATCH($B1077&amp;"|"&amp;$E1077,Aux_HH!$A$4:$A$18,0)))</f>
        <v>0</v>
      </c>
      <c r="I1077" s="0" t="n">
        <f aca="false">IF($F1077=0,0,INDEX(Aux_HH!$F$4:$F$18,MATCH($B1077&amp;"|"&amp;$E1077,Aux_HH!$A$4:$A$18,0)))</f>
        <v>0</v>
      </c>
      <c r="J1077" s="0" t="n">
        <f aca="false">IF($F1077=0,0,INDEX(Aux_HH!$G$4:$G$18,MATCH($B1077&amp;"|"&amp;$E1077,Aux_HH!$A$4:$A$18,0)))</f>
        <v>0</v>
      </c>
      <c r="K1077" s="0" t="n">
        <f aca="false">IF($F1077=0,0,INDEX(Aux_HH!$H$4:$H$18,MATCH($B1077&amp;"|"&amp;$E1077,Aux_HH!$A$4:$A$18,0)))</f>
        <v>0</v>
      </c>
      <c r="L1077" s="0" t="n">
        <f aca="false">IF($F1077=0,0,INDEX(Aux_HH!$I$4:$I$18,MATCH($B1077&amp;"|"&amp;$E1077,Aux_HH!$A$4:$A$18,0)))</f>
        <v>0</v>
      </c>
    </row>
    <row r="1078" customFormat="false" ht="15" hidden="false" customHeight="false" outlineLevel="0" collapsed="false">
      <c r="A1078" s="0" t="str">
        <f aca="false">IF(Frota!$A25="","",Frota!$A25)</f>
        <v/>
      </c>
      <c r="B1078" s="0" t="str">
        <f aca="false">IF(Frota!$A25="","",Frota!$B25)</f>
        <v/>
      </c>
      <c r="C1078" s="0" t="n">
        <v>35</v>
      </c>
      <c r="D1078" s="0" t="n">
        <f aca="false">INDEX(Semanas!$E$3:$E$54,35)</f>
        <v>11</v>
      </c>
      <c r="E1078" s="0" t="str">
        <f aca="false">IF(Frota!$A25="","",Cronograma!AJ25)</f>
        <v/>
      </c>
      <c r="F1078" s="0" t="n">
        <f aca="false">IF(OR($E1078="",$E1078=0),0,1)</f>
        <v>0</v>
      </c>
      <c r="G1078" s="0" t="n">
        <f aca="false">IF($F1078=0,0,INDEX(Aux_HH!$D$4:$D$18,MATCH($B1078&amp;"|"&amp;$E1078,Aux_HH!$A$4:$A$18,0)))</f>
        <v>0</v>
      </c>
      <c r="H1078" s="0" t="n">
        <f aca="false">IF($F1078=0,0,INDEX(Aux_HH!$E$4:$E$18,MATCH($B1078&amp;"|"&amp;$E1078,Aux_HH!$A$4:$A$18,0)))</f>
        <v>0</v>
      </c>
      <c r="I1078" s="0" t="n">
        <f aca="false">IF($F1078=0,0,INDEX(Aux_HH!$F$4:$F$18,MATCH($B1078&amp;"|"&amp;$E1078,Aux_HH!$A$4:$A$18,0)))</f>
        <v>0</v>
      </c>
      <c r="J1078" s="0" t="n">
        <f aca="false">IF($F1078=0,0,INDEX(Aux_HH!$G$4:$G$18,MATCH($B1078&amp;"|"&amp;$E1078,Aux_HH!$A$4:$A$18,0)))</f>
        <v>0</v>
      </c>
      <c r="K1078" s="0" t="n">
        <f aca="false">IF($F1078=0,0,INDEX(Aux_HH!$H$4:$H$18,MATCH($B1078&amp;"|"&amp;$E1078,Aux_HH!$A$4:$A$18,0)))</f>
        <v>0</v>
      </c>
      <c r="L1078" s="0" t="n">
        <f aca="false">IF($F1078=0,0,INDEX(Aux_HH!$I$4:$I$18,MATCH($B1078&amp;"|"&amp;$E1078,Aux_HH!$A$4:$A$18,0)))</f>
        <v>0</v>
      </c>
    </row>
    <row r="1079" customFormat="false" ht="15" hidden="false" customHeight="false" outlineLevel="0" collapsed="false">
      <c r="A1079" s="0" t="str">
        <f aca="false">IF(Frota!$A25="","",Frota!$A25)</f>
        <v/>
      </c>
      <c r="B1079" s="0" t="str">
        <f aca="false">IF(Frota!$A25="","",Frota!$B25)</f>
        <v/>
      </c>
      <c r="C1079" s="0" t="n">
        <v>36</v>
      </c>
      <c r="D1079" s="0" t="n">
        <f aca="false">INDEX(Semanas!$E$3:$E$54,36)</f>
        <v>12</v>
      </c>
      <c r="E1079" s="0" t="str">
        <f aca="false">IF(Frota!$A25="","",Cronograma!AK25)</f>
        <v/>
      </c>
      <c r="F1079" s="0" t="n">
        <f aca="false">IF(OR($E1079="",$E1079=0),0,1)</f>
        <v>0</v>
      </c>
      <c r="G1079" s="0" t="n">
        <f aca="false">IF($F1079=0,0,INDEX(Aux_HH!$D$4:$D$18,MATCH($B1079&amp;"|"&amp;$E1079,Aux_HH!$A$4:$A$18,0)))</f>
        <v>0</v>
      </c>
      <c r="H1079" s="0" t="n">
        <f aca="false">IF($F1079=0,0,INDEX(Aux_HH!$E$4:$E$18,MATCH($B1079&amp;"|"&amp;$E1079,Aux_HH!$A$4:$A$18,0)))</f>
        <v>0</v>
      </c>
      <c r="I1079" s="0" t="n">
        <f aca="false">IF($F1079=0,0,INDEX(Aux_HH!$F$4:$F$18,MATCH($B1079&amp;"|"&amp;$E1079,Aux_HH!$A$4:$A$18,0)))</f>
        <v>0</v>
      </c>
      <c r="J1079" s="0" t="n">
        <f aca="false">IF($F1079=0,0,INDEX(Aux_HH!$G$4:$G$18,MATCH($B1079&amp;"|"&amp;$E1079,Aux_HH!$A$4:$A$18,0)))</f>
        <v>0</v>
      </c>
      <c r="K1079" s="0" t="n">
        <f aca="false">IF($F1079=0,0,INDEX(Aux_HH!$H$4:$H$18,MATCH($B1079&amp;"|"&amp;$E1079,Aux_HH!$A$4:$A$18,0)))</f>
        <v>0</v>
      </c>
      <c r="L1079" s="0" t="n">
        <f aca="false">IF($F1079=0,0,INDEX(Aux_HH!$I$4:$I$18,MATCH($B1079&amp;"|"&amp;$E1079,Aux_HH!$A$4:$A$18,0)))</f>
        <v>0</v>
      </c>
    </row>
    <row r="1080" customFormat="false" ht="15" hidden="false" customHeight="false" outlineLevel="0" collapsed="false">
      <c r="A1080" s="0" t="str">
        <f aca="false">IF(Frota!$A25="","",Frota!$A25)</f>
        <v/>
      </c>
      <c r="B1080" s="0" t="str">
        <f aca="false">IF(Frota!$A25="","",Frota!$B25)</f>
        <v/>
      </c>
      <c r="C1080" s="0" t="n">
        <v>37</v>
      </c>
      <c r="D1080" s="0" t="n">
        <f aca="false">INDEX(Semanas!$E$3:$E$54,37)</f>
        <v>12</v>
      </c>
      <c r="E1080" s="0" t="str">
        <f aca="false">IF(Frota!$A25="","",Cronograma!AL25)</f>
        <v/>
      </c>
      <c r="F1080" s="0" t="n">
        <f aca="false">IF(OR($E1080="",$E1080=0),0,1)</f>
        <v>0</v>
      </c>
      <c r="G1080" s="0" t="n">
        <f aca="false">IF($F1080=0,0,INDEX(Aux_HH!$D$4:$D$18,MATCH($B1080&amp;"|"&amp;$E1080,Aux_HH!$A$4:$A$18,0)))</f>
        <v>0</v>
      </c>
      <c r="H1080" s="0" t="n">
        <f aca="false">IF($F1080=0,0,INDEX(Aux_HH!$E$4:$E$18,MATCH($B1080&amp;"|"&amp;$E1080,Aux_HH!$A$4:$A$18,0)))</f>
        <v>0</v>
      </c>
      <c r="I1080" s="0" t="n">
        <f aca="false">IF($F1080=0,0,INDEX(Aux_HH!$F$4:$F$18,MATCH($B1080&amp;"|"&amp;$E1080,Aux_HH!$A$4:$A$18,0)))</f>
        <v>0</v>
      </c>
      <c r="J1080" s="0" t="n">
        <f aca="false">IF($F1080=0,0,INDEX(Aux_HH!$G$4:$G$18,MATCH($B1080&amp;"|"&amp;$E1080,Aux_HH!$A$4:$A$18,0)))</f>
        <v>0</v>
      </c>
      <c r="K1080" s="0" t="n">
        <f aca="false">IF($F1080=0,0,INDEX(Aux_HH!$H$4:$H$18,MATCH($B1080&amp;"|"&amp;$E1080,Aux_HH!$A$4:$A$18,0)))</f>
        <v>0</v>
      </c>
      <c r="L1080" s="0" t="n">
        <f aca="false">IF($F1080=0,0,INDEX(Aux_HH!$I$4:$I$18,MATCH($B1080&amp;"|"&amp;$E1080,Aux_HH!$A$4:$A$18,0)))</f>
        <v>0</v>
      </c>
    </row>
    <row r="1081" customFormat="false" ht="15" hidden="false" customHeight="false" outlineLevel="0" collapsed="false">
      <c r="A1081" s="0" t="str">
        <f aca="false">IF(Frota!$A25="","",Frota!$A25)</f>
        <v/>
      </c>
      <c r="B1081" s="0" t="str">
        <f aca="false">IF(Frota!$A25="","",Frota!$B25)</f>
        <v/>
      </c>
      <c r="C1081" s="0" t="n">
        <v>38</v>
      </c>
      <c r="D1081" s="0" t="n">
        <f aca="false">INDEX(Semanas!$E$3:$E$54,38)</f>
        <v>12</v>
      </c>
      <c r="E1081" s="0" t="str">
        <f aca="false">IF(Frota!$A25="","",Cronograma!AM25)</f>
        <v/>
      </c>
      <c r="F1081" s="0" t="n">
        <f aca="false">IF(OR($E1081="",$E1081=0),0,1)</f>
        <v>0</v>
      </c>
      <c r="G1081" s="0" t="n">
        <f aca="false">IF($F1081=0,0,INDEX(Aux_HH!$D$4:$D$18,MATCH($B1081&amp;"|"&amp;$E1081,Aux_HH!$A$4:$A$18,0)))</f>
        <v>0</v>
      </c>
      <c r="H1081" s="0" t="n">
        <f aca="false">IF($F1081=0,0,INDEX(Aux_HH!$E$4:$E$18,MATCH($B1081&amp;"|"&amp;$E1081,Aux_HH!$A$4:$A$18,0)))</f>
        <v>0</v>
      </c>
      <c r="I1081" s="0" t="n">
        <f aca="false">IF($F1081=0,0,INDEX(Aux_HH!$F$4:$F$18,MATCH($B1081&amp;"|"&amp;$E1081,Aux_HH!$A$4:$A$18,0)))</f>
        <v>0</v>
      </c>
      <c r="J1081" s="0" t="n">
        <f aca="false">IF($F1081=0,0,INDEX(Aux_HH!$G$4:$G$18,MATCH($B1081&amp;"|"&amp;$E1081,Aux_HH!$A$4:$A$18,0)))</f>
        <v>0</v>
      </c>
      <c r="K1081" s="0" t="n">
        <f aca="false">IF($F1081=0,0,INDEX(Aux_HH!$H$4:$H$18,MATCH($B1081&amp;"|"&amp;$E1081,Aux_HH!$A$4:$A$18,0)))</f>
        <v>0</v>
      </c>
      <c r="L1081" s="0" t="n">
        <f aca="false">IF($F1081=0,0,INDEX(Aux_HH!$I$4:$I$18,MATCH($B1081&amp;"|"&amp;$E1081,Aux_HH!$A$4:$A$18,0)))</f>
        <v>0</v>
      </c>
    </row>
    <row r="1082" customFormat="false" ht="15" hidden="false" customHeight="false" outlineLevel="0" collapsed="false">
      <c r="A1082" s="0" t="str">
        <f aca="false">IF(Frota!$A25="","",Frota!$A25)</f>
        <v/>
      </c>
      <c r="B1082" s="0" t="str">
        <f aca="false">IF(Frota!$A25="","",Frota!$B25)</f>
        <v/>
      </c>
      <c r="C1082" s="0" t="n">
        <v>39</v>
      </c>
      <c r="D1082" s="0" t="n">
        <f aca="false">INDEX(Semanas!$E$3:$E$54,39)</f>
        <v>12</v>
      </c>
      <c r="E1082" s="0" t="str">
        <f aca="false">IF(Frota!$A25="","",Cronograma!AN25)</f>
        <v/>
      </c>
      <c r="F1082" s="0" t="n">
        <f aca="false">IF(OR($E1082="",$E1082=0),0,1)</f>
        <v>0</v>
      </c>
      <c r="G1082" s="0" t="n">
        <f aca="false">IF($F1082=0,0,INDEX(Aux_HH!$D$4:$D$18,MATCH($B1082&amp;"|"&amp;$E1082,Aux_HH!$A$4:$A$18,0)))</f>
        <v>0</v>
      </c>
      <c r="H1082" s="0" t="n">
        <f aca="false">IF($F1082=0,0,INDEX(Aux_HH!$E$4:$E$18,MATCH($B1082&amp;"|"&amp;$E1082,Aux_HH!$A$4:$A$18,0)))</f>
        <v>0</v>
      </c>
      <c r="I1082" s="0" t="n">
        <f aca="false">IF($F1082=0,0,INDEX(Aux_HH!$F$4:$F$18,MATCH($B1082&amp;"|"&amp;$E1082,Aux_HH!$A$4:$A$18,0)))</f>
        <v>0</v>
      </c>
      <c r="J1082" s="0" t="n">
        <f aca="false">IF($F1082=0,0,INDEX(Aux_HH!$G$4:$G$18,MATCH($B1082&amp;"|"&amp;$E1082,Aux_HH!$A$4:$A$18,0)))</f>
        <v>0</v>
      </c>
      <c r="K1082" s="0" t="n">
        <f aca="false">IF($F1082=0,0,INDEX(Aux_HH!$H$4:$H$18,MATCH($B1082&amp;"|"&amp;$E1082,Aux_HH!$A$4:$A$18,0)))</f>
        <v>0</v>
      </c>
      <c r="L1082" s="0" t="n">
        <f aca="false">IF($F1082=0,0,INDEX(Aux_HH!$I$4:$I$18,MATCH($B1082&amp;"|"&amp;$E1082,Aux_HH!$A$4:$A$18,0)))</f>
        <v>0</v>
      </c>
    </row>
    <row r="1083" customFormat="false" ht="15" hidden="false" customHeight="false" outlineLevel="0" collapsed="false">
      <c r="A1083" s="0" t="str">
        <f aca="false">IF(Frota!$A25="","",Frota!$A25)</f>
        <v/>
      </c>
      <c r="B1083" s="0" t="str">
        <f aca="false">IF(Frota!$A25="","",Frota!$B25)</f>
        <v/>
      </c>
      <c r="C1083" s="0" t="n">
        <v>40</v>
      </c>
      <c r="D1083" s="0" t="n">
        <f aca="false">INDEX(Semanas!$E$3:$E$54,40)</f>
        <v>12</v>
      </c>
      <c r="E1083" s="0" t="str">
        <f aca="false">IF(Frota!$A25="","",Cronograma!AO25)</f>
        <v/>
      </c>
      <c r="F1083" s="0" t="n">
        <f aca="false">IF(OR($E1083="",$E1083=0),0,1)</f>
        <v>0</v>
      </c>
      <c r="G1083" s="0" t="n">
        <f aca="false">IF($F1083=0,0,INDEX(Aux_HH!$D$4:$D$18,MATCH($B1083&amp;"|"&amp;$E1083,Aux_HH!$A$4:$A$18,0)))</f>
        <v>0</v>
      </c>
      <c r="H1083" s="0" t="n">
        <f aca="false">IF($F1083=0,0,INDEX(Aux_HH!$E$4:$E$18,MATCH($B1083&amp;"|"&amp;$E1083,Aux_HH!$A$4:$A$18,0)))</f>
        <v>0</v>
      </c>
      <c r="I1083" s="0" t="n">
        <f aca="false">IF($F1083=0,0,INDEX(Aux_HH!$F$4:$F$18,MATCH($B1083&amp;"|"&amp;$E1083,Aux_HH!$A$4:$A$18,0)))</f>
        <v>0</v>
      </c>
      <c r="J1083" s="0" t="n">
        <f aca="false">IF($F1083=0,0,INDEX(Aux_HH!$G$4:$G$18,MATCH($B1083&amp;"|"&amp;$E1083,Aux_HH!$A$4:$A$18,0)))</f>
        <v>0</v>
      </c>
      <c r="K1083" s="0" t="n">
        <f aca="false">IF($F1083=0,0,INDEX(Aux_HH!$H$4:$H$18,MATCH($B1083&amp;"|"&amp;$E1083,Aux_HH!$A$4:$A$18,0)))</f>
        <v>0</v>
      </c>
      <c r="L1083" s="0" t="n">
        <f aca="false">IF($F1083=0,0,INDEX(Aux_HH!$I$4:$I$18,MATCH($B1083&amp;"|"&amp;$E1083,Aux_HH!$A$4:$A$18,0)))</f>
        <v>0</v>
      </c>
    </row>
    <row r="1084" customFormat="false" ht="15" hidden="false" customHeight="false" outlineLevel="0" collapsed="false">
      <c r="A1084" s="0" t="str">
        <f aca="false">IF(Frota!$A25="","",Frota!$A25)</f>
        <v/>
      </c>
      <c r="B1084" s="0" t="str">
        <f aca="false">IF(Frota!$A25="","",Frota!$B25)</f>
        <v/>
      </c>
      <c r="C1084" s="0" t="n">
        <v>41</v>
      </c>
      <c r="D1084" s="0" t="n">
        <f aca="false">INDEX(Semanas!$E$3:$E$54,41)</f>
        <v>1</v>
      </c>
      <c r="E1084" s="0" t="str">
        <f aca="false">IF(Frota!$A25="","",Cronograma!AP25)</f>
        <v/>
      </c>
      <c r="F1084" s="0" t="n">
        <f aca="false">IF(OR($E1084="",$E1084=0),0,1)</f>
        <v>0</v>
      </c>
      <c r="G1084" s="0" t="n">
        <f aca="false">IF($F1084=0,0,INDEX(Aux_HH!$D$4:$D$18,MATCH($B1084&amp;"|"&amp;$E1084,Aux_HH!$A$4:$A$18,0)))</f>
        <v>0</v>
      </c>
      <c r="H1084" s="0" t="n">
        <f aca="false">IF($F1084=0,0,INDEX(Aux_HH!$E$4:$E$18,MATCH($B1084&amp;"|"&amp;$E1084,Aux_HH!$A$4:$A$18,0)))</f>
        <v>0</v>
      </c>
      <c r="I1084" s="0" t="n">
        <f aca="false">IF($F1084=0,0,INDEX(Aux_HH!$F$4:$F$18,MATCH($B1084&amp;"|"&amp;$E1084,Aux_HH!$A$4:$A$18,0)))</f>
        <v>0</v>
      </c>
      <c r="J1084" s="0" t="n">
        <f aca="false">IF($F1084=0,0,INDEX(Aux_HH!$G$4:$G$18,MATCH($B1084&amp;"|"&amp;$E1084,Aux_HH!$A$4:$A$18,0)))</f>
        <v>0</v>
      </c>
      <c r="K1084" s="0" t="n">
        <f aca="false">IF($F1084=0,0,INDEX(Aux_HH!$H$4:$H$18,MATCH($B1084&amp;"|"&amp;$E1084,Aux_HH!$A$4:$A$18,0)))</f>
        <v>0</v>
      </c>
      <c r="L1084" s="0" t="n">
        <f aca="false">IF($F1084=0,0,INDEX(Aux_HH!$I$4:$I$18,MATCH($B1084&amp;"|"&amp;$E1084,Aux_HH!$A$4:$A$18,0)))</f>
        <v>0</v>
      </c>
    </row>
    <row r="1085" customFormat="false" ht="15" hidden="false" customHeight="false" outlineLevel="0" collapsed="false">
      <c r="A1085" s="0" t="str">
        <f aca="false">IF(Frota!$A25="","",Frota!$A25)</f>
        <v/>
      </c>
      <c r="B1085" s="0" t="str">
        <f aca="false">IF(Frota!$A25="","",Frota!$B25)</f>
        <v/>
      </c>
      <c r="C1085" s="0" t="n">
        <v>42</v>
      </c>
      <c r="D1085" s="0" t="n">
        <f aca="false">INDEX(Semanas!$E$3:$E$54,42)</f>
        <v>1</v>
      </c>
      <c r="E1085" s="0" t="str">
        <f aca="false">IF(Frota!$A25="","",Cronograma!AQ25)</f>
        <v/>
      </c>
      <c r="F1085" s="0" t="n">
        <f aca="false">IF(OR($E1085="",$E1085=0),0,1)</f>
        <v>0</v>
      </c>
      <c r="G1085" s="0" t="n">
        <f aca="false">IF($F1085=0,0,INDEX(Aux_HH!$D$4:$D$18,MATCH($B1085&amp;"|"&amp;$E1085,Aux_HH!$A$4:$A$18,0)))</f>
        <v>0</v>
      </c>
      <c r="H1085" s="0" t="n">
        <f aca="false">IF($F1085=0,0,INDEX(Aux_HH!$E$4:$E$18,MATCH($B1085&amp;"|"&amp;$E1085,Aux_HH!$A$4:$A$18,0)))</f>
        <v>0</v>
      </c>
      <c r="I1085" s="0" t="n">
        <f aca="false">IF($F1085=0,0,INDEX(Aux_HH!$F$4:$F$18,MATCH($B1085&amp;"|"&amp;$E1085,Aux_HH!$A$4:$A$18,0)))</f>
        <v>0</v>
      </c>
      <c r="J1085" s="0" t="n">
        <f aca="false">IF($F1085=0,0,INDEX(Aux_HH!$G$4:$G$18,MATCH($B1085&amp;"|"&amp;$E1085,Aux_HH!$A$4:$A$18,0)))</f>
        <v>0</v>
      </c>
      <c r="K1085" s="0" t="n">
        <f aca="false">IF($F1085=0,0,INDEX(Aux_HH!$H$4:$H$18,MATCH($B1085&amp;"|"&amp;$E1085,Aux_HH!$A$4:$A$18,0)))</f>
        <v>0</v>
      </c>
      <c r="L1085" s="0" t="n">
        <f aca="false">IF($F1085=0,0,INDEX(Aux_HH!$I$4:$I$18,MATCH($B1085&amp;"|"&amp;$E1085,Aux_HH!$A$4:$A$18,0)))</f>
        <v>0</v>
      </c>
    </row>
    <row r="1086" customFormat="false" ht="15" hidden="false" customHeight="false" outlineLevel="0" collapsed="false">
      <c r="A1086" s="0" t="str">
        <f aca="false">IF(Frota!$A25="","",Frota!$A25)</f>
        <v/>
      </c>
      <c r="B1086" s="0" t="str">
        <f aca="false">IF(Frota!$A25="","",Frota!$B25)</f>
        <v/>
      </c>
      <c r="C1086" s="0" t="n">
        <v>43</v>
      </c>
      <c r="D1086" s="0" t="n">
        <f aca="false">INDEX(Semanas!$E$3:$E$54,43)</f>
        <v>1</v>
      </c>
      <c r="E1086" s="0" t="str">
        <f aca="false">IF(Frota!$A25="","",Cronograma!AR25)</f>
        <v/>
      </c>
      <c r="F1086" s="0" t="n">
        <f aca="false">IF(OR($E1086="",$E1086=0),0,1)</f>
        <v>0</v>
      </c>
      <c r="G1086" s="0" t="n">
        <f aca="false">IF($F1086=0,0,INDEX(Aux_HH!$D$4:$D$18,MATCH($B1086&amp;"|"&amp;$E1086,Aux_HH!$A$4:$A$18,0)))</f>
        <v>0</v>
      </c>
      <c r="H1086" s="0" t="n">
        <f aca="false">IF($F1086=0,0,INDEX(Aux_HH!$E$4:$E$18,MATCH($B1086&amp;"|"&amp;$E1086,Aux_HH!$A$4:$A$18,0)))</f>
        <v>0</v>
      </c>
      <c r="I1086" s="0" t="n">
        <f aca="false">IF($F1086=0,0,INDEX(Aux_HH!$F$4:$F$18,MATCH($B1086&amp;"|"&amp;$E1086,Aux_HH!$A$4:$A$18,0)))</f>
        <v>0</v>
      </c>
      <c r="J1086" s="0" t="n">
        <f aca="false">IF($F1086=0,0,INDEX(Aux_HH!$G$4:$G$18,MATCH($B1086&amp;"|"&amp;$E1086,Aux_HH!$A$4:$A$18,0)))</f>
        <v>0</v>
      </c>
      <c r="K1086" s="0" t="n">
        <f aca="false">IF($F1086=0,0,INDEX(Aux_HH!$H$4:$H$18,MATCH($B1086&amp;"|"&amp;$E1086,Aux_HH!$A$4:$A$18,0)))</f>
        <v>0</v>
      </c>
      <c r="L1086" s="0" t="n">
        <f aca="false">IF($F1086=0,0,INDEX(Aux_HH!$I$4:$I$18,MATCH($B1086&amp;"|"&amp;$E1086,Aux_HH!$A$4:$A$18,0)))</f>
        <v>0</v>
      </c>
    </row>
    <row r="1087" customFormat="false" ht="15" hidden="false" customHeight="false" outlineLevel="0" collapsed="false">
      <c r="A1087" s="0" t="str">
        <f aca="false">IF(Frota!$A25="","",Frota!$A25)</f>
        <v/>
      </c>
      <c r="B1087" s="0" t="str">
        <f aca="false">IF(Frota!$A25="","",Frota!$B25)</f>
        <v/>
      </c>
      <c r="C1087" s="0" t="n">
        <v>44</v>
      </c>
      <c r="D1087" s="0" t="n">
        <f aca="false">INDEX(Semanas!$E$3:$E$54,44)</f>
        <v>1</v>
      </c>
      <c r="E1087" s="0" t="str">
        <f aca="false">IF(Frota!$A25="","",Cronograma!AS25)</f>
        <v/>
      </c>
      <c r="F1087" s="0" t="n">
        <f aca="false">IF(OR($E1087="",$E1087=0),0,1)</f>
        <v>0</v>
      </c>
      <c r="G1087" s="0" t="n">
        <f aca="false">IF($F1087=0,0,INDEX(Aux_HH!$D$4:$D$18,MATCH($B1087&amp;"|"&amp;$E1087,Aux_HH!$A$4:$A$18,0)))</f>
        <v>0</v>
      </c>
      <c r="H1087" s="0" t="n">
        <f aca="false">IF($F1087=0,0,INDEX(Aux_HH!$E$4:$E$18,MATCH($B1087&amp;"|"&amp;$E1087,Aux_HH!$A$4:$A$18,0)))</f>
        <v>0</v>
      </c>
      <c r="I1087" s="0" t="n">
        <f aca="false">IF($F1087=0,0,INDEX(Aux_HH!$F$4:$F$18,MATCH($B1087&amp;"|"&amp;$E1087,Aux_HH!$A$4:$A$18,0)))</f>
        <v>0</v>
      </c>
      <c r="J1087" s="0" t="n">
        <f aca="false">IF($F1087=0,0,INDEX(Aux_HH!$G$4:$G$18,MATCH($B1087&amp;"|"&amp;$E1087,Aux_HH!$A$4:$A$18,0)))</f>
        <v>0</v>
      </c>
      <c r="K1087" s="0" t="n">
        <f aca="false">IF($F1087=0,0,INDEX(Aux_HH!$H$4:$H$18,MATCH($B1087&amp;"|"&amp;$E1087,Aux_HH!$A$4:$A$18,0)))</f>
        <v>0</v>
      </c>
      <c r="L1087" s="0" t="n">
        <f aca="false">IF($F1087=0,0,INDEX(Aux_HH!$I$4:$I$18,MATCH($B1087&amp;"|"&amp;$E1087,Aux_HH!$A$4:$A$18,0)))</f>
        <v>0</v>
      </c>
    </row>
    <row r="1088" customFormat="false" ht="15" hidden="false" customHeight="false" outlineLevel="0" collapsed="false">
      <c r="A1088" s="0" t="str">
        <f aca="false">IF(Frota!$A25="","",Frota!$A25)</f>
        <v/>
      </c>
      <c r="B1088" s="0" t="str">
        <f aca="false">IF(Frota!$A25="","",Frota!$B25)</f>
        <v/>
      </c>
      <c r="C1088" s="0" t="n">
        <v>45</v>
      </c>
      <c r="D1088" s="0" t="n">
        <f aca="false">INDEX(Semanas!$E$3:$E$54,45)</f>
        <v>2</v>
      </c>
      <c r="E1088" s="0" t="str">
        <f aca="false">IF(Frota!$A25="","",Cronograma!AT25)</f>
        <v/>
      </c>
      <c r="F1088" s="0" t="n">
        <f aca="false">IF(OR($E1088="",$E1088=0),0,1)</f>
        <v>0</v>
      </c>
      <c r="G1088" s="0" t="n">
        <f aca="false">IF($F1088=0,0,INDEX(Aux_HH!$D$4:$D$18,MATCH($B1088&amp;"|"&amp;$E1088,Aux_HH!$A$4:$A$18,0)))</f>
        <v>0</v>
      </c>
      <c r="H1088" s="0" t="n">
        <f aca="false">IF($F1088=0,0,INDEX(Aux_HH!$E$4:$E$18,MATCH($B1088&amp;"|"&amp;$E1088,Aux_HH!$A$4:$A$18,0)))</f>
        <v>0</v>
      </c>
      <c r="I1088" s="0" t="n">
        <f aca="false">IF($F1088=0,0,INDEX(Aux_HH!$F$4:$F$18,MATCH($B1088&amp;"|"&amp;$E1088,Aux_HH!$A$4:$A$18,0)))</f>
        <v>0</v>
      </c>
      <c r="J1088" s="0" t="n">
        <f aca="false">IF($F1088=0,0,INDEX(Aux_HH!$G$4:$G$18,MATCH($B1088&amp;"|"&amp;$E1088,Aux_HH!$A$4:$A$18,0)))</f>
        <v>0</v>
      </c>
      <c r="K1088" s="0" t="n">
        <f aca="false">IF($F1088=0,0,INDEX(Aux_HH!$H$4:$H$18,MATCH($B1088&amp;"|"&amp;$E1088,Aux_HH!$A$4:$A$18,0)))</f>
        <v>0</v>
      </c>
      <c r="L1088" s="0" t="n">
        <f aca="false">IF($F1088=0,0,INDEX(Aux_HH!$I$4:$I$18,MATCH($B1088&amp;"|"&amp;$E1088,Aux_HH!$A$4:$A$18,0)))</f>
        <v>0</v>
      </c>
    </row>
    <row r="1089" customFormat="false" ht="15" hidden="false" customHeight="false" outlineLevel="0" collapsed="false">
      <c r="A1089" s="0" t="str">
        <f aca="false">IF(Frota!$A25="","",Frota!$A25)</f>
        <v/>
      </c>
      <c r="B1089" s="0" t="str">
        <f aca="false">IF(Frota!$A25="","",Frota!$B25)</f>
        <v/>
      </c>
      <c r="C1089" s="0" t="n">
        <v>46</v>
      </c>
      <c r="D1089" s="0" t="n">
        <f aca="false">INDEX(Semanas!$E$3:$E$54,46)</f>
        <v>2</v>
      </c>
      <c r="E1089" s="0" t="str">
        <f aca="false">IF(Frota!$A25="","",Cronograma!AU25)</f>
        <v/>
      </c>
      <c r="F1089" s="0" t="n">
        <f aca="false">IF(OR($E1089="",$E1089=0),0,1)</f>
        <v>0</v>
      </c>
      <c r="G1089" s="0" t="n">
        <f aca="false">IF($F1089=0,0,INDEX(Aux_HH!$D$4:$D$18,MATCH($B1089&amp;"|"&amp;$E1089,Aux_HH!$A$4:$A$18,0)))</f>
        <v>0</v>
      </c>
      <c r="H1089" s="0" t="n">
        <f aca="false">IF($F1089=0,0,INDEX(Aux_HH!$E$4:$E$18,MATCH($B1089&amp;"|"&amp;$E1089,Aux_HH!$A$4:$A$18,0)))</f>
        <v>0</v>
      </c>
      <c r="I1089" s="0" t="n">
        <f aca="false">IF($F1089=0,0,INDEX(Aux_HH!$F$4:$F$18,MATCH($B1089&amp;"|"&amp;$E1089,Aux_HH!$A$4:$A$18,0)))</f>
        <v>0</v>
      </c>
      <c r="J1089" s="0" t="n">
        <f aca="false">IF($F1089=0,0,INDEX(Aux_HH!$G$4:$G$18,MATCH($B1089&amp;"|"&amp;$E1089,Aux_HH!$A$4:$A$18,0)))</f>
        <v>0</v>
      </c>
      <c r="K1089" s="0" t="n">
        <f aca="false">IF($F1089=0,0,INDEX(Aux_HH!$H$4:$H$18,MATCH($B1089&amp;"|"&amp;$E1089,Aux_HH!$A$4:$A$18,0)))</f>
        <v>0</v>
      </c>
      <c r="L1089" s="0" t="n">
        <f aca="false">IF($F1089=0,0,INDEX(Aux_HH!$I$4:$I$18,MATCH($B1089&amp;"|"&amp;$E1089,Aux_HH!$A$4:$A$18,0)))</f>
        <v>0</v>
      </c>
    </row>
    <row r="1090" customFormat="false" ht="15" hidden="false" customHeight="false" outlineLevel="0" collapsed="false">
      <c r="A1090" s="0" t="str">
        <f aca="false">IF(Frota!$A25="","",Frota!$A25)</f>
        <v/>
      </c>
      <c r="B1090" s="0" t="str">
        <f aca="false">IF(Frota!$A25="","",Frota!$B25)</f>
        <v/>
      </c>
      <c r="C1090" s="0" t="n">
        <v>47</v>
      </c>
      <c r="D1090" s="0" t="n">
        <f aca="false">INDEX(Semanas!$E$3:$E$54,47)</f>
        <v>2</v>
      </c>
      <c r="E1090" s="0" t="str">
        <f aca="false">IF(Frota!$A25="","",Cronograma!AV25)</f>
        <v/>
      </c>
      <c r="F1090" s="0" t="n">
        <f aca="false">IF(OR($E1090="",$E1090=0),0,1)</f>
        <v>0</v>
      </c>
      <c r="G1090" s="0" t="n">
        <f aca="false">IF($F1090=0,0,INDEX(Aux_HH!$D$4:$D$18,MATCH($B1090&amp;"|"&amp;$E1090,Aux_HH!$A$4:$A$18,0)))</f>
        <v>0</v>
      </c>
      <c r="H1090" s="0" t="n">
        <f aca="false">IF($F1090=0,0,INDEX(Aux_HH!$E$4:$E$18,MATCH($B1090&amp;"|"&amp;$E1090,Aux_HH!$A$4:$A$18,0)))</f>
        <v>0</v>
      </c>
      <c r="I1090" s="0" t="n">
        <f aca="false">IF($F1090=0,0,INDEX(Aux_HH!$F$4:$F$18,MATCH($B1090&amp;"|"&amp;$E1090,Aux_HH!$A$4:$A$18,0)))</f>
        <v>0</v>
      </c>
      <c r="J1090" s="0" t="n">
        <f aca="false">IF($F1090=0,0,INDEX(Aux_HH!$G$4:$G$18,MATCH($B1090&amp;"|"&amp;$E1090,Aux_HH!$A$4:$A$18,0)))</f>
        <v>0</v>
      </c>
      <c r="K1090" s="0" t="n">
        <f aca="false">IF($F1090=0,0,INDEX(Aux_HH!$H$4:$H$18,MATCH($B1090&amp;"|"&amp;$E1090,Aux_HH!$A$4:$A$18,0)))</f>
        <v>0</v>
      </c>
      <c r="L1090" s="0" t="n">
        <f aca="false">IF($F1090=0,0,INDEX(Aux_HH!$I$4:$I$18,MATCH($B1090&amp;"|"&amp;$E1090,Aux_HH!$A$4:$A$18,0)))</f>
        <v>0</v>
      </c>
    </row>
    <row r="1091" customFormat="false" ht="15" hidden="false" customHeight="false" outlineLevel="0" collapsed="false">
      <c r="A1091" s="0" t="str">
        <f aca="false">IF(Frota!$A25="","",Frota!$A25)</f>
        <v/>
      </c>
      <c r="B1091" s="0" t="str">
        <f aca="false">IF(Frota!$A25="","",Frota!$B25)</f>
        <v/>
      </c>
      <c r="C1091" s="0" t="n">
        <v>48</v>
      </c>
      <c r="D1091" s="0" t="n">
        <f aca="false">INDEX(Semanas!$E$3:$E$54,48)</f>
        <v>2</v>
      </c>
      <c r="E1091" s="0" t="str">
        <f aca="false">IF(Frota!$A25="","",Cronograma!AW25)</f>
        <v/>
      </c>
      <c r="F1091" s="0" t="n">
        <f aca="false">IF(OR($E1091="",$E1091=0),0,1)</f>
        <v>0</v>
      </c>
      <c r="G1091" s="0" t="n">
        <f aca="false">IF($F1091=0,0,INDEX(Aux_HH!$D$4:$D$18,MATCH($B1091&amp;"|"&amp;$E1091,Aux_HH!$A$4:$A$18,0)))</f>
        <v>0</v>
      </c>
      <c r="H1091" s="0" t="n">
        <f aca="false">IF($F1091=0,0,INDEX(Aux_HH!$E$4:$E$18,MATCH($B1091&amp;"|"&amp;$E1091,Aux_HH!$A$4:$A$18,0)))</f>
        <v>0</v>
      </c>
      <c r="I1091" s="0" t="n">
        <f aca="false">IF($F1091=0,0,INDEX(Aux_HH!$F$4:$F$18,MATCH($B1091&amp;"|"&amp;$E1091,Aux_HH!$A$4:$A$18,0)))</f>
        <v>0</v>
      </c>
      <c r="J1091" s="0" t="n">
        <f aca="false">IF($F1091=0,0,INDEX(Aux_HH!$G$4:$G$18,MATCH($B1091&amp;"|"&amp;$E1091,Aux_HH!$A$4:$A$18,0)))</f>
        <v>0</v>
      </c>
      <c r="K1091" s="0" t="n">
        <f aca="false">IF($F1091=0,0,INDEX(Aux_HH!$H$4:$H$18,MATCH($B1091&amp;"|"&amp;$E1091,Aux_HH!$A$4:$A$18,0)))</f>
        <v>0</v>
      </c>
      <c r="L1091" s="0" t="n">
        <f aca="false">IF($F1091=0,0,INDEX(Aux_HH!$I$4:$I$18,MATCH($B1091&amp;"|"&amp;$E1091,Aux_HH!$A$4:$A$18,0)))</f>
        <v>0</v>
      </c>
    </row>
    <row r="1092" customFormat="false" ht="15" hidden="false" customHeight="false" outlineLevel="0" collapsed="false">
      <c r="A1092" s="0" t="str">
        <f aca="false">IF(Frota!$A25="","",Frota!$A25)</f>
        <v/>
      </c>
      <c r="B1092" s="0" t="str">
        <f aca="false">IF(Frota!$A25="","",Frota!$B25)</f>
        <v/>
      </c>
      <c r="C1092" s="0" t="n">
        <v>49</v>
      </c>
      <c r="D1092" s="0" t="n">
        <f aca="false">INDEX(Semanas!$E$3:$E$54,49)</f>
        <v>3</v>
      </c>
      <c r="E1092" s="0" t="str">
        <f aca="false">IF(Frota!$A25="","",Cronograma!AX25)</f>
        <v/>
      </c>
      <c r="F1092" s="0" t="n">
        <f aca="false">IF(OR($E1092="",$E1092=0),0,1)</f>
        <v>0</v>
      </c>
      <c r="G1092" s="0" t="n">
        <f aca="false">IF($F1092=0,0,INDEX(Aux_HH!$D$4:$D$18,MATCH($B1092&amp;"|"&amp;$E1092,Aux_HH!$A$4:$A$18,0)))</f>
        <v>0</v>
      </c>
      <c r="H1092" s="0" t="n">
        <f aca="false">IF($F1092=0,0,INDEX(Aux_HH!$E$4:$E$18,MATCH($B1092&amp;"|"&amp;$E1092,Aux_HH!$A$4:$A$18,0)))</f>
        <v>0</v>
      </c>
      <c r="I1092" s="0" t="n">
        <f aca="false">IF($F1092=0,0,INDEX(Aux_HH!$F$4:$F$18,MATCH($B1092&amp;"|"&amp;$E1092,Aux_HH!$A$4:$A$18,0)))</f>
        <v>0</v>
      </c>
      <c r="J1092" s="0" t="n">
        <f aca="false">IF($F1092=0,0,INDEX(Aux_HH!$G$4:$G$18,MATCH($B1092&amp;"|"&amp;$E1092,Aux_HH!$A$4:$A$18,0)))</f>
        <v>0</v>
      </c>
      <c r="K1092" s="0" t="n">
        <f aca="false">IF($F1092=0,0,INDEX(Aux_HH!$H$4:$H$18,MATCH($B1092&amp;"|"&amp;$E1092,Aux_HH!$A$4:$A$18,0)))</f>
        <v>0</v>
      </c>
      <c r="L1092" s="0" t="n">
        <f aca="false">IF($F1092=0,0,INDEX(Aux_HH!$I$4:$I$18,MATCH($B1092&amp;"|"&amp;$E1092,Aux_HH!$A$4:$A$18,0)))</f>
        <v>0</v>
      </c>
    </row>
    <row r="1093" customFormat="false" ht="15" hidden="false" customHeight="false" outlineLevel="0" collapsed="false">
      <c r="A1093" s="0" t="str">
        <f aca="false">IF(Frota!$A25="","",Frota!$A25)</f>
        <v/>
      </c>
      <c r="B1093" s="0" t="str">
        <f aca="false">IF(Frota!$A25="","",Frota!$B25)</f>
        <v/>
      </c>
      <c r="C1093" s="0" t="n">
        <v>50</v>
      </c>
      <c r="D1093" s="0" t="n">
        <f aca="false">INDEX(Semanas!$E$3:$E$54,50)</f>
        <v>3</v>
      </c>
      <c r="E1093" s="0" t="str">
        <f aca="false">IF(Frota!$A25="","",Cronograma!AY25)</f>
        <v/>
      </c>
      <c r="F1093" s="0" t="n">
        <f aca="false">IF(OR($E1093="",$E1093=0),0,1)</f>
        <v>0</v>
      </c>
      <c r="G1093" s="0" t="n">
        <f aca="false">IF($F1093=0,0,INDEX(Aux_HH!$D$4:$D$18,MATCH($B1093&amp;"|"&amp;$E1093,Aux_HH!$A$4:$A$18,0)))</f>
        <v>0</v>
      </c>
      <c r="H1093" s="0" t="n">
        <f aca="false">IF($F1093=0,0,INDEX(Aux_HH!$E$4:$E$18,MATCH($B1093&amp;"|"&amp;$E1093,Aux_HH!$A$4:$A$18,0)))</f>
        <v>0</v>
      </c>
      <c r="I1093" s="0" t="n">
        <f aca="false">IF($F1093=0,0,INDEX(Aux_HH!$F$4:$F$18,MATCH($B1093&amp;"|"&amp;$E1093,Aux_HH!$A$4:$A$18,0)))</f>
        <v>0</v>
      </c>
      <c r="J1093" s="0" t="n">
        <f aca="false">IF($F1093=0,0,INDEX(Aux_HH!$G$4:$G$18,MATCH($B1093&amp;"|"&amp;$E1093,Aux_HH!$A$4:$A$18,0)))</f>
        <v>0</v>
      </c>
      <c r="K1093" s="0" t="n">
        <f aca="false">IF($F1093=0,0,INDEX(Aux_HH!$H$4:$H$18,MATCH($B1093&amp;"|"&amp;$E1093,Aux_HH!$A$4:$A$18,0)))</f>
        <v>0</v>
      </c>
      <c r="L1093" s="0" t="n">
        <f aca="false">IF($F1093=0,0,INDEX(Aux_HH!$I$4:$I$18,MATCH($B1093&amp;"|"&amp;$E1093,Aux_HH!$A$4:$A$18,0)))</f>
        <v>0</v>
      </c>
    </row>
    <row r="1094" customFormat="false" ht="15" hidden="false" customHeight="false" outlineLevel="0" collapsed="false">
      <c r="A1094" s="0" t="str">
        <f aca="false">IF(Frota!$A25="","",Frota!$A25)</f>
        <v/>
      </c>
      <c r="B1094" s="0" t="str">
        <f aca="false">IF(Frota!$A25="","",Frota!$B25)</f>
        <v/>
      </c>
      <c r="C1094" s="0" t="n">
        <v>51</v>
      </c>
      <c r="D1094" s="0" t="n">
        <f aca="false">INDEX(Semanas!$E$3:$E$54,51)</f>
        <v>3</v>
      </c>
      <c r="E1094" s="0" t="str">
        <f aca="false">IF(Frota!$A25="","",Cronograma!AZ25)</f>
        <v/>
      </c>
      <c r="F1094" s="0" t="n">
        <f aca="false">IF(OR($E1094="",$E1094=0),0,1)</f>
        <v>0</v>
      </c>
      <c r="G1094" s="0" t="n">
        <f aca="false">IF($F1094=0,0,INDEX(Aux_HH!$D$4:$D$18,MATCH($B1094&amp;"|"&amp;$E1094,Aux_HH!$A$4:$A$18,0)))</f>
        <v>0</v>
      </c>
      <c r="H1094" s="0" t="n">
        <f aca="false">IF($F1094=0,0,INDEX(Aux_HH!$E$4:$E$18,MATCH($B1094&amp;"|"&amp;$E1094,Aux_HH!$A$4:$A$18,0)))</f>
        <v>0</v>
      </c>
      <c r="I1094" s="0" t="n">
        <f aca="false">IF($F1094=0,0,INDEX(Aux_HH!$F$4:$F$18,MATCH($B1094&amp;"|"&amp;$E1094,Aux_HH!$A$4:$A$18,0)))</f>
        <v>0</v>
      </c>
      <c r="J1094" s="0" t="n">
        <f aca="false">IF($F1094=0,0,INDEX(Aux_HH!$G$4:$G$18,MATCH($B1094&amp;"|"&amp;$E1094,Aux_HH!$A$4:$A$18,0)))</f>
        <v>0</v>
      </c>
      <c r="K1094" s="0" t="n">
        <f aca="false">IF($F1094=0,0,INDEX(Aux_HH!$H$4:$H$18,MATCH($B1094&amp;"|"&amp;$E1094,Aux_HH!$A$4:$A$18,0)))</f>
        <v>0</v>
      </c>
      <c r="L1094" s="0" t="n">
        <f aca="false">IF($F1094=0,0,INDEX(Aux_HH!$I$4:$I$18,MATCH($B1094&amp;"|"&amp;$E1094,Aux_HH!$A$4:$A$18,0)))</f>
        <v>0</v>
      </c>
    </row>
    <row r="1095" customFormat="false" ht="15" hidden="false" customHeight="false" outlineLevel="0" collapsed="false">
      <c r="A1095" s="0" t="str">
        <f aca="false">IF(Frota!$A25="","",Frota!$A25)</f>
        <v/>
      </c>
      <c r="B1095" s="0" t="str">
        <f aca="false">IF(Frota!$A25="","",Frota!$B25)</f>
        <v/>
      </c>
      <c r="C1095" s="0" t="n">
        <v>52</v>
      </c>
      <c r="D1095" s="0" t="n">
        <f aca="false">INDEX(Semanas!$E$3:$E$54,52)</f>
        <v>3</v>
      </c>
      <c r="E1095" s="0" t="str">
        <f aca="false">IF(Frota!$A25="","",Cronograma!BA25)</f>
        <v/>
      </c>
      <c r="F1095" s="0" t="n">
        <f aca="false">IF(OR($E1095="",$E1095=0),0,1)</f>
        <v>0</v>
      </c>
      <c r="G1095" s="0" t="n">
        <f aca="false">IF($F1095=0,0,INDEX(Aux_HH!$D$4:$D$18,MATCH($B1095&amp;"|"&amp;$E1095,Aux_HH!$A$4:$A$18,0)))</f>
        <v>0</v>
      </c>
      <c r="H1095" s="0" t="n">
        <f aca="false">IF($F1095=0,0,INDEX(Aux_HH!$E$4:$E$18,MATCH($B1095&amp;"|"&amp;$E1095,Aux_HH!$A$4:$A$18,0)))</f>
        <v>0</v>
      </c>
      <c r="I1095" s="0" t="n">
        <f aca="false">IF($F1095=0,0,INDEX(Aux_HH!$F$4:$F$18,MATCH($B1095&amp;"|"&amp;$E1095,Aux_HH!$A$4:$A$18,0)))</f>
        <v>0</v>
      </c>
      <c r="J1095" s="0" t="n">
        <f aca="false">IF($F1095=0,0,INDEX(Aux_HH!$G$4:$G$18,MATCH($B1095&amp;"|"&amp;$E1095,Aux_HH!$A$4:$A$18,0)))</f>
        <v>0</v>
      </c>
      <c r="K1095" s="0" t="n">
        <f aca="false">IF($F1095=0,0,INDEX(Aux_HH!$H$4:$H$18,MATCH($B1095&amp;"|"&amp;$E1095,Aux_HH!$A$4:$A$18,0)))</f>
        <v>0</v>
      </c>
      <c r="L1095" s="0" t="n">
        <f aca="false">IF($F1095=0,0,INDEX(Aux_HH!$I$4:$I$18,MATCH($B1095&amp;"|"&amp;$E1095,Aux_HH!$A$4:$A$18,0)))</f>
        <v>0</v>
      </c>
    </row>
    <row r="1096" customFormat="false" ht="15" hidden="false" customHeight="false" outlineLevel="0" collapsed="false">
      <c r="A1096" s="0" t="str">
        <f aca="false">IF(Frota!$A26="","",Frota!$A26)</f>
        <v/>
      </c>
      <c r="B1096" s="0" t="str">
        <f aca="false">IF(Frota!$A26="","",Frota!$B26)</f>
        <v/>
      </c>
      <c r="C1096" s="0" t="n">
        <v>1</v>
      </c>
      <c r="D1096" s="0" t="n">
        <f aca="false">INDEX(Semanas!$E$3:$E$54,1)</f>
        <v>4</v>
      </c>
      <c r="E1096" s="0" t="str">
        <f aca="false">IF(Frota!$A26="","",Cronograma!B26)</f>
        <v/>
      </c>
      <c r="F1096" s="0" t="n">
        <f aca="false">IF(OR($E1096="",$E1096=0),0,1)</f>
        <v>0</v>
      </c>
      <c r="G1096" s="0" t="n">
        <f aca="false">IF($F1096=0,0,INDEX(Aux_HH!$D$4:$D$18,MATCH($B1096&amp;"|"&amp;$E1096,Aux_HH!$A$4:$A$18,0)))</f>
        <v>0</v>
      </c>
      <c r="H1096" s="0" t="n">
        <f aca="false">IF($F1096=0,0,INDEX(Aux_HH!$E$4:$E$18,MATCH($B1096&amp;"|"&amp;$E1096,Aux_HH!$A$4:$A$18,0)))</f>
        <v>0</v>
      </c>
      <c r="I1096" s="0" t="n">
        <f aca="false">IF($F1096=0,0,INDEX(Aux_HH!$F$4:$F$18,MATCH($B1096&amp;"|"&amp;$E1096,Aux_HH!$A$4:$A$18,0)))</f>
        <v>0</v>
      </c>
      <c r="J1096" s="0" t="n">
        <f aca="false">IF($F1096=0,0,INDEX(Aux_HH!$G$4:$G$18,MATCH($B1096&amp;"|"&amp;$E1096,Aux_HH!$A$4:$A$18,0)))</f>
        <v>0</v>
      </c>
      <c r="K1096" s="0" t="n">
        <f aca="false">IF($F1096=0,0,INDEX(Aux_HH!$H$4:$H$18,MATCH($B1096&amp;"|"&amp;$E1096,Aux_HH!$A$4:$A$18,0)))</f>
        <v>0</v>
      </c>
      <c r="L1096" s="0" t="n">
        <f aca="false">IF($F1096=0,0,INDEX(Aux_HH!$I$4:$I$18,MATCH($B1096&amp;"|"&amp;$E1096,Aux_HH!$A$4:$A$18,0)))</f>
        <v>0</v>
      </c>
    </row>
    <row r="1097" customFormat="false" ht="15" hidden="false" customHeight="false" outlineLevel="0" collapsed="false">
      <c r="A1097" s="0" t="str">
        <f aca="false">IF(Frota!$A26="","",Frota!$A26)</f>
        <v/>
      </c>
      <c r="B1097" s="0" t="str">
        <f aca="false">IF(Frota!$A26="","",Frota!$B26)</f>
        <v/>
      </c>
      <c r="C1097" s="0" t="n">
        <v>2</v>
      </c>
      <c r="D1097" s="0" t="n">
        <f aca="false">INDEX(Semanas!$E$3:$E$54,2)</f>
        <v>4</v>
      </c>
      <c r="E1097" s="0" t="str">
        <f aca="false">IF(Frota!$A26="","",Cronograma!C26)</f>
        <v/>
      </c>
      <c r="F1097" s="0" t="n">
        <f aca="false">IF(OR($E1097="",$E1097=0),0,1)</f>
        <v>0</v>
      </c>
      <c r="G1097" s="0" t="n">
        <f aca="false">IF($F1097=0,0,INDEX(Aux_HH!$D$4:$D$18,MATCH($B1097&amp;"|"&amp;$E1097,Aux_HH!$A$4:$A$18,0)))</f>
        <v>0</v>
      </c>
      <c r="H1097" s="0" t="n">
        <f aca="false">IF($F1097=0,0,INDEX(Aux_HH!$E$4:$E$18,MATCH($B1097&amp;"|"&amp;$E1097,Aux_HH!$A$4:$A$18,0)))</f>
        <v>0</v>
      </c>
      <c r="I1097" s="0" t="n">
        <f aca="false">IF($F1097=0,0,INDEX(Aux_HH!$F$4:$F$18,MATCH($B1097&amp;"|"&amp;$E1097,Aux_HH!$A$4:$A$18,0)))</f>
        <v>0</v>
      </c>
      <c r="J1097" s="0" t="n">
        <f aca="false">IF($F1097=0,0,INDEX(Aux_HH!$G$4:$G$18,MATCH($B1097&amp;"|"&amp;$E1097,Aux_HH!$A$4:$A$18,0)))</f>
        <v>0</v>
      </c>
      <c r="K1097" s="0" t="n">
        <f aca="false">IF($F1097=0,0,INDEX(Aux_HH!$H$4:$H$18,MATCH($B1097&amp;"|"&amp;$E1097,Aux_HH!$A$4:$A$18,0)))</f>
        <v>0</v>
      </c>
      <c r="L1097" s="0" t="n">
        <f aca="false">IF($F1097=0,0,INDEX(Aux_HH!$I$4:$I$18,MATCH($B1097&amp;"|"&amp;$E1097,Aux_HH!$A$4:$A$18,0)))</f>
        <v>0</v>
      </c>
    </row>
    <row r="1098" customFormat="false" ht="15" hidden="false" customHeight="false" outlineLevel="0" collapsed="false">
      <c r="A1098" s="0" t="str">
        <f aca="false">IF(Frota!$A26="","",Frota!$A26)</f>
        <v/>
      </c>
      <c r="B1098" s="0" t="str">
        <f aca="false">IF(Frota!$A26="","",Frota!$B26)</f>
        <v/>
      </c>
      <c r="C1098" s="0" t="n">
        <v>3</v>
      </c>
      <c r="D1098" s="0" t="n">
        <f aca="false">INDEX(Semanas!$E$3:$E$54,3)</f>
        <v>4</v>
      </c>
      <c r="E1098" s="0" t="str">
        <f aca="false">IF(Frota!$A26="","",Cronograma!D26)</f>
        <v/>
      </c>
      <c r="F1098" s="0" t="n">
        <f aca="false">IF(OR($E1098="",$E1098=0),0,1)</f>
        <v>0</v>
      </c>
      <c r="G1098" s="0" t="n">
        <f aca="false">IF($F1098=0,0,INDEX(Aux_HH!$D$4:$D$18,MATCH($B1098&amp;"|"&amp;$E1098,Aux_HH!$A$4:$A$18,0)))</f>
        <v>0</v>
      </c>
      <c r="H1098" s="0" t="n">
        <f aca="false">IF($F1098=0,0,INDEX(Aux_HH!$E$4:$E$18,MATCH($B1098&amp;"|"&amp;$E1098,Aux_HH!$A$4:$A$18,0)))</f>
        <v>0</v>
      </c>
      <c r="I1098" s="0" t="n">
        <f aca="false">IF($F1098=0,0,INDEX(Aux_HH!$F$4:$F$18,MATCH($B1098&amp;"|"&amp;$E1098,Aux_HH!$A$4:$A$18,0)))</f>
        <v>0</v>
      </c>
      <c r="J1098" s="0" t="n">
        <f aca="false">IF($F1098=0,0,INDEX(Aux_HH!$G$4:$G$18,MATCH($B1098&amp;"|"&amp;$E1098,Aux_HH!$A$4:$A$18,0)))</f>
        <v>0</v>
      </c>
      <c r="K1098" s="0" t="n">
        <f aca="false">IF($F1098=0,0,INDEX(Aux_HH!$H$4:$H$18,MATCH($B1098&amp;"|"&amp;$E1098,Aux_HH!$A$4:$A$18,0)))</f>
        <v>0</v>
      </c>
      <c r="L1098" s="0" t="n">
        <f aca="false">IF($F1098=0,0,INDEX(Aux_HH!$I$4:$I$18,MATCH($B1098&amp;"|"&amp;$E1098,Aux_HH!$A$4:$A$18,0)))</f>
        <v>0</v>
      </c>
    </row>
    <row r="1099" customFormat="false" ht="15" hidden="false" customHeight="false" outlineLevel="0" collapsed="false">
      <c r="A1099" s="0" t="str">
        <f aca="false">IF(Frota!$A26="","",Frota!$A26)</f>
        <v/>
      </c>
      <c r="B1099" s="0" t="str">
        <f aca="false">IF(Frota!$A26="","",Frota!$B26)</f>
        <v/>
      </c>
      <c r="C1099" s="0" t="n">
        <v>4</v>
      </c>
      <c r="D1099" s="0" t="n">
        <f aca="false">INDEX(Semanas!$E$3:$E$54,4)</f>
        <v>4</v>
      </c>
      <c r="E1099" s="0" t="str">
        <f aca="false">IF(Frota!$A26="","",Cronograma!E26)</f>
        <v/>
      </c>
      <c r="F1099" s="0" t="n">
        <f aca="false">IF(OR($E1099="",$E1099=0),0,1)</f>
        <v>0</v>
      </c>
      <c r="G1099" s="0" t="n">
        <f aca="false">IF($F1099=0,0,INDEX(Aux_HH!$D$4:$D$18,MATCH($B1099&amp;"|"&amp;$E1099,Aux_HH!$A$4:$A$18,0)))</f>
        <v>0</v>
      </c>
      <c r="H1099" s="0" t="n">
        <f aca="false">IF($F1099=0,0,INDEX(Aux_HH!$E$4:$E$18,MATCH($B1099&amp;"|"&amp;$E1099,Aux_HH!$A$4:$A$18,0)))</f>
        <v>0</v>
      </c>
      <c r="I1099" s="0" t="n">
        <f aca="false">IF($F1099=0,0,INDEX(Aux_HH!$F$4:$F$18,MATCH($B1099&amp;"|"&amp;$E1099,Aux_HH!$A$4:$A$18,0)))</f>
        <v>0</v>
      </c>
      <c r="J1099" s="0" t="n">
        <f aca="false">IF($F1099=0,0,INDEX(Aux_HH!$G$4:$G$18,MATCH($B1099&amp;"|"&amp;$E1099,Aux_HH!$A$4:$A$18,0)))</f>
        <v>0</v>
      </c>
      <c r="K1099" s="0" t="n">
        <f aca="false">IF($F1099=0,0,INDEX(Aux_HH!$H$4:$H$18,MATCH($B1099&amp;"|"&amp;$E1099,Aux_HH!$A$4:$A$18,0)))</f>
        <v>0</v>
      </c>
      <c r="L1099" s="0" t="n">
        <f aca="false">IF($F1099=0,0,INDEX(Aux_HH!$I$4:$I$18,MATCH($B1099&amp;"|"&amp;$E1099,Aux_HH!$A$4:$A$18,0)))</f>
        <v>0</v>
      </c>
    </row>
    <row r="1100" customFormat="false" ht="15" hidden="false" customHeight="false" outlineLevel="0" collapsed="false">
      <c r="A1100" s="0" t="str">
        <f aca="false">IF(Frota!$A26="","",Frota!$A26)</f>
        <v/>
      </c>
      <c r="B1100" s="0" t="str">
        <f aca="false">IF(Frota!$A26="","",Frota!$B26)</f>
        <v/>
      </c>
      <c r="C1100" s="0" t="n">
        <v>5</v>
      </c>
      <c r="D1100" s="0" t="n">
        <f aca="false">INDEX(Semanas!$E$3:$E$54,5)</f>
        <v>4</v>
      </c>
      <c r="E1100" s="0" t="str">
        <f aca="false">IF(Frota!$A26="","",Cronograma!F26)</f>
        <v/>
      </c>
      <c r="F1100" s="0" t="n">
        <f aca="false">IF(OR($E1100="",$E1100=0),0,1)</f>
        <v>0</v>
      </c>
      <c r="G1100" s="0" t="n">
        <f aca="false">IF($F1100=0,0,INDEX(Aux_HH!$D$4:$D$18,MATCH($B1100&amp;"|"&amp;$E1100,Aux_HH!$A$4:$A$18,0)))</f>
        <v>0</v>
      </c>
      <c r="H1100" s="0" t="n">
        <f aca="false">IF($F1100=0,0,INDEX(Aux_HH!$E$4:$E$18,MATCH($B1100&amp;"|"&amp;$E1100,Aux_HH!$A$4:$A$18,0)))</f>
        <v>0</v>
      </c>
      <c r="I1100" s="0" t="n">
        <f aca="false">IF($F1100=0,0,INDEX(Aux_HH!$F$4:$F$18,MATCH($B1100&amp;"|"&amp;$E1100,Aux_HH!$A$4:$A$18,0)))</f>
        <v>0</v>
      </c>
      <c r="J1100" s="0" t="n">
        <f aca="false">IF($F1100=0,0,INDEX(Aux_HH!$G$4:$G$18,MATCH($B1100&amp;"|"&amp;$E1100,Aux_HH!$A$4:$A$18,0)))</f>
        <v>0</v>
      </c>
      <c r="K1100" s="0" t="n">
        <f aca="false">IF($F1100=0,0,INDEX(Aux_HH!$H$4:$H$18,MATCH($B1100&amp;"|"&amp;$E1100,Aux_HH!$A$4:$A$18,0)))</f>
        <v>0</v>
      </c>
      <c r="L1100" s="0" t="n">
        <f aca="false">IF($F1100=0,0,INDEX(Aux_HH!$I$4:$I$18,MATCH($B1100&amp;"|"&amp;$E1100,Aux_HH!$A$4:$A$18,0)))</f>
        <v>0</v>
      </c>
    </row>
    <row r="1101" customFormat="false" ht="15" hidden="false" customHeight="false" outlineLevel="0" collapsed="false">
      <c r="A1101" s="0" t="str">
        <f aca="false">IF(Frota!$A26="","",Frota!$A26)</f>
        <v/>
      </c>
      <c r="B1101" s="0" t="str">
        <f aca="false">IF(Frota!$A26="","",Frota!$B26)</f>
        <v/>
      </c>
      <c r="C1101" s="0" t="n">
        <v>6</v>
      </c>
      <c r="D1101" s="0" t="n">
        <f aca="false">INDEX(Semanas!$E$3:$E$54,6)</f>
        <v>5</v>
      </c>
      <c r="E1101" s="0" t="str">
        <f aca="false">IF(Frota!$A26="","",Cronograma!G26)</f>
        <v/>
      </c>
      <c r="F1101" s="0" t="n">
        <f aca="false">IF(OR($E1101="",$E1101=0),0,1)</f>
        <v>0</v>
      </c>
      <c r="G1101" s="0" t="n">
        <f aca="false">IF($F1101=0,0,INDEX(Aux_HH!$D$4:$D$18,MATCH($B1101&amp;"|"&amp;$E1101,Aux_HH!$A$4:$A$18,0)))</f>
        <v>0</v>
      </c>
      <c r="H1101" s="0" t="n">
        <f aca="false">IF($F1101=0,0,INDEX(Aux_HH!$E$4:$E$18,MATCH($B1101&amp;"|"&amp;$E1101,Aux_HH!$A$4:$A$18,0)))</f>
        <v>0</v>
      </c>
      <c r="I1101" s="0" t="n">
        <f aca="false">IF($F1101=0,0,INDEX(Aux_HH!$F$4:$F$18,MATCH($B1101&amp;"|"&amp;$E1101,Aux_HH!$A$4:$A$18,0)))</f>
        <v>0</v>
      </c>
      <c r="J1101" s="0" t="n">
        <f aca="false">IF($F1101=0,0,INDEX(Aux_HH!$G$4:$G$18,MATCH($B1101&amp;"|"&amp;$E1101,Aux_HH!$A$4:$A$18,0)))</f>
        <v>0</v>
      </c>
      <c r="K1101" s="0" t="n">
        <f aca="false">IF($F1101=0,0,INDEX(Aux_HH!$H$4:$H$18,MATCH($B1101&amp;"|"&amp;$E1101,Aux_HH!$A$4:$A$18,0)))</f>
        <v>0</v>
      </c>
      <c r="L1101" s="0" t="n">
        <f aca="false">IF($F1101=0,0,INDEX(Aux_HH!$I$4:$I$18,MATCH($B1101&amp;"|"&amp;$E1101,Aux_HH!$A$4:$A$18,0)))</f>
        <v>0</v>
      </c>
    </row>
    <row r="1102" customFormat="false" ht="15" hidden="false" customHeight="false" outlineLevel="0" collapsed="false">
      <c r="A1102" s="0" t="str">
        <f aca="false">IF(Frota!$A26="","",Frota!$A26)</f>
        <v/>
      </c>
      <c r="B1102" s="0" t="str">
        <f aca="false">IF(Frota!$A26="","",Frota!$B26)</f>
        <v/>
      </c>
      <c r="C1102" s="0" t="n">
        <v>7</v>
      </c>
      <c r="D1102" s="0" t="n">
        <f aca="false">INDEX(Semanas!$E$3:$E$54,7)</f>
        <v>5</v>
      </c>
      <c r="E1102" s="0" t="str">
        <f aca="false">IF(Frota!$A26="","",Cronograma!H26)</f>
        <v/>
      </c>
      <c r="F1102" s="0" t="n">
        <f aca="false">IF(OR($E1102="",$E1102=0),0,1)</f>
        <v>0</v>
      </c>
      <c r="G1102" s="0" t="n">
        <f aca="false">IF($F1102=0,0,INDEX(Aux_HH!$D$4:$D$18,MATCH($B1102&amp;"|"&amp;$E1102,Aux_HH!$A$4:$A$18,0)))</f>
        <v>0</v>
      </c>
      <c r="H1102" s="0" t="n">
        <f aca="false">IF($F1102=0,0,INDEX(Aux_HH!$E$4:$E$18,MATCH($B1102&amp;"|"&amp;$E1102,Aux_HH!$A$4:$A$18,0)))</f>
        <v>0</v>
      </c>
      <c r="I1102" s="0" t="n">
        <f aca="false">IF($F1102=0,0,INDEX(Aux_HH!$F$4:$F$18,MATCH($B1102&amp;"|"&amp;$E1102,Aux_HH!$A$4:$A$18,0)))</f>
        <v>0</v>
      </c>
      <c r="J1102" s="0" t="n">
        <f aca="false">IF($F1102=0,0,INDEX(Aux_HH!$G$4:$G$18,MATCH($B1102&amp;"|"&amp;$E1102,Aux_HH!$A$4:$A$18,0)))</f>
        <v>0</v>
      </c>
      <c r="K1102" s="0" t="n">
        <f aca="false">IF($F1102=0,0,INDEX(Aux_HH!$H$4:$H$18,MATCH($B1102&amp;"|"&amp;$E1102,Aux_HH!$A$4:$A$18,0)))</f>
        <v>0</v>
      </c>
      <c r="L1102" s="0" t="n">
        <f aca="false">IF($F1102=0,0,INDEX(Aux_HH!$I$4:$I$18,MATCH($B1102&amp;"|"&amp;$E1102,Aux_HH!$A$4:$A$18,0)))</f>
        <v>0</v>
      </c>
    </row>
    <row r="1103" customFormat="false" ht="15" hidden="false" customHeight="false" outlineLevel="0" collapsed="false">
      <c r="A1103" s="0" t="str">
        <f aca="false">IF(Frota!$A26="","",Frota!$A26)</f>
        <v/>
      </c>
      <c r="B1103" s="0" t="str">
        <f aca="false">IF(Frota!$A26="","",Frota!$B26)</f>
        <v/>
      </c>
      <c r="C1103" s="0" t="n">
        <v>8</v>
      </c>
      <c r="D1103" s="0" t="n">
        <f aca="false">INDEX(Semanas!$E$3:$E$54,8)</f>
        <v>5</v>
      </c>
      <c r="E1103" s="0" t="str">
        <f aca="false">IF(Frota!$A26="","",Cronograma!I26)</f>
        <v/>
      </c>
      <c r="F1103" s="0" t="n">
        <f aca="false">IF(OR($E1103="",$E1103=0),0,1)</f>
        <v>0</v>
      </c>
      <c r="G1103" s="0" t="n">
        <f aca="false">IF($F1103=0,0,INDEX(Aux_HH!$D$4:$D$18,MATCH($B1103&amp;"|"&amp;$E1103,Aux_HH!$A$4:$A$18,0)))</f>
        <v>0</v>
      </c>
      <c r="H1103" s="0" t="n">
        <f aca="false">IF($F1103=0,0,INDEX(Aux_HH!$E$4:$E$18,MATCH($B1103&amp;"|"&amp;$E1103,Aux_HH!$A$4:$A$18,0)))</f>
        <v>0</v>
      </c>
      <c r="I1103" s="0" t="n">
        <f aca="false">IF($F1103=0,0,INDEX(Aux_HH!$F$4:$F$18,MATCH($B1103&amp;"|"&amp;$E1103,Aux_HH!$A$4:$A$18,0)))</f>
        <v>0</v>
      </c>
      <c r="J1103" s="0" t="n">
        <f aca="false">IF($F1103=0,0,INDEX(Aux_HH!$G$4:$G$18,MATCH($B1103&amp;"|"&amp;$E1103,Aux_HH!$A$4:$A$18,0)))</f>
        <v>0</v>
      </c>
      <c r="K1103" s="0" t="n">
        <f aca="false">IF($F1103=0,0,INDEX(Aux_HH!$H$4:$H$18,MATCH($B1103&amp;"|"&amp;$E1103,Aux_HH!$A$4:$A$18,0)))</f>
        <v>0</v>
      </c>
      <c r="L1103" s="0" t="n">
        <f aca="false">IF($F1103=0,0,INDEX(Aux_HH!$I$4:$I$18,MATCH($B1103&amp;"|"&amp;$E1103,Aux_HH!$A$4:$A$18,0)))</f>
        <v>0</v>
      </c>
    </row>
    <row r="1104" customFormat="false" ht="15" hidden="false" customHeight="false" outlineLevel="0" collapsed="false">
      <c r="A1104" s="0" t="str">
        <f aca="false">IF(Frota!$A26="","",Frota!$A26)</f>
        <v/>
      </c>
      <c r="B1104" s="0" t="str">
        <f aca="false">IF(Frota!$A26="","",Frota!$B26)</f>
        <v/>
      </c>
      <c r="C1104" s="0" t="n">
        <v>9</v>
      </c>
      <c r="D1104" s="0" t="n">
        <f aca="false">INDEX(Semanas!$E$3:$E$54,9)</f>
        <v>5</v>
      </c>
      <c r="E1104" s="0" t="str">
        <f aca="false">IF(Frota!$A26="","",Cronograma!J26)</f>
        <v/>
      </c>
      <c r="F1104" s="0" t="n">
        <f aca="false">IF(OR($E1104="",$E1104=0),0,1)</f>
        <v>0</v>
      </c>
      <c r="G1104" s="0" t="n">
        <f aca="false">IF($F1104=0,0,INDEX(Aux_HH!$D$4:$D$18,MATCH($B1104&amp;"|"&amp;$E1104,Aux_HH!$A$4:$A$18,0)))</f>
        <v>0</v>
      </c>
      <c r="H1104" s="0" t="n">
        <f aca="false">IF($F1104=0,0,INDEX(Aux_HH!$E$4:$E$18,MATCH($B1104&amp;"|"&amp;$E1104,Aux_HH!$A$4:$A$18,0)))</f>
        <v>0</v>
      </c>
      <c r="I1104" s="0" t="n">
        <f aca="false">IF($F1104=0,0,INDEX(Aux_HH!$F$4:$F$18,MATCH($B1104&amp;"|"&amp;$E1104,Aux_HH!$A$4:$A$18,0)))</f>
        <v>0</v>
      </c>
      <c r="J1104" s="0" t="n">
        <f aca="false">IF($F1104=0,0,INDEX(Aux_HH!$G$4:$G$18,MATCH($B1104&amp;"|"&amp;$E1104,Aux_HH!$A$4:$A$18,0)))</f>
        <v>0</v>
      </c>
      <c r="K1104" s="0" t="n">
        <f aca="false">IF($F1104=0,0,INDEX(Aux_HH!$H$4:$H$18,MATCH($B1104&amp;"|"&amp;$E1104,Aux_HH!$A$4:$A$18,0)))</f>
        <v>0</v>
      </c>
      <c r="L1104" s="0" t="n">
        <f aca="false">IF($F1104=0,0,INDEX(Aux_HH!$I$4:$I$18,MATCH($B1104&amp;"|"&amp;$E1104,Aux_HH!$A$4:$A$18,0)))</f>
        <v>0</v>
      </c>
    </row>
    <row r="1105" customFormat="false" ht="15" hidden="false" customHeight="false" outlineLevel="0" collapsed="false">
      <c r="A1105" s="0" t="str">
        <f aca="false">IF(Frota!$A26="","",Frota!$A26)</f>
        <v/>
      </c>
      <c r="B1105" s="0" t="str">
        <f aca="false">IF(Frota!$A26="","",Frota!$B26)</f>
        <v/>
      </c>
      <c r="C1105" s="0" t="n">
        <v>10</v>
      </c>
      <c r="D1105" s="0" t="n">
        <f aca="false">INDEX(Semanas!$E$3:$E$54,10)</f>
        <v>6</v>
      </c>
      <c r="E1105" s="0" t="str">
        <f aca="false">IF(Frota!$A26="","",Cronograma!K26)</f>
        <v/>
      </c>
      <c r="F1105" s="0" t="n">
        <f aca="false">IF(OR($E1105="",$E1105=0),0,1)</f>
        <v>0</v>
      </c>
      <c r="G1105" s="0" t="n">
        <f aca="false">IF($F1105=0,0,INDEX(Aux_HH!$D$4:$D$18,MATCH($B1105&amp;"|"&amp;$E1105,Aux_HH!$A$4:$A$18,0)))</f>
        <v>0</v>
      </c>
      <c r="H1105" s="0" t="n">
        <f aca="false">IF($F1105=0,0,INDEX(Aux_HH!$E$4:$E$18,MATCH($B1105&amp;"|"&amp;$E1105,Aux_HH!$A$4:$A$18,0)))</f>
        <v>0</v>
      </c>
      <c r="I1105" s="0" t="n">
        <f aca="false">IF($F1105=0,0,INDEX(Aux_HH!$F$4:$F$18,MATCH($B1105&amp;"|"&amp;$E1105,Aux_HH!$A$4:$A$18,0)))</f>
        <v>0</v>
      </c>
      <c r="J1105" s="0" t="n">
        <f aca="false">IF($F1105=0,0,INDEX(Aux_HH!$G$4:$G$18,MATCH($B1105&amp;"|"&amp;$E1105,Aux_HH!$A$4:$A$18,0)))</f>
        <v>0</v>
      </c>
      <c r="K1105" s="0" t="n">
        <f aca="false">IF($F1105=0,0,INDEX(Aux_HH!$H$4:$H$18,MATCH($B1105&amp;"|"&amp;$E1105,Aux_HH!$A$4:$A$18,0)))</f>
        <v>0</v>
      </c>
      <c r="L1105" s="0" t="n">
        <f aca="false">IF($F1105=0,0,INDEX(Aux_HH!$I$4:$I$18,MATCH($B1105&amp;"|"&amp;$E1105,Aux_HH!$A$4:$A$18,0)))</f>
        <v>0</v>
      </c>
    </row>
    <row r="1106" customFormat="false" ht="15" hidden="false" customHeight="false" outlineLevel="0" collapsed="false">
      <c r="A1106" s="0" t="str">
        <f aca="false">IF(Frota!$A26="","",Frota!$A26)</f>
        <v/>
      </c>
      <c r="B1106" s="0" t="str">
        <f aca="false">IF(Frota!$A26="","",Frota!$B26)</f>
        <v/>
      </c>
      <c r="C1106" s="0" t="n">
        <v>11</v>
      </c>
      <c r="D1106" s="0" t="n">
        <f aca="false">INDEX(Semanas!$E$3:$E$54,11)</f>
        <v>6</v>
      </c>
      <c r="E1106" s="0" t="str">
        <f aca="false">IF(Frota!$A26="","",Cronograma!L26)</f>
        <v/>
      </c>
      <c r="F1106" s="0" t="n">
        <f aca="false">IF(OR($E1106="",$E1106=0),0,1)</f>
        <v>0</v>
      </c>
      <c r="G1106" s="0" t="n">
        <f aca="false">IF($F1106=0,0,INDEX(Aux_HH!$D$4:$D$18,MATCH($B1106&amp;"|"&amp;$E1106,Aux_HH!$A$4:$A$18,0)))</f>
        <v>0</v>
      </c>
      <c r="H1106" s="0" t="n">
        <f aca="false">IF($F1106=0,0,INDEX(Aux_HH!$E$4:$E$18,MATCH($B1106&amp;"|"&amp;$E1106,Aux_HH!$A$4:$A$18,0)))</f>
        <v>0</v>
      </c>
      <c r="I1106" s="0" t="n">
        <f aca="false">IF($F1106=0,0,INDEX(Aux_HH!$F$4:$F$18,MATCH($B1106&amp;"|"&amp;$E1106,Aux_HH!$A$4:$A$18,0)))</f>
        <v>0</v>
      </c>
      <c r="J1106" s="0" t="n">
        <f aca="false">IF($F1106=0,0,INDEX(Aux_HH!$G$4:$G$18,MATCH($B1106&amp;"|"&amp;$E1106,Aux_HH!$A$4:$A$18,0)))</f>
        <v>0</v>
      </c>
      <c r="K1106" s="0" t="n">
        <f aca="false">IF($F1106=0,0,INDEX(Aux_HH!$H$4:$H$18,MATCH($B1106&amp;"|"&amp;$E1106,Aux_HH!$A$4:$A$18,0)))</f>
        <v>0</v>
      </c>
      <c r="L1106" s="0" t="n">
        <f aca="false">IF($F1106=0,0,INDEX(Aux_HH!$I$4:$I$18,MATCH($B1106&amp;"|"&amp;$E1106,Aux_HH!$A$4:$A$18,0)))</f>
        <v>0</v>
      </c>
    </row>
    <row r="1107" customFormat="false" ht="15" hidden="false" customHeight="false" outlineLevel="0" collapsed="false">
      <c r="A1107" s="0" t="str">
        <f aca="false">IF(Frota!$A26="","",Frota!$A26)</f>
        <v/>
      </c>
      <c r="B1107" s="0" t="str">
        <f aca="false">IF(Frota!$A26="","",Frota!$B26)</f>
        <v/>
      </c>
      <c r="C1107" s="0" t="n">
        <v>12</v>
      </c>
      <c r="D1107" s="0" t="n">
        <f aca="false">INDEX(Semanas!$E$3:$E$54,12)</f>
        <v>6</v>
      </c>
      <c r="E1107" s="0" t="str">
        <f aca="false">IF(Frota!$A26="","",Cronograma!M26)</f>
        <v/>
      </c>
      <c r="F1107" s="0" t="n">
        <f aca="false">IF(OR($E1107="",$E1107=0),0,1)</f>
        <v>0</v>
      </c>
      <c r="G1107" s="0" t="n">
        <f aca="false">IF($F1107=0,0,INDEX(Aux_HH!$D$4:$D$18,MATCH($B1107&amp;"|"&amp;$E1107,Aux_HH!$A$4:$A$18,0)))</f>
        <v>0</v>
      </c>
      <c r="H1107" s="0" t="n">
        <f aca="false">IF($F1107=0,0,INDEX(Aux_HH!$E$4:$E$18,MATCH($B1107&amp;"|"&amp;$E1107,Aux_HH!$A$4:$A$18,0)))</f>
        <v>0</v>
      </c>
      <c r="I1107" s="0" t="n">
        <f aca="false">IF($F1107=0,0,INDEX(Aux_HH!$F$4:$F$18,MATCH($B1107&amp;"|"&amp;$E1107,Aux_HH!$A$4:$A$18,0)))</f>
        <v>0</v>
      </c>
      <c r="J1107" s="0" t="n">
        <f aca="false">IF($F1107=0,0,INDEX(Aux_HH!$G$4:$G$18,MATCH($B1107&amp;"|"&amp;$E1107,Aux_HH!$A$4:$A$18,0)))</f>
        <v>0</v>
      </c>
      <c r="K1107" s="0" t="n">
        <f aca="false">IF($F1107=0,0,INDEX(Aux_HH!$H$4:$H$18,MATCH($B1107&amp;"|"&amp;$E1107,Aux_HH!$A$4:$A$18,0)))</f>
        <v>0</v>
      </c>
      <c r="L1107" s="0" t="n">
        <f aca="false">IF($F1107=0,0,INDEX(Aux_HH!$I$4:$I$18,MATCH($B1107&amp;"|"&amp;$E1107,Aux_HH!$A$4:$A$18,0)))</f>
        <v>0</v>
      </c>
    </row>
    <row r="1108" customFormat="false" ht="15" hidden="false" customHeight="false" outlineLevel="0" collapsed="false">
      <c r="A1108" s="0" t="str">
        <f aca="false">IF(Frota!$A26="","",Frota!$A26)</f>
        <v/>
      </c>
      <c r="B1108" s="0" t="str">
        <f aca="false">IF(Frota!$A26="","",Frota!$B26)</f>
        <v/>
      </c>
      <c r="C1108" s="0" t="n">
        <v>13</v>
      </c>
      <c r="D1108" s="0" t="n">
        <f aca="false">INDEX(Semanas!$E$3:$E$54,13)</f>
        <v>6</v>
      </c>
      <c r="E1108" s="0" t="str">
        <f aca="false">IF(Frota!$A26="","",Cronograma!N26)</f>
        <v/>
      </c>
      <c r="F1108" s="0" t="n">
        <f aca="false">IF(OR($E1108="",$E1108=0),0,1)</f>
        <v>0</v>
      </c>
      <c r="G1108" s="0" t="n">
        <f aca="false">IF($F1108=0,0,INDEX(Aux_HH!$D$4:$D$18,MATCH($B1108&amp;"|"&amp;$E1108,Aux_HH!$A$4:$A$18,0)))</f>
        <v>0</v>
      </c>
      <c r="H1108" s="0" t="n">
        <f aca="false">IF($F1108=0,0,INDEX(Aux_HH!$E$4:$E$18,MATCH($B1108&amp;"|"&amp;$E1108,Aux_HH!$A$4:$A$18,0)))</f>
        <v>0</v>
      </c>
      <c r="I1108" s="0" t="n">
        <f aca="false">IF($F1108=0,0,INDEX(Aux_HH!$F$4:$F$18,MATCH($B1108&amp;"|"&amp;$E1108,Aux_HH!$A$4:$A$18,0)))</f>
        <v>0</v>
      </c>
      <c r="J1108" s="0" t="n">
        <f aca="false">IF($F1108=0,0,INDEX(Aux_HH!$G$4:$G$18,MATCH($B1108&amp;"|"&amp;$E1108,Aux_HH!$A$4:$A$18,0)))</f>
        <v>0</v>
      </c>
      <c r="K1108" s="0" t="n">
        <f aca="false">IF($F1108=0,0,INDEX(Aux_HH!$H$4:$H$18,MATCH($B1108&amp;"|"&amp;$E1108,Aux_HH!$A$4:$A$18,0)))</f>
        <v>0</v>
      </c>
      <c r="L1108" s="0" t="n">
        <f aca="false">IF($F1108=0,0,INDEX(Aux_HH!$I$4:$I$18,MATCH($B1108&amp;"|"&amp;$E1108,Aux_HH!$A$4:$A$18,0)))</f>
        <v>0</v>
      </c>
    </row>
    <row r="1109" customFormat="false" ht="15" hidden="false" customHeight="false" outlineLevel="0" collapsed="false">
      <c r="A1109" s="0" t="str">
        <f aca="false">IF(Frota!$A26="","",Frota!$A26)</f>
        <v/>
      </c>
      <c r="B1109" s="0" t="str">
        <f aca="false">IF(Frota!$A26="","",Frota!$B26)</f>
        <v/>
      </c>
      <c r="C1109" s="0" t="n">
        <v>14</v>
      </c>
      <c r="D1109" s="0" t="n">
        <f aca="false">INDEX(Semanas!$E$3:$E$54,14)</f>
        <v>7</v>
      </c>
      <c r="E1109" s="0" t="str">
        <f aca="false">IF(Frota!$A26="","",Cronograma!O26)</f>
        <v/>
      </c>
      <c r="F1109" s="0" t="n">
        <f aca="false">IF(OR($E1109="",$E1109=0),0,1)</f>
        <v>0</v>
      </c>
      <c r="G1109" s="0" t="n">
        <f aca="false">IF($F1109=0,0,INDEX(Aux_HH!$D$4:$D$18,MATCH($B1109&amp;"|"&amp;$E1109,Aux_HH!$A$4:$A$18,0)))</f>
        <v>0</v>
      </c>
      <c r="H1109" s="0" t="n">
        <f aca="false">IF($F1109=0,0,INDEX(Aux_HH!$E$4:$E$18,MATCH($B1109&amp;"|"&amp;$E1109,Aux_HH!$A$4:$A$18,0)))</f>
        <v>0</v>
      </c>
      <c r="I1109" s="0" t="n">
        <f aca="false">IF($F1109=0,0,INDEX(Aux_HH!$F$4:$F$18,MATCH($B1109&amp;"|"&amp;$E1109,Aux_HH!$A$4:$A$18,0)))</f>
        <v>0</v>
      </c>
      <c r="J1109" s="0" t="n">
        <f aca="false">IF($F1109=0,0,INDEX(Aux_HH!$G$4:$G$18,MATCH($B1109&amp;"|"&amp;$E1109,Aux_HH!$A$4:$A$18,0)))</f>
        <v>0</v>
      </c>
      <c r="K1109" s="0" t="n">
        <f aca="false">IF($F1109=0,0,INDEX(Aux_HH!$H$4:$H$18,MATCH($B1109&amp;"|"&amp;$E1109,Aux_HH!$A$4:$A$18,0)))</f>
        <v>0</v>
      </c>
      <c r="L1109" s="0" t="n">
        <f aca="false">IF($F1109=0,0,INDEX(Aux_HH!$I$4:$I$18,MATCH($B1109&amp;"|"&amp;$E1109,Aux_HH!$A$4:$A$18,0)))</f>
        <v>0</v>
      </c>
    </row>
    <row r="1110" customFormat="false" ht="15" hidden="false" customHeight="false" outlineLevel="0" collapsed="false">
      <c r="A1110" s="0" t="str">
        <f aca="false">IF(Frota!$A26="","",Frota!$A26)</f>
        <v/>
      </c>
      <c r="B1110" s="0" t="str">
        <f aca="false">IF(Frota!$A26="","",Frota!$B26)</f>
        <v/>
      </c>
      <c r="C1110" s="0" t="n">
        <v>15</v>
      </c>
      <c r="D1110" s="0" t="n">
        <f aca="false">INDEX(Semanas!$E$3:$E$54,15)</f>
        <v>7</v>
      </c>
      <c r="E1110" s="0" t="str">
        <f aca="false">IF(Frota!$A26="","",Cronograma!P26)</f>
        <v/>
      </c>
      <c r="F1110" s="0" t="n">
        <f aca="false">IF(OR($E1110="",$E1110=0),0,1)</f>
        <v>0</v>
      </c>
      <c r="G1110" s="0" t="n">
        <f aca="false">IF($F1110=0,0,INDEX(Aux_HH!$D$4:$D$18,MATCH($B1110&amp;"|"&amp;$E1110,Aux_HH!$A$4:$A$18,0)))</f>
        <v>0</v>
      </c>
      <c r="H1110" s="0" t="n">
        <f aca="false">IF($F1110=0,0,INDEX(Aux_HH!$E$4:$E$18,MATCH($B1110&amp;"|"&amp;$E1110,Aux_HH!$A$4:$A$18,0)))</f>
        <v>0</v>
      </c>
      <c r="I1110" s="0" t="n">
        <f aca="false">IF($F1110=0,0,INDEX(Aux_HH!$F$4:$F$18,MATCH($B1110&amp;"|"&amp;$E1110,Aux_HH!$A$4:$A$18,0)))</f>
        <v>0</v>
      </c>
      <c r="J1110" s="0" t="n">
        <f aca="false">IF($F1110=0,0,INDEX(Aux_HH!$G$4:$G$18,MATCH($B1110&amp;"|"&amp;$E1110,Aux_HH!$A$4:$A$18,0)))</f>
        <v>0</v>
      </c>
      <c r="K1110" s="0" t="n">
        <f aca="false">IF($F1110=0,0,INDEX(Aux_HH!$H$4:$H$18,MATCH($B1110&amp;"|"&amp;$E1110,Aux_HH!$A$4:$A$18,0)))</f>
        <v>0</v>
      </c>
      <c r="L1110" s="0" t="n">
        <f aca="false">IF($F1110=0,0,INDEX(Aux_HH!$I$4:$I$18,MATCH($B1110&amp;"|"&amp;$E1110,Aux_HH!$A$4:$A$18,0)))</f>
        <v>0</v>
      </c>
    </row>
    <row r="1111" customFormat="false" ht="15" hidden="false" customHeight="false" outlineLevel="0" collapsed="false">
      <c r="A1111" s="0" t="str">
        <f aca="false">IF(Frota!$A26="","",Frota!$A26)</f>
        <v/>
      </c>
      <c r="B1111" s="0" t="str">
        <f aca="false">IF(Frota!$A26="","",Frota!$B26)</f>
        <v/>
      </c>
      <c r="C1111" s="0" t="n">
        <v>16</v>
      </c>
      <c r="D1111" s="0" t="n">
        <f aca="false">INDEX(Semanas!$E$3:$E$54,16)</f>
        <v>7</v>
      </c>
      <c r="E1111" s="0" t="str">
        <f aca="false">IF(Frota!$A26="","",Cronograma!Q26)</f>
        <v/>
      </c>
      <c r="F1111" s="0" t="n">
        <f aca="false">IF(OR($E1111="",$E1111=0),0,1)</f>
        <v>0</v>
      </c>
      <c r="G1111" s="0" t="n">
        <f aca="false">IF($F1111=0,0,INDEX(Aux_HH!$D$4:$D$18,MATCH($B1111&amp;"|"&amp;$E1111,Aux_HH!$A$4:$A$18,0)))</f>
        <v>0</v>
      </c>
      <c r="H1111" s="0" t="n">
        <f aca="false">IF($F1111=0,0,INDEX(Aux_HH!$E$4:$E$18,MATCH($B1111&amp;"|"&amp;$E1111,Aux_HH!$A$4:$A$18,0)))</f>
        <v>0</v>
      </c>
      <c r="I1111" s="0" t="n">
        <f aca="false">IF($F1111=0,0,INDEX(Aux_HH!$F$4:$F$18,MATCH($B1111&amp;"|"&amp;$E1111,Aux_HH!$A$4:$A$18,0)))</f>
        <v>0</v>
      </c>
      <c r="J1111" s="0" t="n">
        <f aca="false">IF($F1111=0,0,INDEX(Aux_HH!$G$4:$G$18,MATCH($B1111&amp;"|"&amp;$E1111,Aux_HH!$A$4:$A$18,0)))</f>
        <v>0</v>
      </c>
      <c r="K1111" s="0" t="n">
        <f aca="false">IF($F1111=0,0,INDEX(Aux_HH!$H$4:$H$18,MATCH($B1111&amp;"|"&amp;$E1111,Aux_HH!$A$4:$A$18,0)))</f>
        <v>0</v>
      </c>
      <c r="L1111" s="0" t="n">
        <f aca="false">IF($F1111=0,0,INDEX(Aux_HH!$I$4:$I$18,MATCH($B1111&amp;"|"&amp;$E1111,Aux_HH!$A$4:$A$18,0)))</f>
        <v>0</v>
      </c>
    </row>
    <row r="1112" customFormat="false" ht="15" hidden="false" customHeight="false" outlineLevel="0" collapsed="false">
      <c r="A1112" s="0" t="str">
        <f aca="false">IF(Frota!$A26="","",Frota!$A26)</f>
        <v/>
      </c>
      <c r="B1112" s="0" t="str">
        <f aca="false">IF(Frota!$A26="","",Frota!$B26)</f>
        <v/>
      </c>
      <c r="C1112" s="0" t="n">
        <v>17</v>
      </c>
      <c r="D1112" s="0" t="n">
        <f aca="false">INDEX(Semanas!$E$3:$E$54,17)</f>
        <v>7</v>
      </c>
      <c r="E1112" s="0" t="str">
        <f aca="false">IF(Frota!$A26="","",Cronograma!R26)</f>
        <v/>
      </c>
      <c r="F1112" s="0" t="n">
        <f aca="false">IF(OR($E1112="",$E1112=0),0,1)</f>
        <v>0</v>
      </c>
      <c r="G1112" s="0" t="n">
        <f aca="false">IF($F1112=0,0,INDEX(Aux_HH!$D$4:$D$18,MATCH($B1112&amp;"|"&amp;$E1112,Aux_HH!$A$4:$A$18,0)))</f>
        <v>0</v>
      </c>
      <c r="H1112" s="0" t="n">
        <f aca="false">IF($F1112=0,0,INDEX(Aux_HH!$E$4:$E$18,MATCH($B1112&amp;"|"&amp;$E1112,Aux_HH!$A$4:$A$18,0)))</f>
        <v>0</v>
      </c>
      <c r="I1112" s="0" t="n">
        <f aca="false">IF($F1112=0,0,INDEX(Aux_HH!$F$4:$F$18,MATCH($B1112&amp;"|"&amp;$E1112,Aux_HH!$A$4:$A$18,0)))</f>
        <v>0</v>
      </c>
      <c r="J1112" s="0" t="n">
        <f aca="false">IF($F1112=0,0,INDEX(Aux_HH!$G$4:$G$18,MATCH($B1112&amp;"|"&amp;$E1112,Aux_HH!$A$4:$A$18,0)))</f>
        <v>0</v>
      </c>
      <c r="K1112" s="0" t="n">
        <f aca="false">IF($F1112=0,0,INDEX(Aux_HH!$H$4:$H$18,MATCH($B1112&amp;"|"&amp;$E1112,Aux_HH!$A$4:$A$18,0)))</f>
        <v>0</v>
      </c>
      <c r="L1112" s="0" t="n">
        <f aca="false">IF($F1112=0,0,INDEX(Aux_HH!$I$4:$I$18,MATCH($B1112&amp;"|"&amp;$E1112,Aux_HH!$A$4:$A$18,0)))</f>
        <v>0</v>
      </c>
    </row>
    <row r="1113" customFormat="false" ht="15" hidden="false" customHeight="false" outlineLevel="0" collapsed="false">
      <c r="A1113" s="0" t="str">
        <f aca="false">IF(Frota!$A26="","",Frota!$A26)</f>
        <v/>
      </c>
      <c r="B1113" s="0" t="str">
        <f aca="false">IF(Frota!$A26="","",Frota!$B26)</f>
        <v/>
      </c>
      <c r="C1113" s="0" t="n">
        <v>18</v>
      </c>
      <c r="D1113" s="0" t="n">
        <f aca="false">INDEX(Semanas!$E$3:$E$54,18)</f>
        <v>7</v>
      </c>
      <c r="E1113" s="0" t="str">
        <f aca="false">IF(Frota!$A26="","",Cronograma!S26)</f>
        <v/>
      </c>
      <c r="F1113" s="0" t="n">
        <f aca="false">IF(OR($E1113="",$E1113=0),0,1)</f>
        <v>0</v>
      </c>
      <c r="G1113" s="0" t="n">
        <f aca="false">IF($F1113=0,0,INDEX(Aux_HH!$D$4:$D$18,MATCH($B1113&amp;"|"&amp;$E1113,Aux_HH!$A$4:$A$18,0)))</f>
        <v>0</v>
      </c>
      <c r="H1113" s="0" t="n">
        <f aca="false">IF($F1113=0,0,INDEX(Aux_HH!$E$4:$E$18,MATCH($B1113&amp;"|"&amp;$E1113,Aux_HH!$A$4:$A$18,0)))</f>
        <v>0</v>
      </c>
      <c r="I1113" s="0" t="n">
        <f aca="false">IF($F1113=0,0,INDEX(Aux_HH!$F$4:$F$18,MATCH($B1113&amp;"|"&amp;$E1113,Aux_HH!$A$4:$A$18,0)))</f>
        <v>0</v>
      </c>
      <c r="J1113" s="0" t="n">
        <f aca="false">IF($F1113=0,0,INDEX(Aux_HH!$G$4:$G$18,MATCH($B1113&amp;"|"&amp;$E1113,Aux_HH!$A$4:$A$18,0)))</f>
        <v>0</v>
      </c>
      <c r="K1113" s="0" t="n">
        <f aca="false">IF($F1113=0,0,INDEX(Aux_HH!$H$4:$H$18,MATCH($B1113&amp;"|"&amp;$E1113,Aux_HH!$A$4:$A$18,0)))</f>
        <v>0</v>
      </c>
      <c r="L1113" s="0" t="n">
        <f aca="false">IF($F1113=0,0,INDEX(Aux_HH!$I$4:$I$18,MATCH($B1113&amp;"|"&amp;$E1113,Aux_HH!$A$4:$A$18,0)))</f>
        <v>0</v>
      </c>
    </row>
    <row r="1114" customFormat="false" ht="15" hidden="false" customHeight="false" outlineLevel="0" collapsed="false">
      <c r="A1114" s="0" t="str">
        <f aca="false">IF(Frota!$A26="","",Frota!$A26)</f>
        <v/>
      </c>
      <c r="B1114" s="0" t="str">
        <f aca="false">IF(Frota!$A26="","",Frota!$B26)</f>
        <v/>
      </c>
      <c r="C1114" s="0" t="n">
        <v>19</v>
      </c>
      <c r="D1114" s="0" t="n">
        <f aca="false">INDEX(Semanas!$E$3:$E$54,19)</f>
        <v>8</v>
      </c>
      <c r="E1114" s="0" t="str">
        <f aca="false">IF(Frota!$A26="","",Cronograma!T26)</f>
        <v/>
      </c>
      <c r="F1114" s="0" t="n">
        <f aca="false">IF(OR($E1114="",$E1114=0),0,1)</f>
        <v>0</v>
      </c>
      <c r="G1114" s="0" t="n">
        <f aca="false">IF($F1114=0,0,INDEX(Aux_HH!$D$4:$D$18,MATCH($B1114&amp;"|"&amp;$E1114,Aux_HH!$A$4:$A$18,0)))</f>
        <v>0</v>
      </c>
      <c r="H1114" s="0" t="n">
        <f aca="false">IF($F1114=0,0,INDEX(Aux_HH!$E$4:$E$18,MATCH($B1114&amp;"|"&amp;$E1114,Aux_HH!$A$4:$A$18,0)))</f>
        <v>0</v>
      </c>
      <c r="I1114" s="0" t="n">
        <f aca="false">IF($F1114=0,0,INDEX(Aux_HH!$F$4:$F$18,MATCH($B1114&amp;"|"&amp;$E1114,Aux_HH!$A$4:$A$18,0)))</f>
        <v>0</v>
      </c>
      <c r="J1114" s="0" t="n">
        <f aca="false">IF($F1114=0,0,INDEX(Aux_HH!$G$4:$G$18,MATCH($B1114&amp;"|"&amp;$E1114,Aux_HH!$A$4:$A$18,0)))</f>
        <v>0</v>
      </c>
      <c r="K1114" s="0" t="n">
        <f aca="false">IF($F1114=0,0,INDEX(Aux_HH!$H$4:$H$18,MATCH($B1114&amp;"|"&amp;$E1114,Aux_HH!$A$4:$A$18,0)))</f>
        <v>0</v>
      </c>
      <c r="L1114" s="0" t="n">
        <f aca="false">IF($F1114=0,0,INDEX(Aux_HH!$I$4:$I$18,MATCH($B1114&amp;"|"&amp;$E1114,Aux_HH!$A$4:$A$18,0)))</f>
        <v>0</v>
      </c>
    </row>
    <row r="1115" customFormat="false" ht="15" hidden="false" customHeight="false" outlineLevel="0" collapsed="false">
      <c r="A1115" s="0" t="str">
        <f aca="false">IF(Frota!$A26="","",Frota!$A26)</f>
        <v/>
      </c>
      <c r="B1115" s="0" t="str">
        <f aca="false">IF(Frota!$A26="","",Frota!$B26)</f>
        <v/>
      </c>
      <c r="C1115" s="0" t="n">
        <v>20</v>
      </c>
      <c r="D1115" s="0" t="n">
        <f aca="false">INDEX(Semanas!$E$3:$E$54,20)</f>
        <v>8</v>
      </c>
      <c r="E1115" s="0" t="str">
        <f aca="false">IF(Frota!$A26="","",Cronograma!U26)</f>
        <v/>
      </c>
      <c r="F1115" s="0" t="n">
        <f aca="false">IF(OR($E1115="",$E1115=0),0,1)</f>
        <v>0</v>
      </c>
      <c r="G1115" s="0" t="n">
        <f aca="false">IF($F1115=0,0,INDEX(Aux_HH!$D$4:$D$18,MATCH($B1115&amp;"|"&amp;$E1115,Aux_HH!$A$4:$A$18,0)))</f>
        <v>0</v>
      </c>
      <c r="H1115" s="0" t="n">
        <f aca="false">IF($F1115=0,0,INDEX(Aux_HH!$E$4:$E$18,MATCH($B1115&amp;"|"&amp;$E1115,Aux_HH!$A$4:$A$18,0)))</f>
        <v>0</v>
      </c>
      <c r="I1115" s="0" t="n">
        <f aca="false">IF($F1115=0,0,INDEX(Aux_HH!$F$4:$F$18,MATCH($B1115&amp;"|"&amp;$E1115,Aux_HH!$A$4:$A$18,0)))</f>
        <v>0</v>
      </c>
      <c r="J1115" s="0" t="n">
        <f aca="false">IF($F1115=0,0,INDEX(Aux_HH!$G$4:$G$18,MATCH($B1115&amp;"|"&amp;$E1115,Aux_HH!$A$4:$A$18,0)))</f>
        <v>0</v>
      </c>
      <c r="K1115" s="0" t="n">
        <f aca="false">IF($F1115=0,0,INDEX(Aux_HH!$H$4:$H$18,MATCH($B1115&amp;"|"&amp;$E1115,Aux_HH!$A$4:$A$18,0)))</f>
        <v>0</v>
      </c>
      <c r="L1115" s="0" t="n">
        <f aca="false">IF($F1115=0,0,INDEX(Aux_HH!$I$4:$I$18,MATCH($B1115&amp;"|"&amp;$E1115,Aux_HH!$A$4:$A$18,0)))</f>
        <v>0</v>
      </c>
    </row>
    <row r="1116" customFormat="false" ht="15" hidden="false" customHeight="false" outlineLevel="0" collapsed="false">
      <c r="A1116" s="0" t="str">
        <f aca="false">IF(Frota!$A26="","",Frota!$A26)</f>
        <v/>
      </c>
      <c r="B1116" s="0" t="str">
        <f aca="false">IF(Frota!$A26="","",Frota!$B26)</f>
        <v/>
      </c>
      <c r="C1116" s="0" t="n">
        <v>21</v>
      </c>
      <c r="D1116" s="0" t="n">
        <f aca="false">INDEX(Semanas!$E$3:$E$54,21)</f>
        <v>8</v>
      </c>
      <c r="E1116" s="0" t="str">
        <f aca="false">IF(Frota!$A26="","",Cronograma!V26)</f>
        <v/>
      </c>
      <c r="F1116" s="0" t="n">
        <f aca="false">IF(OR($E1116="",$E1116=0),0,1)</f>
        <v>0</v>
      </c>
      <c r="G1116" s="0" t="n">
        <f aca="false">IF($F1116=0,0,INDEX(Aux_HH!$D$4:$D$18,MATCH($B1116&amp;"|"&amp;$E1116,Aux_HH!$A$4:$A$18,0)))</f>
        <v>0</v>
      </c>
      <c r="H1116" s="0" t="n">
        <f aca="false">IF($F1116=0,0,INDEX(Aux_HH!$E$4:$E$18,MATCH($B1116&amp;"|"&amp;$E1116,Aux_HH!$A$4:$A$18,0)))</f>
        <v>0</v>
      </c>
      <c r="I1116" s="0" t="n">
        <f aca="false">IF($F1116=0,0,INDEX(Aux_HH!$F$4:$F$18,MATCH($B1116&amp;"|"&amp;$E1116,Aux_HH!$A$4:$A$18,0)))</f>
        <v>0</v>
      </c>
      <c r="J1116" s="0" t="n">
        <f aca="false">IF($F1116=0,0,INDEX(Aux_HH!$G$4:$G$18,MATCH($B1116&amp;"|"&amp;$E1116,Aux_HH!$A$4:$A$18,0)))</f>
        <v>0</v>
      </c>
      <c r="K1116" s="0" t="n">
        <f aca="false">IF($F1116=0,0,INDEX(Aux_HH!$H$4:$H$18,MATCH($B1116&amp;"|"&amp;$E1116,Aux_HH!$A$4:$A$18,0)))</f>
        <v>0</v>
      </c>
      <c r="L1116" s="0" t="n">
        <f aca="false">IF($F1116=0,0,INDEX(Aux_HH!$I$4:$I$18,MATCH($B1116&amp;"|"&amp;$E1116,Aux_HH!$A$4:$A$18,0)))</f>
        <v>0</v>
      </c>
    </row>
    <row r="1117" customFormat="false" ht="15" hidden="false" customHeight="false" outlineLevel="0" collapsed="false">
      <c r="A1117" s="0" t="str">
        <f aca="false">IF(Frota!$A26="","",Frota!$A26)</f>
        <v/>
      </c>
      <c r="B1117" s="0" t="str">
        <f aca="false">IF(Frota!$A26="","",Frota!$B26)</f>
        <v/>
      </c>
      <c r="C1117" s="0" t="n">
        <v>22</v>
      </c>
      <c r="D1117" s="0" t="n">
        <f aca="false">INDEX(Semanas!$E$3:$E$54,22)</f>
        <v>8</v>
      </c>
      <c r="E1117" s="0" t="str">
        <f aca="false">IF(Frota!$A26="","",Cronograma!W26)</f>
        <v/>
      </c>
      <c r="F1117" s="0" t="n">
        <f aca="false">IF(OR($E1117="",$E1117=0),0,1)</f>
        <v>0</v>
      </c>
      <c r="G1117" s="0" t="n">
        <f aca="false">IF($F1117=0,0,INDEX(Aux_HH!$D$4:$D$18,MATCH($B1117&amp;"|"&amp;$E1117,Aux_HH!$A$4:$A$18,0)))</f>
        <v>0</v>
      </c>
      <c r="H1117" s="0" t="n">
        <f aca="false">IF($F1117=0,0,INDEX(Aux_HH!$E$4:$E$18,MATCH($B1117&amp;"|"&amp;$E1117,Aux_HH!$A$4:$A$18,0)))</f>
        <v>0</v>
      </c>
      <c r="I1117" s="0" t="n">
        <f aca="false">IF($F1117=0,0,INDEX(Aux_HH!$F$4:$F$18,MATCH($B1117&amp;"|"&amp;$E1117,Aux_HH!$A$4:$A$18,0)))</f>
        <v>0</v>
      </c>
      <c r="J1117" s="0" t="n">
        <f aca="false">IF($F1117=0,0,INDEX(Aux_HH!$G$4:$G$18,MATCH($B1117&amp;"|"&amp;$E1117,Aux_HH!$A$4:$A$18,0)))</f>
        <v>0</v>
      </c>
      <c r="K1117" s="0" t="n">
        <f aca="false">IF($F1117=0,0,INDEX(Aux_HH!$H$4:$H$18,MATCH($B1117&amp;"|"&amp;$E1117,Aux_HH!$A$4:$A$18,0)))</f>
        <v>0</v>
      </c>
      <c r="L1117" s="0" t="n">
        <f aca="false">IF($F1117=0,0,INDEX(Aux_HH!$I$4:$I$18,MATCH($B1117&amp;"|"&amp;$E1117,Aux_HH!$A$4:$A$18,0)))</f>
        <v>0</v>
      </c>
    </row>
    <row r="1118" customFormat="false" ht="15" hidden="false" customHeight="false" outlineLevel="0" collapsed="false">
      <c r="A1118" s="0" t="str">
        <f aca="false">IF(Frota!$A26="","",Frota!$A26)</f>
        <v/>
      </c>
      <c r="B1118" s="0" t="str">
        <f aca="false">IF(Frota!$A26="","",Frota!$B26)</f>
        <v/>
      </c>
      <c r="C1118" s="0" t="n">
        <v>23</v>
      </c>
      <c r="D1118" s="0" t="n">
        <f aca="false">INDEX(Semanas!$E$3:$E$54,23)</f>
        <v>9</v>
      </c>
      <c r="E1118" s="0" t="str">
        <f aca="false">IF(Frota!$A26="","",Cronograma!X26)</f>
        <v/>
      </c>
      <c r="F1118" s="0" t="n">
        <f aca="false">IF(OR($E1118="",$E1118=0),0,1)</f>
        <v>0</v>
      </c>
      <c r="G1118" s="0" t="n">
        <f aca="false">IF($F1118=0,0,INDEX(Aux_HH!$D$4:$D$18,MATCH($B1118&amp;"|"&amp;$E1118,Aux_HH!$A$4:$A$18,0)))</f>
        <v>0</v>
      </c>
      <c r="H1118" s="0" t="n">
        <f aca="false">IF($F1118=0,0,INDEX(Aux_HH!$E$4:$E$18,MATCH($B1118&amp;"|"&amp;$E1118,Aux_HH!$A$4:$A$18,0)))</f>
        <v>0</v>
      </c>
      <c r="I1118" s="0" t="n">
        <f aca="false">IF($F1118=0,0,INDEX(Aux_HH!$F$4:$F$18,MATCH($B1118&amp;"|"&amp;$E1118,Aux_HH!$A$4:$A$18,0)))</f>
        <v>0</v>
      </c>
      <c r="J1118" s="0" t="n">
        <f aca="false">IF($F1118=0,0,INDEX(Aux_HH!$G$4:$G$18,MATCH($B1118&amp;"|"&amp;$E1118,Aux_HH!$A$4:$A$18,0)))</f>
        <v>0</v>
      </c>
      <c r="K1118" s="0" t="n">
        <f aca="false">IF($F1118=0,0,INDEX(Aux_HH!$H$4:$H$18,MATCH($B1118&amp;"|"&amp;$E1118,Aux_HH!$A$4:$A$18,0)))</f>
        <v>0</v>
      </c>
      <c r="L1118" s="0" t="n">
        <f aca="false">IF($F1118=0,0,INDEX(Aux_HH!$I$4:$I$18,MATCH($B1118&amp;"|"&amp;$E1118,Aux_HH!$A$4:$A$18,0)))</f>
        <v>0</v>
      </c>
    </row>
    <row r="1119" customFormat="false" ht="15" hidden="false" customHeight="false" outlineLevel="0" collapsed="false">
      <c r="A1119" s="0" t="str">
        <f aca="false">IF(Frota!$A26="","",Frota!$A26)</f>
        <v/>
      </c>
      <c r="B1119" s="0" t="str">
        <f aca="false">IF(Frota!$A26="","",Frota!$B26)</f>
        <v/>
      </c>
      <c r="C1119" s="0" t="n">
        <v>24</v>
      </c>
      <c r="D1119" s="0" t="n">
        <f aca="false">INDEX(Semanas!$E$3:$E$54,24)</f>
        <v>9</v>
      </c>
      <c r="E1119" s="0" t="str">
        <f aca="false">IF(Frota!$A26="","",Cronograma!Y26)</f>
        <v/>
      </c>
      <c r="F1119" s="0" t="n">
        <f aca="false">IF(OR($E1119="",$E1119=0),0,1)</f>
        <v>0</v>
      </c>
      <c r="G1119" s="0" t="n">
        <f aca="false">IF($F1119=0,0,INDEX(Aux_HH!$D$4:$D$18,MATCH($B1119&amp;"|"&amp;$E1119,Aux_HH!$A$4:$A$18,0)))</f>
        <v>0</v>
      </c>
      <c r="H1119" s="0" t="n">
        <f aca="false">IF($F1119=0,0,INDEX(Aux_HH!$E$4:$E$18,MATCH($B1119&amp;"|"&amp;$E1119,Aux_HH!$A$4:$A$18,0)))</f>
        <v>0</v>
      </c>
      <c r="I1119" s="0" t="n">
        <f aca="false">IF($F1119=0,0,INDEX(Aux_HH!$F$4:$F$18,MATCH($B1119&amp;"|"&amp;$E1119,Aux_HH!$A$4:$A$18,0)))</f>
        <v>0</v>
      </c>
      <c r="J1119" s="0" t="n">
        <f aca="false">IF($F1119=0,0,INDEX(Aux_HH!$G$4:$G$18,MATCH($B1119&amp;"|"&amp;$E1119,Aux_HH!$A$4:$A$18,0)))</f>
        <v>0</v>
      </c>
      <c r="K1119" s="0" t="n">
        <f aca="false">IF($F1119=0,0,INDEX(Aux_HH!$H$4:$H$18,MATCH($B1119&amp;"|"&amp;$E1119,Aux_HH!$A$4:$A$18,0)))</f>
        <v>0</v>
      </c>
      <c r="L1119" s="0" t="n">
        <f aca="false">IF($F1119=0,0,INDEX(Aux_HH!$I$4:$I$18,MATCH($B1119&amp;"|"&amp;$E1119,Aux_HH!$A$4:$A$18,0)))</f>
        <v>0</v>
      </c>
    </row>
    <row r="1120" customFormat="false" ht="15" hidden="false" customHeight="false" outlineLevel="0" collapsed="false">
      <c r="A1120" s="0" t="str">
        <f aca="false">IF(Frota!$A26="","",Frota!$A26)</f>
        <v/>
      </c>
      <c r="B1120" s="0" t="str">
        <f aca="false">IF(Frota!$A26="","",Frota!$B26)</f>
        <v/>
      </c>
      <c r="C1120" s="0" t="n">
        <v>25</v>
      </c>
      <c r="D1120" s="0" t="n">
        <f aca="false">INDEX(Semanas!$E$3:$E$54,25)</f>
        <v>9</v>
      </c>
      <c r="E1120" s="0" t="str">
        <f aca="false">IF(Frota!$A26="","",Cronograma!Z26)</f>
        <v/>
      </c>
      <c r="F1120" s="0" t="n">
        <f aca="false">IF(OR($E1120="",$E1120=0),0,1)</f>
        <v>0</v>
      </c>
      <c r="G1120" s="0" t="n">
        <f aca="false">IF($F1120=0,0,INDEX(Aux_HH!$D$4:$D$18,MATCH($B1120&amp;"|"&amp;$E1120,Aux_HH!$A$4:$A$18,0)))</f>
        <v>0</v>
      </c>
      <c r="H1120" s="0" t="n">
        <f aca="false">IF($F1120=0,0,INDEX(Aux_HH!$E$4:$E$18,MATCH($B1120&amp;"|"&amp;$E1120,Aux_HH!$A$4:$A$18,0)))</f>
        <v>0</v>
      </c>
      <c r="I1120" s="0" t="n">
        <f aca="false">IF($F1120=0,0,INDEX(Aux_HH!$F$4:$F$18,MATCH($B1120&amp;"|"&amp;$E1120,Aux_HH!$A$4:$A$18,0)))</f>
        <v>0</v>
      </c>
      <c r="J1120" s="0" t="n">
        <f aca="false">IF($F1120=0,0,INDEX(Aux_HH!$G$4:$G$18,MATCH($B1120&amp;"|"&amp;$E1120,Aux_HH!$A$4:$A$18,0)))</f>
        <v>0</v>
      </c>
      <c r="K1120" s="0" t="n">
        <f aca="false">IF($F1120=0,0,INDEX(Aux_HH!$H$4:$H$18,MATCH($B1120&amp;"|"&amp;$E1120,Aux_HH!$A$4:$A$18,0)))</f>
        <v>0</v>
      </c>
      <c r="L1120" s="0" t="n">
        <f aca="false">IF($F1120=0,0,INDEX(Aux_HH!$I$4:$I$18,MATCH($B1120&amp;"|"&amp;$E1120,Aux_HH!$A$4:$A$18,0)))</f>
        <v>0</v>
      </c>
    </row>
    <row r="1121" customFormat="false" ht="15" hidden="false" customHeight="false" outlineLevel="0" collapsed="false">
      <c r="A1121" s="0" t="str">
        <f aca="false">IF(Frota!$A26="","",Frota!$A26)</f>
        <v/>
      </c>
      <c r="B1121" s="0" t="str">
        <f aca="false">IF(Frota!$A26="","",Frota!$B26)</f>
        <v/>
      </c>
      <c r="C1121" s="0" t="n">
        <v>26</v>
      </c>
      <c r="D1121" s="0" t="n">
        <f aca="false">INDEX(Semanas!$E$3:$E$54,26)</f>
        <v>9</v>
      </c>
      <c r="E1121" s="0" t="str">
        <f aca="false">IF(Frota!$A26="","",Cronograma!AA26)</f>
        <v/>
      </c>
      <c r="F1121" s="0" t="n">
        <f aca="false">IF(OR($E1121="",$E1121=0),0,1)</f>
        <v>0</v>
      </c>
      <c r="G1121" s="0" t="n">
        <f aca="false">IF($F1121=0,0,INDEX(Aux_HH!$D$4:$D$18,MATCH($B1121&amp;"|"&amp;$E1121,Aux_HH!$A$4:$A$18,0)))</f>
        <v>0</v>
      </c>
      <c r="H1121" s="0" t="n">
        <f aca="false">IF($F1121=0,0,INDEX(Aux_HH!$E$4:$E$18,MATCH($B1121&amp;"|"&amp;$E1121,Aux_HH!$A$4:$A$18,0)))</f>
        <v>0</v>
      </c>
      <c r="I1121" s="0" t="n">
        <f aca="false">IF($F1121=0,0,INDEX(Aux_HH!$F$4:$F$18,MATCH($B1121&amp;"|"&amp;$E1121,Aux_HH!$A$4:$A$18,0)))</f>
        <v>0</v>
      </c>
      <c r="J1121" s="0" t="n">
        <f aca="false">IF($F1121=0,0,INDEX(Aux_HH!$G$4:$G$18,MATCH($B1121&amp;"|"&amp;$E1121,Aux_HH!$A$4:$A$18,0)))</f>
        <v>0</v>
      </c>
      <c r="K1121" s="0" t="n">
        <f aca="false">IF($F1121=0,0,INDEX(Aux_HH!$H$4:$H$18,MATCH($B1121&amp;"|"&amp;$E1121,Aux_HH!$A$4:$A$18,0)))</f>
        <v>0</v>
      </c>
      <c r="L1121" s="0" t="n">
        <f aca="false">IF($F1121=0,0,INDEX(Aux_HH!$I$4:$I$18,MATCH($B1121&amp;"|"&amp;$E1121,Aux_HH!$A$4:$A$18,0)))</f>
        <v>0</v>
      </c>
    </row>
    <row r="1122" customFormat="false" ht="15" hidden="false" customHeight="false" outlineLevel="0" collapsed="false">
      <c r="A1122" s="0" t="str">
        <f aca="false">IF(Frota!$A26="","",Frota!$A26)</f>
        <v/>
      </c>
      <c r="B1122" s="0" t="str">
        <f aca="false">IF(Frota!$A26="","",Frota!$B26)</f>
        <v/>
      </c>
      <c r="C1122" s="0" t="n">
        <v>27</v>
      </c>
      <c r="D1122" s="0" t="n">
        <f aca="false">INDEX(Semanas!$E$3:$E$54,27)</f>
        <v>9</v>
      </c>
      <c r="E1122" s="0" t="str">
        <f aca="false">IF(Frota!$A26="","",Cronograma!AB26)</f>
        <v/>
      </c>
      <c r="F1122" s="0" t="n">
        <f aca="false">IF(OR($E1122="",$E1122=0),0,1)</f>
        <v>0</v>
      </c>
      <c r="G1122" s="0" t="n">
        <f aca="false">IF($F1122=0,0,INDEX(Aux_HH!$D$4:$D$18,MATCH($B1122&amp;"|"&amp;$E1122,Aux_HH!$A$4:$A$18,0)))</f>
        <v>0</v>
      </c>
      <c r="H1122" s="0" t="n">
        <f aca="false">IF($F1122=0,0,INDEX(Aux_HH!$E$4:$E$18,MATCH($B1122&amp;"|"&amp;$E1122,Aux_HH!$A$4:$A$18,0)))</f>
        <v>0</v>
      </c>
      <c r="I1122" s="0" t="n">
        <f aca="false">IF($F1122=0,0,INDEX(Aux_HH!$F$4:$F$18,MATCH($B1122&amp;"|"&amp;$E1122,Aux_HH!$A$4:$A$18,0)))</f>
        <v>0</v>
      </c>
      <c r="J1122" s="0" t="n">
        <f aca="false">IF($F1122=0,0,INDEX(Aux_HH!$G$4:$G$18,MATCH($B1122&amp;"|"&amp;$E1122,Aux_HH!$A$4:$A$18,0)))</f>
        <v>0</v>
      </c>
      <c r="K1122" s="0" t="n">
        <f aca="false">IF($F1122=0,0,INDEX(Aux_HH!$H$4:$H$18,MATCH($B1122&amp;"|"&amp;$E1122,Aux_HH!$A$4:$A$18,0)))</f>
        <v>0</v>
      </c>
      <c r="L1122" s="0" t="n">
        <f aca="false">IF($F1122=0,0,INDEX(Aux_HH!$I$4:$I$18,MATCH($B1122&amp;"|"&amp;$E1122,Aux_HH!$A$4:$A$18,0)))</f>
        <v>0</v>
      </c>
    </row>
    <row r="1123" customFormat="false" ht="15" hidden="false" customHeight="false" outlineLevel="0" collapsed="false">
      <c r="A1123" s="0" t="str">
        <f aca="false">IF(Frota!$A26="","",Frota!$A26)</f>
        <v/>
      </c>
      <c r="B1123" s="0" t="str">
        <f aca="false">IF(Frota!$A26="","",Frota!$B26)</f>
        <v/>
      </c>
      <c r="C1123" s="0" t="n">
        <v>28</v>
      </c>
      <c r="D1123" s="0" t="n">
        <f aca="false">INDEX(Semanas!$E$3:$E$54,28)</f>
        <v>10</v>
      </c>
      <c r="E1123" s="0" t="str">
        <f aca="false">IF(Frota!$A26="","",Cronograma!AC26)</f>
        <v/>
      </c>
      <c r="F1123" s="0" t="n">
        <f aca="false">IF(OR($E1123="",$E1123=0),0,1)</f>
        <v>0</v>
      </c>
      <c r="G1123" s="0" t="n">
        <f aca="false">IF($F1123=0,0,INDEX(Aux_HH!$D$4:$D$18,MATCH($B1123&amp;"|"&amp;$E1123,Aux_HH!$A$4:$A$18,0)))</f>
        <v>0</v>
      </c>
      <c r="H1123" s="0" t="n">
        <f aca="false">IF($F1123=0,0,INDEX(Aux_HH!$E$4:$E$18,MATCH($B1123&amp;"|"&amp;$E1123,Aux_HH!$A$4:$A$18,0)))</f>
        <v>0</v>
      </c>
      <c r="I1123" s="0" t="n">
        <f aca="false">IF($F1123=0,0,INDEX(Aux_HH!$F$4:$F$18,MATCH($B1123&amp;"|"&amp;$E1123,Aux_HH!$A$4:$A$18,0)))</f>
        <v>0</v>
      </c>
      <c r="J1123" s="0" t="n">
        <f aca="false">IF($F1123=0,0,INDEX(Aux_HH!$G$4:$G$18,MATCH($B1123&amp;"|"&amp;$E1123,Aux_HH!$A$4:$A$18,0)))</f>
        <v>0</v>
      </c>
      <c r="K1123" s="0" t="n">
        <f aca="false">IF($F1123=0,0,INDEX(Aux_HH!$H$4:$H$18,MATCH($B1123&amp;"|"&amp;$E1123,Aux_HH!$A$4:$A$18,0)))</f>
        <v>0</v>
      </c>
      <c r="L1123" s="0" t="n">
        <f aca="false">IF($F1123=0,0,INDEX(Aux_HH!$I$4:$I$18,MATCH($B1123&amp;"|"&amp;$E1123,Aux_HH!$A$4:$A$18,0)))</f>
        <v>0</v>
      </c>
    </row>
    <row r="1124" customFormat="false" ht="15" hidden="false" customHeight="false" outlineLevel="0" collapsed="false">
      <c r="A1124" s="0" t="str">
        <f aca="false">IF(Frota!$A26="","",Frota!$A26)</f>
        <v/>
      </c>
      <c r="B1124" s="0" t="str">
        <f aca="false">IF(Frota!$A26="","",Frota!$B26)</f>
        <v/>
      </c>
      <c r="C1124" s="0" t="n">
        <v>29</v>
      </c>
      <c r="D1124" s="0" t="n">
        <f aca="false">INDEX(Semanas!$E$3:$E$54,29)</f>
        <v>10</v>
      </c>
      <c r="E1124" s="0" t="str">
        <f aca="false">IF(Frota!$A26="","",Cronograma!AD26)</f>
        <v/>
      </c>
      <c r="F1124" s="0" t="n">
        <f aca="false">IF(OR($E1124="",$E1124=0),0,1)</f>
        <v>0</v>
      </c>
      <c r="G1124" s="0" t="n">
        <f aca="false">IF($F1124=0,0,INDEX(Aux_HH!$D$4:$D$18,MATCH($B1124&amp;"|"&amp;$E1124,Aux_HH!$A$4:$A$18,0)))</f>
        <v>0</v>
      </c>
      <c r="H1124" s="0" t="n">
        <f aca="false">IF($F1124=0,0,INDEX(Aux_HH!$E$4:$E$18,MATCH($B1124&amp;"|"&amp;$E1124,Aux_HH!$A$4:$A$18,0)))</f>
        <v>0</v>
      </c>
      <c r="I1124" s="0" t="n">
        <f aca="false">IF($F1124=0,0,INDEX(Aux_HH!$F$4:$F$18,MATCH($B1124&amp;"|"&amp;$E1124,Aux_HH!$A$4:$A$18,0)))</f>
        <v>0</v>
      </c>
      <c r="J1124" s="0" t="n">
        <f aca="false">IF($F1124=0,0,INDEX(Aux_HH!$G$4:$G$18,MATCH($B1124&amp;"|"&amp;$E1124,Aux_HH!$A$4:$A$18,0)))</f>
        <v>0</v>
      </c>
      <c r="K1124" s="0" t="n">
        <f aca="false">IF($F1124=0,0,INDEX(Aux_HH!$H$4:$H$18,MATCH($B1124&amp;"|"&amp;$E1124,Aux_HH!$A$4:$A$18,0)))</f>
        <v>0</v>
      </c>
      <c r="L1124" s="0" t="n">
        <f aca="false">IF($F1124=0,0,INDEX(Aux_HH!$I$4:$I$18,MATCH($B1124&amp;"|"&amp;$E1124,Aux_HH!$A$4:$A$18,0)))</f>
        <v>0</v>
      </c>
    </row>
    <row r="1125" customFormat="false" ht="15" hidden="false" customHeight="false" outlineLevel="0" collapsed="false">
      <c r="A1125" s="0" t="str">
        <f aca="false">IF(Frota!$A26="","",Frota!$A26)</f>
        <v/>
      </c>
      <c r="B1125" s="0" t="str">
        <f aca="false">IF(Frota!$A26="","",Frota!$B26)</f>
        <v/>
      </c>
      <c r="C1125" s="0" t="n">
        <v>30</v>
      </c>
      <c r="D1125" s="0" t="n">
        <f aca="false">INDEX(Semanas!$E$3:$E$54,30)</f>
        <v>10</v>
      </c>
      <c r="E1125" s="0" t="str">
        <f aca="false">IF(Frota!$A26="","",Cronograma!AE26)</f>
        <v/>
      </c>
      <c r="F1125" s="0" t="n">
        <f aca="false">IF(OR($E1125="",$E1125=0),0,1)</f>
        <v>0</v>
      </c>
      <c r="G1125" s="0" t="n">
        <f aca="false">IF($F1125=0,0,INDEX(Aux_HH!$D$4:$D$18,MATCH($B1125&amp;"|"&amp;$E1125,Aux_HH!$A$4:$A$18,0)))</f>
        <v>0</v>
      </c>
      <c r="H1125" s="0" t="n">
        <f aca="false">IF($F1125=0,0,INDEX(Aux_HH!$E$4:$E$18,MATCH($B1125&amp;"|"&amp;$E1125,Aux_HH!$A$4:$A$18,0)))</f>
        <v>0</v>
      </c>
      <c r="I1125" s="0" t="n">
        <f aca="false">IF($F1125=0,0,INDEX(Aux_HH!$F$4:$F$18,MATCH($B1125&amp;"|"&amp;$E1125,Aux_HH!$A$4:$A$18,0)))</f>
        <v>0</v>
      </c>
      <c r="J1125" s="0" t="n">
        <f aca="false">IF($F1125=0,0,INDEX(Aux_HH!$G$4:$G$18,MATCH($B1125&amp;"|"&amp;$E1125,Aux_HH!$A$4:$A$18,0)))</f>
        <v>0</v>
      </c>
      <c r="K1125" s="0" t="n">
        <f aca="false">IF($F1125=0,0,INDEX(Aux_HH!$H$4:$H$18,MATCH($B1125&amp;"|"&amp;$E1125,Aux_HH!$A$4:$A$18,0)))</f>
        <v>0</v>
      </c>
      <c r="L1125" s="0" t="n">
        <f aca="false">IF($F1125=0,0,INDEX(Aux_HH!$I$4:$I$18,MATCH($B1125&amp;"|"&amp;$E1125,Aux_HH!$A$4:$A$18,0)))</f>
        <v>0</v>
      </c>
    </row>
    <row r="1126" customFormat="false" ht="15" hidden="false" customHeight="false" outlineLevel="0" collapsed="false">
      <c r="A1126" s="0" t="str">
        <f aca="false">IF(Frota!$A26="","",Frota!$A26)</f>
        <v/>
      </c>
      <c r="B1126" s="0" t="str">
        <f aca="false">IF(Frota!$A26="","",Frota!$B26)</f>
        <v/>
      </c>
      <c r="C1126" s="0" t="n">
        <v>31</v>
      </c>
      <c r="D1126" s="0" t="n">
        <f aca="false">INDEX(Semanas!$E$3:$E$54,31)</f>
        <v>10</v>
      </c>
      <c r="E1126" s="0" t="str">
        <f aca="false">IF(Frota!$A26="","",Cronograma!AF26)</f>
        <v/>
      </c>
      <c r="F1126" s="0" t="n">
        <f aca="false">IF(OR($E1126="",$E1126=0),0,1)</f>
        <v>0</v>
      </c>
      <c r="G1126" s="0" t="n">
        <f aca="false">IF($F1126=0,0,INDEX(Aux_HH!$D$4:$D$18,MATCH($B1126&amp;"|"&amp;$E1126,Aux_HH!$A$4:$A$18,0)))</f>
        <v>0</v>
      </c>
      <c r="H1126" s="0" t="n">
        <f aca="false">IF($F1126=0,0,INDEX(Aux_HH!$E$4:$E$18,MATCH($B1126&amp;"|"&amp;$E1126,Aux_HH!$A$4:$A$18,0)))</f>
        <v>0</v>
      </c>
      <c r="I1126" s="0" t="n">
        <f aca="false">IF($F1126=0,0,INDEX(Aux_HH!$F$4:$F$18,MATCH($B1126&amp;"|"&amp;$E1126,Aux_HH!$A$4:$A$18,0)))</f>
        <v>0</v>
      </c>
      <c r="J1126" s="0" t="n">
        <f aca="false">IF($F1126=0,0,INDEX(Aux_HH!$G$4:$G$18,MATCH($B1126&amp;"|"&amp;$E1126,Aux_HH!$A$4:$A$18,0)))</f>
        <v>0</v>
      </c>
      <c r="K1126" s="0" t="n">
        <f aca="false">IF($F1126=0,0,INDEX(Aux_HH!$H$4:$H$18,MATCH($B1126&amp;"|"&amp;$E1126,Aux_HH!$A$4:$A$18,0)))</f>
        <v>0</v>
      </c>
      <c r="L1126" s="0" t="n">
        <f aca="false">IF($F1126=0,0,INDEX(Aux_HH!$I$4:$I$18,MATCH($B1126&amp;"|"&amp;$E1126,Aux_HH!$A$4:$A$18,0)))</f>
        <v>0</v>
      </c>
    </row>
    <row r="1127" customFormat="false" ht="15" hidden="false" customHeight="false" outlineLevel="0" collapsed="false">
      <c r="A1127" s="0" t="str">
        <f aca="false">IF(Frota!$A26="","",Frota!$A26)</f>
        <v/>
      </c>
      <c r="B1127" s="0" t="str">
        <f aca="false">IF(Frota!$A26="","",Frota!$B26)</f>
        <v/>
      </c>
      <c r="C1127" s="0" t="n">
        <v>32</v>
      </c>
      <c r="D1127" s="0" t="n">
        <f aca="false">INDEX(Semanas!$E$3:$E$54,32)</f>
        <v>11</v>
      </c>
      <c r="E1127" s="0" t="str">
        <f aca="false">IF(Frota!$A26="","",Cronograma!AG26)</f>
        <v/>
      </c>
      <c r="F1127" s="0" t="n">
        <f aca="false">IF(OR($E1127="",$E1127=0),0,1)</f>
        <v>0</v>
      </c>
      <c r="G1127" s="0" t="n">
        <f aca="false">IF($F1127=0,0,INDEX(Aux_HH!$D$4:$D$18,MATCH($B1127&amp;"|"&amp;$E1127,Aux_HH!$A$4:$A$18,0)))</f>
        <v>0</v>
      </c>
      <c r="H1127" s="0" t="n">
        <f aca="false">IF($F1127=0,0,INDEX(Aux_HH!$E$4:$E$18,MATCH($B1127&amp;"|"&amp;$E1127,Aux_HH!$A$4:$A$18,0)))</f>
        <v>0</v>
      </c>
      <c r="I1127" s="0" t="n">
        <f aca="false">IF($F1127=0,0,INDEX(Aux_HH!$F$4:$F$18,MATCH($B1127&amp;"|"&amp;$E1127,Aux_HH!$A$4:$A$18,0)))</f>
        <v>0</v>
      </c>
      <c r="J1127" s="0" t="n">
        <f aca="false">IF($F1127=0,0,INDEX(Aux_HH!$G$4:$G$18,MATCH($B1127&amp;"|"&amp;$E1127,Aux_HH!$A$4:$A$18,0)))</f>
        <v>0</v>
      </c>
      <c r="K1127" s="0" t="n">
        <f aca="false">IF($F1127=0,0,INDEX(Aux_HH!$H$4:$H$18,MATCH($B1127&amp;"|"&amp;$E1127,Aux_HH!$A$4:$A$18,0)))</f>
        <v>0</v>
      </c>
      <c r="L1127" s="0" t="n">
        <f aca="false">IF($F1127=0,0,INDEX(Aux_HH!$I$4:$I$18,MATCH($B1127&amp;"|"&amp;$E1127,Aux_HH!$A$4:$A$18,0)))</f>
        <v>0</v>
      </c>
    </row>
    <row r="1128" customFormat="false" ht="15" hidden="false" customHeight="false" outlineLevel="0" collapsed="false">
      <c r="A1128" s="0" t="str">
        <f aca="false">IF(Frota!$A26="","",Frota!$A26)</f>
        <v/>
      </c>
      <c r="B1128" s="0" t="str">
        <f aca="false">IF(Frota!$A26="","",Frota!$B26)</f>
        <v/>
      </c>
      <c r="C1128" s="0" t="n">
        <v>33</v>
      </c>
      <c r="D1128" s="0" t="n">
        <f aca="false">INDEX(Semanas!$E$3:$E$54,33)</f>
        <v>11</v>
      </c>
      <c r="E1128" s="0" t="str">
        <f aca="false">IF(Frota!$A26="","",Cronograma!AH26)</f>
        <v/>
      </c>
      <c r="F1128" s="0" t="n">
        <f aca="false">IF(OR($E1128="",$E1128=0),0,1)</f>
        <v>0</v>
      </c>
      <c r="G1128" s="0" t="n">
        <f aca="false">IF($F1128=0,0,INDEX(Aux_HH!$D$4:$D$18,MATCH($B1128&amp;"|"&amp;$E1128,Aux_HH!$A$4:$A$18,0)))</f>
        <v>0</v>
      </c>
      <c r="H1128" s="0" t="n">
        <f aca="false">IF($F1128=0,0,INDEX(Aux_HH!$E$4:$E$18,MATCH($B1128&amp;"|"&amp;$E1128,Aux_HH!$A$4:$A$18,0)))</f>
        <v>0</v>
      </c>
      <c r="I1128" s="0" t="n">
        <f aca="false">IF($F1128=0,0,INDEX(Aux_HH!$F$4:$F$18,MATCH($B1128&amp;"|"&amp;$E1128,Aux_HH!$A$4:$A$18,0)))</f>
        <v>0</v>
      </c>
      <c r="J1128" s="0" t="n">
        <f aca="false">IF($F1128=0,0,INDEX(Aux_HH!$G$4:$G$18,MATCH($B1128&amp;"|"&amp;$E1128,Aux_HH!$A$4:$A$18,0)))</f>
        <v>0</v>
      </c>
      <c r="K1128" s="0" t="n">
        <f aca="false">IF($F1128=0,0,INDEX(Aux_HH!$H$4:$H$18,MATCH($B1128&amp;"|"&amp;$E1128,Aux_HH!$A$4:$A$18,0)))</f>
        <v>0</v>
      </c>
      <c r="L1128" s="0" t="n">
        <f aca="false">IF($F1128=0,0,INDEX(Aux_HH!$I$4:$I$18,MATCH($B1128&amp;"|"&amp;$E1128,Aux_HH!$A$4:$A$18,0)))</f>
        <v>0</v>
      </c>
    </row>
    <row r="1129" customFormat="false" ht="15" hidden="false" customHeight="false" outlineLevel="0" collapsed="false">
      <c r="A1129" s="0" t="str">
        <f aca="false">IF(Frota!$A26="","",Frota!$A26)</f>
        <v/>
      </c>
      <c r="B1129" s="0" t="str">
        <f aca="false">IF(Frota!$A26="","",Frota!$B26)</f>
        <v/>
      </c>
      <c r="C1129" s="0" t="n">
        <v>34</v>
      </c>
      <c r="D1129" s="0" t="n">
        <f aca="false">INDEX(Semanas!$E$3:$E$54,34)</f>
        <v>11</v>
      </c>
      <c r="E1129" s="0" t="str">
        <f aca="false">IF(Frota!$A26="","",Cronograma!AI26)</f>
        <v/>
      </c>
      <c r="F1129" s="0" t="n">
        <f aca="false">IF(OR($E1129="",$E1129=0),0,1)</f>
        <v>0</v>
      </c>
      <c r="G1129" s="0" t="n">
        <f aca="false">IF($F1129=0,0,INDEX(Aux_HH!$D$4:$D$18,MATCH($B1129&amp;"|"&amp;$E1129,Aux_HH!$A$4:$A$18,0)))</f>
        <v>0</v>
      </c>
      <c r="H1129" s="0" t="n">
        <f aca="false">IF($F1129=0,0,INDEX(Aux_HH!$E$4:$E$18,MATCH($B1129&amp;"|"&amp;$E1129,Aux_HH!$A$4:$A$18,0)))</f>
        <v>0</v>
      </c>
      <c r="I1129" s="0" t="n">
        <f aca="false">IF($F1129=0,0,INDEX(Aux_HH!$F$4:$F$18,MATCH($B1129&amp;"|"&amp;$E1129,Aux_HH!$A$4:$A$18,0)))</f>
        <v>0</v>
      </c>
      <c r="J1129" s="0" t="n">
        <f aca="false">IF($F1129=0,0,INDEX(Aux_HH!$G$4:$G$18,MATCH($B1129&amp;"|"&amp;$E1129,Aux_HH!$A$4:$A$18,0)))</f>
        <v>0</v>
      </c>
      <c r="K1129" s="0" t="n">
        <f aca="false">IF($F1129=0,0,INDEX(Aux_HH!$H$4:$H$18,MATCH($B1129&amp;"|"&amp;$E1129,Aux_HH!$A$4:$A$18,0)))</f>
        <v>0</v>
      </c>
      <c r="L1129" s="0" t="n">
        <f aca="false">IF($F1129=0,0,INDEX(Aux_HH!$I$4:$I$18,MATCH($B1129&amp;"|"&amp;$E1129,Aux_HH!$A$4:$A$18,0)))</f>
        <v>0</v>
      </c>
    </row>
    <row r="1130" customFormat="false" ht="15" hidden="false" customHeight="false" outlineLevel="0" collapsed="false">
      <c r="A1130" s="0" t="str">
        <f aca="false">IF(Frota!$A26="","",Frota!$A26)</f>
        <v/>
      </c>
      <c r="B1130" s="0" t="str">
        <f aca="false">IF(Frota!$A26="","",Frota!$B26)</f>
        <v/>
      </c>
      <c r="C1130" s="0" t="n">
        <v>35</v>
      </c>
      <c r="D1130" s="0" t="n">
        <f aca="false">INDEX(Semanas!$E$3:$E$54,35)</f>
        <v>11</v>
      </c>
      <c r="E1130" s="0" t="str">
        <f aca="false">IF(Frota!$A26="","",Cronograma!AJ26)</f>
        <v/>
      </c>
      <c r="F1130" s="0" t="n">
        <f aca="false">IF(OR($E1130="",$E1130=0),0,1)</f>
        <v>0</v>
      </c>
      <c r="G1130" s="0" t="n">
        <f aca="false">IF($F1130=0,0,INDEX(Aux_HH!$D$4:$D$18,MATCH($B1130&amp;"|"&amp;$E1130,Aux_HH!$A$4:$A$18,0)))</f>
        <v>0</v>
      </c>
      <c r="H1130" s="0" t="n">
        <f aca="false">IF($F1130=0,0,INDEX(Aux_HH!$E$4:$E$18,MATCH($B1130&amp;"|"&amp;$E1130,Aux_HH!$A$4:$A$18,0)))</f>
        <v>0</v>
      </c>
      <c r="I1130" s="0" t="n">
        <f aca="false">IF($F1130=0,0,INDEX(Aux_HH!$F$4:$F$18,MATCH($B1130&amp;"|"&amp;$E1130,Aux_HH!$A$4:$A$18,0)))</f>
        <v>0</v>
      </c>
      <c r="J1130" s="0" t="n">
        <f aca="false">IF($F1130=0,0,INDEX(Aux_HH!$G$4:$G$18,MATCH($B1130&amp;"|"&amp;$E1130,Aux_HH!$A$4:$A$18,0)))</f>
        <v>0</v>
      </c>
      <c r="K1130" s="0" t="n">
        <f aca="false">IF($F1130=0,0,INDEX(Aux_HH!$H$4:$H$18,MATCH($B1130&amp;"|"&amp;$E1130,Aux_HH!$A$4:$A$18,0)))</f>
        <v>0</v>
      </c>
      <c r="L1130" s="0" t="n">
        <f aca="false">IF($F1130=0,0,INDEX(Aux_HH!$I$4:$I$18,MATCH($B1130&amp;"|"&amp;$E1130,Aux_HH!$A$4:$A$18,0)))</f>
        <v>0</v>
      </c>
    </row>
    <row r="1131" customFormat="false" ht="15" hidden="false" customHeight="false" outlineLevel="0" collapsed="false">
      <c r="A1131" s="0" t="str">
        <f aca="false">IF(Frota!$A26="","",Frota!$A26)</f>
        <v/>
      </c>
      <c r="B1131" s="0" t="str">
        <f aca="false">IF(Frota!$A26="","",Frota!$B26)</f>
        <v/>
      </c>
      <c r="C1131" s="0" t="n">
        <v>36</v>
      </c>
      <c r="D1131" s="0" t="n">
        <f aca="false">INDEX(Semanas!$E$3:$E$54,36)</f>
        <v>12</v>
      </c>
      <c r="E1131" s="0" t="str">
        <f aca="false">IF(Frota!$A26="","",Cronograma!AK26)</f>
        <v/>
      </c>
      <c r="F1131" s="0" t="n">
        <f aca="false">IF(OR($E1131="",$E1131=0),0,1)</f>
        <v>0</v>
      </c>
      <c r="G1131" s="0" t="n">
        <f aca="false">IF($F1131=0,0,INDEX(Aux_HH!$D$4:$D$18,MATCH($B1131&amp;"|"&amp;$E1131,Aux_HH!$A$4:$A$18,0)))</f>
        <v>0</v>
      </c>
      <c r="H1131" s="0" t="n">
        <f aca="false">IF($F1131=0,0,INDEX(Aux_HH!$E$4:$E$18,MATCH($B1131&amp;"|"&amp;$E1131,Aux_HH!$A$4:$A$18,0)))</f>
        <v>0</v>
      </c>
      <c r="I1131" s="0" t="n">
        <f aca="false">IF($F1131=0,0,INDEX(Aux_HH!$F$4:$F$18,MATCH($B1131&amp;"|"&amp;$E1131,Aux_HH!$A$4:$A$18,0)))</f>
        <v>0</v>
      </c>
      <c r="J1131" s="0" t="n">
        <f aca="false">IF($F1131=0,0,INDEX(Aux_HH!$G$4:$G$18,MATCH($B1131&amp;"|"&amp;$E1131,Aux_HH!$A$4:$A$18,0)))</f>
        <v>0</v>
      </c>
      <c r="K1131" s="0" t="n">
        <f aca="false">IF($F1131=0,0,INDEX(Aux_HH!$H$4:$H$18,MATCH($B1131&amp;"|"&amp;$E1131,Aux_HH!$A$4:$A$18,0)))</f>
        <v>0</v>
      </c>
      <c r="L1131" s="0" t="n">
        <f aca="false">IF($F1131=0,0,INDEX(Aux_HH!$I$4:$I$18,MATCH($B1131&amp;"|"&amp;$E1131,Aux_HH!$A$4:$A$18,0)))</f>
        <v>0</v>
      </c>
    </row>
    <row r="1132" customFormat="false" ht="15" hidden="false" customHeight="false" outlineLevel="0" collapsed="false">
      <c r="A1132" s="0" t="str">
        <f aca="false">IF(Frota!$A26="","",Frota!$A26)</f>
        <v/>
      </c>
      <c r="B1132" s="0" t="str">
        <f aca="false">IF(Frota!$A26="","",Frota!$B26)</f>
        <v/>
      </c>
      <c r="C1132" s="0" t="n">
        <v>37</v>
      </c>
      <c r="D1132" s="0" t="n">
        <f aca="false">INDEX(Semanas!$E$3:$E$54,37)</f>
        <v>12</v>
      </c>
      <c r="E1132" s="0" t="str">
        <f aca="false">IF(Frota!$A26="","",Cronograma!AL26)</f>
        <v/>
      </c>
      <c r="F1132" s="0" t="n">
        <f aca="false">IF(OR($E1132="",$E1132=0),0,1)</f>
        <v>0</v>
      </c>
      <c r="G1132" s="0" t="n">
        <f aca="false">IF($F1132=0,0,INDEX(Aux_HH!$D$4:$D$18,MATCH($B1132&amp;"|"&amp;$E1132,Aux_HH!$A$4:$A$18,0)))</f>
        <v>0</v>
      </c>
      <c r="H1132" s="0" t="n">
        <f aca="false">IF($F1132=0,0,INDEX(Aux_HH!$E$4:$E$18,MATCH($B1132&amp;"|"&amp;$E1132,Aux_HH!$A$4:$A$18,0)))</f>
        <v>0</v>
      </c>
      <c r="I1132" s="0" t="n">
        <f aca="false">IF($F1132=0,0,INDEX(Aux_HH!$F$4:$F$18,MATCH($B1132&amp;"|"&amp;$E1132,Aux_HH!$A$4:$A$18,0)))</f>
        <v>0</v>
      </c>
      <c r="J1132" s="0" t="n">
        <f aca="false">IF($F1132=0,0,INDEX(Aux_HH!$G$4:$G$18,MATCH($B1132&amp;"|"&amp;$E1132,Aux_HH!$A$4:$A$18,0)))</f>
        <v>0</v>
      </c>
      <c r="K1132" s="0" t="n">
        <f aca="false">IF($F1132=0,0,INDEX(Aux_HH!$H$4:$H$18,MATCH($B1132&amp;"|"&amp;$E1132,Aux_HH!$A$4:$A$18,0)))</f>
        <v>0</v>
      </c>
      <c r="L1132" s="0" t="n">
        <f aca="false">IF($F1132=0,0,INDEX(Aux_HH!$I$4:$I$18,MATCH($B1132&amp;"|"&amp;$E1132,Aux_HH!$A$4:$A$18,0)))</f>
        <v>0</v>
      </c>
    </row>
    <row r="1133" customFormat="false" ht="15" hidden="false" customHeight="false" outlineLevel="0" collapsed="false">
      <c r="A1133" s="0" t="str">
        <f aca="false">IF(Frota!$A26="","",Frota!$A26)</f>
        <v/>
      </c>
      <c r="B1133" s="0" t="str">
        <f aca="false">IF(Frota!$A26="","",Frota!$B26)</f>
        <v/>
      </c>
      <c r="C1133" s="0" t="n">
        <v>38</v>
      </c>
      <c r="D1133" s="0" t="n">
        <f aca="false">INDEX(Semanas!$E$3:$E$54,38)</f>
        <v>12</v>
      </c>
      <c r="E1133" s="0" t="str">
        <f aca="false">IF(Frota!$A26="","",Cronograma!AM26)</f>
        <v/>
      </c>
      <c r="F1133" s="0" t="n">
        <f aca="false">IF(OR($E1133="",$E1133=0),0,1)</f>
        <v>0</v>
      </c>
      <c r="G1133" s="0" t="n">
        <f aca="false">IF($F1133=0,0,INDEX(Aux_HH!$D$4:$D$18,MATCH($B1133&amp;"|"&amp;$E1133,Aux_HH!$A$4:$A$18,0)))</f>
        <v>0</v>
      </c>
      <c r="H1133" s="0" t="n">
        <f aca="false">IF($F1133=0,0,INDEX(Aux_HH!$E$4:$E$18,MATCH($B1133&amp;"|"&amp;$E1133,Aux_HH!$A$4:$A$18,0)))</f>
        <v>0</v>
      </c>
      <c r="I1133" s="0" t="n">
        <f aca="false">IF($F1133=0,0,INDEX(Aux_HH!$F$4:$F$18,MATCH($B1133&amp;"|"&amp;$E1133,Aux_HH!$A$4:$A$18,0)))</f>
        <v>0</v>
      </c>
      <c r="J1133" s="0" t="n">
        <f aca="false">IF($F1133=0,0,INDEX(Aux_HH!$G$4:$G$18,MATCH($B1133&amp;"|"&amp;$E1133,Aux_HH!$A$4:$A$18,0)))</f>
        <v>0</v>
      </c>
      <c r="K1133" s="0" t="n">
        <f aca="false">IF($F1133=0,0,INDEX(Aux_HH!$H$4:$H$18,MATCH($B1133&amp;"|"&amp;$E1133,Aux_HH!$A$4:$A$18,0)))</f>
        <v>0</v>
      </c>
      <c r="L1133" s="0" t="n">
        <f aca="false">IF($F1133=0,0,INDEX(Aux_HH!$I$4:$I$18,MATCH($B1133&amp;"|"&amp;$E1133,Aux_HH!$A$4:$A$18,0)))</f>
        <v>0</v>
      </c>
    </row>
    <row r="1134" customFormat="false" ht="15" hidden="false" customHeight="false" outlineLevel="0" collapsed="false">
      <c r="A1134" s="0" t="str">
        <f aca="false">IF(Frota!$A26="","",Frota!$A26)</f>
        <v/>
      </c>
      <c r="B1134" s="0" t="str">
        <f aca="false">IF(Frota!$A26="","",Frota!$B26)</f>
        <v/>
      </c>
      <c r="C1134" s="0" t="n">
        <v>39</v>
      </c>
      <c r="D1134" s="0" t="n">
        <f aca="false">INDEX(Semanas!$E$3:$E$54,39)</f>
        <v>12</v>
      </c>
      <c r="E1134" s="0" t="str">
        <f aca="false">IF(Frota!$A26="","",Cronograma!AN26)</f>
        <v/>
      </c>
      <c r="F1134" s="0" t="n">
        <f aca="false">IF(OR($E1134="",$E1134=0),0,1)</f>
        <v>0</v>
      </c>
      <c r="G1134" s="0" t="n">
        <f aca="false">IF($F1134=0,0,INDEX(Aux_HH!$D$4:$D$18,MATCH($B1134&amp;"|"&amp;$E1134,Aux_HH!$A$4:$A$18,0)))</f>
        <v>0</v>
      </c>
      <c r="H1134" s="0" t="n">
        <f aca="false">IF($F1134=0,0,INDEX(Aux_HH!$E$4:$E$18,MATCH($B1134&amp;"|"&amp;$E1134,Aux_HH!$A$4:$A$18,0)))</f>
        <v>0</v>
      </c>
      <c r="I1134" s="0" t="n">
        <f aca="false">IF($F1134=0,0,INDEX(Aux_HH!$F$4:$F$18,MATCH($B1134&amp;"|"&amp;$E1134,Aux_HH!$A$4:$A$18,0)))</f>
        <v>0</v>
      </c>
      <c r="J1134" s="0" t="n">
        <f aca="false">IF($F1134=0,0,INDEX(Aux_HH!$G$4:$G$18,MATCH($B1134&amp;"|"&amp;$E1134,Aux_HH!$A$4:$A$18,0)))</f>
        <v>0</v>
      </c>
      <c r="K1134" s="0" t="n">
        <f aca="false">IF($F1134=0,0,INDEX(Aux_HH!$H$4:$H$18,MATCH($B1134&amp;"|"&amp;$E1134,Aux_HH!$A$4:$A$18,0)))</f>
        <v>0</v>
      </c>
      <c r="L1134" s="0" t="n">
        <f aca="false">IF($F1134=0,0,INDEX(Aux_HH!$I$4:$I$18,MATCH($B1134&amp;"|"&amp;$E1134,Aux_HH!$A$4:$A$18,0)))</f>
        <v>0</v>
      </c>
    </row>
    <row r="1135" customFormat="false" ht="15" hidden="false" customHeight="false" outlineLevel="0" collapsed="false">
      <c r="A1135" s="0" t="str">
        <f aca="false">IF(Frota!$A26="","",Frota!$A26)</f>
        <v/>
      </c>
      <c r="B1135" s="0" t="str">
        <f aca="false">IF(Frota!$A26="","",Frota!$B26)</f>
        <v/>
      </c>
      <c r="C1135" s="0" t="n">
        <v>40</v>
      </c>
      <c r="D1135" s="0" t="n">
        <f aca="false">INDEX(Semanas!$E$3:$E$54,40)</f>
        <v>12</v>
      </c>
      <c r="E1135" s="0" t="str">
        <f aca="false">IF(Frota!$A26="","",Cronograma!AO26)</f>
        <v/>
      </c>
      <c r="F1135" s="0" t="n">
        <f aca="false">IF(OR($E1135="",$E1135=0),0,1)</f>
        <v>0</v>
      </c>
      <c r="G1135" s="0" t="n">
        <f aca="false">IF($F1135=0,0,INDEX(Aux_HH!$D$4:$D$18,MATCH($B1135&amp;"|"&amp;$E1135,Aux_HH!$A$4:$A$18,0)))</f>
        <v>0</v>
      </c>
      <c r="H1135" s="0" t="n">
        <f aca="false">IF($F1135=0,0,INDEX(Aux_HH!$E$4:$E$18,MATCH($B1135&amp;"|"&amp;$E1135,Aux_HH!$A$4:$A$18,0)))</f>
        <v>0</v>
      </c>
      <c r="I1135" s="0" t="n">
        <f aca="false">IF($F1135=0,0,INDEX(Aux_HH!$F$4:$F$18,MATCH($B1135&amp;"|"&amp;$E1135,Aux_HH!$A$4:$A$18,0)))</f>
        <v>0</v>
      </c>
      <c r="J1135" s="0" t="n">
        <f aca="false">IF($F1135=0,0,INDEX(Aux_HH!$G$4:$G$18,MATCH($B1135&amp;"|"&amp;$E1135,Aux_HH!$A$4:$A$18,0)))</f>
        <v>0</v>
      </c>
      <c r="K1135" s="0" t="n">
        <f aca="false">IF($F1135=0,0,INDEX(Aux_HH!$H$4:$H$18,MATCH($B1135&amp;"|"&amp;$E1135,Aux_HH!$A$4:$A$18,0)))</f>
        <v>0</v>
      </c>
      <c r="L1135" s="0" t="n">
        <f aca="false">IF($F1135=0,0,INDEX(Aux_HH!$I$4:$I$18,MATCH($B1135&amp;"|"&amp;$E1135,Aux_HH!$A$4:$A$18,0)))</f>
        <v>0</v>
      </c>
    </row>
    <row r="1136" customFormat="false" ht="15" hidden="false" customHeight="false" outlineLevel="0" collapsed="false">
      <c r="A1136" s="0" t="str">
        <f aca="false">IF(Frota!$A26="","",Frota!$A26)</f>
        <v/>
      </c>
      <c r="B1136" s="0" t="str">
        <f aca="false">IF(Frota!$A26="","",Frota!$B26)</f>
        <v/>
      </c>
      <c r="C1136" s="0" t="n">
        <v>41</v>
      </c>
      <c r="D1136" s="0" t="n">
        <f aca="false">INDEX(Semanas!$E$3:$E$54,41)</f>
        <v>1</v>
      </c>
      <c r="E1136" s="0" t="str">
        <f aca="false">IF(Frota!$A26="","",Cronograma!AP26)</f>
        <v/>
      </c>
      <c r="F1136" s="0" t="n">
        <f aca="false">IF(OR($E1136="",$E1136=0),0,1)</f>
        <v>0</v>
      </c>
      <c r="G1136" s="0" t="n">
        <f aca="false">IF($F1136=0,0,INDEX(Aux_HH!$D$4:$D$18,MATCH($B1136&amp;"|"&amp;$E1136,Aux_HH!$A$4:$A$18,0)))</f>
        <v>0</v>
      </c>
      <c r="H1136" s="0" t="n">
        <f aca="false">IF($F1136=0,0,INDEX(Aux_HH!$E$4:$E$18,MATCH($B1136&amp;"|"&amp;$E1136,Aux_HH!$A$4:$A$18,0)))</f>
        <v>0</v>
      </c>
      <c r="I1136" s="0" t="n">
        <f aca="false">IF($F1136=0,0,INDEX(Aux_HH!$F$4:$F$18,MATCH($B1136&amp;"|"&amp;$E1136,Aux_HH!$A$4:$A$18,0)))</f>
        <v>0</v>
      </c>
      <c r="J1136" s="0" t="n">
        <f aca="false">IF($F1136=0,0,INDEX(Aux_HH!$G$4:$G$18,MATCH($B1136&amp;"|"&amp;$E1136,Aux_HH!$A$4:$A$18,0)))</f>
        <v>0</v>
      </c>
      <c r="K1136" s="0" t="n">
        <f aca="false">IF($F1136=0,0,INDEX(Aux_HH!$H$4:$H$18,MATCH($B1136&amp;"|"&amp;$E1136,Aux_HH!$A$4:$A$18,0)))</f>
        <v>0</v>
      </c>
      <c r="L1136" s="0" t="n">
        <f aca="false">IF($F1136=0,0,INDEX(Aux_HH!$I$4:$I$18,MATCH($B1136&amp;"|"&amp;$E1136,Aux_HH!$A$4:$A$18,0)))</f>
        <v>0</v>
      </c>
    </row>
    <row r="1137" customFormat="false" ht="15" hidden="false" customHeight="false" outlineLevel="0" collapsed="false">
      <c r="A1137" s="0" t="str">
        <f aca="false">IF(Frota!$A26="","",Frota!$A26)</f>
        <v/>
      </c>
      <c r="B1137" s="0" t="str">
        <f aca="false">IF(Frota!$A26="","",Frota!$B26)</f>
        <v/>
      </c>
      <c r="C1137" s="0" t="n">
        <v>42</v>
      </c>
      <c r="D1137" s="0" t="n">
        <f aca="false">INDEX(Semanas!$E$3:$E$54,42)</f>
        <v>1</v>
      </c>
      <c r="E1137" s="0" t="str">
        <f aca="false">IF(Frota!$A26="","",Cronograma!AQ26)</f>
        <v/>
      </c>
      <c r="F1137" s="0" t="n">
        <f aca="false">IF(OR($E1137="",$E1137=0),0,1)</f>
        <v>0</v>
      </c>
      <c r="G1137" s="0" t="n">
        <f aca="false">IF($F1137=0,0,INDEX(Aux_HH!$D$4:$D$18,MATCH($B1137&amp;"|"&amp;$E1137,Aux_HH!$A$4:$A$18,0)))</f>
        <v>0</v>
      </c>
      <c r="H1137" s="0" t="n">
        <f aca="false">IF($F1137=0,0,INDEX(Aux_HH!$E$4:$E$18,MATCH($B1137&amp;"|"&amp;$E1137,Aux_HH!$A$4:$A$18,0)))</f>
        <v>0</v>
      </c>
      <c r="I1137" s="0" t="n">
        <f aca="false">IF($F1137=0,0,INDEX(Aux_HH!$F$4:$F$18,MATCH($B1137&amp;"|"&amp;$E1137,Aux_HH!$A$4:$A$18,0)))</f>
        <v>0</v>
      </c>
      <c r="J1137" s="0" t="n">
        <f aca="false">IF($F1137=0,0,INDEX(Aux_HH!$G$4:$G$18,MATCH($B1137&amp;"|"&amp;$E1137,Aux_HH!$A$4:$A$18,0)))</f>
        <v>0</v>
      </c>
      <c r="K1137" s="0" t="n">
        <f aca="false">IF($F1137=0,0,INDEX(Aux_HH!$H$4:$H$18,MATCH($B1137&amp;"|"&amp;$E1137,Aux_HH!$A$4:$A$18,0)))</f>
        <v>0</v>
      </c>
      <c r="L1137" s="0" t="n">
        <f aca="false">IF($F1137=0,0,INDEX(Aux_HH!$I$4:$I$18,MATCH($B1137&amp;"|"&amp;$E1137,Aux_HH!$A$4:$A$18,0)))</f>
        <v>0</v>
      </c>
    </row>
    <row r="1138" customFormat="false" ht="15" hidden="false" customHeight="false" outlineLevel="0" collapsed="false">
      <c r="A1138" s="0" t="str">
        <f aca="false">IF(Frota!$A26="","",Frota!$A26)</f>
        <v/>
      </c>
      <c r="B1138" s="0" t="str">
        <f aca="false">IF(Frota!$A26="","",Frota!$B26)</f>
        <v/>
      </c>
      <c r="C1138" s="0" t="n">
        <v>43</v>
      </c>
      <c r="D1138" s="0" t="n">
        <f aca="false">INDEX(Semanas!$E$3:$E$54,43)</f>
        <v>1</v>
      </c>
      <c r="E1138" s="0" t="str">
        <f aca="false">IF(Frota!$A26="","",Cronograma!AR26)</f>
        <v/>
      </c>
      <c r="F1138" s="0" t="n">
        <f aca="false">IF(OR($E1138="",$E1138=0),0,1)</f>
        <v>0</v>
      </c>
      <c r="G1138" s="0" t="n">
        <f aca="false">IF($F1138=0,0,INDEX(Aux_HH!$D$4:$D$18,MATCH($B1138&amp;"|"&amp;$E1138,Aux_HH!$A$4:$A$18,0)))</f>
        <v>0</v>
      </c>
      <c r="H1138" s="0" t="n">
        <f aca="false">IF($F1138=0,0,INDEX(Aux_HH!$E$4:$E$18,MATCH($B1138&amp;"|"&amp;$E1138,Aux_HH!$A$4:$A$18,0)))</f>
        <v>0</v>
      </c>
      <c r="I1138" s="0" t="n">
        <f aca="false">IF($F1138=0,0,INDEX(Aux_HH!$F$4:$F$18,MATCH($B1138&amp;"|"&amp;$E1138,Aux_HH!$A$4:$A$18,0)))</f>
        <v>0</v>
      </c>
      <c r="J1138" s="0" t="n">
        <f aca="false">IF($F1138=0,0,INDEX(Aux_HH!$G$4:$G$18,MATCH($B1138&amp;"|"&amp;$E1138,Aux_HH!$A$4:$A$18,0)))</f>
        <v>0</v>
      </c>
      <c r="K1138" s="0" t="n">
        <f aca="false">IF($F1138=0,0,INDEX(Aux_HH!$H$4:$H$18,MATCH($B1138&amp;"|"&amp;$E1138,Aux_HH!$A$4:$A$18,0)))</f>
        <v>0</v>
      </c>
      <c r="L1138" s="0" t="n">
        <f aca="false">IF($F1138=0,0,INDEX(Aux_HH!$I$4:$I$18,MATCH($B1138&amp;"|"&amp;$E1138,Aux_HH!$A$4:$A$18,0)))</f>
        <v>0</v>
      </c>
    </row>
    <row r="1139" customFormat="false" ht="15" hidden="false" customHeight="false" outlineLevel="0" collapsed="false">
      <c r="A1139" s="0" t="str">
        <f aca="false">IF(Frota!$A26="","",Frota!$A26)</f>
        <v/>
      </c>
      <c r="B1139" s="0" t="str">
        <f aca="false">IF(Frota!$A26="","",Frota!$B26)</f>
        <v/>
      </c>
      <c r="C1139" s="0" t="n">
        <v>44</v>
      </c>
      <c r="D1139" s="0" t="n">
        <f aca="false">INDEX(Semanas!$E$3:$E$54,44)</f>
        <v>1</v>
      </c>
      <c r="E1139" s="0" t="str">
        <f aca="false">IF(Frota!$A26="","",Cronograma!AS26)</f>
        <v/>
      </c>
      <c r="F1139" s="0" t="n">
        <f aca="false">IF(OR($E1139="",$E1139=0),0,1)</f>
        <v>0</v>
      </c>
      <c r="G1139" s="0" t="n">
        <f aca="false">IF($F1139=0,0,INDEX(Aux_HH!$D$4:$D$18,MATCH($B1139&amp;"|"&amp;$E1139,Aux_HH!$A$4:$A$18,0)))</f>
        <v>0</v>
      </c>
      <c r="H1139" s="0" t="n">
        <f aca="false">IF($F1139=0,0,INDEX(Aux_HH!$E$4:$E$18,MATCH($B1139&amp;"|"&amp;$E1139,Aux_HH!$A$4:$A$18,0)))</f>
        <v>0</v>
      </c>
      <c r="I1139" s="0" t="n">
        <f aca="false">IF($F1139=0,0,INDEX(Aux_HH!$F$4:$F$18,MATCH($B1139&amp;"|"&amp;$E1139,Aux_HH!$A$4:$A$18,0)))</f>
        <v>0</v>
      </c>
      <c r="J1139" s="0" t="n">
        <f aca="false">IF($F1139=0,0,INDEX(Aux_HH!$G$4:$G$18,MATCH($B1139&amp;"|"&amp;$E1139,Aux_HH!$A$4:$A$18,0)))</f>
        <v>0</v>
      </c>
      <c r="K1139" s="0" t="n">
        <f aca="false">IF($F1139=0,0,INDEX(Aux_HH!$H$4:$H$18,MATCH($B1139&amp;"|"&amp;$E1139,Aux_HH!$A$4:$A$18,0)))</f>
        <v>0</v>
      </c>
      <c r="L1139" s="0" t="n">
        <f aca="false">IF($F1139=0,0,INDEX(Aux_HH!$I$4:$I$18,MATCH($B1139&amp;"|"&amp;$E1139,Aux_HH!$A$4:$A$18,0)))</f>
        <v>0</v>
      </c>
    </row>
    <row r="1140" customFormat="false" ht="15" hidden="false" customHeight="false" outlineLevel="0" collapsed="false">
      <c r="A1140" s="0" t="str">
        <f aca="false">IF(Frota!$A26="","",Frota!$A26)</f>
        <v/>
      </c>
      <c r="B1140" s="0" t="str">
        <f aca="false">IF(Frota!$A26="","",Frota!$B26)</f>
        <v/>
      </c>
      <c r="C1140" s="0" t="n">
        <v>45</v>
      </c>
      <c r="D1140" s="0" t="n">
        <f aca="false">INDEX(Semanas!$E$3:$E$54,45)</f>
        <v>2</v>
      </c>
      <c r="E1140" s="0" t="str">
        <f aca="false">IF(Frota!$A26="","",Cronograma!AT26)</f>
        <v/>
      </c>
      <c r="F1140" s="0" t="n">
        <f aca="false">IF(OR($E1140="",$E1140=0),0,1)</f>
        <v>0</v>
      </c>
      <c r="G1140" s="0" t="n">
        <f aca="false">IF($F1140=0,0,INDEX(Aux_HH!$D$4:$D$18,MATCH($B1140&amp;"|"&amp;$E1140,Aux_HH!$A$4:$A$18,0)))</f>
        <v>0</v>
      </c>
      <c r="H1140" s="0" t="n">
        <f aca="false">IF($F1140=0,0,INDEX(Aux_HH!$E$4:$E$18,MATCH($B1140&amp;"|"&amp;$E1140,Aux_HH!$A$4:$A$18,0)))</f>
        <v>0</v>
      </c>
      <c r="I1140" s="0" t="n">
        <f aca="false">IF($F1140=0,0,INDEX(Aux_HH!$F$4:$F$18,MATCH($B1140&amp;"|"&amp;$E1140,Aux_HH!$A$4:$A$18,0)))</f>
        <v>0</v>
      </c>
      <c r="J1140" s="0" t="n">
        <f aca="false">IF($F1140=0,0,INDEX(Aux_HH!$G$4:$G$18,MATCH($B1140&amp;"|"&amp;$E1140,Aux_HH!$A$4:$A$18,0)))</f>
        <v>0</v>
      </c>
      <c r="K1140" s="0" t="n">
        <f aca="false">IF($F1140=0,0,INDEX(Aux_HH!$H$4:$H$18,MATCH($B1140&amp;"|"&amp;$E1140,Aux_HH!$A$4:$A$18,0)))</f>
        <v>0</v>
      </c>
      <c r="L1140" s="0" t="n">
        <f aca="false">IF($F1140=0,0,INDEX(Aux_HH!$I$4:$I$18,MATCH($B1140&amp;"|"&amp;$E1140,Aux_HH!$A$4:$A$18,0)))</f>
        <v>0</v>
      </c>
    </row>
    <row r="1141" customFormat="false" ht="15" hidden="false" customHeight="false" outlineLevel="0" collapsed="false">
      <c r="A1141" s="0" t="str">
        <f aca="false">IF(Frota!$A26="","",Frota!$A26)</f>
        <v/>
      </c>
      <c r="B1141" s="0" t="str">
        <f aca="false">IF(Frota!$A26="","",Frota!$B26)</f>
        <v/>
      </c>
      <c r="C1141" s="0" t="n">
        <v>46</v>
      </c>
      <c r="D1141" s="0" t="n">
        <f aca="false">INDEX(Semanas!$E$3:$E$54,46)</f>
        <v>2</v>
      </c>
      <c r="E1141" s="0" t="str">
        <f aca="false">IF(Frota!$A26="","",Cronograma!AU26)</f>
        <v/>
      </c>
      <c r="F1141" s="0" t="n">
        <f aca="false">IF(OR($E1141="",$E1141=0),0,1)</f>
        <v>0</v>
      </c>
      <c r="G1141" s="0" t="n">
        <f aca="false">IF($F1141=0,0,INDEX(Aux_HH!$D$4:$D$18,MATCH($B1141&amp;"|"&amp;$E1141,Aux_HH!$A$4:$A$18,0)))</f>
        <v>0</v>
      </c>
      <c r="H1141" s="0" t="n">
        <f aca="false">IF($F1141=0,0,INDEX(Aux_HH!$E$4:$E$18,MATCH($B1141&amp;"|"&amp;$E1141,Aux_HH!$A$4:$A$18,0)))</f>
        <v>0</v>
      </c>
      <c r="I1141" s="0" t="n">
        <f aca="false">IF($F1141=0,0,INDEX(Aux_HH!$F$4:$F$18,MATCH($B1141&amp;"|"&amp;$E1141,Aux_HH!$A$4:$A$18,0)))</f>
        <v>0</v>
      </c>
      <c r="J1141" s="0" t="n">
        <f aca="false">IF($F1141=0,0,INDEX(Aux_HH!$G$4:$G$18,MATCH($B1141&amp;"|"&amp;$E1141,Aux_HH!$A$4:$A$18,0)))</f>
        <v>0</v>
      </c>
      <c r="K1141" s="0" t="n">
        <f aca="false">IF($F1141=0,0,INDEX(Aux_HH!$H$4:$H$18,MATCH($B1141&amp;"|"&amp;$E1141,Aux_HH!$A$4:$A$18,0)))</f>
        <v>0</v>
      </c>
      <c r="L1141" s="0" t="n">
        <f aca="false">IF($F1141=0,0,INDEX(Aux_HH!$I$4:$I$18,MATCH($B1141&amp;"|"&amp;$E1141,Aux_HH!$A$4:$A$18,0)))</f>
        <v>0</v>
      </c>
    </row>
    <row r="1142" customFormat="false" ht="15" hidden="false" customHeight="false" outlineLevel="0" collapsed="false">
      <c r="A1142" s="0" t="str">
        <f aca="false">IF(Frota!$A26="","",Frota!$A26)</f>
        <v/>
      </c>
      <c r="B1142" s="0" t="str">
        <f aca="false">IF(Frota!$A26="","",Frota!$B26)</f>
        <v/>
      </c>
      <c r="C1142" s="0" t="n">
        <v>47</v>
      </c>
      <c r="D1142" s="0" t="n">
        <f aca="false">INDEX(Semanas!$E$3:$E$54,47)</f>
        <v>2</v>
      </c>
      <c r="E1142" s="0" t="str">
        <f aca="false">IF(Frota!$A26="","",Cronograma!AV26)</f>
        <v/>
      </c>
      <c r="F1142" s="0" t="n">
        <f aca="false">IF(OR($E1142="",$E1142=0),0,1)</f>
        <v>0</v>
      </c>
      <c r="G1142" s="0" t="n">
        <f aca="false">IF($F1142=0,0,INDEX(Aux_HH!$D$4:$D$18,MATCH($B1142&amp;"|"&amp;$E1142,Aux_HH!$A$4:$A$18,0)))</f>
        <v>0</v>
      </c>
      <c r="H1142" s="0" t="n">
        <f aca="false">IF($F1142=0,0,INDEX(Aux_HH!$E$4:$E$18,MATCH($B1142&amp;"|"&amp;$E1142,Aux_HH!$A$4:$A$18,0)))</f>
        <v>0</v>
      </c>
      <c r="I1142" s="0" t="n">
        <f aca="false">IF($F1142=0,0,INDEX(Aux_HH!$F$4:$F$18,MATCH($B1142&amp;"|"&amp;$E1142,Aux_HH!$A$4:$A$18,0)))</f>
        <v>0</v>
      </c>
      <c r="J1142" s="0" t="n">
        <f aca="false">IF($F1142=0,0,INDEX(Aux_HH!$G$4:$G$18,MATCH($B1142&amp;"|"&amp;$E1142,Aux_HH!$A$4:$A$18,0)))</f>
        <v>0</v>
      </c>
      <c r="K1142" s="0" t="n">
        <f aca="false">IF($F1142=0,0,INDEX(Aux_HH!$H$4:$H$18,MATCH($B1142&amp;"|"&amp;$E1142,Aux_HH!$A$4:$A$18,0)))</f>
        <v>0</v>
      </c>
      <c r="L1142" s="0" t="n">
        <f aca="false">IF($F1142=0,0,INDEX(Aux_HH!$I$4:$I$18,MATCH($B1142&amp;"|"&amp;$E1142,Aux_HH!$A$4:$A$18,0)))</f>
        <v>0</v>
      </c>
    </row>
    <row r="1143" customFormat="false" ht="15" hidden="false" customHeight="false" outlineLevel="0" collapsed="false">
      <c r="A1143" s="0" t="str">
        <f aca="false">IF(Frota!$A26="","",Frota!$A26)</f>
        <v/>
      </c>
      <c r="B1143" s="0" t="str">
        <f aca="false">IF(Frota!$A26="","",Frota!$B26)</f>
        <v/>
      </c>
      <c r="C1143" s="0" t="n">
        <v>48</v>
      </c>
      <c r="D1143" s="0" t="n">
        <f aca="false">INDEX(Semanas!$E$3:$E$54,48)</f>
        <v>2</v>
      </c>
      <c r="E1143" s="0" t="str">
        <f aca="false">IF(Frota!$A26="","",Cronograma!AW26)</f>
        <v/>
      </c>
      <c r="F1143" s="0" t="n">
        <f aca="false">IF(OR($E1143="",$E1143=0),0,1)</f>
        <v>0</v>
      </c>
      <c r="G1143" s="0" t="n">
        <f aca="false">IF($F1143=0,0,INDEX(Aux_HH!$D$4:$D$18,MATCH($B1143&amp;"|"&amp;$E1143,Aux_HH!$A$4:$A$18,0)))</f>
        <v>0</v>
      </c>
      <c r="H1143" s="0" t="n">
        <f aca="false">IF($F1143=0,0,INDEX(Aux_HH!$E$4:$E$18,MATCH($B1143&amp;"|"&amp;$E1143,Aux_HH!$A$4:$A$18,0)))</f>
        <v>0</v>
      </c>
      <c r="I1143" s="0" t="n">
        <f aca="false">IF($F1143=0,0,INDEX(Aux_HH!$F$4:$F$18,MATCH($B1143&amp;"|"&amp;$E1143,Aux_HH!$A$4:$A$18,0)))</f>
        <v>0</v>
      </c>
      <c r="J1143" s="0" t="n">
        <f aca="false">IF($F1143=0,0,INDEX(Aux_HH!$G$4:$G$18,MATCH($B1143&amp;"|"&amp;$E1143,Aux_HH!$A$4:$A$18,0)))</f>
        <v>0</v>
      </c>
      <c r="K1143" s="0" t="n">
        <f aca="false">IF($F1143=0,0,INDEX(Aux_HH!$H$4:$H$18,MATCH($B1143&amp;"|"&amp;$E1143,Aux_HH!$A$4:$A$18,0)))</f>
        <v>0</v>
      </c>
      <c r="L1143" s="0" t="n">
        <f aca="false">IF($F1143=0,0,INDEX(Aux_HH!$I$4:$I$18,MATCH($B1143&amp;"|"&amp;$E1143,Aux_HH!$A$4:$A$18,0)))</f>
        <v>0</v>
      </c>
    </row>
    <row r="1144" customFormat="false" ht="15" hidden="false" customHeight="false" outlineLevel="0" collapsed="false">
      <c r="A1144" s="0" t="str">
        <f aca="false">IF(Frota!$A26="","",Frota!$A26)</f>
        <v/>
      </c>
      <c r="B1144" s="0" t="str">
        <f aca="false">IF(Frota!$A26="","",Frota!$B26)</f>
        <v/>
      </c>
      <c r="C1144" s="0" t="n">
        <v>49</v>
      </c>
      <c r="D1144" s="0" t="n">
        <f aca="false">INDEX(Semanas!$E$3:$E$54,49)</f>
        <v>3</v>
      </c>
      <c r="E1144" s="0" t="str">
        <f aca="false">IF(Frota!$A26="","",Cronograma!AX26)</f>
        <v/>
      </c>
      <c r="F1144" s="0" t="n">
        <f aca="false">IF(OR($E1144="",$E1144=0),0,1)</f>
        <v>0</v>
      </c>
      <c r="G1144" s="0" t="n">
        <f aca="false">IF($F1144=0,0,INDEX(Aux_HH!$D$4:$D$18,MATCH($B1144&amp;"|"&amp;$E1144,Aux_HH!$A$4:$A$18,0)))</f>
        <v>0</v>
      </c>
      <c r="H1144" s="0" t="n">
        <f aca="false">IF($F1144=0,0,INDEX(Aux_HH!$E$4:$E$18,MATCH($B1144&amp;"|"&amp;$E1144,Aux_HH!$A$4:$A$18,0)))</f>
        <v>0</v>
      </c>
      <c r="I1144" s="0" t="n">
        <f aca="false">IF($F1144=0,0,INDEX(Aux_HH!$F$4:$F$18,MATCH($B1144&amp;"|"&amp;$E1144,Aux_HH!$A$4:$A$18,0)))</f>
        <v>0</v>
      </c>
      <c r="J1144" s="0" t="n">
        <f aca="false">IF($F1144=0,0,INDEX(Aux_HH!$G$4:$G$18,MATCH($B1144&amp;"|"&amp;$E1144,Aux_HH!$A$4:$A$18,0)))</f>
        <v>0</v>
      </c>
      <c r="K1144" s="0" t="n">
        <f aca="false">IF($F1144=0,0,INDEX(Aux_HH!$H$4:$H$18,MATCH($B1144&amp;"|"&amp;$E1144,Aux_HH!$A$4:$A$18,0)))</f>
        <v>0</v>
      </c>
      <c r="L1144" s="0" t="n">
        <f aca="false">IF($F1144=0,0,INDEX(Aux_HH!$I$4:$I$18,MATCH($B1144&amp;"|"&amp;$E1144,Aux_HH!$A$4:$A$18,0)))</f>
        <v>0</v>
      </c>
    </row>
    <row r="1145" customFormat="false" ht="15" hidden="false" customHeight="false" outlineLevel="0" collapsed="false">
      <c r="A1145" s="0" t="str">
        <f aca="false">IF(Frota!$A26="","",Frota!$A26)</f>
        <v/>
      </c>
      <c r="B1145" s="0" t="str">
        <f aca="false">IF(Frota!$A26="","",Frota!$B26)</f>
        <v/>
      </c>
      <c r="C1145" s="0" t="n">
        <v>50</v>
      </c>
      <c r="D1145" s="0" t="n">
        <f aca="false">INDEX(Semanas!$E$3:$E$54,50)</f>
        <v>3</v>
      </c>
      <c r="E1145" s="0" t="str">
        <f aca="false">IF(Frota!$A26="","",Cronograma!AY26)</f>
        <v/>
      </c>
      <c r="F1145" s="0" t="n">
        <f aca="false">IF(OR($E1145="",$E1145=0),0,1)</f>
        <v>0</v>
      </c>
      <c r="G1145" s="0" t="n">
        <f aca="false">IF($F1145=0,0,INDEX(Aux_HH!$D$4:$D$18,MATCH($B1145&amp;"|"&amp;$E1145,Aux_HH!$A$4:$A$18,0)))</f>
        <v>0</v>
      </c>
      <c r="H1145" s="0" t="n">
        <f aca="false">IF($F1145=0,0,INDEX(Aux_HH!$E$4:$E$18,MATCH($B1145&amp;"|"&amp;$E1145,Aux_HH!$A$4:$A$18,0)))</f>
        <v>0</v>
      </c>
      <c r="I1145" s="0" t="n">
        <f aca="false">IF($F1145=0,0,INDEX(Aux_HH!$F$4:$F$18,MATCH($B1145&amp;"|"&amp;$E1145,Aux_HH!$A$4:$A$18,0)))</f>
        <v>0</v>
      </c>
      <c r="J1145" s="0" t="n">
        <f aca="false">IF($F1145=0,0,INDEX(Aux_HH!$G$4:$G$18,MATCH($B1145&amp;"|"&amp;$E1145,Aux_HH!$A$4:$A$18,0)))</f>
        <v>0</v>
      </c>
      <c r="K1145" s="0" t="n">
        <f aca="false">IF($F1145=0,0,INDEX(Aux_HH!$H$4:$H$18,MATCH($B1145&amp;"|"&amp;$E1145,Aux_HH!$A$4:$A$18,0)))</f>
        <v>0</v>
      </c>
      <c r="L1145" s="0" t="n">
        <f aca="false">IF($F1145=0,0,INDEX(Aux_HH!$I$4:$I$18,MATCH($B1145&amp;"|"&amp;$E1145,Aux_HH!$A$4:$A$18,0)))</f>
        <v>0</v>
      </c>
    </row>
    <row r="1146" customFormat="false" ht="15" hidden="false" customHeight="false" outlineLevel="0" collapsed="false">
      <c r="A1146" s="0" t="str">
        <f aca="false">IF(Frota!$A26="","",Frota!$A26)</f>
        <v/>
      </c>
      <c r="B1146" s="0" t="str">
        <f aca="false">IF(Frota!$A26="","",Frota!$B26)</f>
        <v/>
      </c>
      <c r="C1146" s="0" t="n">
        <v>51</v>
      </c>
      <c r="D1146" s="0" t="n">
        <f aca="false">INDEX(Semanas!$E$3:$E$54,51)</f>
        <v>3</v>
      </c>
      <c r="E1146" s="0" t="str">
        <f aca="false">IF(Frota!$A26="","",Cronograma!AZ26)</f>
        <v/>
      </c>
      <c r="F1146" s="0" t="n">
        <f aca="false">IF(OR($E1146="",$E1146=0),0,1)</f>
        <v>0</v>
      </c>
      <c r="G1146" s="0" t="n">
        <f aca="false">IF($F1146=0,0,INDEX(Aux_HH!$D$4:$D$18,MATCH($B1146&amp;"|"&amp;$E1146,Aux_HH!$A$4:$A$18,0)))</f>
        <v>0</v>
      </c>
      <c r="H1146" s="0" t="n">
        <f aca="false">IF($F1146=0,0,INDEX(Aux_HH!$E$4:$E$18,MATCH($B1146&amp;"|"&amp;$E1146,Aux_HH!$A$4:$A$18,0)))</f>
        <v>0</v>
      </c>
      <c r="I1146" s="0" t="n">
        <f aca="false">IF($F1146=0,0,INDEX(Aux_HH!$F$4:$F$18,MATCH($B1146&amp;"|"&amp;$E1146,Aux_HH!$A$4:$A$18,0)))</f>
        <v>0</v>
      </c>
      <c r="J1146" s="0" t="n">
        <f aca="false">IF($F1146=0,0,INDEX(Aux_HH!$G$4:$G$18,MATCH($B1146&amp;"|"&amp;$E1146,Aux_HH!$A$4:$A$18,0)))</f>
        <v>0</v>
      </c>
      <c r="K1146" s="0" t="n">
        <f aca="false">IF($F1146=0,0,INDEX(Aux_HH!$H$4:$H$18,MATCH($B1146&amp;"|"&amp;$E1146,Aux_HH!$A$4:$A$18,0)))</f>
        <v>0</v>
      </c>
      <c r="L1146" s="0" t="n">
        <f aca="false">IF($F1146=0,0,INDEX(Aux_HH!$I$4:$I$18,MATCH($B1146&amp;"|"&amp;$E1146,Aux_HH!$A$4:$A$18,0)))</f>
        <v>0</v>
      </c>
    </row>
    <row r="1147" customFormat="false" ht="15" hidden="false" customHeight="false" outlineLevel="0" collapsed="false">
      <c r="A1147" s="0" t="str">
        <f aca="false">IF(Frota!$A26="","",Frota!$A26)</f>
        <v/>
      </c>
      <c r="B1147" s="0" t="str">
        <f aca="false">IF(Frota!$A26="","",Frota!$B26)</f>
        <v/>
      </c>
      <c r="C1147" s="0" t="n">
        <v>52</v>
      </c>
      <c r="D1147" s="0" t="n">
        <f aca="false">INDEX(Semanas!$E$3:$E$54,52)</f>
        <v>3</v>
      </c>
      <c r="E1147" s="0" t="str">
        <f aca="false">IF(Frota!$A26="","",Cronograma!BA26)</f>
        <v/>
      </c>
      <c r="F1147" s="0" t="n">
        <f aca="false">IF(OR($E1147="",$E1147=0),0,1)</f>
        <v>0</v>
      </c>
      <c r="G1147" s="0" t="n">
        <f aca="false">IF($F1147=0,0,INDEX(Aux_HH!$D$4:$D$18,MATCH($B1147&amp;"|"&amp;$E1147,Aux_HH!$A$4:$A$18,0)))</f>
        <v>0</v>
      </c>
      <c r="H1147" s="0" t="n">
        <f aca="false">IF($F1147=0,0,INDEX(Aux_HH!$E$4:$E$18,MATCH($B1147&amp;"|"&amp;$E1147,Aux_HH!$A$4:$A$18,0)))</f>
        <v>0</v>
      </c>
      <c r="I1147" s="0" t="n">
        <f aca="false">IF($F1147=0,0,INDEX(Aux_HH!$F$4:$F$18,MATCH($B1147&amp;"|"&amp;$E1147,Aux_HH!$A$4:$A$18,0)))</f>
        <v>0</v>
      </c>
      <c r="J1147" s="0" t="n">
        <f aca="false">IF($F1147=0,0,INDEX(Aux_HH!$G$4:$G$18,MATCH($B1147&amp;"|"&amp;$E1147,Aux_HH!$A$4:$A$18,0)))</f>
        <v>0</v>
      </c>
      <c r="K1147" s="0" t="n">
        <f aca="false">IF($F1147=0,0,INDEX(Aux_HH!$H$4:$H$18,MATCH($B1147&amp;"|"&amp;$E1147,Aux_HH!$A$4:$A$18,0)))</f>
        <v>0</v>
      </c>
      <c r="L1147" s="0" t="n">
        <f aca="false">IF($F1147=0,0,INDEX(Aux_HH!$I$4:$I$18,MATCH($B1147&amp;"|"&amp;$E1147,Aux_HH!$A$4:$A$18,0)))</f>
        <v>0</v>
      </c>
    </row>
    <row r="1148" customFormat="false" ht="15" hidden="false" customHeight="false" outlineLevel="0" collapsed="false">
      <c r="A1148" s="0" t="str">
        <f aca="false">IF(Frota!$A27="","",Frota!$A27)</f>
        <v/>
      </c>
      <c r="B1148" s="0" t="str">
        <f aca="false">IF(Frota!$A27="","",Frota!$B27)</f>
        <v/>
      </c>
      <c r="C1148" s="0" t="n">
        <v>1</v>
      </c>
      <c r="D1148" s="0" t="n">
        <f aca="false">INDEX(Semanas!$E$3:$E$54,1)</f>
        <v>4</v>
      </c>
      <c r="E1148" s="0" t="str">
        <f aca="false">IF(Frota!$A27="","",Cronograma!B27)</f>
        <v/>
      </c>
      <c r="F1148" s="0" t="n">
        <f aca="false">IF(OR($E1148="",$E1148=0),0,1)</f>
        <v>0</v>
      </c>
      <c r="G1148" s="0" t="n">
        <f aca="false">IF($F1148=0,0,INDEX(Aux_HH!$D$4:$D$18,MATCH($B1148&amp;"|"&amp;$E1148,Aux_HH!$A$4:$A$18,0)))</f>
        <v>0</v>
      </c>
      <c r="H1148" s="0" t="n">
        <f aca="false">IF($F1148=0,0,INDEX(Aux_HH!$E$4:$E$18,MATCH($B1148&amp;"|"&amp;$E1148,Aux_HH!$A$4:$A$18,0)))</f>
        <v>0</v>
      </c>
      <c r="I1148" s="0" t="n">
        <f aca="false">IF($F1148=0,0,INDEX(Aux_HH!$F$4:$F$18,MATCH($B1148&amp;"|"&amp;$E1148,Aux_HH!$A$4:$A$18,0)))</f>
        <v>0</v>
      </c>
      <c r="J1148" s="0" t="n">
        <f aca="false">IF($F1148=0,0,INDEX(Aux_HH!$G$4:$G$18,MATCH($B1148&amp;"|"&amp;$E1148,Aux_HH!$A$4:$A$18,0)))</f>
        <v>0</v>
      </c>
      <c r="K1148" s="0" t="n">
        <f aca="false">IF($F1148=0,0,INDEX(Aux_HH!$H$4:$H$18,MATCH($B1148&amp;"|"&amp;$E1148,Aux_HH!$A$4:$A$18,0)))</f>
        <v>0</v>
      </c>
      <c r="L1148" s="0" t="n">
        <f aca="false">IF($F1148=0,0,INDEX(Aux_HH!$I$4:$I$18,MATCH($B1148&amp;"|"&amp;$E1148,Aux_HH!$A$4:$A$18,0)))</f>
        <v>0</v>
      </c>
    </row>
    <row r="1149" customFormat="false" ht="15" hidden="false" customHeight="false" outlineLevel="0" collapsed="false">
      <c r="A1149" s="0" t="str">
        <f aca="false">IF(Frota!$A27="","",Frota!$A27)</f>
        <v/>
      </c>
      <c r="B1149" s="0" t="str">
        <f aca="false">IF(Frota!$A27="","",Frota!$B27)</f>
        <v/>
      </c>
      <c r="C1149" s="0" t="n">
        <v>2</v>
      </c>
      <c r="D1149" s="0" t="n">
        <f aca="false">INDEX(Semanas!$E$3:$E$54,2)</f>
        <v>4</v>
      </c>
      <c r="E1149" s="0" t="str">
        <f aca="false">IF(Frota!$A27="","",Cronograma!C27)</f>
        <v/>
      </c>
      <c r="F1149" s="0" t="n">
        <f aca="false">IF(OR($E1149="",$E1149=0),0,1)</f>
        <v>0</v>
      </c>
      <c r="G1149" s="0" t="n">
        <f aca="false">IF($F1149=0,0,INDEX(Aux_HH!$D$4:$D$18,MATCH($B1149&amp;"|"&amp;$E1149,Aux_HH!$A$4:$A$18,0)))</f>
        <v>0</v>
      </c>
      <c r="H1149" s="0" t="n">
        <f aca="false">IF($F1149=0,0,INDEX(Aux_HH!$E$4:$E$18,MATCH($B1149&amp;"|"&amp;$E1149,Aux_HH!$A$4:$A$18,0)))</f>
        <v>0</v>
      </c>
      <c r="I1149" s="0" t="n">
        <f aca="false">IF($F1149=0,0,INDEX(Aux_HH!$F$4:$F$18,MATCH($B1149&amp;"|"&amp;$E1149,Aux_HH!$A$4:$A$18,0)))</f>
        <v>0</v>
      </c>
      <c r="J1149" s="0" t="n">
        <f aca="false">IF($F1149=0,0,INDEX(Aux_HH!$G$4:$G$18,MATCH($B1149&amp;"|"&amp;$E1149,Aux_HH!$A$4:$A$18,0)))</f>
        <v>0</v>
      </c>
      <c r="K1149" s="0" t="n">
        <f aca="false">IF($F1149=0,0,INDEX(Aux_HH!$H$4:$H$18,MATCH($B1149&amp;"|"&amp;$E1149,Aux_HH!$A$4:$A$18,0)))</f>
        <v>0</v>
      </c>
      <c r="L1149" s="0" t="n">
        <f aca="false">IF($F1149=0,0,INDEX(Aux_HH!$I$4:$I$18,MATCH($B1149&amp;"|"&amp;$E1149,Aux_HH!$A$4:$A$18,0)))</f>
        <v>0</v>
      </c>
    </row>
    <row r="1150" customFormat="false" ht="15" hidden="false" customHeight="false" outlineLevel="0" collapsed="false">
      <c r="A1150" s="0" t="str">
        <f aca="false">IF(Frota!$A27="","",Frota!$A27)</f>
        <v/>
      </c>
      <c r="B1150" s="0" t="str">
        <f aca="false">IF(Frota!$A27="","",Frota!$B27)</f>
        <v/>
      </c>
      <c r="C1150" s="0" t="n">
        <v>3</v>
      </c>
      <c r="D1150" s="0" t="n">
        <f aca="false">INDEX(Semanas!$E$3:$E$54,3)</f>
        <v>4</v>
      </c>
      <c r="E1150" s="0" t="str">
        <f aca="false">IF(Frota!$A27="","",Cronograma!D27)</f>
        <v/>
      </c>
      <c r="F1150" s="0" t="n">
        <f aca="false">IF(OR($E1150="",$E1150=0),0,1)</f>
        <v>0</v>
      </c>
      <c r="G1150" s="0" t="n">
        <f aca="false">IF($F1150=0,0,INDEX(Aux_HH!$D$4:$D$18,MATCH($B1150&amp;"|"&amp;$E1150,Aux_HH!$A$4:$A$18,0)))</f>
        <v>0</v>
      </c>
      <c r="H1150" s="0" t="n">
        <f aca="false">IF($F1150=0,0,INDEX(Aux_HH!$E$4:$E$18,MATCH($B1150&amp;"|"&amp;$E1150,Aux_HH!$A$4:$A$18,0)))</f>
        <v>0</v>
      </c>
      <c r="I1150" s="0" t="n">
        <f aca="false">IF($F1150=0,0,INDEX(Aux_HH!$F$4:$F$18,MATCH($B1150&amp;"|"&amp;$E1150,Aux_HH!$A$4:$A$18,0)))</f>
        <v>0</v>
      </c>
      <c r="J1150" s="0" t="n">
        <f aca="false">IF($F1150=0,0,INDEX(Aux_HH!$G$4:$G$18,MATCH($B1150&amp;"|"&amp;$E1150,Aux_HH!$A$4:$A$18,0)))</f>
        <v>0</v>
      </c>
      <c r="K1150" s="0" t="n">
        <f aca="false">IF($F1150=0,0,INDEX(Aux_HH!$H$4:$H$18,MATCH($B1150&amp;"|"&amp;$E1150,Aux_HH!$A$4:$A$18,0)))</f>
        <v>0</v>
      </c>
      <c r="L1150" s="0" t="n">
        <f aca="false">IF($F1150=0,0,INDEX(Aux_HH!$I$4:$I$18,MATCH($B1150&amp;"|"&amp;$E1150,Aux_HH!$A$4:$A$18,0)))</f>
        <v>0</v>
      </c>
    </row>
    <row r="1151" customFormat="false" ht="15" hidden="false" customHeight="false" outlineLevel="0" collapsed="false">
      <c r="A1151" s="0" t="str">
        <f aca="false">IF(Frota!$A27="","",Frota!$A27)</f>
        <v/>
      </c>
      <c r="B1151" s="0" t="str">
        <f aca="false">IF(Frota!$A27="","",Frota!$B27)</f>
        <v/>
      </c>
      <c r="C1151" s="0" t="n">
        <v>4</v>
      </c>
      <c r="D1151" s="0" t="n">
        <f aca="false">INDEX(Semanas!$E$3:$E$54,4)</f>
        <v>4</v>
      </c>
      <c r="E1151" s="0" t="str">
        <f aca="false">IF(Frota!$A27="","",Cronograma!E27)</f>
        <v/>
      </c>
      <c r="F1151" s="0" t="n">
        <f aca="false">IF(OR($E1151="",$E1151=0),0,1)</f>
        <v>0</v>
      </c>
      <c r="G1151" s="0" t="n">
        <f aca="false">IF($F1151=0,0,INDEX(Aux_HH!$D$4:$D$18,MATCH($B1151&amp;"|"&amp;$E1151,Aux_HH!$A$4:$A$18,0)))</f>
        <v>0</v>
      </c>
      <c r="H1151" s="0" t="n">
        <f aca="false">IF($F1151=0,0,INDEX(Aux_HH!$E$4:$E$18,MATCH($B1151&amp;"|"&amp;$E1151,Aux_HH!$A$4:$A$18,0)))</f>
        <v>0</v>
      </c>
      <c r="I1151" s="0" t="n">
        <f aca="false">IF($F1151=0,0,INDEX(Aux_HH!$F$4:$F$18,MATCH($B1151&amp;"|"&amp;$E1151,Aux_HH!$A$4:$A$18,0)))</f>
        <v>0</v>
      </c>
      <c r="J1151" s="0" t="n">
        <f aca="false">IF($F1151=0,0,INDEX(Aux_HH!$G$4:$G$18,MATCH($B1151&amp;"|"&amp;$E1151,Aux_HH!$A$4:$A$18,0)))</f>
        <v>0</v>
      </c>
      <c r="K1151" s="0" t="n">
        <f aca="false">IF($F1151=0,0,INDEX(Aux_HH!$H$4:$H$18,MATCH($B1151&amp;"|"&amp;$E1151,Aux_HH!$A$4:$A$18,0)))</f>
        <v>0</v>
      </c>
      <c r="L1151" s="0" t="n">
        <f aca="false">IF($F1151=0,0,INDEX(Aux_HH!$I$4:$I$18,MATCH($B1151&amp;"|"&amp;$E1151,Aux_HH!$A$4:$A$18,0)))</f>
        <v>0</v>
      </c>
    </row>
    <row r="1152" customFormat="false" ht="15" hidden="false" customHeight="false" outlineLevel="0" collapsed="false">
      <c r="A1152" s="0" t="str">
        <f aca="false">IF(Frota!$A27="","",Frota!$A27)</f>
        <v/>
      </c>
      <c r="B1152" s="0" t="str">
        <f aca="false">IF(Frota!$A27="","",Frota!$B27)</f>
        <v/>
      </c>
      <c r="C1152" s="0" t="n">
        <v>5</v>
      </c>
      <c r="D1152" s="0" t="n">
        <f aca="false">INDEX(Semanas!$E$3:$E$54,5)</f>
        <v>4</v>
      </c>
      <c r="E1152" s="0" t="str">
        <f aca="false">IF(Frota!$A27="","",Cronograma!F27)</f>
        <v/>
      </c>
      <c r="F1152" s="0" t="n">
        <f aca="false">IF(OR($E1152="",$E1152=0),0,1)</f>
        <v>0</v>
      </c>
      <c r="G1152" s="0" t="n">
        <f aca="false">IF($F1152=0,0,INDEX(Aux_HH!$D$4:$D$18,MATCH($B1152&amp;"|"&amp;$E1152,Aux_HH!$A$4:$A$18,0)))</f>
        <v>0</v>
      </c>
      <c r="H1152" s="0" t="n">
        <f aca="false">IF($F1152=0,0,INDEX(Aux_HH!$E$4:$E$18,MATCH($B1152&amp;"|"&amp;$E1152,Aux_HH!$A$4:$A$18,0)))</f>
        <v>0</v>
      </c>
      <c r="I1152" s="0" t="n">
        <f aca="false">IF($F1152=0,0,INDEX(Aux_HH!$F$4:$F$18,MATCH($B1152&amp;"|"&amp;$E1152,Aux_HH!$A$4:$A$18,0)))</f>
        <v>0</v>
      </c>
      <c r="J1152" s="0" t="n">
        <f aca="false">IF($F1152=0,0,INDEX(Aux_HH!$G$4:$G$18,MATCH($B1152&amp;"|"&amp;$E1152,Aux_HH!$A$4:$A$18,0)))</f>
        <v>0</v>
      </c>
      <c r="K1152" s="0" t="n">
        <f aca="false">IF($F1152=0,0,INDEX(Aux_HH!$H$4:$H$18,MATCH($B1152&amp;"|"&amp;$E1152,Aux_HH!$A$4:$A$18,0)))</f>
        <v>0</v>
      </c>
      <c r="L1152" s="0" t="n">
        <f aca="false">IF($F1152=0,0,INDEX(Aux_HH!$I$4:$I$18,MATCH($B1152&amp;"|"&amp;$E1152,Aux_HH!$A$4:$A$18,0)))</f>
        <v>0</v>
      </c>
    </row>
    <row r="1153" customFormat="false" ht="15" hidden="false" customHeight="false" outlineLevel="0" collapsed="false">
      <c r="A1153" s="0" t="str">
        <f aca="false">IF(Frota!$A27="","",Frota!$A27)</f>
        <v/>
      </c>
      <c r="B1153" s="0" t="str">
        <f aca="false">IF(Frota!$A27="","",Frota!$B27)</f>
        <v/>
      </c>
      <c r="C1153" s="0" t="n">
        <v>6</v>
      </c>
      <c r="D1153" s="0" t="n">
        <f aca="false">INDEX(Semanas!$E$3:$E$54,6)</f>
        <v>5</v>
      </c>
      <c r="E1153" s="0" t="str">
        <f aca="false">IF(Frota!$A27="","",Cronograma!G27)</f>
        <v/>
      </c>
      <c r="F1153" s="0" t="n">
        <f aca="false">IF(OR($E1153="",$E1153=0),0,1)</f>
        <v>0</v>
      </c>
      <c r="G1153" s="0" t="n">
        <f aca="false">IF($F1153=0,0,INDEX(Aux_HH!$D$4:$D$18,MATCH($B1153&amp;"|"&amp;$E1153,Aux_HH!$A$4:$A$18,0)))</f>
        <v>0</v>
      </c>
      <c r="H1153" s="0" t="n">
        <f aca="false">IF($F1153=0,0,INDEX(Aux_HH!$E$4:$E$18,MATCH($B1153&amp;"|"&amp;$E1153,Aux_HH!$A$4:$A$18,0)))</f>
        <v>0</v>
      </c>
      <c r="I1153" s="0" t="n">
        <f aca="false">IF($F1153=0,0,INDEX(Aux_HH!$F$4:$F$18,MATCH($B1153&amp;"|"&amp;$E1153,Aux_HH!$A$4:$A$18,0)))</f>
        <v>0</v>
      </c>
      <c r="J1153" s="0" t="n">
        <f aca="false">IF($F1153=0,0,INDEX(Aux_HH!$G$4:$G$18,MATCH($B1153&amp;"|"&amp;$E1153,Aux_HH!$A$4:$A$18,0)))</f>
        <v>0</v>
      </c>
      <c r="K1153" s="0" t="n">
        <f aca="false">IF($F1153=0,0,INDEX(Aux_HH!$H$4:$H$18,MATCH($B1153&amp;"|"&amp;$E1153,Aux_HH!$A$4:$A$18,0)))</f>
        <v>0</v>
      </c>
      <c r="L1153" s="0" t="n">
        <f aca="false">IF($F1153=0,0,INDEX(Aux_HH!$I$4:$I$18,MATCH($B1153&amp;"|"&amp;$E1153,Aux_HH!$A$4:$A$18,0)))</f>
        <v>0</v>
      </c>
    </row>
    <row r="1154" customFormat="false" ht="15" hidden="false" customHeight="false" outlineLevel="0" collapsed="false">
      <c r="A1154" s="0" t="str">
        <f aca="false">IF(Frota!$A27="","",Frota!$A27)</f>
        <v/>
      </c>
      <c r="B1154" s="0" t="str">
        <f aca="false">IF(Frota!$A27="","",Frota!$B27)</f>
        <v/>
      </c>
      <c r="C1154" s="0" t="n">
        <v>7</v>
      </c>
      <c r="D1154" s="0" t="n">
        <f aca="false">INDEX(Semanas!$E$3:$E$54,7)</f>
        <v>5</v>
      </c>
      <c r="E1154" s="0" t="str">
        <f aca="false">IF(Frota!$A27="","",Cronograma!H27)</f>
        <v/>
      </c>
      <c r="F1154" s="0" t="n">
        <f aca="false">IF(OR($E1154="",$E1154=0),0,1)</f>
        <v>0</v>
      </c>
      <c r="G1154" s="0" t="n">
        <f aca="false">IF($F1154=0,0,INDEX(Aux_HH!$D$4:$D$18,MATCH($B1154&amp;"|"&amp;$E1154,Aux_HH!$A$4:$A$18,0)))</f>
        <v>0</v>
      </c>
      <c r="H1154" s="0" t="n">
        <f aca="false">IF($F1154=0,0,INDEX(Aux_HH!$E$4:$E$18,MATCH($B1154&amp;"|"&amp;$E1154,Aux_HH!$A$4:$A$18,0)))</f>
        <v>0</v>
      </c>
      <c r="I1154" s="0" t="n">
        <f aca="false">IF($F1154=0,0,INDEX(Aux_HH!$F$4:$F$18,MATCH($B1154&amp;"|"&amp;$E1154,Aux_HH!$A$4:$A$18,0)))</f>
        <v>0</v>
      </c>
      <c r="J1154" s="0" t="n">
        <f aca="false">IF($F1154=0,0,INDEX(Aux_HH!$G$4:$G$18,MATCH($B1154&amp;"|"&amp;$E1154,Aux_HH!$A$4:$A$18,0)))</f>
        <v>0</v>
      </c>
      <c r="K1154" s="0" t="n">
        <f aca="false">IF($F1154=0,0,INDEX(Aux_HH!$H$4:$H$18,MATCH($B1154&amp;"|"&amp;$E1154,Aux_HH!$A$4:$A$18,0)))</f>
        <v>0</v>
      </c>
      <c r="L1154" s="0" t="n">
        <f aca="false">IF($F1154=0,0,INDEX(Aux_HH!$I$4:$I$18,MATCH($B1154&amp;"|"&amp;$E1154,Aux_HH!$A$4:$A$18,0)))</f>
        <v>0</v>
      </c>
    </row>
    <row r="1155" customFormat="false" ht="15" hidden="false" customHeight="false" outlineLevel="0" collapsed="false">
      <c r="A1155" s="0" t="str">
        <f aca="false">IF(Frota!$A27="","",Frota!$A27)</f>
        <v/>
      </c>
      <c r="B1155" s="0" t="str">
        <f aca="false">IF(Frota!$A27="","",Frota!$B27)</f>
        <v/>
      </c>
      <c r="C1155" s="0" t="n">
        <v>8</v>
      </c>
      <c r="D1155" s="0" t="n">
        <f aca="false">INDEX(Semanas!$E$3:$E$54,8)</f>
        <v>5</v>
      </c>
      <c r="E1155" s="0" t="str">
        <f aca="false">IF(Frota!$A27="","",Cronograma!I27)</f>
        <v/>
      </c>
      <c r="F1155" s="0" t="n">
        <f aca="false">IF(OR($E1155="",$E1155=0),0,1)</f>
        <v>0</v>
      </c>
      <c r="G1155" s="0" t="n">
        <f aca="false">IF($F1155=0,0,INDEX(Aux_HH!$D$4:$D$18,MATCH($B1155&amp;"|"&amp;$E1155,Aux_HH!$A$4:$A$18,0)))</f>
        <v>0</v>
      </c>
      <c r="H1155" s="0" t="n">
        <f aca="false">IF($F1155=0,0,INDEX(Aux_HH!$E$4:$E$18,MATCH($B1155&amp;"|"&amp;$E1155,Aux_HH!$A$4:$A$18,0)))</f>
        <v>0</v>
      </c>
      <c r="I1155" s="0" t="n">
        <f aca="false">IF($F1155=0,0,INDEX(Aux_HH!$F$4:$F$18,MATCH($B1155&amp;"|"&amp;$E1155,Aux_HH!$A$4:$A$18,0)))</f>
        <v>0</v>
      </c>
      <c r="J1155" s="0" t="n">
        <f aca="false">IF($F1155=0,0,INDEX(Aux_HH!$G$4:$G$18,MATCH($B1155&amp;"|"&amp;$E1155,Aux_HH!$A$4:$A$18,0)))</f>
        <v>0</v>
      </c>
      <c r="K1155" s="0" t="n">
        <f aca="false">IF($F1155=0,0,INDEX(Aux_HH!$H$4:$H$18,MATCH($B1155&amp;"|"&amp;$E1155,Aux_HH!$A$4:$A$18,0)))</f>
        <v>0</v>
      </c>
      <c r="L1155" s="0" t="n">
        <f aca="false">IF($F1155=0,0,INDEX(Aux_HH!$I$4:$I$18,MATCH($B1155&amp;"|"&amp;$E1155,Aux_HH!$A$4:$A$18,0)))</f>
        <v>0</v>
      </c>
    </row>
    <row r="1156" customFormat="false" ht="15" hidden="false" customHeight="false" outlineLevel="0" collapsed="false">
      <c r="A1156" s="0" t="str">
        <f aca="false">IF(Frota!$A27="","",Frota!$A27)</f>
        <v/>
      </c>
      <c r="B1156" s="0" t="str">
        <f aca="false">IF(Frota!$A27="","",Frota!$B27)</f>
        <v/>
      </c>
      <c r="C1156" s="0" t="n">
        <v>9</v>
      </c>
      <c r="D1156" s="0" t="n">
        <f aca="false">INDEX(Semanas!$E$3:$E$54,9)</f>
        <v>5</v>
      </c>
      <c r="E1156" s="0" t="str">
        <f aca="false">IF(Frota!$A27="","",Cronograma!J27)</f>
        <v/>
      </c>
      <c r="F1156" s="0" t="n">
        <f aca="false">IF(OR($E1156="",$E1156=0),0,1)</f>
        <v>0</v>
      </c>
      <c r="G1156" s="0" t="n">
        <f aca="false">IF($F1156=0,0,INDEX(Aux_HH!$D$4:$D$18,MATCH($B1156&amp;"|"&amp;$E1156,Aux_HH!$A$4:$A$18,0)))</f>
        <v>0</v>
      </c>
      <c r="H1156" s="0" t="n">
        <f aca="false">IF($F1156=0,0,INDEX(Aux_HH!$E$4:$E$18,MATCH($B1156&amp;"|"&amp;$E1156,Aux_HH!$A$4:$A$18,0)))</f>
        <v>0</v>
      </c>
      <c r="I1156" s="0" t="n">
        <f aca="false">IF($F1156=0,0,INDEX(Aux_HH!$F$4:$F$18,MATCH($B1156&amp;"|"&amp;$E1156,Aux_HH!$A$4:$A$18,0)))</f>
        <v>0</v>
      </c>
      <c r="J1156" s="0" t="n">
        <f aca="false">IF($F1156=0,0,INDEX(Aux_HH!$G$4:$G$18,MATCH($B1156&amp;"|"&amp;$E1156,Aux_HH!$A$4:$A$18,0)))</f>
        <v>0</v>
      </c>
      <c r="K1156" s="0" t="n">
        <f aca="false">IF($F1156=0,0,INDEX(Aux_HH!$H$4:$H$18,MATCH($B1156&amp;"|"&amp;$E1156,Aux_HH!$A$4:$A$18,0)))</f>
        <v>0</v>
      </c>
      <c r="L1156" s="0" t="n">
        <f aca="false">IF($F1156=0,0,INDEX(Aux_HH!$I$4:$I$18,MATCH($B1156&amp;"|"&amp;$E1156,Aux_HH!$A$4:$A$18,0)))</f>
        <v>0</v>
      </c>
    </row>
    <row r="1157" customFormat="false" ht="15" hidden="false" customHeight="false" outlineLevel="0" collapsed="false">
      <c r="A1157" s="0" t="str">
        <f aca="false">IF(Frota!$A27="","",Frota!$A27)</f>
        <v/>
      </c>
      <c r="B1157" s="0" t="str">
        <f aca="false">IF(Frota!$A27="","",Frota!$B27)</f>
        <v/>
      </c>
      <c r="C1157" s="0" t="n">
        <v>10</v>
      </c>
      <c r="D1157" s="0" t="n">
        <f aca="false">INDEX(Semanas!$E$3:$E$54,10)</f>
        <v>6</v>
      </c>
      <c r="E1157" s="0" t="str">
        <f aca="false">IF(Frota!$A27="","",Cronograma!K27)</f>
        <v/>
      </c>
      <c r="F1157" s="0" t="n">
        <f aca="false">IF(OR($E1157="",$E1157=0),0,1)</f>
        <v>0</v>
      </c>
      <c r="G1157" s="0" t="n">
        <f aca="false">IF($F1157=0,0,INDEX(Aux_HH!$D$4:$D$18,MATCH($B1157&amp;"|"&amp;$E1157,Aux_HH!$A$4:$A$18,0)))</f>
        <v>0</v>
      </c>
      <c r="H1157" s="0" t="n">
        <f aca="false">IF($F1157=0,0,INDEX(Aux_HH!$E$4:$E$18,MATCH($B1157&amp;"|"&amp;$E1157,Aux_HH!$A$4:$A$18,0)))</f>
        <v>0</v>
      </c>
      <c r="I1157" s="0" t="n">
        <f aca="false">IF($F1157=0,0,INDEX(Aux_HH!$F$4:$F$18,MATCH($B1157&amp;"|"&amp;$E1157,Aux_HH!$A$4:$A$18,0)))</f>
        <v>0</v>
      </c>
      <c r="J1157" s="0" t="n">
        <f aca="false">IF($F1157=0,0,INDEX(Aux_HH!$G$4:$G$18,MATCH($B1157&amp;"|"&amp;$E1157,Aux_HH!$A$4:$A$18,0)))</f>
        <v>0</v>
      </c>
      <c r="K1157" s="0" t="n">
        <f aca="false">IF($F1157=0,0,INDEX(Aux_HH!$H$4:$H$18,MATCH($B1157&amp;"|"&amp;$E1157,Aux_HH!$A$4:$A$18,0)))</f>
        <v>0</v>
      </c>
      <c r="L1157" s="0" t="n">
        <f aca="false">IF($F1157=0,0,INDEX(Aux_HH!$I$4:$I$18,MATCH($B1157&amp;"|"&amp;$E1157,Aux_HH!$A$4:$A$18,0)))</f>
        <v>0</v>
      </c>
    </row>
    <row r="1158" customFormat="false" ht="15" hidden="false" customHeight="false" outlineLevel="0" collapsed="false">
      <c r="A1158" s="0" t="str">
        <f aca="false">IF(Frota!$A27="","",Frota!$A27)</f>
        <v/>
      </c>
      <c r="B1158" s="0" t="str">
        <f aca="false">IF(Frota!$A27="","",Frota!$B27)</f>
        <v/>
      </c>
      <c r="C1158" s="0" t="n">
        <v>11</v>
      </c>
      <c r="D1158" s="0" t="n">
        <f aca="false">INDEX(Semanas!$E$3:$E$54,11)</f>
        <v>6</v>
      </c>
      <c r="E1158" s="0" t="str">
        <f aca="false">IF(Frota!$A27="","",Cronograma!L27)</f>
        <v/>
      </c>
      <c r="F1158" s="0" t="n">
        <f aca="false">IF(OR($E1158="",$E1158=0),0,1)</f>
        <v>0</v>
      </c>
      <c r="G1158" s="0" t="n">
        <f aca="false">IF($F1158=0,0,INDEX(Aux_HH!$D$4:$D$18,MATCH($B1158&amp;"|"&amp;$E1158,Aux_HH!$A$4:$A$18,0)))</f>
        <v>0</v>
      </c>
      <c r="H1158" s="0" t="n">
        <f aca="false">IF($F1158=0,0,INDEX(Aux_HH!$E$4:$E$18,MATCH($B1158&amp;"|"&amp;$E1158,Aux_HH!$A$4:$A$18,0)))</f>
        <v>0</v>
      </c>
      <c r="I1158" s="0" t="n">
        <f aca="false">IF($F1158=0,0,INDEX(Aux_HH!$F$4:$F$18,MATCH($B1158&amp;"|"&amp;$E1158,Aux_HH!$A$4:$A$18,0)))</f>
        <v>0</v>
      </c>
      <c r="J1158" s="0" t="n">
        <f aca="false">IF($F1158=0,0,INDEX(Aux_HH!$G$4:$G$18,MATCH($B1158&amp;"|"&amp;$E1158,Aux_HH!$A$4:$A$18,0)))</f>
        <v>0</v>
      </c>
      <c r="K1158" s="0" t="n">
        <f aca="false">IF($F1158=0,0,INDEX(Aux_HH!$H$4:$H$18,MATCH($B1158&amp;"|"&amp;$E1158,Aux_HH!$A$4:$A$18,0)))</f>
        <v>0</v>
      </c>
      <c r="L1158" s="0" t="n">
        <f aca="false">IF($F1158=0,0,INDEX(Aux_HH!$I$4:$I$18,MATCH($B1158&amp;"|"&amp;$E1158,Aux_HH!$A$4:$A$18,0)))</f>
        <v>0</v>
      </c>
    </row>
    <row r="1159" customFormat="false" ht="15" hidden="false" customHeight="false" outlineLevel="0" collapsed="false">
      <c r="A1159" s="0" t="str">
        <f aca="false">IF(Frota!$A27="","",Frota!$A27)</f>
        <v/>
      </c>
      <c r="B1159" s="0" t="str">
        <f aca="false">IF(Frota!$A27="","",Frota!$B27)</f>
        <v/>
      </c>
      <c r="C1159" s="0" t="n">
        <v>12</v>
      </c>
      <c r="D1159" s="0" t="n">
        <f aca="false">INDEX(Semanas!$E$3:$E$54,12)</f>
        <v>6</v>
      </c>
      <c r="E1159" s="0" t="str">
        <f aca="false">IF(Frota!$A27="","",Cronograma!M27)</f>
        <v/>
      </c>
      <c r="F1159" s="0" t="n">
        <f aca="false">IF(OR($E1159="",$E1159=0),0,1)</f>
        <v>0</v>
      </c>
      <c r="G1159" s="0" t="n">
        <f aca="false">IF($F1159=0,0,INDEX(Aux_HH!$D$4:$D$18,MATCH($B1159&amp;"|"&amp;$E1159,Aux_HH!$A$4:$A$18,0)))</f>
        <v>0</v>
      </c>
      <c r="H1159" s="0" t="n">
        <f aca="false">IF($F1159=0,0,INDEX(Aux_HH!$E$4:$E$18,MATCH($B1159&amp;"|"&amp;$E1159,Aux_HH!$A$4:$A$18,0)))</f>
        <v>0</v>
      </c>
      <c r="I1159" s="0" t="n">
        <f aca="false">IF($F1159=0,0,INDEX(Aux_HH!$F$4:$F$18,MATCH($B1159&amp;"|"&amp;$E1159,Aux_HH!$A$4:$A$18,0)))</f>
        <v>0</v>
      </c>
      <c r="J1159" s="0" t="n">
        <f aca="false">IF($F1159=0,0,INDEX(Aux_HH!$G$4:$G$18,MATCH($B1159&amp;"|"&amp;$E1159,Aux_HH!$A$4:$A$18,0)))</f>
        <v>0</v>
      </c>
      <c r="K1159" s="0" t="n">
        <f aca="false">IF($F1159=0,0,INDEX(Aux_HH!$H$4:$H$18,MATCH($B1159&amp;"|"&amp;$E1159,Aux_HH!$A$4:$A$18,0)))</f>
        <v>0</v>
      </c>
      <c r="L1159" s="0" t="n">
        <f aca="false">IF($F1159=0,0,INDEX(Aux_HH!$I$4:$I$18,MATCH($B1159&amp;"|"&amp;$E1159,Aux_HH!$A$4:$A$18,0)))</f>
        <v>0</v>
      </c>
    </row>
    <row r="1160" customFormat="false" ht="15" hidden="false" customHeight="false" outlineLevel="0" collapsed="false">
      <c r="A1160" s="0" t="str">
        <f aca="false">IF(Frota!$A27="","",Frota!$A27)</f>
        <v/>
      </c>
      <c r="B1160" s="0" t="str">
        <f aca="false">IF(Frota!$A27="","",Frota!$B27)</f>
        <v/>
      </c>
      <c r="C1160" s="0" t="n">
        <v>13</v>
      </c>
      <c r="D1160" s="0" t="n">
        <f aca="false">INDEX(Semanas!$E$3:$E$54,13)</f>
        <v>6</v>
      </c>
      <c r="E1160" s="0" t="str">
        <f aca="false">IF(Frota!$A27="","",Cronograma!N27)</f>
        <v/>
      </c>
      <c r="F1160" s="0" t="n">
        <f aca="false">IF(OR($E1160="",$E1160=0),0,1)</f>
        <v>0</v>
      </c>
      <c r="G1160" s="0" t="n">
        <f aca="false">IF($F1160=0,0,INDEX(Aux_HH!$D$4:$D$18,MATCH($B1160&amp;"|"&amp;$E1160,Aux_HH!$A$4:$A$18,0)))</f>
        <v>0</v>
      </c>
      <c r="H1160" s="0" t="n">
        <f aca="false">IF($F1160=0,0,INDEX(Aux_HH!$E$4:$E$18,MATCH($B1160&amp;"|"&amp;$E1160,Aux_HH!$A$4:$A$18,0)))</f>
        <v>0</v>
      </c>
      <c r="I1160" s="0" t="n">
        <f aca="false">IF($F1160=0,0,INDEX(Aux_HH!$F$4:$F$18,MATCH($B1160&amp;"|"&amp;$E1160,Aux_HH!$A$4:$A$18,0)))</f>
        <v>0</v>
      </c>
      <c r="J1160" s="0" t="n">
        <f aca="false">IF($F1160=0,0,INDEX(Aux_HH!$G$4:$G$18,MATCH($B1160&amp;"|"&amp;$E1160,Aux_HH!$A$4:$A$18,0)))</f>
        <v>0</v>
      </c>
      <c r="K1160" s="0" t="n">
        <f aca="false">IF($F1160=0,0,INDEX(Aux_HH!$H$4:$H$18,MATCH($B1160&amp;"|"&amp;$E1160,Aux_HH!$A$4:$A$18,0)))</f>
        <v>0</v>
      </c>
      <c r="L1160" s="0" t="n">
        <f aca="false">IF($F1160=0,0,INDEX(Aux_HH!$I$4:$I$18,MATCH($B1160&amp;"|"&amp;$E1160,Aux_HH!$A$4:$A$18,0)))</f>
        <v>0</v>
      </c>
    </row>
    <row r="1161" customFormat="false" ht="15" hidden="false" customHeight="false" outlineLevel="0" collapsed="false">
      <c r="A1161" s="0" t="str">
        <f aca="false">IF(Frota!$A27="","",Frota!$A27)</f>
        <v/>
      </c>
      <c r="B1161" s="0" t="str">
        <f aca="false">IF(Frota!$A27="","",Frota!$B27)</f>
        <v/>
      </c>
      <c r="C1161" s="0" t="n">
        <v>14</v>
      </c>
      <c r="D1161" s="0" t="n">
        <f aca="false">INDEX(Semanas!$E$3:$E$54,14)</f>
        <v>7</v>
      </c>
      <c r="E1161" s="0" t="str">
        <f aca="false">IF(Frota!$A27="","",Cronograma!O27)</f>
        <v/>
      </c>
      <c r="F1161" s="0" t="n">
        <f aca="false">IF(OR($E1161="",$E1161=0),0,1)</f>
        <v>0</v>
      </c>
      <c r="G1161" s="0" t="n">
        <f aca="false">IF($F1161=0,0,INDEX(Aux_HH!$D$4:$D$18,MATCH($B1161&amp;"|"&amp;$E1161,Aux_HH!$A$4:$A$18,0)))</f>
        <v>0</v>
      </c>
      <c r="H1161" s="0" t="n">
        <f aca="false">IF($F1161=0,0,INDEX(Aux_HH!$E$4:$E$18,MATCH($B1161&amp;"|"&amp;$E1161,Aux_HH!$A$4:$A$18,0)))</f>
        <v>0</v>
      </c>
      <c r="I1161" s="0" t="n">
        <f aca="false">IF($F1161=0,0,INDEX(Aux_HH!$F$4:$F$18,MATCH($B1161&amp;"|"&amp;$E1161,Aux_HH!$A$4:$A$18,0)))</f>
        <v>0</v>
      </c>
      <c r="J1161" s="0" t="n">
        <f aca="false">IF($F1161=0,0,INDEX(Aux_HH!$G$4:$G$18,MATCH($B1161&amp;"|"&amp;$E1161,Aux_HH!$A$4:$A$18,0)))</f>
        <v>0</v>
      </c>
      <c r="K1161" s="0" t="n">
        <f aca="false">IF($F1161=0,0,INDEX(Aux_HH!$H$4:$H$18,MATCH($B1161&amp;"|"&amp;$E1161,Aux_HH!$A$4:$A$18,0)))</f>
        <v>0</v>
      </c>
      <c r="L1161" s="0" t="n">
        <f aca="false">IF($F1161=0,0,INDEX(Aux_HH!$I$4:$I$18,MATCH($B1161&amp;"|"&amp;$E1161,Aux_HH!$A$4:$A$18,0)))</f>
        <v>0</v>
      </c>
    </row>
    <row r="1162" customFormat="false" ht="15" hidden="false" customHeight="false" outlineLevel="0" collapsed="false">
      <c r="A1162" s="0" t="str">
        <f aca="false">IF(Frota!$A27="","",Frota!$A27)</f>
        <v/>
      </c>
      <c r="B1162" s="0" t="str">
        <f aca="false">IF(Frota!$A27="","",Frota!$B27)</f>
        <v/>
      </c>
      <c r="C1162" s="0" t="n">
        <v>15</v>
      </c>
      <c r="D1162" s="0" t="n">
        <f aca="false">INDEX(Semanas!$E$3:$E$54,15)</f>
        <v>7</v>
      </c>
      <c r="E1162" s="0" t="str">
        <f aca="false">IF(Frota!$A27="","",Cronograma!P27)</f>
        <v/>
      </c>
      <c r="F1162" s="0" t="n">
        <f aca="false">IF(OR($E1162="",$E1162=0),0,1)</f>
        <v>0</v>
      </c>
      <c r="G1162" s="0" t="n">
        <f aca="false">IF($F1162=0,0,INDEX(Aux_HH!$D$4:$D$18,MATCH($B1162&amp;"|"&amp;$E1162,Aux_HH!$A$4:$A$18,0)))</f>
        <v>0</v>
      </c>
      <c r="H1162" s="0" t="n">
        <f aca="false">IF($F1162=0,0,INDEX(Aux_HH!$E$4:$E$18,MATCH($B1162&amp;"|"&amp;$E1162,Aux_HH!$A$4:$A$18,0)))</f>
        <v>0</v>
      </c>
      <c r="I1162" s="0" t="n">
        <f aca="false">IF($F1162=0,0,INDEX(Aux_HH!$F$4:$F$18,MATCH($B1162&amp;"|"&amp;$E1162,Aux_HH!$A$4:$A$18,0)))</f>
        <v>0</v>
      </c>
      <c r="J1162" s="0" t="n">
        <f aca="false">IF($F1162=0,0,INDEX(Aux_HH!$G$4:$G$18,MATCH($B1162&amp;"|"&amp;$E1162,Aux_HH!$A$4:$A$18,0)))</f>
        <v>0</v>
      </c>
      <c r="K1162" s="0" t="n">
        <f aca="false">IF($F1162=0,0,INDEX(Aux_HH!$H$4:$H$18,MATCH($B1162&amp;"|"&amp;$E1162,Aux_HH!$A$4:$A$18,0)))</f>
        <v>0</v>
      </c>
      <c r="L1162" s="0" t="n">
        <f aca="false">IF($F1162=0,0,INDEX(Aux_HH!$I$4:$I$18,MATCH($B1162&amp;"|"&amp;$E1162,Aux_HH!$A$4:$A$18,0)))</f>
        <v>0</v>
      </c>
    </row>
    <row r="1163" customFormat="false" ht="15" hidden="false" customHeight="false" outlineLevel="0" collapsed="false">
      <c r="A1163" s="0" t="str">
        <f aca="false">IF(Frota!$A27="","",Frota!$A27)</f>
        <v/>
      </c>
      <c r="B1163" s="0" t="str">
        <f aca="false">IF(Frota!$A27="","",Frota!$B27)</f>
        <v/>
      </c>
      <c r="C1163" s="0" t="n">
        <v>16</v>
      </c>
      <c r="D1163" s="0" t="n">
        <f aca="false">INDEX(Semanas!$E$3:$E$54,16)</f>
        <v>7</v>
      </c>
      <c r="E1163" s="0" t="str">
        <f aca="false">IF(Frota!$A27="","",Cronograma!Q27)</f>
        <v/>
      </c>
      <c r="F1163" s="0" t="n">
        <f aca="false">IF(OR($E1163="",$E1163=0),0,1)</f>
        <v>0</v>
      </c>
      <c r="G1163" s="0" t="n">
        <f aca="false">IF($F1163=0,0,INDEX(Aux_HH!$D$4:$D$18,MATCH($B1163&amp;"|"&amp;$E1163,Aux_HH!$A$4:$A$18,0)))</f>
        <v>0</v>
      </c>
      <c r="H1163" s="0" t="n">
        <f aca="false">IF($F1163=0,0,INDEX(Aux_HH!$E$4:$E$18,MATCH($B1163&amp;"|"&amp;$E1163,Aux_HH!$A$4:$A$18,0)))</f>
        <v>0</v>
      </c>
      <c r="I1163" s="0" t="n">
        <f aca="false">IF($F1163=0,0,INDEX(Aux_HH!$F$4:$F$18,MATCH($B1163&amp;"|"&amp;$E1163,Aux_HH!$A$4:$A$18,0)))</f>
        <v>0</v>
      </c>
      <c r="J1163" s="0" t="n">
        <f aca="false">IF($F1163=0,0,INDEX(Aux_HH!$G$4:$G$18,MATCH($B1163&amp;"|"&amp;$E1163,Aux_HH!$A$4:$A$18,0)))</f>
        <v>0</v>
      </c>
      <c r="K1163" s="0" t="n">
        <f aca="false">IF($F1163=0,0,INDEX(Aux_HH!$H$4:$H$18,MATCH($B1163&amp;"|"&amp;$E1163,Aux_HH!$A$4:$A$18,0)))</f>
        <v>0</v>
      </c>
      <c r="L1163" s="0" t="n">
        <f aca="false">IF($F1163=0,0,INDEX(Aux_HH!$I$4:$I$18,MATCH($B1163&amp;"|"&amp;$E1163,Aux_HH!$A$4:$A$18,0)))</f>
        <v>0</v>
      </c>
    </row>
    <row r="1164" customFormat="false" ht="15" hidden="false" customHeight="false" outlineLevel="0" collapsed="false">
      <c r="A1164" s="0" t="str">
        <f aca="false">IF(Frota!$A27="","",Frota!$A27)</f>
        <v/>
      </c>
      <c r="B1164" s="0" t="str">
        <f aca="false">IF(Frota!$A27="","",Frota!$B27)</f>
        <v/>
      </c>
      <c r="C1164" s="0" t="n">
        <v>17</v>
      </c>
      <c r="D1164" s="0" t="n">
        <f aca="false">INDEX(Semanas!$E$3:$E$54,17)</f>
        <v>7</v>
      </c>
      <c r="E1164" s="0" t="str">
        <f aca="false">IF(Frota!$A27="","",Cronograma!R27)</f>
        <v/>
      </c>
      <c r="F1164" s="0" t="n">
        <f aca="false">IF(OR($E1164="",$E1164=0),0,1)</f>
        <v>0</v>
      </c>
      <c r="G1164" s="0" t="n">
        <f aca="false">IF($F1164=0,0,INDEX(Aux_HH!$D$4:$D$18,MATCH($B1164&amp;"|"&amp;$E1164,Aux_HH!$A$4:$A$18,0)))</f>
        <v>0</v>
      </c>
      <c r="H1164" s="0" t="n">
        <f aca="false">IF($F1164=0,0,INDEX(Aux_HH!$E$4:$E$18,MATCH($B1164&amp;"|"&amp;$E1164,Aux_HH!$A$4:$A$18,0)))</f>
        <v>0</v>
      </c>
      <c r="I1164" s="0" t="n">
        <f aca="false">IF($F1164=0,0,INDEX(Aux_HH!$F$4:$F$18,MATCH($B1164&amp;"|"&amp;$E1164,Aux_HH!$A$4:$A$18,0)))</f>
        <v>0</v>
      </c>
      <c r="J1164" s="0" t="n">
        <f aca="false">IF($F1164=0,0,INDEX(Aux_HH!$G$4:$G$18,MATCH($B1164&amp;"|"&amp;$E1164,Aux_HH!$A$4:$A$18,0)))</f>
        <v>0</v>
      </c>
      <c r="K1164" s="0" t="n">
        <f aca="false">IF($F1164=0,0,INDEX(Aux_HH!$H$4:$H$18,MATCH($B1164&amp;"|"&amp;$E1164,Aux_HH!$A$4:$A$18,0)))</f>
        <v>0</v>
      </c>
      <c r="L1164" s="0" t="n">
        <f aca="false">IF($F1164=0,0,INDEX(Aux_HH!$I$4:$I$18,MATCH($B1164&amp;"|"&amp;$E1164,Aux_HH!$A$4:$A$18,0)))</f>
        <v>0</v>
      </c>
    </row>
    <row r="1165" customFormat="false" ht="15" hidden="false" customHeight="false" outlineLevel="0" collapsed="false">
      <c r="A1165" s="0" t="str">
        <f aca="false">IF(Frota!$A27="","",Frota!$A27)</f>
        <v/>
      </c>
      <c r="B1165" s="0" t="str">
        <f aca="false">IF(Frota!$A27="","",Frota!$B27)</f>
        <v/>
      </c>
      <c r="C1165" s="0" t="n">
        <v>18</v>
      </c>
      <c r="D1165" s="0" t="n">
        <f aca="false">INDEX(Semanas!$E$3:$E$54,18)</f>
        <v>7</v>
      </c>
      <c r="E1165" s="0" t="str">
        <f aca="false">IF(Frota!$A27="","",Cronograma!S27)</f>
        <v/>
      </c>
      <c r="F1165" s="0" t="n">
        <f aca="false">IF(OR($E1165="",$E1165=0),0,1)</f>
        <v>0</v>
      </c>
      <c r="G1165" s="0" t="n">
        <f aca="false">IF($F1165=0,0,INDEX(Aux_HH!$D$4:$D$18,MATCH($B1165&amp;"|"&amp;$E1165,Aux_HH!$A$4:$A$18,0)))</f>
        <v>0</v>
      </c>
      <c r="H1165" s="0" t="n">
        <f aca="false">IF($F1165=0,0,INDEX(Aux_HH!$E$4:$E$18,MATCH($B1165&amp;"|"&amp;$E1165,Aux_HH!$A$4:$A$18,0)))</f>
        <v>0</v>
      </c>
      <c r="I1165" s="0" t="n">
        <f aca="false">IF($F1165=0,0,INDEX(Aux_HH!$F$4:$F$18,MATCH($B1165&amp;"|"&amp;$E1165,Aux_HH!$A$4:$A$18,0)))</f>
        <v>0</v>
      </c>
      <c r="J1165" s="0" t="n">
        <f aca="false">IF($F1165=0,0,INDEX(Aux_HH!$G$4:$G$18,MATCH($B1165&amp;"|"&amp;$E1165,Aux_HH!$A$4:$A$18,0)))</f>
        <v>0</v>
      </c>
      <c r="K1165" s="0" t="n">
        <f aca="false">IF($F1165=0,0,INDEX(Aux_HH!$H$4:$H$18,MATCH($B1165&amp;"|"&amp;$E1165,Aux_HH!$A$4:$A$18,0)))</f>
        <v>0</v>
      </c>
      <c r="L1165" s="0" t="n">
        <f aca="false">IF($F1165=0,0,INDEX(Aux_HH!$I$4:$I$18,MATCH($B1165&amp;"|"&amp;$E1165,Aux_HH!$A$4:$A$18,0)))</f>
        <v>0</v>
      </c>
    </row>
    <row r="1166" customFormat="false" ht="15" hidden="false" customHeight="false" outlineLevel="0" collapsed="false">
      <c r="A1166" s="0" t="str">
        <f aca="false">IF(Frota!$A27="","",Frota!$A27)</f>
        <v/>
      </c>
      <c r="B1166" s="0" t="str">
        <f aca="false">IF(Frota!$A27="","",Frota!$B27)</f>
        <v/>
      </c>
      <c r="C1166" s="0" t="n">
        <v>19</v>
      </c>
      <c r="D1166" s="0" t="n">
        <f aca="false">INDEX(Semanas!$E$3:$E$54,19)</f>
        <v>8</v>
      </c>
      <c r="E1166" s="0" t="str">
        <f aca="false">IF(Frota!$A27="","",Cronograma!T27)</f>
        <v/>
      </c>
      <c r="F1166" s="0" t="n">
        <f aca="false">IF(OR($E1166="",$E1166=0),0,1)</f>
        <v>0</v>
      </c>
      <c r="G1166" s="0" t="n">
        <f aca="false">IF($F1166=0,0,INDEX(Aux_HH!$D$4:$D$18,MATCH($B1166&amp;"|"&amp;$E1166,Aux_HH!$A$4:$A$18,0)))</f>
        <v>0</v>
      </c>
      <c r="H1166" s="0" t="n">
        <f aca="false">IF($F1166=0,0,INDEX(Aux_HH!$E$4:$E$18,MATCH($B1166&amp;"|"&amp;$E1166,Aux_HH!$A$4:$A$18,0)))</f>
        <v>0</v>
      </c>
      <c r="I1166" s="0" t="n">
        <f aca="false">IF($F1166=0,0,INDEX(Aux_HH!$F$4:$F$18,MATCH($B1166&amp;"|"&amp;$E1166,Aux_HH!$A$4:$A$18,0)))</f>
        <v>0</v>
      </c>
      <c r="J1166" s="0" t="n">
        <f aca="false">IF($F1166=0,0,INDEX(Aux_HH!$G$4:$G$18,MATCH($B1166&amp;"|"&amp;$E1166,Aux_HH!$A$4:$A$18,0)))</f>
        <v>0</v>
      </c>
      <c r="K1166" s="0" t="n">
        <f aca="false">IF($F1166=0,0,INDEX(Aux_HH!$H$4:$H$18,MATCH($B1166&amp;"|"&amp;$E1166,Aux_HH!$A$4:$A$18,0)))</f>
        <v>0</v>
      </c>
      <c r="L1166" s="0" t="n">
        <f aca="false">IF($F1166=0,0,INDEX(Aux_HH!$I$4:$I$18,MATCH($B1166&amp;"|"&amp;$E1166,Aux_HH!$A$4:$A$18,0)))</f>
        <v>0</v>
      </c>
    </row>
    <row r="1167" customFormat="false" ht="15" hidden="false" customHeight="false" outlineLevel="0" collapsed="false">
      <c r="A1167" s="0" t="str">
        <f aca="false">IF(Frota!$A27="","",Frota!$A27)</f>
        <v/>
      </c>
      <c r="B1167" s="0" t="str">
        <f aca="false">IF(Frota!$A27="","",Frota!$B27)</f>
        <v/>
      </c>
      <c r="C1167" s="0" t="n">
        <v>20</v>
      </c>
      <c r="D1167" s="0" t="n">
        <f aca="false">INDEX(Semanas!$E$3:$E$54,20)</f>
        <v>8</v>
      </c>
      <c r="E1167" s="0" t="str">
        <f aca="false">IF(Frota!$A27="","",Cronograma!U27)</f>
        <v/>
      </c>
      <c r="F1167" s="0" t="n">
        <f aca="false">IF(OR($E1167="",$E1167=0),0,1)</f>
        <v>0</v>
      </c>
      <c r="G1167" s="0" t="n">
        <f aca="false">IF($F1167=0,0,INDEX(Aux_HH!$D$4:$D$18,MATCH($B1167&amp;"|"&amp;$E1167,Aux_HH!$A$4:$A$18,0)))</f>
        <v>0</v>
      </c>
      <c r="H1167" s="0" t="n">
        <f aca="false">IF($F1167=0,0,INDEX(Aux_HH!$E$4:$E$18,MATCH($B1167&amp;"|"&amp;$E1167,Aux_HH!$A$4:$A$18,0)))</f>
        <v>0</v>
      </c>
      <c r="I1167" s="0" t="n">
        <f aca="false">IF($F1167=0,0,INDEX(Aux_HH!$F$4:$F$18,MATCH($B1167&amp;"|"&amp;$E1167,Aux_HH!$A$4:$A$18,0)))</f>
        <v>0</v>
      </c>
      <c r="J1167" s="0" t="n">
        <f aca="false">IF($F1167=0,0,INDEX(Aux_HH!$G$4:$G$18,MATCH($B1167&amp;"|"&amp;$E1167,Aux_HH!$A$4:$A$18,0)))</f>
        <v>0</v>
      </c>
      <c r="K1167" s="0" t="n">
        <f aca="false">IF($F1167=0,0,INDEX(Aux_HH!$H$4:$H$18,MATCH($B1167&amp;"|"&amp;$E1167,Aux_HH!$A$4:$A$18,0)))</f>
        <v>0</v>
      </c>
      <c r="L1167" s="0" t="n">
        <f aca="false">IF($F1167=0,0,INDEX(Aux_HH!$I$4:$I$18,MATCH($B1167&amp;"|"&amp;$E1167,Aux_HH!$A$4:$A$18,0)))</f>
        <v>0</v>
      </c>
    </row>
    <row r="1168" customFormat="false" ht="15" hidden="false" customHeight="false" outlineLevel="0" collapsed="false">
      <c r="A1168" s="0" t="str">
        <f aca="false">IF(Frota!$A27="","",Frota!$A27)</f>
        <v/>
      </c>
      <c r="B1168" s="0" t="str">
        <f aca="false">IF(Frota!$A27="","",Frota!$B27)</f>
        <v/>
      </c>
      <c r="C1168" s="0" t="n">
        <v>21</v>
      </c>
      <c r="D1168" s="0" t="n">
        <f aca="false">INDEX(Semanas!$E$3:$E$54,21)</f>
        <v>8</v>
      </c>
      <c r="E1168" s="0" t="str">
        <f aca="false">IF(Frota!$A27="","",Cronograma!V27)</f>
        <v/>
      </c>
      <c r="F1168" s="0" t="n">
        <f aca="false">IF(OR($E1168="",$E1168=0),0,1)</f>
        <v>0</v>
      </c>
      <c r="G1168" s="0" t="n">
        <f aca="false">IF($F1168=0,0,INDEX(Aux_HH!$D$4:$D$18,MATCH($B1168&amp;"|"&amp;$E1168,Aux_HH!$A$4:$A$18,0)))</f>
        <v>0</v>
      </c>
      <c r="H1168" s="0" t="n">
        <f aca="false">IF($F1168=0,0,INDEX(Aux_HH!$E$4:$E$18,MATCH($B1168&amp;"|"&amp;$E1168,Aux_HH!$A$4:$A$18,0)))</f>
        <v>0</v>
      </c>
      <c r="I1168" s="0" t="n">
        <f aca="false">IF($F1168=0,0,INDEX(Aux_HH!$F$4:$F$18,MATCH($B1168&amp;"|"&amp;$E1168,Aux_HH!$A$4:$A$18,0)))</f>
        <v>0</v>
      </c>
      <c r="J1168" s="0" t="n">
        <f aca="false">IF($F1168=0,0,INDEX(Aux_HH!$G$4:$G$18,MATCH($B1168&amp;"|"&amp;$E1168,Aux_HH!$A$4:$A$18,0)))</f>
        <v>0</v>
      </c>
      <c r="K1168" s="0" t="n">
        <f aca="false">IF($F1168=0,0,INDEX(Aux_HH!$H$4:$H$18,MATCH($B1168&amp;"|"&amp;$E1168,Aux_HH!$A$4:$A$18,0)))</f>
        <v>0</v>
      </c>
      <c r="L1168" s="0" t="n">
        <f aca="false">IF($F1168=0,0,INDEX(Aux_HH!$I$4:$I$18,MATCH($B1168&amp;"|"&amp;$E1168,Aux_HH!$A$4:$A$18,0)))</f>
        <v>0</v>
      </c>
    </row>
    <row r="1169" customFormat="false" ht="15" hidden="false" customHeight="false" outlineLevel="0" collapsed="false">
      <c r="A1169" s="0" t="str">
        <f aca="false">IF(Frota!$A27="","",Frota!$A27)</f>
        <v/>
      </c>
      <c r="B1169" s="0" t="str">
        <f aca="false">IF(Frota!$A27="","",Frota!$B27)</f>
        <v/>
      </c>
      <c r="C1169" s="0" t="n">
        <v>22</v>
      </c>
      <c r="D1169" s="0" t="n">
        <f aca="false">INDEX(Semanas!$E$3:$E$54,22)</f>
        <v>8</v>
      </c>
      <c r="E1169" s="0" t="str">
        <f aca="false">IF(Frota!$A27="","",Cronograma!W27)</f>
        <v/>
      </c>
      <c r="F1169" s="0" t="n">
        <f aca="false">IF(OR($E1169="",$E1169=0),0,1)</f>
        <v>0</v>
      </c>
      <c r="G1169" s="0" t="n">
        <f aca="false">IF($F1169=0,0,INDEX(Aux_HH!$D$4:$D$18,MATCH($B1169&amp;"|"&amp;$E1169,Aux_HH!$A$4:$A$18,0)))</f>
        <v>0</v>
      </c>
      <c r="H1169" s="0" t="n">
        <f aca="false">IF($F1169=0,0,INDEX(Aux_HH!$E$4:$E$18,MATCH($B1169&amp;"|"&amp;$E1169,Aux_HH!$A$4:$A$18,0)))</f>
        <v>0</v>
      </c>
      <c r="I1169" s="0" t="n">
        <f aca="false">IF($F1169=0,0,INDEX(Aux_HH!$F$4:$F$18,MATCH($B1169&amp;"|"&amp;$E1169,Aux_HH!$A$4:$A$18,0)))</f>
        <v>0</v>
      </c>
      <c r="J1169" s="0" t="n">
        <f aca="false">IF($F1169=0,0,INDEX(Aux_HH!$G$4:$G$18,MATCH($B1169&amp;"|"&amp;$E1169,Aux_HH!$A$4:$A$18,0)))</f>
        <v>0</v>
      </c>
      <c r="K1169" s="0" t="n">
        <f aca="false">IF($F1169=0,0,INDEX(Aux_HH!$H$4:$H$18,MATCH($B1169&amp;"|"&amp;$E1169,Aux_HH!$A$4:$A$18,0)))</f>
        <v>0</v>
      </c>
      <c r="L1169" s="0" t="n">
        <f aca="false">IF($F1169=0,0,INDEX(Aux_HH!$I$4:$I$18,MATCH($B1169&amp;"|"&amp;$E1169,Aux_HH!$A$4:$A$18,0)))</f>
        <v>0</v>
      </c>
    </row>
    <row r="1170" customFormat="false" ht="15" hidden="false" customHeight="false" outlineLevel="0" collapsed="false">
      <c r="A1170" s="0" t="str">
        <f aca="false">IF(Frota!$A27="","",Frota!$A27)</f>
        <v/>
      </c>
      <c r="B1170" s="0" t="str">
        <f aca="false">IF(Frota!$A27="","",Frota!$B27)</f>
        <v/>
      </c>
      <c r="C1170" s="0" t="n">
        <v>23</v>
      </c>
      <c r="D1170" s="0" t="n">
        <f aca="false">INDEX(Semanas!$E$3:$E$54,23)</f>
        <v>9</v>
      </c>
      <c r="E1170" s="0" t="str">
        <f aca="false">IF(Frota!$A27="","",Cronograma!X27)</f>
        <v/>
      </c>
      <c r="F1170" s="0" t="n">
        <f aca="false">IF(OR($E1170="",$E1170=0),0,1)</f>
        <v>0</v>
      </c>
      <c r="G1170" s="0" t="n">
        <f aca="false">IF($F1170=0,0,INDEX(Aux_HH!$D$4:$D$18,MATCH($B1170&amp;"|"&amp;$E1170,Aux_HH!$A$4:$A$18,0)))</f>
        <v>0</v>
      </c>
      <c r="H1170" s="0" t="n">
        <f aca="false">IF($F1170=0,0,INDEX(Aux_HH!$E$4:$E$18,MATCH($B1170&amp;"|"&amp;$E1170,Aux_HH!$A$4:$A$18,0)))</f>
        <v>0</v>
      </c>
      <c r="I1170" s="0" t="n">
        <f aca="false">IF($F1170=0,0,INDEX(Aux_HH!$F$4:$F$18,MATCH($B1170&amp;"|"&amp;$E1170,Aux_HH!$A$4:$A$18,0)))</f>
        <v>0</v>
      </c>
      <c r="J1170" s="0" t="n">
        <f aca="false">IF($F1170=0,0,INDEX(Aux_HH!$G$4:$G$18,MATCH($B1170&amp;"|"&amp;$E1170,Aux_HH!$A$4:$A$18,0)))</f>
        <v>0</v>
      </c>
      <c r="K1170" s="0" t="n">
        <f aca="false">IF($F1170=0,0,INDEX(Aux_HH!$H$4:$H$18,MATCH($B1170&amp;"|"&amp;$E1170,Aux_HH!$A$4:$A$18,0)))</f>
        <v>0</v>
      </c>
      <c r="L1170" s="0" t="n">
        <f aca="false">IF($F1170=0,0,INDEX(Aux_HH!$I$4:$I$18,MATCH($B1170&amp;"|"&amp;$E1170,Aux_HH!$A$4:$A$18,0)))</f>
        <v>0</v>
      </c>
    </row>
    <row r="1171" customFormat="false" ht="15" hidden="false" customHeight="false" outlineLevel="0" collapsed="false">
      <c r="A1171" s="0" t="str">
        <f aca="false">IF(Frota!$A27="","",Frota!$A27)</f>
        <v/>
      </c>
      <c r="B1171" s="0" t="str">
        <f aca="false">IF(Frota!$A27="","",Frota!$B27)</f>
        <v/>
      </c>
      <c r="C1171" s="0" t="n">
        <v>24</v>
      </c>
      <c r="D1171" s="0" t="n">
        <f aca="false">INDEX(Semanas!$E$3:$E$54,24)</f>
        <v>9</v>
      </c>
      <c r="E1171" s="0" t="str">
        <f aca="false">IF(Frota!$A27="","",Cronograma!Y27)</f>
        <v/>
      </c>
      <c r="F1171" s="0" t="n">
        <f aca="false">IF(OR($E1171="",$E1171=0),0,1)</f>
        <v>0</v>
      </c>
      <c r="G1171" s="0" t="n">
        <f aca="false">IF($F1171=0,0,INDEX(Aux_HH!$D$4:$D$18,MATCH($B1171&amp;"|"&amp;$E1171,Aux_HH!$A$4:$A$18,0)))</f>
        <v>0</v>
      </c>
      <c r="H1171" s="0" t="n">
        <f aca="false">IF($F1171=0,0,INDEX(Aux_HH!$E$4:$E$18,MATCH($B1171&amp;"|"&amp;$E1171,Aux_HH!$A$4:$A$18,0)))</f>
        <v>0</v>
      </c>
      <c r="I1171" s="0" t="n">
        <f aca="false">IF($F1171=0,0,INDEX(Aux_HH!$F$4:$F$18,MATCH($B1171&amp;"|"&amp;$E1171,Aux_HH!$A$4:$A$18,0)))</f>
        <v>0</v>
      </c>
      <c r="J1171" s="0" t="n">
        <f aca="false">IF($F1171=0,0,INDEX(Aux_HH!$G$4:$G$18,MATCH($B1171&amp;"|"&amp;$E1171,Aux_HH!$A$4:$A$18,0)))</f>
        <v>0</v>
      </c>
      <c r="K1171" s="0" t="n">
        <f aca="false">IF($F1171=0,0,INDEX(Aux_HH!$H$4:$H$18,MATCH($B1171&amp;"|"&amp;$E1171,Aux_HH!$A$4:$A$18,0)))</f>
        <v>0</v>
      </c>
      <c r="L1171" s="0" t="n">
        <f aca="false">IF($F1171=0,0,INDEX(Aux_HH!$I$4:$I$18,MATCH($B1171&amp;"|"&amp;$E1171,Aux_HH!$A$4:$A$18,0)))</f>
        <v>0</v>
      </c>
    </row>
    <row r="1172" customFormat="false" ht="15" hidden="false" customHeight="false" outlineLevel="0" collapsed="false">
      <c r="A1172" s="0" t="str">
        <f aca="false">IF(Frota!$A27="","",Frota!$A27)</f>
        <v/>
      </c>
      <c r="B1172" s="0" t="str">
        <f aca="false">IF(Frota!$A27="","",Frota!$B27)</f>
        <v/>
      </c>
      <c r="C1172" s="0" t="n">
        <v>25</v>
      </c>
      <c r="D1172" s="0" t="n">
        <f aca="false">INDEX(Semanas!$E$3:$E$54,25)</f>
        <v>9</v>
      </c>
      <c r="E1172" s="0" t="str">
        <f aca="false">IF(Frota!$A27="","",Cronograma!Z27)</f>
        <v/>
      </c>
      <c r="F1172" s="0" t="n">
        <f aca="false">IF(OR($E1172="",$E1172=0),0,1)</f>
        <v>0</v>
      </c>
      <c r="G1172" s="0" t="n">
        <f aca="false">IF($F1172=0,0,INDEX(Aux_HH!$D$4:$D$18,MATCH($B1172&amp;"|"&amp;$E1172,Aux_HH!$A$4:$A$18,0)))</f>
        <v>0</v>
      </c>
      <c r="H1172" s="0" t="n">
        <f aca="false">IF($F1172=0,0,INDEX(Aux_HH!$E$4:$E$18,MATCH($B1172&amp;"|"&amp;$E1172,Aux_HH!$A$4:$A$18,0)))</f>
        <v>0</v>
      </c>
      <c r="I1172" s="0" t="n">
        <f aca="false">IF($F1172=0,0,INDEX(Aux_HH!$F$4:$F$18,MATCH($B1172&amp;"|"&amp;$E1172,Aux_HH!$A$4:$A$18,0)))</f>
        <v>0</v>
      </c>
      <c r="J1172" s="0" t="n">
        <f aca="false">IF($F1172=0,0,INDEX(Aux_HH!$G$4:$G$18,MATCH($B1172&amp;"|"&amp;$E1172,Aux_HH!$A$4:$A$18,0)))</f>
        <v>0</v>
      </c>
      <c r="K1172" s="0" t="n">
        <f aca="false">IF($F1172=0,0,INDEX(Aux_HH!$H$4:$H$18,MATCH($B1172&amp;"|"&amp;$E1172,Aux_HH!$A$4:$A$18,0)))</f>
        <v>0</v>
      </c>
      <c r="L1172" s="0" t="n">
        <f aca="false">IF($F1172=0,0,INDEX(Aux_HH!$I$4:$I$18,MATCH($B1172&amp;"|"&amp;$E1172,Aux_HH!$A$4:$A$18,0)))</f>
        <v>0</v>
      </c>
    </row>
    <row r="1173" customFormat="false" ht="15" hidden="false" customHeight="false" outlineLevel="0" collapsed="false">
      <c r="A1173" s="0" t="str">
        <f aca="false">IF(Frota!$A27="","",Frota!$A27)</f>
        <v/>
      </c>
      <c r="B1173" s="0" t="str">
        <f aca="false">IF(Frota!$A27="","",Frota!$B27)</f>
        <v/>
      </c>
      <c r="C1173" s="0" t="n">
        <v>26</v>
      </c>
      <c r="D1173" s="0" t="n">
        <f aca="false">INDEX(Semanas!$E$3:$E$54,26)</f>
        <v>9</v>
      </c>
      <c r="E1173" s="0" t="str">
        <f aca="false">IF(Frota!$A27="","",Cronograma!AA27)</f>
        <v/>
      </c>
      <c r="F1173" s="0" t="n">
        <f aca="false">IF(OR($E1173="",$E1173=0),0,1)</f>
        <v>0</v>
      </c>
      <c r="G1173" s="0" t="n">
        <f aca="false">IF($F1173=0,0,INDEX(Aux_HH!$D$4:$D$18,MATCH($B1173&amp;"|"&amp;$E1173,Aux_HH!$A$4:$A$18,0)))</f>
        <v>0</v>
      </c>
      <c r="H1173" s="0" t="n">
        <f aca="false">IF($F1173=0,0,INDEX(Aux_HH!$E$4:$E$18,MATCH($B1173&amp;"|"&amp;$E1173,Aux_HH!$A$4:$A$18,0)))</f>
        <v>0</v>
      </c>
      <c r="I1173" s="0" t="n">
        <f aca="false">IF($F1173=0,0,INDEX(Aux_HH!$F$4:$F$18,MATCH($B1173&amp;"|"&amp;$E1173,Aux_HH!$A$4:$A$18,0)))</f>
        <v>0</v>
      </c>
      <c r="J1173" s="0" t="n">
        <f aca="false">IF($F1173=0,0,INDEX(Aux_HH!$G$4:$G$18,MATCH($B1173&amp;"|"&amp;$E1173,Aux_HH!$A$4:$A$18,0)))</f>
        <v>0</v>
      </c>
      <c r="K1173" s="0" t="n">
        <f aca="false">IF($F1173=0,0,INDEX(Aux_HH!$H$4:$H$18,MATCH($B1173&amp;"|"&amp;$E1173,Aux_HH!$A$4:$A$18,0)))</f>
        <v>0</v>
      </c>
      <c r="L1173" s="0" t="n">
        <f aca="false">IF($F1173=0,0,INDEX(Aux_HH!$I$4:$I$18,MATCH($B1173&amp;"|"&amp;$E1173,Aux_HH!$A$4:$A$18,0)))</f>
        <v>0</v>
      </c>
    </row>
    <row r="1174" customFormat="false" ht="15" hidden="false" customHeight="false" outlineLevel="0" collapsed="false">
      <c r="A1174" s="0" t="str">
        <f aca="false">IF(Frota!$A27="","",Frota!$A27)</f>
        <v/>
      </c>
      <c r="B1174" s="0" t="str">
        <f aca="false">IF(Frota!$A27="","",Frota!$B27)</f>
        <v/>
      </c>
      <c r="C1174" s="0" t="n">
        <v>27</v>
      </c>
      <c r="D1174" s="0" t="n">
        <f aca="false">INDEX(Semanas!$E$3:$E$54,27)</f>
        <v>9</v>
      </c>
      <c r="E1174" s="0" t="str">
        <f aca="false">IF(Frota!$A27="","",Cronograma!AB27)</f>
        <v/>
      </c>
      <c r="F1174" s="0" t="n">
        <f aca="false">IF(OR($E1174="",$E1174=0),0,1)</f>
        <v>0</v>
      </c>
      <c r="G1174" s="0" t="n">
        <f aca="false">IF($F1174=0,0,INDEX(Aux_HH!$D$4:$D$18,MATCH($B1174&amp;"|"&amp;$E1174,Aux_HH!$A$4:$A$18,0)))</f>
        <v>0</v>
      </c>
      <c r="H1174" s="0" t="n">
        <f aca="false">IF($F1174=0,0,INDEX(Aux_HH!$E$4:$E$18,MATCH($B1174&amp;"|"&amp;$E1174,Aux_HH!$A$4:$A$18,0)))</f>
        <v>0</v>
      </c>
      <c r="I1174" s="0" t="n">
        <f aca="false">IF($F1174=0,0,INDEX(Aux_HH!$F$4:$F$18,MATCH($B1174&amp;"|"&amp;$E1174,Aux_HH!$A$4:$A$18,0)))</f>
        <v>0</v>
      </c>
      <c r="J1174" s="0" t="n">
        <f aca="false">IF($F1174=0,0,INDEX(Aux_HH!$G$4:$G$18,MATCH($B1174&amp;"|"&amp;$E1174,Aux_HH!$A$4:$A$18,0)))</f>
        <v>0</v>
      </c>
      <c r="K1174" s="0" t="n">
        <f aca="false">IF($F1174=0,0,INDEX(Aux_HH!$H$4:$H$18,MATCH($B1174&amp;"|"&amp;$E1174,Aux_HH!$A$4:$A$18,0)))</f>
        <v>0</v>
      </c>
      <c r="L1174" s="0" t="n">
        <f aca="false">IF($F1174=0,0,INDEX(Aux_HH!$I$4:$I$18,MATCH($B1174&amp;"|"&amp;$E1174,Aux_HH!$A$4:$A$18,0)))</f>
        <v>0</v>
      </c>
    </row>
    <row r="1175" customFormat="false" ht="15" hidden="false" customHeight="false" outlineLevel="0" collapsed="false">
      <c r="A1175" s="0" t="str">
        <f aca="false">IF(Frota!$A27="","",Frota!$A27)</f>
        <v/>
      </c>
      <c r="B1175" s="0" t="str">
        <f aca="false">IF(Frota!$A27="","",Frota!$B27)</f>
        <v/>
      </c>
      <c r="C1175" s="0" t="n">
        <v>28</v>
      </c>
      <c r="D1175" s="0" t="n">
        <f aca="false">INDEX(Semanas!$E$3:$E$54,28)</f>
        <v>10</v>
      </c>
      <c r="E1175" s="0" t="str">
        <f aca="false">IF(Frota!$A27="","",Cronograma!AC27)</f>
        <v/>
      </c>
      <c r="F1175" s="0" t="n">
        <f aca="false">IF(OR($E1175="",$E1175=0),0,1)</f>
        <v>0</v>
      </c>
      <c r="G1175" s="0" t="n">
        <f aca="false">IF($F1175=0,0,INDEX(Aux_HH!$D$4:$D$18,MATCH($B1175&amp;"|"&amp;$E1175,Aux_HH!$A$4:$A$18,0)))</f>
        <v>0</v>
      </c>
      <c r="H1175" s="0" t="n">
        <f aca="false">IF($F1175=0,0,INDEX(Aux_HH!$E$4:$E$18,MATCH($B1175&amp;"|"&amp;$E1175,Aux_HH!$A$4:$A$18,0)))</f>
        <v>0</v>
      </c>
      <c r="I1175" s="0" t="n">
        <f aca="false">IF($F1175=0,0,INDEX(Aux_HH!$F$4:$F$18,MATCH($B1175&amp;"|"&amp;$E1175,Aux_HH!$A$4:$A$18,0)))</f>
        <v>0</v>
      </c>
      <c r="J1175" s="0" t="n">
        <f aca="false">IF($F1175=0,0,INDEX(Aux_HH!$G$4:$G$18,MATCH($B1175&amp;"|"&amp;$E1175,Aux_HH!$A$4:$A$18,0)))</f>
        <v>0</v>
      </c>
      <c r="K1175" s="0" t="n">
        <f aca="false">IF($F1175=0,0,INDEX(Aux_HH!$H$4:$H$18,MATCH($B1175&amp;"|"&amp;$E1175,Aux_HH!$A$4:$A$18,0)))</f>
        <v>0</v>
      </c>
      <c r="L1175" s="0" t="n">
        <f aca="false">IF($F1175=0,0,INDEX(Aux_HH!$I$4:$I$18,MATCH($B1175&amp;"|"&amp;$E1175,Aux_HH!$A$4:$A$18,0)))</f>
        <v>0</v>
      </c>
    </row>
    <row r="1176" customFormat="false" ht="15" hidden="false" customHeight="false" outlineLevel="0" collapsed="false">
      <c r="A1176" s="0" t="str">
        <f aca="false">IF(Frota!$A27="","",Frota!$A27)</f>
        <v/>
      </c>
      <c r="B1176" s="0" t="str">
        <f aca="false">IF(Frota!$A27="","",Frota!$B27)</f>
        <v/>
      </c>
      <c r="C1176" s="0" t="n">
        <v>29</v>
      </c>
      <c r="D1176" s="0" t="n">
        <f aca="false">INDEX(Semanas!$E$3:$E$54,29)</f>
        <v>10</v>
      </c>
      <c r="E1176" s="0" t="str">
        <f aca="false">IF(Frota!$A27="","",Cronograma!AD27)</f>
        <v/>
      </c>
      <c r="F1176" s="0" t="n">
        <f aca="false">IF(OR($E1176="",$E1176=0),0,1)</f>
        <v>0</v>
      </c>
      <c r="G1176" s="0" t="n">
        <f aca="false">IF($F1176=0,0,INDEX(Aux_HH!$D$4:$D$18,MATCH($B1176&amp;"|"&amp;$E1176,Aux_HH!$A$4:$A$18,0)))</f>
        <v>0</v>
      </c>
      <c r="H1176" s="0" t="n">
        <f aca="false">IF($F1176=0,0,INDEX(Aux_HH!$E$4:$E$18,MATCH($B1176&amp;"|"&amp;$E1176,Aux_HH!$A$4:$A$18,0)))</f>
        <v>0</v>
      </c>
      <c r="I1176" s="0" t="n">
        <f aca="false">IF($F1176=0,0,INDEX(Aux_HH!$F$4:$F$18,MATCH($B1176&amp;"|"&amp;$E1176,Aux_HH!$A$4:$A$18,0)))</f>
        <v>0</v>
      </c>
      <c r="J1176" s="0" t="n">
        <f aca="false">IF($F1176=0,0,INDEX(Aux_HH!$G$4:$G$18,MATCH($B1176&amp;"|"&amp;$E1176,Aux_HH!$A$4:$A$18,0)))</f>
        <v>0</v>
      </c>
      <c r="K1176" s="0" t="n">
        <f aca="false">IF($F1176=0,0,INDEX(Aux_HH!$H$4:$H$18,MATCH($B1176&amp;"|"&amp;$E1176,Aux_HH!$A$4:$A$18,0)))</f>
        <v>0</v>
      </c>
      <c r="L1176" s="0" t="n">
        <f aca="false">IF($F1176=0,0,INDEX(Aux_HH!$I$4:$I$18,MATCH($B1176&amp;"|"&amp;$E1176,Aux_HH!$A$4:$A$18,0)))</f>
        <v>0</v>
      </c>
    </row>
    <row r="1177" customFormat="false" ht="15" hidden="false" customHeight="false" outlineLevel="0" collapsed="false">
      <c r="A1177" s="0" t="str">
        <f aca="false">IF(Frota!$A27="","",Frota!$A27)</f>
        <v/>
      </c>
      <c r="B1177" s="0" t="str">
        <f aca="false">IF(Frota!$A27="","",Frota!$B27)</f>
        <v/>
      </c>
      <c r="C1177" s="0" t="n">
        <v>30</v>
      </c>
      <c r="D1177" s="0" t="n">
        <f aca="false">INDEX(Semanas!$E$3:$E$54,30)</f>
        <v>10</v>
      </c>
      <c r="E1177" s="0" t="str">
        <f aca="false">IF(Frota!$A27="","",Cronograma!AE27)</f>
        <v/>
      </c>
      <c r="F1177" s="0" t="n">
        <f aca="false">IF(OR($E1177="",$E1177=0),0,1)</f>
        <v>0</v>
      </c>
      <c r="G1177" s="0" t="n">
        <f aca="false">IF($F1177=0,0,INDEX(Aux_HH!$D$4:$D$18,MATCH($B1177&amp;"|"&amp;$E1177,Aux_HH!$A$4:$A$18,0)))</f>
        <v>0</v>
      </c>
      <c r="H1177" s="0" t="n">
        <f aca="false">IF($F1177=0,0,INDEX(Aux_HH!$E$4:$E$18,MATCH($B1177&amp;"|"&amp;$E1177,Aux_HH!$A$4:$A$18,0)))</f>
        <v>0</v>
      </c>
      <c r="I1177" s="0" t="n">
        <f aca="false">IF($F1177=0,0,INDEX(Aux_HH!$F$4:$F$18,MATCH($B1177&amp;"|"&amp;$E1177,Aux_HH!$A$4:$A$18,0)))</f>
        <v>0</v>
      </c>
      <c r="J1177" s="0" t="n">
        <f aca="false">IF($F1177=0,0,INDEX(Aux_HH!$G$4:$G$18,MATCH($B1177&amp;"|"&amp;$E1177,Aux_HH!$A$4:$A$18,0)))</f>
        <v>0</v>
      </c>
      <c r="K1177" s="0" t="n">
        <f aca="false">IF($F1177=0,0,INDEX(Aux_HH!$H$4:$H$18,MATCH($B1177&amp;"|"&amp;$E1177,Aux_HH!$A$4:$A$18,0)))</f>
        <v>0</v>
      </c>
      <c r="L1177" s="0" t="n">
        <f aca="false">IF($F1177=0,0,INDEX(Aux_HH!$I$4:$I$18,MATCH($B1177&amp;"|"&amp;$E1177,Aux_HH!$A$4:$A$18,0)))</f>
        <v>0</v>
      </c>
    </row>
    <row r="1178" customFormat="false" ht="15" hidden="false" customHeight="false" outlineLevel="0" collapsed="false">
      <c r="A1178" s="0" t="str">
        <f aca="false">IF(Frota!$A27="","",Frota!$A27)</f>
        <v/>
      </c>
      <c r="B1178" s="0" t="str">
        <f aca="false">IF(Frota!$A27="","",Frota!$B27)</f>
        <v/>
      </c>
      <c r="C1178" s="0" t="n">
        <v>31</v>
      </c>
      <c r="D1178" s="0" t="n">
        <f aca="false">INDEX(Semanas!$E$3:$E$54,31)</f>
        <v>10</v>
      </c>
      <c r="E1178" s="0" t="str">
        <f aca="false">IF(Frota!$A27="","",Cronograma!AF27)</f>
        <v/>
      </c>
      <c r="F1178" s="0" t="n">
        <f aca="false">IF(OR($E1178="",$E1178=0),0,1)</f>
        <v>0</v>
      </c>
      <c r="G1178" s="0" t="n">
        <f aca="false">IF($F1178=0,0,INDEX(Aux_HH!$D$4:$D$18,MATCH($B1178&amp;"|"&amp;$E1178,Aux_HH!$A$4:$A$18,0)))</f>
        <v>0</v>
      </c>
      <c r="H1178" s="0" t="n">
        <f aca="false">IF($F1178=0,0,INDEX(Aux_HH!$E$4:$E$18,MATCH($B1178&amp;"|"&amp;$E1178,Aux_HH!$A$4:$A$18,0)))</f>
        <v>0</v>
      </c>
      <c r="I1178" s="0" t="n">
        <f aca="false">IF($F1178=0,0,INDEX(Aux_HH!$F$4:$F$18,MATCH($B1178&amp;"|"&amp;$E1178,Aux_HH!$A$4:$A$18,0)))</f>
        <v>0</v>
      </c>
      <c r="J1178" s="0" t="n">
        <f aca="false">IF($F1178=0,0,INDEX(Aux_HH!$G$4:$G$18,MATCH($B1178&amp;"|"&amp;$E1178,Aux_HH!$A$4:$A$18,0)))</f>
        <v>0</v>
      </c>
      <c r="K1178" s="0" t="n">
        <f aca="false">IF($F1178=0,0,INDEX(Aux_HH!$H$4:$H$18,MATCH($B1178&amp;"|"&amp;$E1178,Aux_HH!$A$4:$A$18,0)))</f>
        <v>0</v>
      </c>
      <c r="L1178" s="0" t="n">
        <f aca="false">IF($F1178=0,0,INDEX(Aux_HH!$I$4:$I$18,MATCH($B1178&amp;"|"&amp;$E1178,Aux_HH!$A$4:$A$18,0)))</f>
        <v>0</v>
      </c>
    </row>
    <row r="1179" customFormat="false" ht="15" hidden="false" customHeight="false" outlineLevel="0" collapsed="false">
      <c r="A1179" s="0" t="str">
        <f aca="false">IF(Frota!$A27="","",Frota!$A27)</f>
        <v/>
      </c>
      <c r="B1179" s="0" t="str">
        <f aca="false">IF(Frota!$A27="","",Frota!$B27)</f>
        <v/>
      </c>
      <c r="C1179" s="0" t="n">
        <v>32</v>
      </c>
      <c r="D1179" s="0" t="n">
        <f aca="false">INDEX(Semanas!$E$3:$E$54,32)</f>
        <v>11</v>
      </c>
      <c r="E1179" s="0" t="str">
        <f aca="false">IF(Frota!$A27="","",Cronograma!AG27)</f>
        <v/>
      </c>
      <c r="F1179" s="0" t="n">
        <f aca="false">IF(OR($E1179="",$E1179=0),0,1)</f>
        <v>0</v>
      </c>
      <c r="G1179" s="0" t="n">
        <f aca="false">IF($F1179=0,0,INDEX(Aux_HH!$D$4:$D$18,MATCH($B1179&amp;"|"&amp;$E1179,Aux_HH!$A$4:$A$18,0)))</f>
        <v>0</v>
      </c>
      <c r="H1179" s="0" t="n">
        <f aca="false">IF($F1179=0,0,INDEX(Aux_HH!$E$4:$E$18,MATCH($B1179&amp;"|"&amp;$E1179,Aux_HH!$A$4:$A$18,0)))</f>
        <v>0</v>
      </c>
      <c r="I1179" s="0" t="n">
        <f aca="false">IF($F1179=0,0,INDEX(Aux_HH!$F$4:$F$18,MATCH($B1179&amp;"|"&amp;$E1179,Aux_HH!$A$4:$A$18,0)))</f>
        <v>0</v>
      </c>
      <c r="J1179" s="0" t="n">
        <f aca="false">IF($F1179=0,0,INDEX(Aux_HH!$G$4:$G$18,MATCH($B1179&amp;"|"&amp;$E1179,Aux_HH!$A$4:$A$18,0)))</f>
        <v>0</v>
      </c>
      <c r="K1179" s="0" t="n">
        <f aca="false">IF($F1179=0,0,INDEX(Aux_HH!$H$4:$H$18,MATCH($B1179&amp;"|"&amp;$E1179,Aux_HH!$A$4:$A$18,0)))</f>
        <v>0</v>
      </c>
      <c r="L1179" s="0" t="n">
        <f aca="false">IF($F1179=0,0,INDEX(Aux_HH!$I$4:$I$18,MATCH($B1179&amp;"|"&amp;$E1179,Aux_HH!$A$4:$A$18,0)))</f>
        <v>0</v>
      </c>
    </row>
    <row r="1180" customFormat="false" ht="15" hidden="false" customHeight="false" outlineLevel="0" collapsed="false">
      <c r="A1180" s="0" t="str">
        <f aca="false">IF(Frota!$A27="","",Frota!$A27)</f>
        <v/>
      </c>
      <c r="B1180" s="0" t="str">
        <f aca="false">IF(Frota!$A27="","",Frota!$B27)</f>
        <v/>
      </c>
      <c r="C1180" s="0" t="n">
        <v>33</v>
      </c>
      <c r="D1180" s="0" t="n">
        <f aca="false">INDEX(Semanas!$E$3:$E$54,33)</f>
        <v>11</v>
      </c>
      <c r="E1180" s="0" t="str">
        <f aca="false">IF(Frota!$A27="","",Cronograma!AH27)</f>
        <v/>
      </c>
      <c r="F1180" s="0" t="n">
        <f aca="false">IF(OR($E1180="",$E1180=0),0,1)</f>
        <v>0</v>
      </c>
      <c r="G1180" s="0" t="n">
        <f aca="false">IF($F1180=0,0,INDEX(Aux_HH!$D$4:$D$18,MATCH($B1180&amp;"|"&amp;$E1180,Aux_HH!$A$4:$A$18,0)))</f>
        <v>0</v>
      </c>
      <c r="H1180" s="0" t="n">
        <f aca="false">IF($F1180=0,0,INDEX(Aux_HH!$E$4:$E$18,MATCH($B1180&amp;"|"&amp;$E1180,Aux_HH!$A$4:$A$18,0)))</f>
        <v>0</v>
      </c>
      <c r="I1180" s="0" t="n">
        <f aca="false">IF($F1180=0,0,INDEX(Aux_HH!$F$4:$F$18,MATCH($B1180&amp;"|"&amp;$E1180,Aux_HH!$A$4:$A$18,0)))</f>
        <v>0</v>
      </c>
      <c r="J1180" s="0" t="n">
        <f aca="false">IF($F1180=0,0,INDEX(Aux_HH!$G$4:$G$18,MATCH($B1180&amp;"|"&amp;$E1180,Aux_HH!$A$4:$A$18,0)))</f>
        <v>0</v>
      </c>
      <c r="K1180" s="0" t="n">
        <f aca="false">IF($F1180=0,0,INDEX(Aux_HH!$H$4:$H$18,MATCH($B1180&amp;"|"&amp;$E1180,Aux_HH!$A$4:$A$18,0)))</f>
        <v>0</v>
      </c>
      <c r="L1180" s="0" t="n">
        <f aca="false">IF($F1180=0,0,INDEX(Aux_HH!$I$4:$I$18,MATCH($B1180&amp;"|"&amp;$E1180,Aux_HH!$A$4:$A$18,0)))</f>
        <v>0</v>
      </c>
    </row>
    <row r="1181" customFormat="false" ht="15" hidden="false" customHeight="false" outlineLevel="0" collapsed="false">
      <c r="A1181" s="0" t="str">
        <f aca="false">IF(Frota!$A27="","",Frota!$A27)</f>
        <v/>
      </c>
      <c r="B1181" s="0" t="str">
        <f aca="false">IF(Frota!$A27="","",Frota!$B27)</f>
        <v/>
      </c>
      <c r="C1181" s="0" t="n">
        <v>34</v>
      </c>
      <c r="D1181" s="0" t="n">
        <f aca="false">INDEX(Semanas!$E$3:$E$54,34)</f>
        <v>11</v>
      </c>
      <c r="E1181" s="0" t="str">
        <f aca="false">IF(Frota!$A27="","",Cronograma!AI27)</f>
        <v/>
      </c>
      <c r="F1181" s="0" t="n">
        <f aca="false">IF(OR($E1181="",$E1181=0),0,1)</f>
        <v>0</v>
      </c>
      <c r="G1181" s="0" t="n">
        <f aca="false">IF($F1181=0,0,INDEX(Aux_HH!$D$4:$D$18,MATCH($B1181&amp;"|"&amp;$E1181,Aux_HH!$A$4:$A$18,0)))</f>
        <v>0</v>
      </c>
      <c r="H1181" s="0" t="n">
        <f aca="false">IF($F1181=0,0,INDEX(Aux_HH!$E$4:$E$18,MATCH($B1181&amp;"|"&amp;$E1181,Aux_HH!$A$4:$A$18,0)))</f>
        <v>0</v>
      </c>
      <c r="I1181" s="0" t="n">
        <f aca="false">IF($F1181=0,0,INDEX(Aux_HH!$F$4:$F$18,MATCH($B1181&amp;"|"&amp;$E1181,Aux_HH!$A$4:$A$18,0)))</f>
        <v>0</v>
      </c>
      <c r="J1181" s="0" t="n">
        <f aca="false">IF($F1181=0,0,INDEX(Aux_HH!$G$4:$G$18,MATCH($B1181&amp;"|"&amp;$E1181,Aux_HH!$A$4:$A$18,0)))</f>
        <v>0</v>
      </c>
      <c r="K1181" s="0" t="n">
        <f aca="false">IF($F1181=0,0,INDEX(Aux_HH!$H$4:$H$18,MATCH($B1181&amp;"|"&amp;$E1181,Aux_HH!$A$4:$A$18,0)))</f>
        <v>0</v>
      </c>
      <c r="L1181" s="0" t="n">
        <f aca="false">IF($F1181=0,0,INDEX(Aux_HH!$I$4:$I$18,MATCH($B1181&amp;"|"&amp;$E1181,Aux_HH!$A$4:$A$18,0)))</f>
        <v>0</v>
      </c>
    </row>
    <row r="1182" customFormat="false" ht="15" hidden="false" customHeight="false" outlineLevel="0" collapsed="false">
      <c r="A1182" s="0" t="str">
        <f aca="false">IF(Frota!$A27="","",Frota!$A27)</f>
        <v/>
      </c>
      <c r="B1182" s="0" t="str">
        <f aca="false">IF(Frota!$A27="","",Frota!$B27)</f>
        <v/>
      </c>
      <c r="C1182" s="0" t="n">
        <v>35</v>
      </c>
      <c r="D1182" s="0" t="n">
        <f aca="false">INDEX(Semanas!$E$3:$E$54,35)</f>
        <v>11</v>
      </c>
      <c r="E1182" s="0" t="str">
        <f aca="false">IF(Frota!$A27="","",Cronograma!AJ27)</f>
        <v/>
      </c>
      <c r="F1182" s="0" t="n">
        <f aca="false">IF(OR($E1182="",$E1182=0),0,1)</f>
        <v>0</v>
      </c>
      <c r="G1182" s="0" t="n">
        <f aca="false">IF($F1182=0,0,INDEX(Aux_HH!$D$4:$D$18,MATCH($B1182&amp;"|"&amp;$E1182,Aux_HH!$A$4:$A$18,0)))</f>
        <v>0</v>
      </c>
      <c r="H1182" s="0" t="n">
        <f aca="false">IF($F1182=0,0,INDEX(Aux_HH!$E$4:$E$18,MATCH($B1182&amp;"|"&amp;$E1182,Aux_HH!$A$4:$A$18,0)))</f>
        <v>0</v>
      </c>
      <c r="I1182" s="0" t="n">
        <f aca="false">IF($F1182=0,0,INDEX(Aux_HH!$F$4:$F$18,MATCH($B1182&amp;"|"&amp;$E1182,Aux_HH!$A$4:$A$18,0)))</f>
        <v>0</v>
      </c>
      <c r="J1182" s="0" t="n">
        <f aca="false">IF($F1182=0,0,INDEX(Aux_HH!$G$4:$G$18,MATCH($B1182&amp;"|"&amp;$E1182,Aux_HH!$A$4:$A$18,0)))</f>
        <v>0</v>
      </c>
      <c r="K1182" s="0" t="n">
        <f aca="false">IF($F1182=0,0,INDEX(Aux_HH!$H$4:$H$18,MATCH($B1182&amp;"|"&amp;$E1182,Aux_HH!$A$4:$A$18,0)))</f>
        <v>0</v>
      </c>
      <c r="L1182" s="0" t="n">
        <f aca="false">IF($F1182=0,0,INDEX(Aux_HH!$I$4:$I$18,MATCH($B1182&amp;"|"&amp;$E1182,Aux_HH!$A$4:$A$18,0)))</f>
        <v>0</v>
      </c>
    </row>
    <row r="1183" customFormat="false" ht="15" hidden="false" customHeight="false" outlineLevel="0" collapsed="false">
      <c r="A1183" s="0" t="str">
        <f aca="false">IF(Frota!$A27="","",Frota!$A27)</f>
        <v/>
      </c>
      <c r="B1183" s="0" t="str">
        <f aca="false">IF(Frota!$A27="","",Frota!$B27)</f>
        <v/>
      </c>
      <c r="C1183" s="0" t="n">
        <v>36</v>
      </c>
      <c r="D1183" s="0" t="n">
        <f aca="false">INDEX(Semanas!$E$3:$E$54,36)</f>
        <v>12</v>
      </c>
      <c r="E1183" s="0" t="str">
        <f aca="false">IF(Frota!$A27="","",Cronograma!AK27)</f>
        <v/>
      </c>
      <c r="F1183" s="0" t="n">
        <f aca="false">IF(OR($E1183="",$E1183=0),0,1)</f>
        <v>0</v>
      </c>
      <c r="G1183" s="0" t="n">
        <f aca="false">IF($F1183=0,0,INDEX(Aux_HH!$D$4:$D$18,MATCH($B1183&amp;"|"&amp;$E1183,Aux_HH!$A$4:$A$18,0)))</f>
        <v>0</v>
      </c>
      <c r="H1183" s="0" t="n">
        <f aca="false">IF($F1183=0,0,INDEX(Aux_HH!$E$4:$E$18,MATCH($B1183&amp;"|"&amp;$E1183,Aux_HH!$A$4:$A$18,0)))</f>
        <v>0</v>
      </c>
      <c r="I1183" s="0" t="n">
        <f aca="false">IF($F1183=0,0,INDEX(Aux_HH!$F$4:$F$18,MATCH($B1183&amp;"|"&amp;$E1183,Aux_HH!$A$4:$A$18,0)))</f>
        <v>0</v>
      </c>
      <c r="J1183" s="0" t="n">
        <f aca="false">IF($F1183=0,0,INDEX(Aux_HH!$G$4:$G$18,MATCH($B1183&amp;"|"&amp;$E1183,Aux_HH!$A$4:$A$18,0)))</f>
        <v>0</v>
      </c>
      <c r="K1183" s="0" t="n">
        <f aca="false">IF($F1183=0,0,INDEX(Aux_HH!$H$4:$H$18,MATCH($B1183&amp;"|"&amp;$E1183,Aux_HH!$A$4:$A$18,0)))</f>
        <v>0</v>
      </c>
      <c r="L1183" s="0" t="n">
        <f aca="false">IF($F1183=0,0,INDEX(Aux_HH!$I$4:$I$18,MATCH($B1183&amp;"|"&amp;$E1183,Aux_HH!$A$4:$A$18,0)))</f>
        <v>0</v>
      </c>
    </row>
    <row r="1184" customFormat="false" ht="15" hidden="false" customHeight="false" outlineLevel="0" collapsed="false">
      <c r="A1184" s="0" t="str">
        <f aca="false">IF(Frota!$A27="","",Frota!$A27)</f>
        <v/>
      </c>
      <c r="B1184" s="0" t="str">
        <f aca="false">IF(Frota!$A27="","",Frota!$B27)</f>
        <v/>
      </c>
      <c r="C1184" s="0" t="n">
        <v>37</v>
      </c>
      <c r="D1184" s="0" t="n">
        <f aca="false">INDEX(Semanas!$E$3:$E$54,37)</f>
        <v>12</v>
      </c>
      <c r="E1184" s="0" t="str">
        <f aca="false">IF(Frota!$A27="","",Cronograma!AL27)</f>
        <v/>
      </c>
      <c r="F1184" s="0" t="n">
        <f aca="false">IF(OR($E1184="",$E1184=0),0,1)</f>
        <v>0</v>
      </c>
      <c r="G1184" s="0" t="n">
        <f aca="false">IF($F1184=0,0,INDEX(Aux_HH!$D$4:$D$18,MATCH($B1184&amp;"|"&amp;$E1184,Aux_HH!$A$4:$A$18,0)))</f>
        <v>0</v>
      </c>
      <c r="H1184" s="0" t="n">
        <f aca="false">IF($F1184=0,0,INDEX(Aux_HH!$E$4:$E$18,MATCH($B1184&amp;"|"&amp;$E1184,Aux_HH!$A$4:$A$18,0)))</f>
        <v>0</v>
      </c>
      <c r="I1184" s="0" t="n">
        <f aca="false">IF($F1184=0,0,INDEX(Aux_HH!$F$4:$F$18,MATCH($B1184&amp;"|"&amp;$E1184,Aux_HH!$A$4:$A$18,0)))</f>
        <v>0</v>
      </c>
      <c r="J1184" s="0" t="n">
        <f aca="false">IF($F1184=0,0,INDEX(Aux_HH!$G$4:$G$18,MATCH($B1184&amp;"|"&amp;$E1184,Aux_HH!$A$4:$A$18,0)))</f>
        <v>0</v>
      </c>
      <c r="K1184" s="0" t="n">
        <f aca="false">IF($F1184=0,0,INDEX(Aux_HH!$H$4:$H$18,MATCH($B1184&amp;"|"&amp;$E1184,Aux_HH!$A$4:$A$18,0)))</f>
        <v>0</v>
      </c>
      <c r="L1184" s="0" t="n">
        <f aca="false">IF($F1184=0,0,INDEX(Aux_HH!$I$4:$I$18,MATCH($B1184&amp;"|"&amp;$E1184,Aux_HH!$A$4:$A$18,0)))</f>
        <v>0</v>
      </c>
    </row>
    <row r="1185" customFormat="false" ht="15" hidden="false" customHeight="false" outlineLevel="0" collapsed="false">
      <c r="A1185" s="0" t="str">
        <f aca="false">IF(Frota!$A27="","",Frota!$A27)</f>
        <v/>
      </c>
      <c r="B1185" s="0" t="str">
        <f aca="false">IF(Frota!$A27="","",Frota!$B27)</f>
        <v/>
      </c>
      <c r="C1185" s="0" t="n">
        <v>38</v>
      </c>
      <c r="D1185" s="0" t="n">
        <f aca="false">INDEX(Semanas!$E$3:$E$54,38)</f>
        <v>12</v>
      </c>
      <c r="E1185" s="0" t="str">
        <f aca="false">IF(Frota!$A27="","",Cronograma!AM27)</f>
        <v/>
      </c>
      <c r="F1185" s="0" t="n">
        <f aca="false">IF(OR($E1185="",$E1185=0),0,1)</f>
        <v>0</v>
      </c>
      <c r="G1185" s="0" t="n">
        <f aca="false">IF($F1185=0,0,INDEX(Aux_HH!$D$4:$D$18,MATCH($B1185&amp;"|"&amp;$E1185,Aux_HH!$A$4:$A$18,0)))</f>
        <v>0</v>
      </c>
      <c r="H1185" s="0" t="n">
        <f aca="false">IF($F1185=0,0,INDEX(Aux_HH!$E$4:$E$18,MATCH($B1185&amp;"|"&amp;$E1185,Aux_HH!$A$4:$A$18,0)))</f>
        <v>0</v>
      </c>
      <c r="I1185" s="0" t="n">
        <f aca="false">IF($F1185=0,0,INDEX(Aux_HH!$F$4:$F$18,MATCH($B1185&amp;"|"&amp;$E1185,Aux_HH!$A$4:$A$18,0)))</f>
        <v>0</v>
      </c>
      <c r="J1185" s="0" t="n">
        <f aca="false">IF($F1185=0,0,INDEX(Aux_HH!$G$4:$G$18,MATCH($B1185&amp;"|"&amp;$E1185,Aux_HH!$A$4:$A$18,0)))</f>
        <v>0</v>
      </c>
      <c r="K1185" s="0" t="n">
        <f aca="false">IF($F1185=0,0,INDEX(Aux_HH!$H$4:$H$18,MATCH($B1185&amp;"|"&amp;$E1185,Aux_HH!$A$4:$A$18,0)))</f>
        <v>0</v>
      </c>
      <c r="L1185" s="0" t="n">
        <f aca="false">IF($F1185=0,0,INDEX(Aux_HH!$I$4:$I$18,MATCH($B1185&amp;"|"&amp;$E1185,Aux_HH!$A$4:$A$18,0)))</f>
        <v>0</v>
      </c>
    </row>
    <row r="1186" customFormat="false" ht="15" hidden="false" customHeight="false" outlineLevel="0" collapsed="false">
      <c r="A1186" s="0" t="str">
        <f aca="false">IF(Frota!$A27="","",Frota!$A27)</f>
        <v/>
      </c>
      <c r="B1186" s="0" t="str">
        <f aca="false">IF(Frota!$A27="","",Frota!$B27)</f>
        <v/>
      </c>
      <c r="C1186" s="0" t="n">
        <v>39</v>
      </c>
      <c r="D1186" s="0" t="n">
        <f aca="false">INDEX(Semanas!$E$3:$E$54,39)</f>
        <v>12</v>
      </c>
      <c r="E1186" s="0" t="str">
        <f aca="false">IF(Frota!$A27="","",Cronograma!AN27)</f>
        <v/>
      </c>
      <c r="F1186" s="0" t="n">
        <f aca="false">IF(OR($E1186="",$E1186=0),0,1)</f>
        <v>0</v>
      </c>
      <c r="G1186" s="0" t="n">
        <f aca="false">IF($F1186=0,0,INDEX(Aux_HH!$D$4:$D$18,MATCH($B1186&amp;"|"&amp;$E1186,Aux_HH!$A$4:$A$18,0)))</f>
        <v>0</v>
      </c>
      <c r="H1186" s="0" t="n">
        <f aca="false">IF($F1186=0,0,INDEX(Aux_HH!$E$4:$E$18,MATCH($B1186&amp;"|"&amp;$E1186,Aux_HH!$A$4:$A$18,0)))</f>
        <v>0</v>
      </c>
      <c r="I1186" s="0" t="n">
        <f aca="false">IF($F1186=0,0,INDEX(Aux_HH!$F$4:$F$18,MATCH($B1186&amp;"|"&amp;$E1186,Aux_HH!$A$4:$A$18,0)))</f>
        <v>0</v>
      </c>
      <c r="J1186" s="0" t="n">
        <f aca="false">IF($F1186=0,0,INDEX(Aux_HH!$G$4:$G$18,MATCH($B1186&amp;"|"&amp;$E1186,Aux_HH!$A$4:$A$18,0)))</f>
        <v>0</v>
      </c>
      <c r="K1186" s="0" t="n">
        <f aca="false">IF($F1186=0,0,INDEX(Aux_HH!$H$4:$H$18,MATCH($B1186&amp;"|"&amp;$E1186,Aux_HH!$A$4:$A$18,0)))</f>
        <v>0</v>
      </c>
      <c r="L1186" s="0" t="n">
        <f aca="false">IF($F1186=0,0,INDEX(Aux_HH!$I$4:$I$18,MATCH($B1186&amp;"|"&amp;$E1186,Aux_HH!$A$4:$A$18,0)))</f>
        <v>0</v>
      </c>
    </row>
    <row r="1187" customFormat="false" ht="15" hidden="false" customHeight="false" outlineLevel="0" collapsed="false">
      <c r="A1187" s="0" t="str">
        <f aca="false">IF(Frota!$A27="","",Frota!$A27)</f>
        <v/>
      </c>
      <c r="B1187" s="0" t="str">
        <f aca="false">IF(Frota!$A27="","",Frota!$B27)</f>
        <v/>
      </c>
      <c r="C1187" s="0" t="n">
        <v>40</v>
      </c>
      <c r="D1187" s="0" t="n">
        <f aca="false">INDEX(Semanas!$E$3:$E$54,40)</f>
        <v>12</v>
      </c>
      <c r="E1187" s="0" t="str">
        <f aca="false">IF(Frota!$A27="","",Cronograma!AO27)</f>
        <v/>
      </c>
      <c r="F1187" s="0" t="n">
        <f aca="false">IF(OR($E1187="",$E1187=0),0,1)</f>
        <v>0</v>
      </c>
      <c r="G1187" s="0" t="n">
        <f aca="false">IF($F1187=0,0,INDEX(Aux_HH!$D$4:$D$18,MATCH($B1187&amp;"|"&amp;$E1187,Aux_HH!$A$4:$A$18,0)))</f>
        <v>0</v>
      </c>
      <c r="H1187" s="0" t="n">
        <f aca="false">IF($F1187=0,0,INDEX(Aux_HH!$E$4:$E$18,MATCH($B1187&amp;"|"&amp;$E1187,Aux_HH!$A$4:$A$18,0)))</f>
        <v>0</v>
      </c>
      <c r="I1187" s="0" t="n">
        <f aca="false">IF($F1187=0,0,INDEX(Aux_HH!$F$4:$F$18,MATCH($B1187&amp;"|"&amp;$E1187,Aux_HH!$A$4:$A$18,0)))</f>
        <v>0</v>
      </c>
      <c r="J1187" s="0" t="n">
        <f aca="false">IF($F1187=0,0,INDEX(Aux_HH!$G$4:$G$18,MATCH($B1187&amp;"|"&amp;$E1187,Aux_HH!$A$4:$A$18,0)))</f>
        <v>0</v>
      </c>
      <c r="K1187" s="0" t="n">
        <f aca="false">IF($F1187=0,0,INDEX(Aux_HH!$H$4:$H$18,MATCH($B1187&amp;"|"&amp;$E1187,Aux_HH!$A$4:$A$18,0)))</f>
        <v>0</v>
      </c>
      <c r="L1187" s="0" t="n">
        <f aca="false">IF($F1187=0,0,INDEX(Aux_HH!$I$4:$I$18,MATCH($B1187&amp;"|"&amp;$E1187,Aux_HH!$A$4:$A$18,0)))</f>
        <v>0</v>
      </c>
    </row>
    <row r="1188" customFormat="false" ht="15" hidden="false" customHeight="false" outlineLevel="0" collapsed="false">
      <c r="A1188" s="0" t="str">
        <f aca="false">IF(Frota!$A27="","",Frota!$A27)</f>
        <v/>
      </c>
      <c r="B1188" s="0" t="str">
        <f aca="false">IF(Frota!$A27="","",Frota!$B27)</f>
        <v/>
      </c>
      <c r="C1188" s="0" t="n">
        <v>41</v>
      </c>
      <c r="D1188" s="0" t="n">
        <f aca="false">INDEX(Semanas!$E$3:$E$54,41)</f>
        <v>1</v>
      </c>
      <c r="E1188" s="0" t="str">
        <f aca="false">IF(Frota!$A27="","",Cronograma!AP27)</f>
        <v/>
      </c>
      <c r="F1188" s="0" t="n">
        <f aca="false">IF(OR($E1188="",$E1188=0),0,1)</f>
        <v>0</v>
      </c>
      <c r="G1188" s="0" t="n">
        <f aca="false">IF($F1188=0,0,INDEX(Aux_HH!$D$4:$D$18,MATCH($B1188&amp;"|"&amp;$E1188,Aux_HH!$A$4:$A$18,0)))</f>
        <v>0</v>
      </c>
      <c r="H1188" s="0" t="n">
        <f aca="false">IF($F1188=0,0,INDEX(Aux_HH!$E$4:$E$18,MATCH($B1188&amp;"|"&amp;$E1188,Aux_HH!$A$4:$A$18,0)))</f>
        <v>0</v>
      </c>
      <c r="I1188" s="0" t="n">
        <f aca="false">IF($F1188=0,0,INDEX(Aux_HH!$F$4:$F$18,MATCH($B1188&amp;"|"&amp;$E1188,Aux_HH!$A$4:$A$18,0)))</f>
        <v>0</v>
      </c>
      <c r="J1188" s="0" t="n">
        <f aca="false">IF($F1188=0,0,INDEX(Aux_HH!$G$4:$G$18,MATCH($B1188&amp;"|"&amp;$E1188,Aux_HH!$A$4:$A$18,0)))</f>
        <v>0</v>
      </c>
      <c r="K1188" s="0" t="n">
        <f aca="false">IF($F1188=0,0,INDEX(Aux_HH!$H$4:$H$18,MATCH($B1188&amp;"|"&amp;$E1188,Aux_HH!$A$4:$A$18,0)))</f>
        <v>0</v>
      </c>
      <c r="L1188" s="0" t="n">
        <f aca="false">IF($F1188=0,0,INDEX(Aux_HH!$I$4:$I$18,MATCH($B1188&amp;"|"&amp;$E1188,Aux_HH!$A$4:$A$18,0)))</f>
        <v>0</v>
      </c>
    </row>
    <row r="1189" customFormat="false" ht="15" hidden="false" customHeight="false" outlineLevel="0" collapsed="false">
      <c r="A1189" s="0" t="str">
        <f aca="false">IF(Frota!$A27="","",Frota!$A27)</f>
        <v/>
      </c>
      <c r="B1189" s="0" t="str">
        <f aca="false">IF(Frota!$A27="","",Frota!$B27)</f>
        <v/>
      </c>
      <c r="C1189" s="0" t="n">
        <v>42</v>
      </c>
      <c r="D1189" s="0" t="n">
        <f aca="false">INDEX(Semanas!$E$3:$E$54,42)</f>
        <v>1</v>
      </c>
      <c r="E1189" s="0" t="str">
        <f aca="false">IF(Frota!$A27="","",Cronograma!AQ27)</f>
        <v/>
      </c>
      <c r="F1189" s="0" t="n">
        <f aca="false">IF(OR($E1189="",$E1189=0),0,1)</f>
        <v>0</v>
      </c>
      <c r="G1189" s="0" t="n">
        <f aca="false">IF($F1189=0,0,INDEX(Aux_HH!$D$4:$D$18,MATCH($B1189&amp;"|"&amp;$E1189,Aux_HH!$A$4:$A$18,0)))</f>
        <v>0</v>
      </c>
      <c r="H1189" s="0" t="n">
        <f aca="false">IF($F1189=0,0,INDEX(Aux_HH!$E$4:$E$18,MATCH($B1189&amp;"|"&amp;$E1189,Aux_HH!$A$4:$A$18,0)))</f>
        <v>0</v>
      </c>
      <c r="I1189" s="0" t="n">
        <f aca="false">IF($F1189=0,0,INDEX(Aux_HH!$F$4:$F$18,MATCH($B1189&amp;"|"&amp;$E1189,Aux_HH!$A$4:$A$18,0)))</f>
        <v>0</v>
      </c>
      <c r="J1189" s="0" t="n">
        <f aca="false">IF($F1189=0,0,INDEX(Aux_HH!$G$4:$G$18,MATCH($B1189&amp;"|"&amp;$E1189,Aux_HH!$A$4:$A$18,0)))</f>
        <v>0</v>
      </c>
      <c r="K1189" s="0" t="n">
        <f aca="false">IF($F1189=0,0,INDEX(Aux_HH!$H$4:$H$18,MATCH($B1189&amp;"|"&amp;$E1189,Aux_HH!$A$4:$A$18,0)))</f>
        <v>0</v>
      </c>
      <c r="L1189" s="0" t="n">
        <f aca="false">IF($F1189=0,0,INDEX(Aux_HH!$I$4:$I$18,MATCH($B1189&amp;"|"&amp;$E1189,Aux_HH!$A$4:$A$18,0)))</f>
        <v>0</v>
      </c>
    </row>
    <row r="1190" customFormat="false" ht="15" hidden="false" customHeight="false" outlineLevel="0" collapsed="false">
      <c r="A1190" s="0" t="str">
        <f aca="false">IF(Frota!$A27="","",Frota!$A27)</f>
        <v/>
      </c>
      <c r="B1190" s="0" t="str">
        <f aca="false">IF(Frota!$A27="","",Frota!$B27)</f>
        <v/>
      </c>
      <c r="C1190" s="0" t="n">
        <v>43</v>
      </c>
      <c r="D1190" s="0" t="n">
        <f aca="false">INDEX(Semanas!$E$3:$E$54,43)</f>
        <v>1</v>
      </c>
      <c r="E1190" s="0" t="str">
        <f aca="false">IF(Frota!$A27="","",Cronograma!AR27)</f>
        <v/>
      </c>
      <c r="F1190" s="0" t="n">
        <f aca="false">IF(OR($E1190="",$E1190=0),0,1)</f>
        <v>0</v>
      </c>
      <c r="G1190" s="0" t="n">
        <f aca="false">IF($F1190=0,0,INDEX(Aux_HH!$D$4:$D$18,MATCH($B1190&amp;"|"&amp;$E1190,Aux_HH!$A$4:$A$18,0)))</f>
        <v>0</v>
      </c>
      <c r="H1190" s="0" t="n">
        <f aca="false">IF($F1190=0,0,INDEX(Aux_HH!$E$4:$E$18,MATCH($B1190&amp;"|"&amp;$E1190,Aux_HH!$A$4:$A$18,0)))</f>
        <v>0</v>
      </c>
      <c r="I1190" s="0" t="n">
        <f aca="false">IF($F1190=0,0,INDEX(Aux_HH!$F$4:$F$18,MATCH($B1190&amp;"|"&amp;$E1190,Aux_HH!$A$4:$A$18,0)))</f>
        <v>0</v>
      </c>
      <c r="J1190" s="0" t="n">
        <f aca="false">IF($F1190=0,0,INDEX(Aux_HH!$G$4:$G$18,MATCH($B1190&amp;"|"&amp;$E1190,Aux_HH!$A$4:$A$18,0)))</f>
        <v>0</v>
      </c>
      <c r="K1190" s="0" t="n">
        <f aca="false">IF($F1190=0,0,INDEX(Aux_HH!$H$4:$H$18,MATCH($B1190&amp;"|"&amp;$E1190,Aux_HH!$A$4:$A$18,0)))</f>
        <v>0</v>
      </c>
      <c r="L1190" s="0" t="n">
        <f aca="false">IF($F1190=0,0,INDEX(Aux_HH!$I$4:$I$18,MATCH($B1190&amp;"|"&amp;$E1190,Aux_HH!$A$4:$A$18,0)))</f>
        <v>0</v>
      </c>
    </row>
    <row r="1191" customFormat="false" ht="15" hidden="false" customHeight="false" outlineLevel="0" collapsed="false">
      <c r="A1191" s="0" t="str">
        <f aca="false">IF(Frota!$A27="","",Frota!$A27)</f>
        <v/>
      </c>
      <c r="B1191" s="0" t="str">
        <f aca="false">IF(Frota!$A27="","",Frota!$B27)</f>
        <v/>
      </c>
      <c r="C1191" s="0" t="n">
        <v>44</v>
      </c>
      <c r="D1191" s="0" t="n">
        <f aca="false">INDEX(Semanas!$E$3:$E$54,44)</f>
        <v>1</v>
      </c>
      <c r="E1191" s="0" t="str">
        <f aca="false">IF(Frota!$A27="","",Cronograma!AS27)</f>
        <v/>
      </c>
      <c r="F1191" s="0" t="n">
        <f aca="false">IF(OR($E1191="",$E1191=0),0,1)</f>
        <v>0</v>
      </c>
      <c r="G1191" s="0" t="n">
        <f aca="false">IF($F1191=0,0,INDEX(Aux_HH!$D$4:$D$18,MATCH($B1191&amp;"|"&amp;$E1191,Aux_HH!$A$4:$A$18,0)))</f>
        <v>0</v>
      </c>
      <c r="H1191" s="0" t="n">
        <f aca="false">IF($F1191=0,0,INDEX(Aux_HH!$E$4:$E$18,MATCH($B1191&amp;"|"&amp;$E1191,Aux_HH!$A$4:$A$18,0)))</f>
        <v>0</v>
      </c>
      <c r="I1191" s="0" t="n">
        <f aca="false">IF($F1191=0,0,INDEX(Aux_HH!$F$4:$F$18,MATCH($B1191&amp;"|"&amp;$E1191,Aux_HH!$A$4:$A$18,0)))</f>
        <v>0</v>
      </c>
      <c r="J1191" s="0" t="n">
        <f aca="false">IF($F1191=0,0,INDEX(Aux_HH!$G$4:$G$18,MATCH($B1191&amp;"|"&amp;$E1191,Aux_HH!$A$4:$A$18,0)))</f>
        <v>0</v>
      </c>
      <c r="K1191" s="0" t="n">
        <f aca="false">IF($F1191=0,0,INDEX(Aux_HH!$H$4:$H$18,MATCH($B1191&amp;"|"&amp;$E1191,Aux_HH!$A$4:$A$18,0)))</f>
        <v>0</v>
      </c>
      <c r="L1191" s="0" t="n">
        <f aca="false">IF($F1191=0,0,INDEX(Aux_HH!$I$4:$I$18,MATCH($B1191&amp;"|"&amp;$E1191,Aux_HH!$A$4:$A$18,0)))</f>
        <v>0</v>
      </c>
    </row>
    <row r="1192" customFormat="false" ht="15" hidden="false" customHeight="false" outlineLevel="0" collapsed="false">
      <c r="A1192" s="0" t="str">
        <f aca="false">IF(Frota!$A27="","",Frota!$A27)</f>
        <v/>
      </c>
      <c r="B1192" s="0" t="str">
        <f aca="false">IF(Frota!$A27="","",Frota!$B27)</f>
        <v/>
      </c>
      <c r="C1192" s="0" t="n">
        <v>45</v>
      </c>
      <c r="D1192" s="0" t="n">
        <f aca="false">INDEX(Semanas!$E$3:$E$54,45)</f>
        <v>2</v>
      </c>
      <c r="E1192" s="0" t="str">
        <f aca="false">IF(Frota!$A27="","",Cronograma!AT27)</f>
        <v/>
      </c>
      <c r="F1192" s="0" t="n">
        <f aca="false">IF(OR($E1192="",$E1192=0),0,1)</f>
        <v>0</v>
      </c>
      <c r="G1192" s="0" t="n">
        <f aca="false">IF($F1192=0,0,INDEX(Aux_HH!$D$4:$D$18,MATCH($B1192&amp;"|"&amp;$E1192,Aux_HH!$A$4:$A$18,0)))</f>
        <v>0</v>
      </c>
      <c r="H1192" s="0" t="n">
        <f aca="false">IF($F1192=0,0,INDEX(Aux_HH!$E$4:$E$18,MATCH($B1192&amp;"|"&amp;$E1192,Aux_HH!$A$4:$A$18,0)))</f>
        <v>0</v>
      </c>
      <c r="I1192" s="0" t="n">
        <f aca="false">IF($F1192=0,0,INDEX(Aux_HH!$F$4:$F$18,MATCH($B1192&amp;"|"&amp;$E1192,Aux_HH!$A$4:$A$18,0)))</f>
        <v>0</v>
      </c>
      <c r="J1192" s="0" t="n">
        <f aca="false">IF($F1192=0,0,INDEX(Aux_HH!$G$4:$G$18,MATCH($B1192&amp;"|"&amp;$E1192,Aux_HH!$A$4:$A$18,0)))</f>
        <v>0</v>
      </c>
      <c r="K1192" s="0" t="n">
        <f aca="false">IF($F1192=0,0,INDEX(Aux_HH!$H$4:$H$18,MATCH($B1192&amp;"|"&amp;$E1192,Aux_HH!$A$4:$A$18,0)))</f>
        <v>0</v>
      </c>
      <c r="L1192" s="0" t="n">
        <f aca="false">IF($F1192=0,0,INDEX(Aux_HH!$I$4:$I$18,MATCH($B1192&amp;"|"&amp;$E1192,Aux_HH!$A$4:$A$18,0)))</f>
        <v>0</v>
      </c>
    </row>
    <row r="1193" customFormat="false" ht="15" hidden="false" customHeight="false" outlineLevel="0" collapsed="false">
      <c r="A1193" s="0" t="str">
        <f aca="false">IF(Frota!$A27="","",Frota!$A27)</f>
        <v/>
      </c>
      <c r="B1193" s="0" t="str">
        <f aca="false">IF(Frota!$A27="","",Frota!$B27)</f>
        <v/>
      </c>
      <c r="C1193" s="0" t="n">
        <v>46</v>
      </c>
      <c r="D1193" s="0" t="n">
        <f aca="false">INDEX(Semanas!$E$3:$E$54,46)</f>
        <v>2</v>
      </c>
      <c r="E1193" s="0" t="str">
        <f aca="false">IF(Frota!$A27="","",Cronograma!AU27)</f>
        <v/>
      </c>
      <c r="F1193" s="0" t="n">
        <f aca="false">IF(OR($E1193="",$E1193=0),0,1)</f>
        <v>0</v>
      </c>
      <c r="G1193" s="0" t="n">
        <f aca="false">IF($F1193=0,0,INDEX(Aux_HH!$D$4:$D$18,MATCH($B1193&amp;"|"&amp;$E1193,Aux_HH!$A$4:$A$18,0)))</f>
        <v>0</v>
      </c>
      <c r="H1193" s="0" t="n">
        <f aca="false">IF($F1193=0,0,INDEX(Aux_HH!$E$4:$E$18,MATCH($B1193&amp;"|"&amp;$E1193,Aux_HH!$A$4:$A$18,0)))</f>
        <v>0</v>
      </c>
      <c r="I1193" s="0" t="n">
        <f aca="false">IF($F1193=0,0,INDEX(Aux_HH!$F$4:$F$18,MATCH($B1193&amp;"|"&amp;$E1193,Aux_HH!$A$4:$A$18,0)))</f>
        <v>0</v>
      </c>
      <c r="J1193" s="0" t="n">
        <f aca="false">IF($F1193=0,0,INDEX(Aux_HH!$G$4:$G$18,MATCH($B1193&amp;"|"&amp;$E1193,Aux_HH!$A$4:$A$18,0)))</f>
        <v>0</v>
      </c>
      <c r="K1193" s="0" t="n">
        <f aca="false">IF($F1193=0,0,INDEX(Aux_HH!$H$4:$H$18,MATCH($B1193&amp;"|"&amp;$E1193,Aux_HH!$A$4:$A$18,0)))</f>
        <v>0</v>
      </c>
      <c r="L1193" s="0" t="n">
        <f aca="false">IF($F1193=0,0,INDEX(Aux_HH!$I$4:$I$18,MATCH($B1193&amp;"|"&amp;$E1193,Aux_HH!$A$4:$A$18,0)))</f>
        <v>0</v>
      </c>
    </row>
    <row r="1194" customFormat="false" ht="15" hidden="false" customHeight="false" outlineLevel="0" collapsed="false">
      <c r="A1194" s="0" t="str">
        <f aca="false">IF(Frota!$A27="","",Frota!$A27)</f>
        <v/>
      </c>
      <c r="B1194" s="0" t="str">
        <f aca="false">IF(Frota!$A27="","",Frota!$B27)</f>
        <v/>
      </c>
      <c r="C1194" s="0" t="n">
        <v>47</v>
      </c>
      <c r="D1194" s="0" t="n">
        <f aca="false">INDEX(Semanas!$E$3:$E$54,47)</f>
        <v>2</v>
      </c>
      <c r="E1194" s="0" t="str">
        <f aca="false">IF(Frota!$A27="","",Cronograma!AV27)</f>
        <v/>
      </c>
      <c r="F1194" s="0" t="n">
        <f aca="false">IF(OR($E1194="",$E1194=0),0,1)</f>
        <v>0</v>
      </c>
      <c r="G1194" s="0" t="n">
        <f aca="false">IF($F1194=0,0,INDEX(Aux_HH!$D$4:$D$18,MATCH($B1194&amp;"|"&amp;$E1194,Aux_HH!$A$4:$A$18,0)))</f>
        <v>0</v>
      </c>
      <c r="H1194" s="0" t="n">
        <f aca="false">IF($F1194=0,0,INDEX(Aux_HH!$E$4:$E$18,MATCH($B1194&amp;"|"&amp;$E1194,Aux_HH!$A$4:$A$18,0)))</f>
        <v>0</v>
      </c>
      <c r="I1194" s="0" t="n">
        <f aca="false">IF($F1194=0,0,INDEX(Aux_HH!$F$4:$F$18,MATCH($B1194&amp;"|"&amp;$E1194,Aux_HH!$A$4:$A$18,0)))</f>
        <v>0</v>
      </c>
      <c r="J1194" s="0" t="n">
        <f aca="false">IF($F1194=0,0,INDEX(Aux_HH!$G$4:$G$18,MATCH($B1194&amp;"|"&amp;$E1194,Aux_HH!$A$4:$A$18,0)))</f>
        <v>0</v>
      </c>
      <c r="K1194" s="0" t="n">
        <f aca="false">IF($F1194=0,0,INDEX(Aux_HH!$H$4:$H$18,MATCH($B1194&amp;"|"&amp;$E1194,Aux_HH!$A$4:$A$18,0)))</f>
        <v>0</v>
      </c>
      <c r="L1194" s="0" t="n">
        <f aca="false">IF($F1194=0,0,INDEX(Aux_HH!$I$4:$I$18,MATCH($B1194&amp;"|"&amp;$E1194,Aux_HH!$A$4:$A$18,0)))</f>
        <v>0</v>
      </c>
    </row>
    <row r="1195" customFormat="false" ht="15" hidden="false" customHeight="false" outlineLevel="0" collapsed="false">
      <c r="A1195" s="0" t="str">
        <f aca="false">IF(Frota!$A27="","",Frota!$A27)</f>
        <v/>
      </c>
      <c r="B1195" s="0" t="str">
        <f aca="false">IF(Frota!$A27="","",Frota!$B27)</f>
        <v/>
      </c>
      <c r="C1195" s="0" t="n">
        <v>48</v>
      </c>
      <c r="D1195" s="0" t="n">
        <f aca="false">INDEX(Semanas!$E$3:$E$54,48)</f>
        <v>2</v>
      </c>
      <c r="E1195" s="0" t="str">
        <f aca="false">IF(Frota!$A27="","",Cronograma!AW27)</f>
        <v/>
      </c>
      <c r="F1195" s="0" t="n">
        <f aca="false">IF(OR($E1195="",$E1195=0),0,1)</f>
        <v>0</v>
      </c>
      <c r="G1195" s="0" t="n">
        <f aca="false">IF($F1195=0,0,INDEX(Aux_HH!$D$4:$D$18,MATCH($B1195&amp;"|"&amp;$E1195,Aux_HH!$A$4:$A$18,0)))</f>
        <v>0</v>
      </c>
      <c r="H1195" s="0" t="n">
        <f aca="false">IF($F1195=0,0,INDEX(Aux_HH!$E$4:$E$18,MATCH($B1195&amp;"|"&amp;$E1195,Aux_HH!$A$4:$A$18,0)))</f>
        <v>0</v>
      </c>
      <c r="I1195" s="0" t="n">
        <f aca="false">IF($F1195=0,0,INDEX(Aux_HH!$F$4:$F$18,MATCH($B1195&amp;"|"&amp;$E1195,Aux_HH!$A$4:$A$18,0)))</f>
        <v>0</v>
      </c>
      <c r="J1195" s="0" t="n">
        <f aca="false">IF($F1195=0,0,INDEX(Aux_HH!$G$4:$G$18,MATCH($B1195&amp;"|"&amp;$E1195,Aux_HH!$A$4:$A$18,0)))</f>
        <v>0</v>
      </c>
      <c r="K1195" s="0" t="n">
        <f aca="false">IF($F1195=0,0,INDEX(Aux_HH!$H$4:$H$18,MATCH($B1195&amp;"|"&amp;$E1195,Aux_HH!$A$4:$A$18,0)))</f>
        <v>0</v>
      </c>
      <c r="L1195" s="0" t="n">
        <f aca="false">IF($F1195=0,0,INDEX(Aux_HH!$I$4:$I$18,MATCH($B1195&amp;"|"&amp;$E1195,Aux_HH!$A$4:$A$18,0)))</f>
        <v>0</v>
      </c>
    </row>
    <row r="1196" customFormat="false" ht="15" hidden="false" customHeight="false" outlineLevel="0" collapsed="false">
      <c r="A1196" s="0" t="str">
        <f aca="false">IF(Frota!$A27="","",Frota!$A27)</f>
        <v/>
      </c>
      <c r="B1196" s="0" t="str">
        <f aca="false">IF(Frota!$A27="","",Frota!$B27)</f>
        <v/>
      </c>
      <c r="C1196" s="0" t="n">
        <v>49</v>
      </c>
      <c r="D1196" s="0" t="n">
        <f aca="false">INDEX(Semanas!$E$3:$E$54,49)</f>
        <v>3</v>
      </c>
      <c r="E1196" s="0" t="str">
        <f aca="false">IF(Frota!$A27="","",Cronograma!AX27)</f>
        <v/>
      </c>
      <c r="F1196" s="0" t="n">
        <f aca="false">IF(OR($E1196="",$E1196=0),0,1)</f>
        <v>0</v>
      </c>
      <c r="G1196" s="0" t="n">
        <f aca="false">IF($F1196=0,0,INDEX(Aux_HH!$D$4:$D$18,MATCH($B1196&amp;"|"&amp;$E1196,Aux_HH!$A$4:$A$18,0)))</f>
        <v>0</v>
      </c>
      <c r="H1196" s="0" t="n">
        <f aca="false">IF($F1196=0,0,INDEX(Aux_HH!$E$4:$E$18,MATCH($B1196&amp;"|"&amp;$E1196,Aux_HH!$A$4:$A$18,0)))</f>
        <v>0</v>
      </c>
      <c r="I1196" s="0" t="n">
        <f aca="false">IF($F1196=0,0,INDEX(Aux_HH!$F$4:$F$18,MATCH($B1196&amp;"|"&amp;$E1196,Aux_HH!$A$4:$A$18,0)))</f>
        <v>0</v>
      </c>
      <c r="J1196" s="0" t="n">
        <f aca="false">IF($F1196=0,0,INDEX(Aux_HH!$G$4:$G$18,MATCH($B1196&amp;"|"&amp;$E1196,Aux_HH!$A$4:$A$18,0)))</f>
        <v>0</v>
      </c>
      <c r="K1196" s="0" t="n">
        <f aca="false">IF($F1196=0,0,INDEX(Aux_HH!$H$4:$H$18,MATCH($B1196&amp;"|"&amp;$E1196,Aux_HH!$A$4:$A$18,0)))</f>
        <v>0</v>
      </c>
      <c r="L1196" s="0" t="n">
        <f aca="false">IF($F1196=0,0,INDEX(Aux_HH!$I$4:$I$18,MATCH($B1196&amp;"|"&amp;$E1196,Aux_HH!$A$4:$A$18,0)))</f>
        <v>0</v>
      </c>
    </row>
    <row r="1197" customFormat="false" ht="15" hidden="false" customHeight="false" outlineLevel="0" collapsed="false">
      <c r="A1197" s="0" t="str">
        <f aca="false">IF(Frota!$A27="","",Frota!$A27)</f>
        <v/>
      </c>
      <c r="B1197" s="0" t="str">
        <f aca="false">IF(Frota!$A27="","",Frota!$B27)</f>
        <v/>
      </c>
      <c r="C1197" s="0" t="n">
        <v>50</v>
      </c>
      <c r="D1197" s="0" t="n">
        <f aca="false">INDEX(Semanas!$E$3:$E$54,50)</f>
        <v>3</v>
      </c>
      <c r="E1197" s="0" t="str">
        <f aca="false">IF(Frota!$A27="","",Cronograma!AY27)</f>
        <v/>
      </c>
      <c r="F1197" s="0" t="n">
        <f aca="false">IF(OR($E1197="",$E1197=0),0,1)</f>
        <v>0</v>
      </c>
      <c r="G1197" s="0" t="n">
        <f aca="false">IF($F1197=0,0,INDEX(Aux_HH!$D$4:$D$18,MATCH($B1197&amp;"|"&amp;$E1197,Aux_HH!$A$4:$A$18,0)))</f>
        <v>0</v>
      </c>
      <c r="H1197" s="0" t="n">
        <f aca="false">IF($F1197=0,0,INDEX(Aux_HH!$E$4:$E$18,MATCH($B1197&amp;"|"&amp;$E1197,Aux_HH!$A$4:$A$18,0)))</f>
        <v>0</v>
      </c>
      <c r="I1197" s="0" t="n">
        <f aca="false">IF($F1197=0,0,INDEX(Aux_HH!$F$4:$F$18,MATCH($B1197&amp;"|"&amp;$E1197,Aux_HH!$A$4:$A$18,0)))</f>
        <v>0</v>
      </c>
      <c r="J1197" s="0" t="n">
        <f aca="false">IF($F1197=0,0,INDEX(Aux_HH!$G$4:$G$18,MATCH($B1197&amp;"|"&amp;$E1197,Aux_HH!$A$4:$A$18,0)))</f>
        <v>0</v>
      </c>
      <c r="K1197" s="0" t="n">
        <f aca="false">IF($F1197=0,0,INDEX(Aux_HH!$H$4:$H$18,MATCH($B1197&amp;"|"&amp;$E1197,Aux_HH!$A$4:$A$18,0)))</f>
        <v>0</v>
      </c>
      <c r="L1197" s="0" t="n">
        <f aca="false">IF($F1197=0,0,INDEX(Aux_HH!$I$4:$I$18,MATCH($B1197&amp;"|"&amp;$E1197,Aux_HH!$A$4:$A$18,0)))</f>
        <v>0</v>
      </c>
    </row>
    <row r="1198" customFormat="false" ht="15" hidden="false" customHeight="false" outlineLevel="0" collapsed="false">
      <c r="A1198" s="0" t="str">
        <f aca="false">IF(Frota!$A27="","",Frota!$A27)</f>
        <v/>
      </c>
      <c r="B1198" s="0" t="str">
        <f aca="false">IF(Frota!$A27="","",Frota!$B27)</f>
        <v/>
      </c>
      <c r="C1198" s="0" t="n">
        <v>51</v>
      </c>
      <c r="D1198" s="0" t="n">
        <f aca="false">INDEX(Semanas!$E$3:$E$54,51)</f>
        <v>3</v>
      </c>
      <c r="E1198" s="0" t="str">
        <f aca="false">IF(Frota!$A27="","",Cronograma!AZ27)</f>
        <v/>
      </c>
      <c r="F1198" s="0" t="n">
        <f aca="false">IF(OR($E1198="",$E1198=0),0,1)</f>
        <v>0</v>
      </c>
      <c r="G1198" s="0" t="n">
        <f aca="false">IF($F1198=0,0,INDEX(Aux_HH!$D$4:$D$18,MATCH($B1198&amp;"|"&amp;$E1198,Aux_HH!$A$4:$A$18,0)))</f>
        <v>0</v>
      </c>
      <c r="H1198" s="0" t="n">
        <f aca="false">IF($F1198=0,0,INDEX(Aux_HH!$E$4:$E$18,MATCH($B1198&amp;"|"&amp;$E1198,Aux_HH!$A$4:$A$18,0)))</f>
        <v>0</v>
      </c>
      <c r="I1198" s="0" t="n">
        <f aca="false">IF($F1198=0,0,INDEX(Aux_HH!$F$4:$F$18,MATCH($B1198&amp;"|"&amp;$E1198,Aux_HH!$A$4:$A$18,0)))</f>
        <v>0</v>
      </c>
      <c r="J1198" s="0" t="n">
        <f aca="false">IF($F1198=0,0,INDEX(Aux_HH!$G$4:$G$18,MATCH($B1198&amp;"|"&amp;$E1198,Aux_HH!$A$4:$A$18,0)))</f>
        <v>0</v>
      </c>
      <c r="K1198" s="0" t="n">
        <f aca="false">IF($F1198=0,0,INDEX(Aux_HH!$H$4:$H$18,MATCH($B1198&amp;"|"&amp;$E1198,Aux_HH!$A$4:$A$18,0)))</f>
        <v>0</v>
      </c>
      <c r="L1198" s="0" t="n">
        <f aca="false">IF($F1198=0,0,INDEX(Aux_HH!$I$4:$I$18,MATCH($B1198&amp;"|"&amp;$E1198,Aux_HH!$A$4:$A$18,0)))</f>
        <v>0</v>
      </c>
    </row>
    <row r="1199" customFormat="false" ht="15" hidden="false" customHeight="false" outlineLevel="0" collapsed="false">
      <c r="A1199" s="0" t="str">
        <f aca="false">IF(Frota!$A27="","",Frota!$A27)</f>
        <v/>
      </c>
      <c r="B1199" s="0" t="str">
        <f aca="false">IF(Frota!$A27="","",Frota!$B27)</f>
        <v/>
      </c>
      <c r="C1199" s="0" t="n">
        <v>52</v>
      </c>
      <c r="D1199" s="0" t="n">
        <f aca="false">INDEX(Semanas!$E$3:$E$54,52)</f>
        <v>3</v>
      </c>
      <c r="E1199" s="0" t="str">
        <f aca="false">IF(Frota!$A27="","",Cronograma!BA27)</f>
        <v/>
      </c>
      <c r="F1199" s="0" t="n">
        <f aca="false">IF(OR($E1199="",$E1199=0),0,1)</f>
        <v>0</v>
      </c>
      <c r="G1199" s="0" t="n">
        <f aca="false">IF($F1199=0,0,INDEX(Aux_HH!$D$4:$D$18,MATCH($B1199&amp;"|"&amp;$E1199,Aux_HH!$A$4:$A$18,0)))</f>
        <v>0</v>
      </c>
      <c r="H1199" s="0" t="n">
        <f aca="false">IF($F1199=0,0,INDEX(Aux_HH!$E$4:$E$18,MATCH($B1199&amp;"|"&amp;$E1199,Aux_HH!$A$4:$A$18,0)))</f>
        <v>0</v>
      </c>
      <c r="I1199" s="0" t="n">
        <f aca="false">IF($F1199=0,0,INDEX(Aux_HH!$F$4:$F$18,MATCH($B1199&amp;"|"&amp;$E1199,Aux_HH!$A$4:$A$18,0)))</f>
        <v>0</v>
      </c>
      <c r="J1199" s="0" t="n">
        <f aca="false">IF($F1199=0,0,INDEX(Aux_HH!$G$4:$G$18,MATCH($B1199&amp;"|"&amp;$E1199,Aux_HH!$A$4:$A$18,0)))</f>
        <v>0</v>
      </c>
      <c r="K1199" s="0" t="n">
        <f aca="false">IF($F1199=0,0,INDEX(Aux_HH!$H$4:$H$18,MATCH($B1199&amp;"|"&amp;$E1199,Aux_HH!$A$4:$A$18,0)))</f>
        <v>0</v>
      </c>
      <c r="L1199" s="0" t="n">
        <f aca="false">IF($F1199=0,0,INDEX(Aux_HH!$I$4:$I$18,MATCH($B1199&amp;"|"&amp;$E1199,Aux_HH!$A$4:$A$18,0)))</f>
        <v>0</v>
      </c>
    </row>
    <row r="1200" customFormat="false" ht="15" hidden="false" customHeight="false" outlineLevel="0" collapsed="false">
      <c r="A1200" s="0" t="str">
        <f aca="false">IF(Frota!$A28="","",Frota!$A28)</f>
        <v/>
      </c>
      <c r="B1200" s="0" t="str">
        <f aca="false">IF(Frota!$A28="","",Frota!$B28)</f>
        <v/>
      </c>
      <c r="C1200" s="0" t="n">
        <v>1</v>
      </c>
      <c r="D1200" s="0" t="n">
        <f aca="false">INDEX(Semanas!$E$3:$E$54,1)</f>
        <v>4</v>
      </c>
      <c r="E1200" s="0" t="str">
        <f aca="false">IF(Frota!$A28="","",Cronograma!B28)</f>
        <v/>
      </c>
      <c r="F1200" s="0" t="n">
        <f aca="false">IF(OR($E1200="",$E1200=0),0,1)</f>
        <v>0</v>
      </c>
      <c r="G1200" s="0" t="n">
        <f aca="false">IF($F1200=0,0,INDEX(Aux_HH!$D$4:$D$18,MATCH($B1200&amp;"|"&amp;$E1200,Aux_HH!$A$4:$A$18,0)))</f>
        <v>0</v>
      </c>
      <c r="H1200" s="0" t="n">
        <f aca="false">IF($F1200=0,0,INDEX(Aux_HH!$E$4:$E$18,MATCH($B1200&amp;"|"&amp;$E1200,Aux_HH!$A$4:$A$18,0)))</f>
        <v>0</v>
      </c>
      <c r="I1200" s="0" t="n">
        <f aca="false">IF($F1200=0,0,INDEX(Aux_HH!$F$4:$F$18,MATCH($B1200&amp;"|"&amp;$E1200,Aux_HH!$A$4:$A$18,0)))</f>
        <v>0</v>
      </c>
      <c r="J1200" s="0" t="n">
        <f aca="false">IF($F1200=0,0,INDEX(Aux_HH!$G$4:$G$18,MATCH($B1200&amp;"|"&amp;$E1200,Aux_HH!$A$4:$A$18,0)))</f>
        <v>0</v>
      </c>
      <c r="K1200" s="0" t="n">
        <f aca="false">IF($F1200=0,0,INDEX(Aux_HH!$H$4:$H$18,MATCH($B1200&amp;"|"&amp;$E1200,Aux_HH!$A$4:$A$18,0)))</f>
        <v>0</v>
      </c>
      <c r="L1200" s="0" t="n">
        <f aca="false">IF($F1200=0,0,INDEX(Aux_HH!$I$4:$I$18,MATCH($B1200&amp;"|"&amp;$E1200,Aux_HH!$A$4:$A$18,0)))</f>
        <v>0</v>
      </c>
    </row>
    <row r="1201" customFormat="false" ht="15" hidden="false" customHeight="false" outlineLevel="0" collapsed="false">
      <c r="A1201" s="0" t="str">
        <f aca="false">IF(Frota!$A28="","",Frota!$A28)</f>
        <v/>
      </c>
      <c r="B1201" s="0" t="str">
        <f aca="false">IF(Frota!$A28="","",Frota!$B28)</f>
        <v/>
      </c>
      <c r="C1201" s="0" t="n">
        <v>2</v>
      </c>
      <c r="D1201" s="0" t="n">
        <f aca="false">INDEX(Semanas!$E$3:$E$54,2)</f>
        <v>4</v>
      </c>
      <c r="E1201" s="0" t="str">
        <f aca="false">IF(Frota!$A28="","",Cronograma!C28)</f>
        <v/>
      </c>
      <c r="F1201" s="0" t="n">
        <f aca="false">IF(OR($E1201="",$E1201=0),0,1)</f>
        <v>0</v>
      </c>
      <c r="G1201" s="0" t="n">
        <f aca="false">IF($F1201=0,0,INDEX(Aux_HH!$D$4:$D$18,MATCH($B1201&amp;"|"&amp;$E1201,Aux_HH!$A$4:$A$18,0)))</f>
        <v>0</v>
      </c>
      <c r="H1201" s="0" t="n">
        <f aca="false">IF($F1201=0,0,INDEX(Aux_HH!$E$4:$E$18,MATCH($B1201&amp;"|"&amp;$E1201,Aux_HH!$A$4:$A$18,0)))</f>
        <v>0</v>
      </c>
      <c r="I1201" s="0" t="n">
        <f aca="false">IF($F1201=0,0,INDEX(Aux_HH!$F$4:$F$18,MATCH($B1201&amp;"|"&amp;$E1201,Aux_HH!$A$4:$A$18,0)))</f>
        <v>0</v>
      </c>
      <c r="J1201" s="0" t="n">
        <f aca="false">IF($F1201=0,0,INDEX(Aux_HH!$G$4:$G$18,MATCH($B1201&amp;"|"&amp;$E1201,Aux_HH!$A$4:$A$18,0)))</f>
        <v>0</v>
      </c>
      <c r="K1201" s="0" t="n">
        <f aca="false">IF($F1201=0,0,INDEX(Aux_HH!$H$4:$H$18,MATCH($B1201&amp;"|"&amp;$E1201,Aux_HH!$A$4:$A$18,0)))</f>
        <v>0</v>
      </c>
      <c r="L1201" s="0" t="n">
        <f aca="false">IF($F1201=0,0,INDEX(Aux_HH!$I$4:$I$18,MATCH($B1201&amp;"|"&amp;$E1201,Aux_HH!$A$4:$A$18,0)))</f>
        <v>0</v>
      </c>
    </row>
    <row r="1202" customFormat="false" ht="15" hidden="false" customHeight="false" outlineLevel="0" collapsed="false">
      <c r="A1202" s="0" t="str">
        <f aca="false">IF(Frota!$A28="","",Frota!$A28)</f>
        <v/>
      </c>
      <c r="B1202" s="0" t="str">
        <f aca="false">IF(Frota!$A28="","",Frota!$B28)</f>
        <v/>
      </c>
      <c r="C1202" s="0" t="n">
        <v>3</v>
      </c>
      <c r="D1202" s="0" t="n">
        <f aca="false">INDEX(Semanas!$E$3:$E$54,3)</f>
        <v>4</v>
      </c>
      <c r="E1202" s="0" t="str">
        <f aca="false">IF(Frota!$A28="","",Cronograma!D28)</f>
        <v/>
      </c>
      <c r="F1202" s="0" t="n">
        <f aca="false">IF(OR($E1202="",$E1202=0),0,1)</f>
        <v>0</v>
      </c>
      <c r="G1202" s="0" t="n">
        <f aca="false">IF($F1202=0,0,INDEX(Aux_HH!$D$4:$D$18,MATCH($B1202&amp;"|"&amp;$E1202,Aux_HH!$A$4:$A$18,0)))</f>
        <v>0</v>
      </c>
      <c r="H1202" s="0" t="n">
        <f aca="false">IF($F1202=0,0,INDEX(Aux_HH!$E$4:$E$18,MATCH($B1202&amp;"|"&amp;$E1202,Aux_HH!$A$4:$A$18,0)))</f>
        <v>0</v>
      </c>
      <c r="I1202" s="0" t="n">
        <f aca="false">IF($F1202=0,0,INDEX(Aux_HH!$F$4:$F$18,MATCH($B1202&amp;"|"&amp;$E1202,Aux_HH!$A$4:$A$18,0)))</f>
        <v>0</v>
      </c>
      <c r="J1202" s="0" t="n">
        <f aca="false">IF($F1202=0,0,INDEX(Aux_HH!$G$4:$G$18,MATCH($B1202&amp;"|"&amp;$E1202,Aux_HH!$A$4:$A$18,0)))</f>
        <v>0</v>
      </c>
      <c r="K1202" s="0" t="n">
        <f aca="false">IF($F1202=0,0,INDEX(Aux_HH!$H$4:$H$18,MATCH($B1202&amp;"|"&amp;$E1202,Aux_HH!$A$4:$A$18,0)))</f>
        <v>0</v>
      </c>
      <c r="L1202" s="0" t="n">
        <f aca="false">IF($F1202=0,0,INDEX(Aux_HH!$I$4:$I$18,MATCH($B1202&amp;"|"&amp;$E1202,Aux_HH!$A$4:$A$18,0)))</f>
        <v>0</v>
      </c>
    </row>
    <row r="1203" customFormat="false" ht="15" hidden="false" customHeight="false" outlineLevel="0" collapsed="false">
      <c r="A1203" s="0" t="str">
        <f aca="false">IF(Frota!$A28="","",Frota!$A28)</f>
        <v/>
      </c>
      <c r="B1203" s="0" t="str">
        <f aca="false">IF(Frota!$A28="","",Frota!$B28)</f>
        <v/>
      </c>
      <c r="C1203" s="0" t="n">
        <v>4</v>
      </c>
      <c r="D1203" s="0" t="n">
        <f aca="false">INDEX(Semanas!$E$3:$E$54,4)</f>
        <v>4</v>
      </c>
      <c r="E1203" s="0" t="str">
        <f aca="false">IF(Frota!$A28="","",Cronograma!E28)</f>
        <v/>
      </c>
      <c r="F1203" s="0" t="n">
        <f aca="false">IF(OR($E1203="",$E1203=0),0,1)</f>
        <v>0</v>
      </c>
      <c r="G1203" s="0" t="n">
        <f aca="false">IF($F1203=0,0,INDEX(Aux_HH!$D$4:$D$18,MATCH($B1203&amp;"|"&amp;$E1203,Aux_HH!$A$4:$A$18,0)))</f>
        <v>0</v>
      </c>
      <c r="H1203" s="0" t="n">
        <f aca="false">IF($F1203=0,0,INDEX(Aux_HH!$E$4:$E$18,MATCH($B1203&amp;"|"&amp;$E1203,Aux_HH!$A$4:$A$18,0)))</f>
        <v>0</v>
      </c>
      <c r="I1203" s="0" t="n">
        <f aca="false">IF($F1203=0,0,INDEX(Aux_HH!$F$4:$F$18,MATCH($B1203&amp;"|"&amp;$E1203,Aux_HH!$A$4:$A$18,0)))</f>
        <v>0</v>
      </c>
      <c r="J1203" s="0" t="n">
        <f aca="false">IF($F1203=0,0,INDEX(Aux_HH!$G$4:$G$18,MATCH($B1203&amp;"|"&amp;$E1203,Aux_HH!$A$4:$A$18,0)))</f>
        <v>0</v>
      </c>
      <c r="K1203" s="0" t="n">
        <f aca="false">IF($F1203=0,0,INDEX(Aux_HH!$H$4:$H$18,MATCH($B1203&amp;"|"&amp;$E1203,Aux_HH!$A$4:$A$18,0)))</f>
        <v>0</v>
      </c>
      <c r="L1203" s="0" t="n">
        <f aca="false">IF($F1203=0,0,INDEX(Aux_HH!$I$4:$I$18,MATCH($B1203&amp;"|"&amp;$E1203,Aux_HH!$A$4:$A$18,0)))</f>
        <v>0</v>
      </c>
    </row>
    <row r="1204" customFormat="false" ht="15" hidden="false" customHeight="false" outlineLevel="0" collapsed="false">
      <c r="A1204" s="0" t="str">
        <f aca="false">IF(Frota!$A28="","",Frota!$A28)</f>
        <v/>
      </c>
      <c r="B1204" s="0" t="str">
        <f aca="false">IF(Frota!$A28="","",Frota!$B28)</f>
        <v/>
      </c>
      <c r="C1204" s="0" t="n">
        <v>5</v>
      </c>
      <c r="D1204" s="0" t="n">
        <f aca="false">INDEX(Semanas!$E$3:$E$54,5)</f>
        <v>4</v>
      </c>
      <c r="E1204" s="0" t="str">
        <f aca="false">IF(Frota!$A28="","",Cronograma!F28)</f>
        <v/>
      </c>
      <c r="F1204" s="0" t="n">
        <f aca="false">IF(OR($E1204="",$E1204=0),0,1)</f>
        <v>0</v>
      </c>
      <c r="G1204" s="0" t="n">
        <f aca="false">IF($F1204=0,0,INDEX(Aux_HH!$D$4:$D$18,MATCH($B1204&amp;"|"&amp;$E1204,Aux_HH!$A$4:$A$18,0)))</f>
        <v>0</v>
      </c>
      <c r="H1204" s="0" t="n">
        <f aca="false">IF($F1204=0,0,INDEX(Aux_HH!$E$4:$E$18,MATCH($B1204&amp;"|"&amp;$E1204,Aux_HH!$A$4:$A$18,0)))</f>
        <v>0</v>
      </c>
      <c r="I1204" s="0" t="n">
        <f aca="false">IF($F1204=0,0,INDEX(Aux_HH!$F$4:$F$18,MATCH($B1204&amp;"|"&amp;$E1204,Aux_HH!$A$4:$A$18,0)))</f>
        <v>0</v>
      </c>
      <c r="J1204" s="0" t="n">
        <f aca="false">IF($F1204=0,0,INDEX(Aux_HH!$G$4:$G$18,MATCH($B1204&amp;"|"&amp;$E1204,Aux_HH!$A$4:$A$18,0)))</f>
        <v>0</v>
      </c>
      <c r="K1204" s="0" t="n">
        <f aca="false">IF($F1204=0,0,INDEX(Aux_HH!$H$4:$H$18,MATCH($B1204&amp;"|"&amp;$E1204,Aux_HH!$A$4:$A$18,0)))</f>
        <v>0</v>
      </c>
      <c r="L1204" s="0" t="n">
        <f aca="false">IF($F1204=0,0,INDEX(Aux_HH!$I$4:$I$18,MATCH($B1204&amp;"|"&amp;$E1204,Aux_HH!$A$4:$A$18,0)))</f>
        <v>0</v>
      </c>
    </row>
    <row r="1205" customFormat="false" ht="15" hidden="false" customHeight="false" outlineLevel="0" collapsed="false">
      <c r="A1205" s="0" t="str">
        <f aca="false">IF(Frota!$A28="","",Frota!$A28)</f>
        <v/>
      </c>
      <c r="B1205" s="0" t="str">
        <f aca="false">IF(Frota!$A28="","",Frota!$B28)</f>
        <v/>
      </c>
      <c r="C1205" s="0" t="n">
        <v>6</v>
      </c>
      <c r="D1205" s="0" t="n">
        <f aca="false">INDEX(Semanas!$E$3:$E$54,6)</f>
        <v>5</v>
      </c>
      <c r="E1205" s="0" t="str">
        <f aca="false">IF(Frota!$A28="","",Cronograma!G28)</f>
        <v/>
      </c>
      <c r="F1205" s="0" t="n">
        <f aca="false">IF(OR($E1205="",$E1205=0),0,1)</f>
        <v>0</v>
      </c>
      <c r="G1205" s="0" t="n">
        <f aca="false">IF($F1205=0,0,INDEX(Aux_HH!$D$4:$D$18,MATCH($B1205&amp;"|"&amp;$E1205,Aux_HH!$A$4:$A$18,0)))</f>
        <v>0</v>
      </c>
      <c r="H1205" s="0" t="n">
        <f aca="false">IF($F1205=0,0,INDEX(Aux_HH!$E$4:$E$18,MATCH($B1205&amp;"|"&amp;$E1205,Aux_HH!$A$4:$A$18,0)))</f>
        <v>0</v>
      </c>
      <c r="I1205" s="0" t="n">
        <f aca="false">IF($F1205=0,0,INDEX(Aux_HH!$F$4:$F$18,MATCH($B1205&amp;"|"&amp;$E1205,Aux_HH!$A$4:$A$18,0)))</f>
        <v>0</v>
      </c>
      <c r="J1205" s="0" t="n">
        <f aca="false">IF($F1205=0,0,INDEX(Aux_HH!$G$4:$G$18,MATCH($B1205&amp;"|"&amp;$E1205,Aux_HH!$A$4:$A$18,0)))</f>
        <v>0</v>
      </c>
      <c r="K1205" s="0" t="n">
        <f aca="false">IF($F1205=0,0,INDEX(Aux_HH!$H$4:$H$18,MATCH($B1205&amp;"|"&amp;$E1205,Aux_HH!$A$4:$A$18,0)))</f>
        <v>0</v>
      </c>
      <c r="L1205" s="0" t="n">
        <f aca="false">IF($F1205=0,0,INDEX(Aux_HH!$I$4:$I$18,MATCH($B1205&amp;"|"&amp;$E1205,Aux_HH!$A$4:$A$18,0)))</f>
        <v>0</v>
      </c>
    </row>
    <row r="1206" customFormat="false" ht="15" hidden="false" customHeight="false" outlineLevel="0" collapsed="false">
      <c r="A1206" s="0" t="str">
        <f aca="false">IF(Frota!$A28="","",Frota!$A28)</f>
        <v/>
      </c>
      <c r="B1206" s="0" t="str">
        <f aca="false">IF(Frota!$A28="","",Frota!$B28)</f>
        <v/>
      </c>
      <c r="C1206" s="0" t="n">
        <v>7</v>
      </c>
      <c r="D1206" s="0" t="n">
        <f aca="false">INDEX(Semanas!$E$3:$E$54,7)</f>
        <v>5</v>
      </c>
      <c r="E1206" s="0" t="str">
        <f aca="false">IF(Frota!$A28="","",Cronograma!H28)</f>
        <v/>
      </c>
      <c r="F1206" s="0" t="n">
        <f aca="false">IF(OR($E1206="",$E1206=0),0,1)</f>
        <v>0</v>
      </c>
      <c r="G1206" s="0" t="n">
        <f aca="false">IF($F1206=0,0,INDEX(Aux_HH!$D$4:$D$18,MATCH($B1206&amp;"|"&amp;$E1206,Aux_HH!$A$4:$A$18,0)))</f>
        <v>0</v>
      </c>
      <c r="H1206" s="0" t="n">
        <f aca="false">IF($F1206=0,0,INDEX(Aux_HH!$E$4:$E$18,MATCH($B1206&amp;"|"&amp;$E1206,Aux_HH!$A$4:$A$18,0)))</f>
        <v>0</v>
      </c>
      <c r="I1206" s="0" t="n">
        <f aca="false">IF($F1206=0,0,INDEX(Aux_HH!$F$4:$F$18,MATCH($B1206&amp;"|"&amp;$E1206,Aux_HH!$A$4:$A$18,0)))</f>
        <v>0</v>
      </c>
      <c r="J1206" s="0" t="n">
        <f aca="false">IF($F1206=0,0,INDEX(Aux_HH!$G$4:$G$18,MATCH($B1206&amp;"|"&amp;$E1206,Aux_HH!$A$4:$A$18,0)))</f>
        <v>0</v>
      </c>
      <c r="K1206" s="0" t="n">
        <f aca="false">IF($F1206=0,0,INDEX(Aux_HH!$H$4:$H$18,MATCH($B1206&amp;"|"&amp;$E1206,Aux_HH!$A$4:$A$18,0)))</f>
        <v>0</v>
      </c>
      <c r="L1206" s="0" t="n">
        <f aca="false">IF($F1206=0,0,INDEX(Aux_HH!$I$4:$I$18,MATCH($B1206&amp;"|"&amp;$E1206,Aux_HH!$A$4:$A$18,0)))</f>
        <v>0</v>
      </c>
    </row>
    <row r="1207" customFormat="false" ht="15" hidden="false" customHeight="false" outlineLevel="0" collapsed="false">
      <c r="A1207" s="0" t="str">
        <f aca="false">IF(Frota!$A28="","",Frota!$A28)</f>
        <v/>
      </c>
      <c r="B1207" s="0" t="str">
        <f aca="false">IF(Frota!$A28="","",Frota!$B28)</f>
        <v/>
      </c>
      <c r="C1207" s="0" t="n">
        <v>8</v>
      </c>
      <c r="D1207" s="0" t="n">
        <f aca="false">INDEX(Semanas!$E$3:$E$54,8)</f>
        <v>5</v>
      </c>
      <c r="E1207" s="0" t="str">
        <f aca="false">IF(Frota!$A28="","",Cronograma!I28)</f>
        <v/>
      </c>
      <c r="F1207" s="0" t="n">
        <f aca="false">IF(OR($E1207="",$E1207=0),0,1)</f>
        <v>0</v>
      </c>
      <c r="G1207" s="0" t="n">
        <f aca="false">IF($F1207=0,0,INDEX(Aux_HH!$D$4:$D$18,MATCH($B1207&amp;"|"&amp;$E1207,Aux_HH!$A$4:$A$18,0)))</f>
        <v>0</v>
      </c>
      <c r="H1207" s="0" t="n">
        <f aca="false">IF($F1207=0,0,INDEX(Aux_HH!$E$4:$E$18,MATCH($B1207&amp;"|"&amp;$E1207,Aux_HH!$A$4:$A$18,0)))</f>
        <v>0</v>
      </c>
      <c r="I1207" s="0" t="n">
        <f aca="false">IF($F1207=0,0,INDEX(Aux_HH!$F$4:$F$18,MATCH($B1207&amp;"|"&amp;$E1207,Aux_HH!$A$4:$A$18,0)))</f>
        <v>0</v>
      </c>
      <c r="J1207" s="0" t="n">
        <f aca="false">IF($F1207=0,0,INDEX(Aux_HH!$G$4:$G$18,MATCH($B1207&amp;"|"&amp;$E1207,Aux_HH!$A$4:$A$18,0)))</f>
        <v>0</v>
      </c>
      <c r="K1207" s="0" t="n">
        <f aca="false">IF($F1207=0,0,INDEX(Aux_HH!$H$4:$H$18,MATCH($B1207&amp;"|"&amp;$E1207,Aux_HH!$A$4:$A$18,0)))</f>
        <v>0</v>
      </c>
      <c r="L1207" s="0" t="n">
        <f aca="false">IF($F1207=0,0,INDEX(Aux_HH!$I$4:$I$18,MATCH($B1207&amp;"|"&amp;$E1207,Aux_HH!$A$4:$A$18,0)))</f>
        <v>0</v>
      </c>
    </row>
    <row r="1208" customFormat="false" ht="15" hidden="false" customHeight="false" outlineLevel="0" collapsed="false">
      <c r="A1208" s="0" t="str">
        <f aca="false">IF(Frota!$A28="","",Frota!$A28)</f>
        <v/>
      </c>
      <c r="B1208" s="0" t="str">
        <f aca="false">IF(Frota!$A28="","",Frota!$B28)</f>
        <v/>
      </c>
      <c r="C1208" s="0" t="n">
        <v>9</v>
      </c>
      <c r="D1208" s="0" t="n">
        <f aca="false">INDEX(Semanas!$E$3:$E$54,9)</f>
        <v>5</v>
      </c>
      <c r="E1208" s="0" t="str">
        <f aca="false">IF(Frota!$A28="","",Cronograma!J28)</f>
        <v/>
      </c>
      <c r="F1208" s="0" t="n">
        <f aca="false">IF(OR($E1208="",$E1208=0),0,1)</f>
        <v>0</v>
      </c>
      <c r="G1208" s="0" t="n">
        <f aca="false">IF($F1208=0,0,INDEX(Aux_HH!$D$4:$D$18,MATCH($B1208&amp;"|"&amp;$E1208,Aux_HH!$A$4:$A$18,0)))</f>
        <v>0</v>
      </c>
      <c r="H1208" s="0" t="n">
        <f aca="false">IF($F1208=0,0,INDEX(Aux_HH!$E$4:$E$18,MATCH($B1208&amp;"|"&amp;$E1208,Aux_HH!$A$4:$A$18,0)))</f>
        <v>0</v>
      </c>
      <c r="I1208" s="0" t="n">
        <f aca="false">IF($F1208=0,0,INDEX(Aux_HH!$F$4:$F$18,MATCH($B1208&amp;"|"&amp;$E1208,Aux_HH!$A$4:$A$18,0)))</f>
        <v>0</v>
      </c>
      <c r="J1208" s="0" t="n">
        <f aca="false">IF($F1208=0,0,INDEX(Aux_HH!$G$4:$G$18,MATCH($B1208&amp;"|"&amp;$E1208,Aux_HH!$A$4:$A$18,0)))</f>
        <v>0</v>
      </c>
      <c r="K1208" s="0" t="n">
        <f aca="false">IF($F1208=0,0,INDEX(Aux_HH!$H$4:$H$18,MATCH($B1208&amp;"|"&amp;$E1208,Aux_HH!$A$4:$A$18,0)))</f>
        <v>0</v>
      </c>
      <c r="L1208" s="0" t="n">
        <f aca="false">IF($F1208=0,0,INDEX(Aux_HH!$I$4:$I$18,MATCH($B1208&amp;"|"&amp;$E1208,Aux_HH!$A$4:$A$18,0)))</f>
        <v>0</v>
      </c>
    </row>
    <row r="1209" customFormat="false" ht="15" hidden="false" customHeight="false" outlineLevel="0" collapsed="false">
      <c r="A1209" s="0" t="str">
        <f aca="false">IF(Frota!$A28="","",Frota!$A28)</f>
        <v/>
      </c>
      <c r="B1209" s="0" t="str">
        <f aca="false">IF(Frota!$A28="","",Frota!$B28)</f>
        <v/>
      </c>
      <c r="C1209" s="0" t="n">
        <v>10</v>
      </c>
      <c r="D1209" s="0" t="n">
        <f aca="false">INDEX(Semanas!$E$3:$E$54,10)</f>
        <v>6</v>
      </c>
      <c r="E1209" s="0" t="str">
        <f aca="false">IF(Frota!$A28="","",Cronograma!K28)</f>
        <v/>
      </c>
      <c r="F1209" s="0" t="n">
        <f aca="false">IF(OR($E1209="",$E1209=0),0,1)</f>
        <v>0</v>
      </c>
      <c r="G1209" s="0" t="n">
        <f aca="false">IF($F1209=0,0,INDEX(Aux_HH!$D$4:$D$18,MATCH($B1209&amp;"|"&amp;$E1209,Aux_HH!$A$4:$A$18,0)))</f>
        <v>0</v>
      </c>
      <c r="H1209" s="0" t="n">
        <f aca="false">IF($F1209=0,0,INDEX(Aux_HH!$E$4:$E$18,MATCH($B1209&amp;"|"&amp;$E1209,Aux_HH!$A$4:$A$18,0)))</f>
        <v>0</v>
      </c>
      <c r="I1209" s="0" t="n">
        <f aca="false">IF($F1209=0,0,INDEX(Aux_HH!$F$4:$F$18,MATCH($B1209&amp;"|"&amp;$E1209,Aux_HH!$A$4:$A$18,0)))</f>
        <v>0</v>
      </c>
      <c r="J1209" s="0" t="n">
        <f aca="false">IF($F1209=0,0,INDEX(Aux_HH!$G$4:$G$18,MATCH($B1209&amp;"|"&amp;$E1209,Aux_HH!$A$4:$A$18,0)))</f>
        <v>0</v>
      </c>
      <c r="K1209" s="0" t="n">
        <f aca="false">IF($F1209=0,0,INDEX(Aux_HH!$H$4:$H$18,MATCH($B1209&amp;"|"&amp;$E1209,Aux_HH!$A$4:$A$18,0)))</f>
        <v>0</v>
      </c>
      <c r="L1209" s="0" t="n">
        <f aca="false">IF($F1209=0,0,INDEX(Aux_HH!$I$4:$I$18,MATCH($B1209&amp;"|"&amp;$E1209,Aux_HH!$A$4:$A$18,0)))</f>
        <v>0</v>
      </c>
    </row>
    <row r="1210" customFormat="false" ht="15" hidden="false" customHeight="false" outlineLevel="0" collapsed="false">
      <c r="A1210" s="0" t="str">
        <f aca="false">IF(Frota!$A28="","",Frota!$A28)</f>
        <v/>
      </c>
      <c r="B1210" s="0" t="str">
        <f aca="false">IF(Frota!$A28="","",Frota!$B28)</f>
        <v/>
      </c>
      <c r="C1210" s="0" t="n">
        <v>11</v>
      </c>
      <c r="D1210" s="0" t="n">
        <f aca="false">INDEX(Semanas!$E$3:$E$54,11)</f>
        <v>6</v>
      </c>
      <c r="E1210" s="0" t="str">
        <f aca="false">IF(Frota!$A28="","",Cronograma!L28)</f>
        <v/>
      </c>
      <c r="F1210" s="0" t="n">
        <f aca="false">IF(OR($E1210="",$E1210=0),0,1)</f>
        <v>0</v>
      </c>
      <c r="G1210" s="0" t="n">
        <f aca="false">IF($F1210=0,0,INDEX(Aux_HH!$D$4:$D$18,MATCH($B1210&amp;"|"&amp;$E1210,Aux_HH!$A$4:$A$18,0)))</f>
        <v>0</v>
      </c>
      <c r="H1210" s="0" t="n">
        <f aca="false">IF($F1210=0,0,INDEX(Aux_HH!$E$4:$E$18,MATCH($B1210&amp;"|"&amp;$E1210,Aux_HH!$A$4:$A$18,0)))</f>
        <v>0</v>
      </c>
      <c r="I1210" s="0" t="n">
        <f aca="false">IF($F1210=0,0,INDEX(Aux_HH!$F$4:$F$18,MATCH($B1210&amp;"|"&amp;$E1210,Aux_HH!$A$4:$A$18,0)))</f>
        <v>0</v>
      </c>
      <c r="J1210" s="0" t="n">
        <f aca="false">IF($F1210=0,0,INDEX(Aux_HH!$G$4:$G$18,MATCH($B1210&amp;"|"&amp;$E1210,Aux_HH!$A$4:$A$18,0)))</f>
        <v>0</v>
      </c>
      <c r="K1210" s="0" t="n">
        <f aca="false">IF($F1210=0,0,INDEX(Aux_HH!$H$4:$H$18,MATCH($B1210&amp;"|"&amp;$E1210,Aux_HH!$A$4:$A$18,0)))</f>
        <v>0</v>
      </c>
      <c r="L1210" s="0" t="n">
        <f aca="false">IF($F1210=0,0,INDEX(Aux_HH!$I$4:$I$18,MATCH($B1210&amp;"|"&amp;$E1210,Aux_HH!$A$4:$A$18,0)))</f>
        <v>0</v>
      </c>
    </row>
    <row r="1211" customFormat="false" ht="15" hidden="false" customHeight="false" outlineLevel="0" collapsed="false">
      <c r="A1211" s="0" t="str">
        <f aca="false">IF(Frota!$A28="","",Frota!$A28)</f>
        <v/>
      </c>
      <c r="B1211" s="0" t="str">
        <f aca="false">IF(Frota!$A28="","",Frota!$B28)</f>
        <v/>
      </c>
      <c r="C1211" s="0" t="n">
        <v>12</v>
      </c>
      <c r="D1211" s="0" t="n">
        <f aca="false">INDEX(Semanas!$E$3:$E$54,12)</f>
        <v>6</v>
      </c>
      <c r="E1211" s="0" t="str">
        <f aca="false">IF(Frota!$A28="","",Cronograma!M28)</f>
        <v/>
      </c>
      <c r="F1211" s="0" t="n">
        <f aca="false">IF(OR($E1211="",$E1211=0),0,1)</f>
        <v>0</v>
      </c>
      <c r="G1211" s="0" t="n">
        <f aca="false">IF($F1211=0,0,INDEX(Aux_HH!$D$4:$D$18,MATCH($B1211&amp;"|"&amp;$E1211,Aux_HH!$A$4:$A$18,0)))</f>
        <v>0</v>
      </c>
      <c r="H1211" s="0" t="n">
        <f aca="false">IF($F1211=0,0,INDEX(Aux_HH!$E$4:$E$18,MATCH($B1211&amp;"|"&amp;$E1211,Aux_HH!$A$4:$A$18,0)))</f>
        <v>0</v>
      </c>
      <c r="I1211" s="0" t="n">
        <f aca="false">IF($F1211=0,0,INDEX(Aux_HH!$F$4:$F$18,MATCH($B1211&amp;"|"&amp;$E1211,Aux_HH!$A$4:$A$18,0)))</f>
        <v>0</v>
      </c>
      <c r="J1211" s="0" t="n">
        <f aca="false">IF($F1211=0,0,INDEX(Aux_HH!$G$4:$G$18,MATCH($B1211&amp;"|"&amp;$E1211,Aux_HH!$A$4:$A$18,0)))</f>
        <v>0</v>
      </c>
      <c r="K1211" s="0" t="n">
        <f aca="false">IF($F1211=0,0,INDEX(Aux_HH!$H$4:$H$18,MATCH($B1211&amp;"|"&amp;$E1211,Aux_HH!$A$4:$A$18,0)))</f>
        <v>0</v>
      </c>
      <c r="L1211" s="0" t="n">
        <f aca="false">IF($F1211=0,0,INDEX(Aux_HH!$I$4:$I$18,MATCH($B1211&amp;"|"&amp;$E1211,Aux_HH!$A$4:$A$18,0)))</f>
        <v>0</v>
      </c>
    </row>
    <row r="1212" customFormat="false" ht="15" hidden="false" customHeight="false" outlineLevel="0" collapsed="false">
      <c r="A1212" s="0" t="str">
        <f aca="false">IF(Frota!$A28="","",Frota!$A28)</f>
        <v/>
      </c>
      <c r="B1212" s="0" t="str">
        <f aca="false">IF(Frota!$A28="","",Frota!$B28)</f>
        <v/>
      </c>
      <c r="C1212" s="0" t="n">
        <v>13</v>
      </c>
      <c r="D1212" s="0" t="n">
        <f aca="false">INDEX(Semanas!$E$3:$E$54,13)</f>
        <v>6</v>
      </c>
      <c r="E1212" s="0" t="str">
        <f aca="false">IF(Frota!$A28="","",Cronograma!N28)</f>
        <v/>
      </c>
      <c r="F1212" s="0" t="n">
        <f aca="false">IF(OR($E1212="",$E1212=0),0,1)</f>
        <v>0</v>
      </c>
      <c r="G1212" s="0" t="n">
        <f aca="false">IF($F1212=0,0,INDEX(Aux_HH!$D$4:$D$18,MATCH($B1212&amp;"|"&amp;$E1212,Aux_HH!$A$4:$A$18,0)))</f>
        <v>0</v>
      </c>
      <c r="H1212" s="0" t="n">
        <f aca="false">IF($F1212=0,0,INDEX(Aux_HH!$E$4:$E$18,MATCH($B1212&amp;"|"&amp;$E1212,Aux_HH!$A$4:$A$18,0)))</f>
        <v>0</v>
      </c>
      <c r="I1212" s="0" t="n">
        <f aca="false">IF($F1212=0,0,INDEX(Aux_HH!$F$4:$F$18,MATCH($B1212&amp;"|"&amp;$E1212,Aux_HH!$A$4:$A$18,0)))</f>
        <v>0</v>
      </c>
      <c r="J1212" s="0" t="n">
        <f aca="false">IF($F1212=0,0,INDEX(Aux_HH!$G$4:$G$18,MATCH($B1212&amp;"|"&amp;$E1212,Aux_HH!$A$4:$A$18,0)))</f>
        <v>0</v>
      </c>
      <c r="K1212" s="0" t="n">
        <f aca="false">IF($F1212=0,0,INDEX(Aux_HH!$H$4:$H$18,MATCH($B1212&amp;"|"&amp;$E1212,Aux_HH!$A$4:$A$18,0)))</f>
        <v>0</v>
      </c>
      <c r="L1212" s="0" t="n">
        <f aca="false">IF($F1212=0,0,INDEX(Aux_HH!$I$4:$I$18,MATCH($B1212&amp;"|"&amp;$E1212,Aux_HH!$A$4:$A$18,0)))</f>
        <v>0</v>
      </c>
    </row>
    <row r="1213" customFormat="false" ht="15" hidden="false" customHeight="false" outlineLevel="0" collapsed="false">
      <c r="A1213" s="0" t="str">
        <f aca="false">IF(Frota!$A28="","",Frota!$A28)</f>
        <v/>
      </c>
      <c r="B1213" s="0" t="str">
        <f aca="false">IF(Frota!$A28="","",Frota!$B28)</f>
        <v/>
      </c>
      <c r="C1213" s="0" t="n">
        <v>14</v>
      </c>
      <c r="D1213" s="0" t="n">
        <f aca="false">INDEX(Semanas!$E$3:$E$54,14)</f>
        <v>7</v>
      </c>
      <c r="E1213" s="0" t="str">
        <f aca="false">IF(Frota!$A28="","",Cronograma!O28)</f>
        <v/>
      </c>
      <c r="F1213" s="0" t="n">
        <f aca="false">IF(OR($E1213="",$E1213=0),0,1)</f>
        <v>0</v>
      </c>
      <c r="G1213" s="0" t="n">
        <f aca="false">IF($F1213=0,0,INDEX(Aux_HH!$D$4:$D$18,MATCH($B1213&amp;"|"&amp;$E1213,Aux_HH!$A$4:$A$18,0)))</f>
        <v>0</v>
      </c>
      <c r="H1213" s="0" t="n">
        <f aca="false">IF($F1213=0,0,INDEX(Aux_HH!$E$4:$E$18,MATCH($B1213&amp;"|"&amp;$E1213,Aux_HH!$A$4:$A$18,0)))</f>
        <v>0</v>
      </c>
      <c r="I1213" s="0" t="n">
        <f aca="false">IF($F1213=0,0,INDEX(Aux_HH!$F$4:$F$18,MATCH($B1213&amp;"|"&amp;$E1213,Aux_HH!$A$4:$A$18,0)))</f>
        <v>0</v>
      </c>
      <c r="J1213" s="0" t="n">
        <f aca="false">IF($F1213=0,0,INDEX(Aux_HH!$G$4:$G$18,MATCH($B1213&amp;"|"&amp;$E1213,Aux_HH!$A$4:$A$18,0)))</f>
        <v>0</v>
      </c>
      <c r="K1213" s="0" t="n">
        <f aca="false">IF($F1213=0,0,INDEX(Aux_HH!$H$4:$H$18,MATCH($B1213&amp;"|"&amp;$E1213,Aux_HH!$A$4:$A$18,0)))</f>
        <v>0</v>
      </c>
      <c r="L1213" s="0" t="n">
        <f aca="false">IF($F1213=0,0,INDEX(Aux_HH!$I$4:$I$18,MATCH($B1213&amp;"|"&amp;$E1213,Aux_HH!$A$4:$A$18,0)))</f>
        <v>0</v>
      </c>
    </row>
    <row r="1214" customFormat="false" ht="15" hidden="false" customHeight="false" outlineLevel="0" collapsed="false">
      <c r="A1214" s="0" t="str">
        <f aca="false">IF(Frota!$A28="","",Frota!$A28)</f>
        <v/>
      </c>
      <c r="B1214" s="0" t="str">
        <f aca="false">IF(Frota!$A28="","",Frota!$B28)</f>
        <v/>
      </c>
      <c r="C1214" s="0" t="n">
        <v>15</v>
      </c>
      <c r="D1214" s="0" t="n">
        <f aca="false">INDEX(Semanas!$E$3:$E$54,15)</f>
        <v>7</v>
      </c>
      <c r="E1214" s="0" t="str">
        <f aca="false">IF(Frota!$A28="","",Cronograma!P28)</f>
        <v/>
      </c>
      <c r="F1214" s="0" t="n">
        <f aca="false">IF(OR($E1214="",$E1214=0),0,1)</f>
        <v>0</v>
      </c>
      <c r="G1214" s="0" t="n">
        <f aca="false">IF($F1214=0,0,INDEX(Aux_HH!$D$4:$D$18,MATCH($B1214&amp;"|"&amp;$E1214,Aux_HH!$A$4:$A$18,0)))</f>
        <v>0</v>
      </c>
      <c r="H1214" s="0" t="n">
        <f aca="false">IF($F1214=0,0,INDEX(Aux_HH!$E$4:$E$18,MATCH($B1214&amp;"|"&amp;$E1214,Aux_HH!$A$4:$A$18,0)))</f>
        <v>0</v>
      </c>
      <c r="I1214" s="0" t="n">
        <f aca="false">IF($F1214=0,0,INDEX(Aux_HH!$F$4:$F$18,MATCH($B1214&amp;"|"&amp;$E1214,Aux_HH!$A$4:$A$18,0)))</f>
        <v>0</v>
      </c>
      <c r="J1214" s="0" t="n">
        <f aca="false">IF($F1214=0,0,INDEX(Aux_HH!$G$4:$G$18,MATCH($B1214&amp;"|"&amp;$E1214,Aux_HH!$A$4:$A$18,0)))</f>
        <v>0</v>
      </c>
      <c r="K1214" s="0" t="n">
        <f aca="false">IF($F1214=0,0,INDEX(Aux_HH!$H$4:$H$18,MATCH($B1214&amp;"|"&amp;$E1214,Aux_HH!$A$4:$A$18,0)))</f>
        <v>0</v>
      </c>
      <c r="L1214" s="0" t="n">
        <f aca="false">IF($F1214=0,0,INDEX(Aux_HH!$I$4:$I$18,MATCH($B1214&amp;"|"&amp;$E1214,Aux_HH!$A$4:$A$18,0)))</f>
        <v>0</v>
      </c>
    </row>
    <row r="1215" customFormat="false" ht="15" hidden="false" customHeight="false" outlineLevel="0" collapsed="false">
      <c r="A1215" s="0" t="str">
        <f aca="false">IF(Frota!$A28="","",Frota!$A28)</f>
        <v/>
      </c>
      <c r="B1215" s="0" t="str">
        <f aca="false">IF(Frota!$A28="","",Frota!$B28)</f>
        <v/>
      </c>
      <c r="C1215" s="0" t="n">
        <v>16</v>
      </c>
      <c r="D1215" s="0" t="n">
        <f aca="false">INDEX(Semanas!$E$3:$E$54,16)</f>
        <v>7</v>
      </c>
      <c r="E1215" s="0" t="str">
        <f aca="false">IF(Frota!$A28="","",Cronograma!Q28)</f>
        <v/>
      </c>
      <c r="F1215" s="0" t="n">
        <f aca="false">IF(OR($E1215="",$E1215=0),0,1)</f>
        <v>0</v>
      </c>
      <c r="G1215" s="0" t="n">
        <f aca="false">IF($F1215=0,0,INDEX(Aux_HH!$D$4:$D$18,MATCH($B1215&amp;"|"&amp;$E1215,Aux_HH!$A$4:$A$18,0)))</f>
        <v>0</v>
      </c>
      <c r="H1215" s="0" t="n">
        <f aca="false">IF($F1215=0,0,INDEX(Aux_HH!$E$4:$E$18,MATCH($B1215&amp;"|"&amp;$E1215,Aux_HH!$A$4:$A$18,0)))</f>
        <v>0</v>
      </c>
      <c r="I1215" s="0" t="n">
        <f aca="false">IF($F1215=0,0,INDEX(Aux_HH!$F$4:$F$18,MATCH($B1215&amp;"|"&amp;$E1215,Aux_HH!$A$4:$A$18,0)))</f>
        <v>0</v>
      </c>
      <c r="J1215" s="0" t="n">
        <f aca="false">IF($F1215=0,0,INDEX(Aux_HH!$G$4:$G$18,MATCH($B1215&amp;"|"&amp;$E1215,Aux_HH!$A$4:$A$18,0)))</f>
        <v>0</v>
      </c>
      <c r="K1215" s="0" t="n">
        <f aca="false">IF($F1215=0,0,INDEX(Aux_HH!$H$4:$H$18,MATCH($B1215&amp;"|"&amp;$E1215,Aux_HH!$A$4:$A$18,0)))</f>
        <v>0</v>
      </c>
      <c r="L1215" s="0" t="n">
        <f aca="false">IF($F1215=0,0,INDEX(Aux_HH!$I$4:$I$18,MATCH($B1215&amp;"|"&amp;$E1215,Aux_HH!$A$4:$A$18,0)))</f>
        <v>0</v>
      </c>
    </row>
    <row r="1216" customFormat="false" ht="15" hidden="false" customHeight="false" outlineLevel="0" collapsed="false">
      <c r="A1216" s="0" t="str">
        <f aca="false">IF(Frota!$A28="","",Frota!$A28)</f>
        <v/>
      </c>
      <c r="B1216" s="0" t="str">
        <f aca="false">IF(Frota!$A28="","",Frota!$B28)</f>
        <v/>
      </c>
      <c r="C1216" s="0" t="n">
        <v>17</v>
      </c>
      <c r="D1216" s="0" t="n">
        <f aca="false">INDEX(Semanas!$E$3:$E$54,17)</f>
        <v>7</v>
      </c>
      <c r="E1216" s="0" t="str">
        <f aca="false">IF(Frota!$A28="","",Cronograma!R28)</f>
        <v/>
      </c>
      <c r="F1216" s="0" t="n">
        <f aca="false">IF(OR($E1216="",$E1216=0),0,1)</f>
        <v>0</v>
      </c>
      <c r="G1216" s="0" t="n">
        <f aca="false">IF($F1216=0,0,INDEX(Aux_HH!$D$4:$D$18,MATCH($B1216&amp;"|"&amp;$E1216,Aux_HH!$A$4:$A$18,0)))</f>
        <v>0</v>
      </c>
      <c r="H1216" s="0" t="n">
        <f aca="false">IF($F1216=0,0,INDEX(Aux_HH!$E$4:$E$18,MATCH($B1216&amp;"|"&amp;$E1216,Aux_HH!$A$4:$A$18,0)))</f>
        <v>0</v>
      </c>
      <c r="I1216" s="0" t="n">
        <f aca="false">IF($F1216=0,0,INDEX(Aux_HH!$F$4:$F$18,MATCH($B1216&amp;"|"&amp;$E1216,Aux_HH!$A$4:$A$18,0)))</f>
        <v>0</v>
      </c>
      <c r="J1216" s="0" t="n">
        <f aca="false">IF($F1216=0,0,INDEX(Aux_HH!$G$4:$G$18,MATCH($B1216&amp;"|"&amp;$E1216,Aux_HH!$A$4:$A$18,0)))</f>
        <v>0</v>
      </c>
      <c r="K1216" s="0" t="n">
        <f aca="false">IF($F1216=0,0,INDEX(Aux_HH!$H$4:$H$18,MATCH($B1216&amp;"|"&amp;$E1216,Aux_HH!$A$4:$A$18,0)))</f>
        <v>0</v>
      </c>
      <c r="L1216" s="0" t="n">
        <f aca="false">IF($F1216=0,0,INDEX(Aux_HH!$I$4:$I$18,MATCH($B1216&amp;"|"&amp;$E1216,Aux_HH!$A$4:$A$18,0)))</f>
        <v>0</v>
      </c>
    </row>
    <row r="1217" customFormat="false" ht="15" hidden="false" customHeight="false" outlineLevel="0" collapsed="false">
      <c r="A1217" s="0" t="str">
        <f aca="false">IF(Frota!$A28="","",Frota!$A28)</f>
        <v/>
      </c>
      <c r="B1217" s="0" t="str">
        <f aca="false">IF(Frota!$A28="","",Frota!$B28)</f>
        <v/>
      </c>
      <c r="C1217" s="0" t="n">
        <v>18</v>
      </c>
      <c r="D1217" s="0" t="n">
        <f aca="false">INDEX(Semanas!$E$3:$E$54,18)</f>
        <v>7</v>
      </c>
      <c r="E1217" s="0" t="str">
        <f aca="false">IF(Frota!$A28="","",Cronograma!S28)</f>
        <v/>
      </c>
      <c r="F1217" s="0" t="n">
        <f aca="false">IF(OR($E1217="",$E1217=0),0,1)</f>
        <v>0</v>
      </c>
      <c r="G1217" s="0" t="n">
        <f aca="false">IF($F1217=0,0,INDEX(Aux_HH!$D$4:$D$18,MATCH($B1217&amp;"|"&amp;$E1217,Aux_HH!$A$4:$A$18,0)))</f>
        <v>0</v>
      </c>
      <c r="H1217" s="0" t="n">
        <f aca="false">IF($F1217=0,0,INDEX(Aux_HH!$E$4:$E$18,MATCH($B1217&amp;"|"&amp;$E1217,Aux_HH!$A$4:$A$18,0)))</f>
        <v>0</v>
      </c>
      <c r="I1217" s="0" t="n">
        <f aca="false">IF($F1217=0,0,INDEX(Aux_HH!$F$4:$F$18,MATCH($B1217&amp;"|"&amp;$E1217,Aux_HH!$A$4:$A$18,0)))</f>
        <v>0</v>
      </c>
      <c r="J1217" s="0" t="n">
        <f aca="false">IF($F1217=0,0,INDEX(Aux_HH!$G$4:$G$18,MATCH($B1217&amp;"|"&amp;$E1217,Aux_HH!$A$4:$A$18,0)))</f>
        <v>0</v>
      </c>
      <c r="K1217" s="0" t="n">
        <f aca="false">IF($F1217=0,0,INDEX(Aux_HH!$H$4:$H$18,MATCH($B1217&amp;"|"&amp;$E1217,Aux_HH!$A$4:$A$18,0)))</f>
        <v>0</v>
      </c>
      <c r="L1217" s="0" t="n">
        <f aca="false">IF($F1217=0,0,INDEX(Aux_HH!$I$4:$I$18,MATCH($B1217&amp;"|"&amp;$E1217,Aux_HH!$A$4:$A$18,0)))</f>
        <v>0</v>
      </c>
    </row>
    <row r="1218" customFormat="false" ht="15" hidden="false" customHeight="false" outlineLevel="0" collapsed="false">
      <c r="A1218" s="0" t="str">
        <f aca="false">IF(Frota!$A28="","",Frota!$A28)</f>
        <v/>
      </c>
      <c r="B1218" s="0" t="str">
        <f aca="false">IF(Frota!$A28="","",Frota!$B28)</f>
        <v/>
      </c>
      <c r="C1218" s="0" t="n">
        <v>19</v>
      </c>
      <c r="D1218" s="0" t="n">
        <f aca="false">INDEX(Semanas!$E$3:$E$54,19)</f>
        <v>8</v>
      </c>
      <c r="E1218" s="0" t="str">
        <f aca="false">IF(Frota!$A28="","",Cronograma!T28)</f>
        <v/>
      </c>
      <c r="F1218" s="0" t="n">
        <f aca="false">IF(OR($E1218="",$E1218=0),0,1)</f>
        <v>0</v>
      </c>
      <c r="G1218" s="0" t="n">
        <f aca="false">IF($F1218=0,0,INDEX(Aux_HH!$D$4:$D$18,MATCH($B1218&amp;"|"&amp;$E1218,Aux_HH!$A$4:$A$18,0)))</f>
        <v>0</v>
      </c>
      <c r="H1218" s="0" t="n">
        <f aca="false">IF($F1218=0,0,INDEX(Aux_HH!$E$4:$E$18,MATCH($B1218&amp;"|"&amp;$E1218,Aux_HH!$A$4:$A$18,0)))</f>
        <v>0</v>
      </c>
      <c r="I1218" s="0" t="n">
        <f aca="false">IF($F1218=0,0,INDEX(Aux_HH!$F$4:$F$18,MATCH($B1218&amp;"|"&amp;$E1218,Aux_HH!$A$4:$A$18,0)))</f>
        <v>0</v>
      </c>
      <c r="J1218" s="0" t="n">
        <f aca="false">IF($F1218=0,0,INDEX(Aux_HH!$G$4:$G$18,MATCH($B1218&amp;"|"&amp;$E1218,Aux_HH!$A$4:$A$18,0)))</f>
        <v>0</v>
      </c>
      <c r="K1218" s="0" t="n">
        <f aca="false">IF($F1218=0,0,INDEX(Aux_HH!$H$4:$H$18,MATCH($B1218&amp;"|"&amp;$E1218,Aux_HH!$A$4:$A$18,0)))</f>
        <v>0</v>
      </c>
      <c r="L1218" s="0" t="n">
        <f aca="false">IF($F1218=0,0,INDEX(Aux_HH!$I$4:$I$18,MATCH($B1218&amp;"|"&amp;$E1218,Aux_HH!$A$4:$A$18,0)))</f>
        <v>0</v>
      </c>
    </row>
    <row r="1219" customFormat="false" ht="15" hidden="false" customHeight="false" outlineLevel="0" collapsed="false">
      <c r="A1219" s="0" t="str">
        <f aca="false">IF(Frota!$A28="","",Frota!$A28)</f>
        <v/>
      </c>
      <c r="B1219" s="0" t="str">
        <f aca="false">IF(Frota!$A28="","",Frota!$B28)</f>
        <v/>
      </c>
      <c r="C1219" s="0" t="n">
        <v>20</v>
      </c>
      <c r="D1219" s="0" t="n">
        <f aca="false">INDEX(Semanas!$E$3:$E$54,20)</f>
        <v>8</v>
      </c>
      <c r="E1219" s="0" t="str">
        <f aca="false">IF(Frota!$A28="","",Cronograma!U28)</f>
        <v/>
      </c>
      <c r="F1219" s="0" t="n">
        <f aca="false">IF(OR($E1219="",$E1219=0),0,1)</f>
        <v>0</v>
      </c>
      <c r="G1219" s="0" t="n">
        <f aca="false">IF($F1219=0,0,INDEX(Aux_HH!$D$4:$D$18,MATCH($B1219&amp;"|"&amp;$E1219,Aux_HH!$A$4:$A$18,0)))</f>
        <v>0</v>
      </c>
      <c r="H1219" s="0" t="n">
        <f aca="false">IF($F1219=0,0,INDEX(Aux_HH!$E$4:$E$18,MATCH($B1219&amp;"|"&amp;$E1219,Aux_HH!$A$4:$A$18,0)))</f>
        <v>0</v>
      </c>
      <c r="I1219" s="0" t="n">
        <f aca="false">IF($F1219=0,0,INDEX(Aux_HH!$F$4:$F$18,MATCH($B1219&amp;"|"&amp;$E1219,Aux_HH!$A$4:$A$18,0)))</f>
        <v>0</v>
      </c>
      <c r="J1219" s="0" t="n">
        <f aca="false">IF($F1219=0,0,INDEX(Aux_HH!$G$4:$G$18,MATCH($B1219&amp;"|"&amp;$E1219,Aux_HH!$A$4:$A$18,0)))</f>
        <v>0</v>
      </c>
      <c r="K1219" s="0" t="n">
        <f aca="false">IF($F1219=0,0,INDEX(Aux_HH!$H$4:$H$18,MATCH($B1219&amp;"|"&amp;$E1219,Aux_HH!$A$4:$A$18,0)))</f>
        <v>0</v>
      </c>
      <c r="L1219" s="0" t="n">
        <f aca="false">IF($F1219=0,0,INDEX(Aux_HH!$I$4:$I$18,MATCH($B1219&amp;"|"&amp;$E1219,Aux_HH!$A$4:$A$18,0)))</f>
        <v>0</v>
      </c>
    </row>
    <row r="1220" customFormat="false" ht="15" hidden="false" customHeight="false" outlineLevel="0" collapsed="false">
      <c r="A1220" s="0" t="str">
        <f aca="false">IF(Frota!$A28="","",Frota!$A28)</f>
        <v/>
      </c>
      <c r="B1220" s="0" t="str">
        <f aca="false">IF(Frota!$A28="","",Frota!$B28)</f>
        <v/>
      </c>
      <c r="C1220" s="0" t="n">
        <v>21</v>
      </c>
      <c r="D1220" s="0" t="n">
        <f aca="false">INDEX(Semanas!$E$3:$E$54,21)</f>
        <v>8</v>
      </c>
      <c r="E1220" s="0" t="str">
        <f aca="false">IF(Frota!$A28="","",Cronograma!V28)</f>
        <v/>
      </c>
      <c r="F1220" s="0" t="n">
        <f aca="false">IF(OR($E1220="",$E1220=0),0,1)</f>
        <v>0</v>
      </c>
      <c r="G1220" s="0" t="n">
        <f aca="false">IF($F1220=0,0,INDEX(Aux_HH!$D$4:$D$18,MATCH($B1220&amp;"|"&amp;$E1220,Aux_HH!$A$4:$A$18,0)))</f>
        <v>0</v>
      </c>
      <c r="H1220" s="0" t="n">
        <f aca="false">IF($F1220=0,0,INDEX(Aux_HH!$E$4:$E$18,MATCH($B1220&amp;"|"&amp;$E1220,Aux_HH!$A$4:$A$18,0)))</f>
        <v>0</v>
      </c>
      <c r="I1220" s="0" t="n">
        <f aca="false">IF($F1220=0,0,INDEX(Aux_HH!$F$4:$F$18,MATCH($B1220&amp;"|"&amp;$E1220,Aux_HH!$A$4:$A$18,0)))</f>
        <v>0</v>
      </c>
      <c r="J1220" s="0" t="n">
        <f aca="false">IF($F1220=0,0,INDEX(Aux_HH!$G$4:$G$18,MATCH($B1220&amp;"|"&amp;$E1220,Aux_HH!$A$4:$A$18,0)))</f>
        <v>0</v>
      </c>
      <c r="K1220" s="0" t="n">
        <f aca="false">IF($F1220=0,0,INDEX(Aux_HH!$H$4:$H$18,MATCH($B1220&amp;"|"&amp;$E1220,Aux_HH!$A$4:$A$18,0)))</f>
        <v>0</v>
      </c>
      <c r="L1220" s="0" t="n">
        <f aca="false">IF($F1220=0,0,INDEX(Aux_HH!$I$4:$I$18,MATCH($B1220&amp;"|"&amp;$E1220,Aux_HH!$A$4:$A$18,0)))</f>
        <v>0</v>
      </c>
    </row>
    <row r="1221" customFormat="false" ht="15" hidden="false" customHeight="false" outlineLevel="0" collapsed="false">
      <c r="A1221" s="0" t="str">
        <f aca="false">IF(Frota!$A28="","",Frota!$A28)</f>
        <v/>
      </c>
      <c r="B1221" s="0" t="str">
        <f aca="false">IF(Frota!$A28="","",Frota!$B28)</f>
        <v/>
      </c>
      <c r="C1221" s="0" t="n">
        <v>22</v>
      </c>
      <c r="D1221" s="0" t="n">
        <f aca="false">INDEX(Semanas!$E$3:$E$54,22)</f>
        <v>8</v>
      </c>
      <c r="E1221" s="0" t="str">
        <f aca="false">IF(Frota!$A28="","",Cronograma!W28)</f>
        <v/>
      </c>
      <c r="F1221" s="0" t="n">
        <f aca="false">IF(OR($E1221="",$E1221=0),0,1)</f>
        <v>0</v>
      </c>
      <c r="G1221" s="0" t="n">
        <f aca="false">IF($F1221=0,0,INDEX(Aux_HH!$D$4:$D$18,MATCH($B1221&amp;"|"&amp;$E1221,Aux_HH!$A$4:$A$18,0)))</f>
        <v>0</v>
      </c>
      <c r="H1221" s="0" t="n">
        <f aca="false">IF($F1221=0,0,INDEX(Aux_HH!$E$4:$E$18,MATCH($B1221&amp;"|"&amp;$E1221,Aux_HH!$A$4:$A$18,0)))</f>
        <v>0</v>
      </c>
      <c r="I1221" s="0" t="n">
        <f aca="false">IF($F1221=0,0,INDEX(Aux_HH!$F$4:$F$18,MATCH($B1221&amp;"|"&amp;$E1221,Aux_HH!$A$4:$A$18,0)))</f>
        <v>0</v>
      </c>
      <c r="J1221" s="0" t="n">
        <f aca="false">IF($F1221=0,0,INDEX(Aux_HH!$G$4:$G$18,MATCH($B1221&amp;"|"&amp;$E1221,Aux_HH!$A$4:$A$18,0)))</f>
        <v>0</v>
      </c>
      <c r="K1221" s="0" t="n">
        <f aca="false">IF($F1221=0,0,INDEX(Aux_HH!$H$4:$H$18,MATCH($B1221&amp;"|"&amp;$E1221,Aux_HH!$A$4:$A$18,0)))</f>
        <v>0</v>
      </c>
      <c r="L1221" s="0" t="n">
        <f aca="false">IF($F1221=0,0,INDEX(Aux_HH!$I$4:$I$18,MATCH($B1221&amp;"|"&amp;$E1221,Aux_HH!$A$4:$A$18,0)))</f>
        <v>0</v>
      </c>
    </row>
    <row r="1222" customFormat="false" ht="15" hidden="false" customHeight="false" outlineLevel="0" collapsed="false">
      <c r="A1222" s="0" t="str">
        <f aca="false">IF(Frota!$A28="","",Frota!$A28)</f>
        <v/>
      </c>
      <c r="B1222" s="0" t="str">
        <f aca="false">IF(Frota!$A28="","",Frota!$B28)</f>
        <v/>
      </c>
      <c r="C1222" s="0" t="n">
        <v>23</v>
      </c>
      <c r="D1222" s="0" t="n">
        <f aca="false">INDEX(Semanas!$E$3:$E$54,23)</f>
        <v>9</v>
      </c>
      <c r="E1222" s="0" t="str">
        <f aca="false">IF(Frota!$A28="","",Cronograma!X28)</f>
        <v/>
      </c>
      <c r="F1222" s="0" t="n">
        <f aca="false">IF(OR($E1222="",$E1222=0),0,1)</f>
        <v>0</v>
      </c>
      <c r="G1222" s="0" t="n">
        <f aca="false">IF($F1222=0,0,INDEX(Aux_HH!$D$4:$D$18,MATCH($B1222&amp;"|"&amp;$E1222,Aux_HH!$A$4:$A$18,0)))</f>
        <v>0</v>
      </c>
      <c r="H1222" s="0" t="n">
        <f aca="false">IF($F1222=0,0,INDEX(Aux_HH!$E$4:$E$18,MATCH($B1222&amp;"|"&amp;$E1222,Aux_HH!$A$4:$A$18,0)))</f>
        <v>0</v>
      </c>
      <c r="I1222" s="0" t="n">
        <f aca="false">IF($F1222=0,0,INDEX(Aux_HH!$F$4:$F$18,MATCH($B1222&amp;"|"&amp;$E1222,Aux_HH!$A$4:$A$18,0)))</f>
        <v>0</v>
      </c>
      <c r="J1222" s="0" t="n">
        <f aca="false">IF($F1222=0,0,INDEX(Aux_HH!$G$4:$G$18,MATCH($B1222&amp;"|"&amp;$E1222,Aux_HH!$A$4:$A$18,0)))</f>
        <v>0</v>
      </c>
      <c r="K1222" s="0" t="n">
        <f aca="false">IF($F1222=0,0,INDEX(Aux_HH!$H$4:$H$18,MATCH($B1222&amp;"|"&amp;$E1222,Aux_HH!$A$4:$A$18,0)))</f>
        <v>0</v>
      </c>
      <c r="L1222" s="0" t="n">
        <f aca="false">IF($F1222=0,0,INDEX(Aux_HH!$I$4:$I$18,MATCH($B1222&amp;"|"&amp;$E1222,Aux_HH!$A$4:$A$18,0)))</f>
        <v>0</v>
      </c>
    </row>
    <row r="1223" customFormat="false" ht="15" hidden="false" customHeight="false" outlineLevel="0" collapsed="false">
      <c r="A1223" s="0" t="str">
        <f aca="false">IF(Frota!$A28="","",Frota!$A28)</f>
        <v/>
      </c>
      <c r="B1223" s="0" t="str">
        <f aca="false">IF(Frota!$A28="","",Frota!$B28)</f>
        <v/>
      </c>
      <c r="C1223" s="0" t="n">
        <v>24</v>
      </c>
      <c r="D1223" s="0" t="n">
        <f aca="false">INDEX(Semanas!$E$3:$E$54,24)</f>
        <v>9</v>
      </c>
      <c r="E1223" s="0" t="str">
        <f aca="false">IF(Frota!$A28="","",Cronograma!Y28)</f>
        <v/>
      </c>
      <c r="F1223" s="0" t="n">
        <f aca="false">IF(OR($E1223="",$E1223=0),0,1)</f>
        <v>0</v>
      </c>
      <c r="G1223" s="0" t="n">
        <f aca="false">IF($F1223=0,0,INDEX(Aux_HH!$D$4:$D$18,MATCH($B1223&amp;"|"&amp;$E1223,Aux_HH!$A$4:$A$18,0)))</f>
        <v>0</v>
      </c>
      <c r="H1223" s="0" t="n">
        <f aca="false">IF($F1223=0,0,INDEX(Aux_HH!$E$4:$E$18,MATCH($B1223&amp;"|"&amp;$E1223,Aux_HH!$A$4:$A$18,0)))</f>
        <v>0</v>
      </c>
      <c r="I1223" s="0" t="n">
        <f aca="false">IF($F1223=0,0,INDEX(Aux_HH!$F$4:$F$18,MATCH($B1223&amp;"|"&amp;$E1223,Aux_HH!$A$4:$A$18,0)))</f>
        <v>0</v>
      </c>
      <c r="J1223" s="0" t="n">
        <f aca="false">IF($F1223=0,0,INDEX(Aux_HH!$G$4:$G$18,MATCH($B1223&amp;"|"&amp;$E1223,Aux_HH!$A$4:$A$18,0)))</f>
        <v>0</v>
      </c>
      <c r="K1223" s="0" t="n">
        <f aca="false">IF($F1223=0,0,INDEX(Aux_HH!$H$4:$H$18,MATCH($B1223&amp;"|"&amp;$E1223,Aux_HH!$A$4:$A$18,0)))</f>
        <v>0</v>
      </c>
      <c r="L1223" s="0" t="n">
        <f aca="false">IF($F1223=0,0,INDEX(Aux_HH!$I$4:$I$18,MATCH($B1223&amp;"|"&amp;$E1223,Aux_HH!$A$4:$A$18,0)))</f>
        <v>0</v>
      </c>
    </row>
    <row r="1224" customFormat="false" ht="15" hidden="false" customHeight="false" outlineLevel="0" collapsed="false">
      <c r="A1224" s="0" t="str">
        <f aca="false">IF(Frota!$A28="","",Frota!$A28)</f>
        <v/>
      </c>
      <c r="B1224" s="0" t="str">
        <f aca="false">IF(Frota!$A28="","",Frota!$B28)</f>
        <v/>
      </c>
      <c r="C1224" s="0" t="n">
        <v>25</v>
      </c>
      <c r="D1224" s="0" t="n">
        <f aca="false">INDEX(Semanas!$E$3:$E$54,25)</f>
        <v>9</v>
      </c>
      <c r="E1224" s="0" t="str">
        <f aca="false">IF(Frota!$A28="","",Cronograma!Z28)</f>
        <v/>
      </c>
      <c r="F1224" s="0" t="n">
        <f aca="false">IF(OR($E1224="",$E1224=0),0,1)</f>
        <v>0</v>
      </c>
      <c r="G1224" s="0" t="n">
        <f aca="false">IF($F1224=0,0,INDEX(Aux_HH!$D$4:$D$18,MATCH($B1224&amp;"|"&amp;$E1224,Aux_HH!$A$4:$A$18,0)))</f>
        <v>0</v>
      </c>
      <c r="H1224" s="0" t="n">
        <f aca="false">IF($F1224=0,0,INDEX(Aux_HH!$E$4:$E$18,MATCH($B1224&amp;"|"&amp;$E1224,Aux_HH!$A$4:$A$18,0)))</f>
        <v>0</v>
      </c>
      <c r="I1224" s="0" t="n">
        <f aca="false">IF($F1224=0,0,INDEX(Aux_HH!$F$4:$F$18,MATCH($B1224&amp;"|"&amp;$E1224,Aux_HH!$A$4:$A$18,0)))</f>
        <v>0</v>
      </c>
      <c r="J1224" s="0" t="n">
        <f aca="false">IF($F1224=0,0,INDEX(Aux_HH!$G$4:$G$18,MATCH($B1224&amp;"|"&amp;$E1224,Aux_HH!$A$4:$A$18,0)))</f>
        <v>0</v>
      </c>
      <c r="K1224" s="0" t="n">
        <f aca="false">IF($F1224=0,0,INDEX(Aux_HH!$H$4:$H$18,MATCH($B1224&amp;"|"&amp;$E1224,Aux_HH!$A$4:$A$18,0)))</f>
        <v>0</v>
      </c>
      <c r="L1224" s="0" t="n">
        <f aca="false">IF($F1224=0,0,INDEX(Aux_HH!$I$4:$I$18,MATCH($B1224&amp;"|"&amp;$E1224,Aux_HH!$A$4:$A$18,0)))</f>
        <v>0</v>
      </c>
    </row>
    <row r="1225" customFormat="false" ht="15" hidden="false" customHeight="false" outlineLevel="0" collapsed="false">
      <c r="A1225" s="0" t="str">
        <f aca="false">IF(Frota!$A28="","",Frota!$A28)</f>
        <v/>
      </c>
      <c r="B1225" s="0" t="str">
        <f aca="false">IF(Frota!$A28="","",Frota!$B28)</f>
        <v/>
      </c>
      <c r="C1225" s="0" t="n">
        <v>26</v>
      </c>
      <c r="D1225" s="0" t="n">
        <f aca="false">INDEX(Semanas!$E$3:$E$54,26)</f>
        <v>9</v>
      </c>
      <c r="E1225" s="0" t="str">
        <f aca="false">IF(Frota!$A28="","",Cronograma!AA28)</f>
        <v/>
      </c>
      <c r="F1225" s="0" t="n">
        <f aca="false">IF(OR($E1225="",$E1225=0),0,1)</f>
        <v>0</v>
      </c>
      <c r="G1225" s="0" t="n">
        <f aca="false">IF($F1225=0,0,INDEX(Aux_HH!$D$4:$D$18,MATCH($B1225&amp;"|"&amp;$E1225,Aux_HH!$A$4:$A$18,0)))</f>
        <v>0</v>
      </c>
      <c r="H1225" s="0" t="n">
        <f aca="false">IF($F1225=0,0,INDEX(Aux_HH!$E$4:$E$18,MATCH($B1225&amp;"|"&amp;$E1225,Aux_HH!$A$4:$A$18,0)))</f>
        <v>0</v>
      </c>
      <c r="I1225" s="0" t="n">
        <f aca="false">IF($F1225=0,0,INDEX(Aux_HH!$F$4:$F$18,MATCH($B1225&amp;"|"&amp;$E1225,Aux_HH!$A$4:$A$18,0)))</f>
        <v>0</v>
      </c>
      <c r="J1225" s="0" t="n">
        <f aca="false">IF($F1225=0,0,INDEX(Aux_HH!$G$4:$G$18,MATCH($B1225&amp;"|"&amp;$E1225,Aux_HH!$A$4:$A$18,0)))</f>
        <v>0</v>
      </c>
      <c r="K1225" s="0" t="n">
        <f aca="false">IF($F1225=0,0,INDEX(Aux_HH!$H$4:$H$18,MATCH($B1225&amp;"|"&amp;$E1225,Aux_HH!$A$4:$A$18,0)))</f>
        <v>0</v>
      </c>
      <c r="L1225" s="0" t="n">
        <f aca="false">IF($F1225=0,0,INDEX(Aux_HH!$I$4:$I$18,MATCH($B1225&amp;"|"&amp;$E1225,Aux_HH!$A$4:$A$18,0)))</f>
        <v>0</v>
      </c>
    </row>
    <row r="1226" customFormat="false" ht="15" hidden="false" customHeight="false" outlineLevel="0" collapsed="false">
      <c r="A1226" s="0" t="str">
        <f aca="false">IF(Frota!$A28="","",Frota!$A28)</f>
        <v/>
      </c>
      <c r="B1226" s="0" t="str">
        <f aca="false">IF(Frota!$A28="","",Frota!$B28)</f>
        <v/>
      </c>
      <c r="C1226" s="0" t="n">
        <v>27</v>
      </c>
      <c r="D1226" s="0" t="n">
        <f aca="false">INDEX(Semanas!$E$3:$E$54,27)</f>
        <v>9</v>
      </c>
      <c r="E1226" s="0" t="str">
        <f aca="false">IF(Frota!$A28="","",Cronograma!AB28)</f>
        <v/>
      </c>
      <c r="F1226" s="0" t="n">
        <f aca="false">IF(OR($E1226="",$E1226=0),0,1)</f>
        <v>0</v>
      </c>
      <c r="G1226" s="0" t="n">
        <f aca="false">IF($F1226=0,0,INDEX(Aux_HH!$D$4:$D$18,MATCH($B1226&amp;"|"&amp;$E1226,Aux_HH!$A$4:$A$18,0)))</f>
        <v>0</v>
      </c>
      <c r="H1226" s="0" t="n">
        <f aca="false">IF($F1226=0,0,INDEX(Aux_HH!$E$4:$E$18,MATCH($B1226&amp;"|"&amp;$E1226,Aux_HH!$A$4:$A$18,0)))</f>
        <v>0</v>
      </c>
      <c r="I1226" s="0" t="n">
        <f aca="false">IF($F1226=0,0,INDEX(Aux_HH!$F$4:$F$18,MATCH($B1226&amp;"|"&amp;$E1226,Aux_HH!$A$4:$A$18,0)))</f>
        <v>0</v>
      </c>
      <c r="J1226" s="0" t="n">
        <f aca="false">IF($F1226=0,0,INDEX(Aux_HH!$G$4:$G$18,MATCH($B1226&amp;"|"&amp;$E1226,Aux_HH!$A$4:$A$18,0)))</f>
        <v>0</v>
      </c>
      <c r="K1226" s="0" t="n">
        <f aca="false">IF($F1226=0,0,INDEX(Aux_HH!$H$4:$H$18,MATCH($B1226&amp;"|"&amp;$E1226,Aux_HH!$A$4:$A$18,0)))</f>
        <v>0</v>
      </c>
      <c r="L1226" s="0" t="n">
        <f aca="false">IF($F1226=0,0,INDEX(Aux_HH!$I$4:$I$18,MATCH($B1226&amp;"|"&amp;$E1226,Aux_HH!$A$4:$A$18,0)))</f>
        <v>0</v>
      </c>
    </row>
    <row r="1227" customFormat="false" ht="15" hidden="false" customHeight="false" outlineLevel="0" collapsed="false">
      <c r="A1227" s="0" t="str">
        <f aca="false">IF(Frota!$A28="","",Frota!$A28)</f>
        <v/>
      </c>
      <c r="B1227" s="0" t="str">
        <f aca="false">IF(Frota!$A28="","",Frota!$B28)</f>
        <v/>
      </c>
      <c r="C1227" s="0" t="n">
        <v>28</v>
      </c>
      <c r="D1227" s="0" t="n">
        <f aca="false">INDEX(Semanas!$E$3:$E$54,28)</f>
        <v>10</v>
      </c>
      <c r="E1227" s="0" t="str">
        <f aca="false">IF(Frota!$A28="","",Cronograma!AC28)</f>
        <v/>
      </c>
      <c r="F1227" s="0" t="n">
        <f aca="false">IF(OR($E1227="",$E1227=0),0,1)</f>
        <v>0</v>
      </c>
      <c r="G1227" s="0" t="n">
        <f aca="false">IF($F1227=0,0,INDEX(Aux_HH!$D$4:$D$18,MATCH($B1227&amp;"|"&amp;$E1227,Aux_HH!$A$4:$A$18,0)))</f>
        <v>0</v>
      </c>
      <c r="H1227" s="0" t="n">
        <f aca="false">IF($F1227=0,0,INDEX(Aux_HH!$E$4:$E$18,MATCH($B1227&amp;"|"&amp;$E1227,Aux_HH!$A$4:$A$18,0)))</f>
        <v>0</v>
      </c>
      <c r="I1227" s="0" t="n">
        <f aca="false">IF($F1227=0,0,INDEX(Aux_HH!$F$4:$F$18,MATCH($B1227&amp;"|"&amp;$E1227,Aux_HH!$A$4:$A$18,0)))</f>
        <v>0</v>
      </c>
      <c r="J1227" s="0" t="n">
        <f aca="false">IF($F1227=0,0,INDEX(Aux_HH!$G$4:$G$18,MATCH($B1227&amp;"|"&amp;$E1227,Aux_HH!$A$4:$A$18,0)))</f>
        <v>0</v>
      </c>
      <c r="K1227" s="0" t="n">
        <f aca="false">IF($F1227=0,0,INDEX(Aux_HH!$H$4:$H$18,MATCH($B1227&amp;"|"&amp;$E1227,Aux_HH!$A$4:$A$18,0)))</f>
        <v>0</v>
      </c>
      <c r="L1227" s="0" t="n">
        <f aca="false">IF($F1227=0,0,INDEX(Aux_HH!$I$4:$I$18,MATCH($B1227&amp;"|"&amp;$E1227,Aux_HH!$A$4:$A$18,0)))</f>
        <v>0</v>
      </c>
    </row>
    <row r="1228" customFormat="false" ht="15" hidden="false" customHeight="false" outlineLevel="0" collapsed="false">
      <c r="A1228" s="0" t="str">
        <f aca="false">IF(Frota!$A28="","",Frota!$A28)</f>
        <v/>
      </c>
      <c r="B1228" s="0" t="str">
        <f aca="false">IF(Frota!$A28="","",Frota!$B28)</f>
        <v/>
      </c>
      <c r="C1228" s="0" t="n">
        <v>29</v>
      </c>
      <c r="D1228" s="0" t="n">
        <f aca="false">INDEX(Semanas!$E$3:$E$54,29)</f>
        <v>10</v>
      </c>
      <c r="E1228" s="0" t="str">
        <f aca="false">IF(Frota!$A28="","",Cronograma!AD28)</f>
        <v/>
      </c>
      <c r="F1228" s="0" t="n">
        <f aca="false">IF(OR($E1228="",$E1228=0),0,1)</f>
        <v>0</v>
      </c>
      <c r="G1228" s="0" t="n">
        <f aca="false">IF($F1228=0,0,INDEX(Aux_HH!$D$4:$D$18,MATCH($B1228&amp;"|"&amp;$E1228,Aux_HH!$A$4:$A$18,0)))</f>
        <v>0</v>
      </c>
      <c r="H1228" s="0" t="n">
        <f aca="false">IF($F1228=0,0,INDEX(Aux_HH!$E$4:$E$18,MATCH($B1228&amp;"|"&amp;$E1228,Aux_HH!$A$4:$A$18,0)))</f>
        <v>0</v>
      </c>
      <c r="I1228" s="0" t="n">
        <f aca="false">IF($F1228=0,0,INDEX(Aux_HH!$F$4:$F$18,MATCH($B1228&amp;"|"&amp;$E1228,Aux_HH!$A$4:$A$18,0)))</f>
        <v>0</v>
      </c>
      <c r="J1228" s="0" t="n">
        <f aca="false">IF($F1228=0,0,INDEX(Aux_HH!$G$4:$G$18,MATCH($B1228&amp;"|"&amp;$E1228,Aux_HH!$A$4:$A$18,0)))</f>
        <v>0</v>
      </c>
      <c r="K1228" s="0" t="n">
        <f aca="false">IF($F1228=0,0,INDEX(Aux_HH!$H$4:$H$18,MATCH($B1228&amp;"|"&amp;$E1228,Aux_HH!$A$4:$A$18,0)))</f>
        <v>0</v>
      </c>
      <c r="L1228" s="0" t="n">
        <f aca="false">IF($F1228=0,0,INDEX(Aux_HH!$I$4:$I$18,MATCH($B1228&amp;"|"&amp;$E1228,Aux_HH!$A$4:$A$18,0)))</f>
        <v>0</v>
      </c>
    </row>
    <row r="1229" customFormat="false" ht="15" hidden="false" customHeight="false" outlineLevel="0" collapsed="false">
      <c r="A1229" s="0" t="str">
        <f aca="false">IF(Frota!$A28="","",Frota!$A28)</f>
        <v/>
      </c>
      <c r="B1229" s="0" t="str">
        <f aca="false">IF(Frota!$A28="","",Frota!$B28)</f>
        <v/>
      </c>
      <c r="C1229" s="0" t="n">
        <v>30</v>
      </c>
      <c r="D1229" s="0" t="n">
        <f aca="false">INDEX(Semanas!$E$3:$E$54,30)</f>
        <v>10</v>
      </c>
      <c r="E1229" s="0" t="str">
        <f aca="false">IF(Frota!$A28="","",Cronograma!AE28)</f>
        <v/>
      </c>
      <c r="F1229" s="0" t="n">
        <f aca="false">IF(OR($E1229="",$E1229=0),0,1)</f>
        <v>0</v>
      </c>
      <c r="G1229" s="0" t="n">
        <f aca="false">IF($F1229=0,0,INDEX(Aux_HH!$D$4:$D$18,MATCH($B1229&amp;"|"&amp;$E1229,Aux_HH!$A$4:$A$18,0)))</f>
        <v>0</v>
      </c>
      <c r="H1229" s="0" t="n">
        <f aca="false">IF($F1229=0,0,INDEX(Aux_HH!$E$4:$E$18,MATCH($B1229&amp;"|"&amp;$E1229,Aux_HH!$A$4:$A$18,0)))</f>
        <v>0</v>
      </c>
      <c r="I1229" s="0" t="n">
        <f aca="false">IF($F1229=0,0,INDEX(Aux_HH!$F$4:$F$18,MATCH($B1229&amp;"|"&amp;$E1229,Aux_HH!$A$4:$A$18,0)))</f>
        <v>0</v>
      </c>
      <c r="J1229" s="0" t="n">
        <f aca="false">IF($F1229=0,0,INDEX(Aux_HH!$G$4:$G$18,MATCH($B1229&amp;"|"&amp;$E1229,Aux_HH!$A$4:$A$18,0)))</f>
        <v>0</v>
      </c>
      <c r="K1229" s="0" t="n">
        <f aca="false">IF($F1229=0,0,INDEX(Aux_HH!$H$4:$H$18,MATCH($B1229&amp;"|"&amp;$E1229,Aux_HH!$A$4:$A$18,0)))</f>
        <v>0</v>
      </c>
      <c r="L1229" s="0" t="n">
        <f aca="false">IF($F1229=0,0,INDEX(Aux_HH!$I$4:$I$18,MATCH($B1229&amp;"|"&amp;$E1229,Aux_HH!$A$4:$A$18,0)))</f>
        <v>0</v>
      </c>
    </row>
    <row r="1230" customFormat="false" ht="15" hidden="false" customHeight="false" outlineLevel="0" collapsed="false">
      <c r="A1230" s="0" t="str">
        <f aca="false">IF(Frota!$A28="","",Frota!$A28)</f>
        <v/>
      </c>
      <c r="B1230" s="0" t="str">
        <f aca="false">IF(Frota!$A28="","",Frota!$B28)</f>
        <v/>
      </c>
      <c r="C1230" s="0" t="n">
        <v>31</v>
      </c>
      <c r="D1230" s="0" t="n">
        <f aca="false">INDEX(Semanas!$E$3:$E$54,31)</f>
        <v>10</v>
      </c>
      <c r="E1230" s="0" t="str">
        <f aca="false">IF(Frota!$A28="","",Cronograma!AF28)</f>
        <v/>
      </c>
      <c r="F1230" s="0" t="n">
        <f aca="false">IF(OR($E1230="",$E1230=0),0,1)</f>
        <v>0</v>
      </c>
      <c r="G1230" s="0" t="n">
        <f aca="false">IF($F1230=0,0,INDEX(Aux_HH!$D$4:$D$18,MATCH($B1230&amp;"|"&amp;$E1230,Aux_HH!$A$4:$A$18,0)))</f>
        <v>0</v>
      </c>
      <c r="H1230" s="0" t="n">
        <f aca="false">IF($F1230=0,0,INDEX(Aux_HH!$E$4:$E$18,MATCH($B1230&amp;"|"&amp;$E1230,Aux_HH!$A$4:$A$18,0)))</f>
        <v>0</v>
      </c>
      <c r="I1230" s="0" t="n">
        <f aca="false">IF($F1230=0,0,INDEX(Aux_HH!$F$4:$F$18,MATCH($B1230&amp;"|"&amp;$E1230,Aux_HH!$A$4:$A$18,0)))</f>
        <v>0</v>
      </c>
      <c r="J1230" s="0" t="n">
        <f aca="false">IF($F1230=0,0,INDEX(Aux_HH!$G$4:$G$18,MATCH($B1230&amp;"|"&amp;$E1230,Aux_HH!$A$4:$A$18,0)))</f>
        <v>0</v>
      </c>
      <c r="K1230" s="0" t="n">
        <f aca="false">IF($F1230=0,0,INDEX(Aux_HH!$H$4:$H$18,MATCH($B1230&amp;"|"&amp;$E1230,Aux_HH!$A$4:$A$18,0)))</f>
        <v>0</v>
      </c>
      <c r="L1230" s="0" t="n">
        <f aca="false">IF($F1230=0,0,INDEX(Aux_HH!$I$4:$I$18,MATCH($B1230&amp;"|"&amp;$E1230,Aux_HH!$A$4:$A$18,0)))</f>
        <v>0</v>
      </c>
    </row>
    <row r="1231" customFormat="false" ht="15" hidden="false" customHeight="false" outlineLevel="0" collapsed="false">
      <c r="A1231" s="0" t="str">
        <f aca="false">IF(Frota!$A28="","",Frota!$A28)</f>
        <v/>
      </c>
      <c r="B1231" s="0" t="str">
        <f aca="false">IF(Frota!$A28="","",Frota!$B28)</f>
        <v/>
      </c>
      <c r="C1231" s="0" t="n">
        <v>32</v>
      </c>
      <c r="D1231" s="0" t="n">
        <f aca="false">INDEX(Semanas!$E$3:$E$54,32)</f>
        <v>11</v>
      </c>
      <c r="E1231" s="0" t="str">
        <f aca="false">IF(Frota!$A28="","",Cronograma!AG28)</f>
        <v/>
      </c>
      <c r="F1231" s="0" t="n">
        <f aca="false">IF(OR($E1231="",$E1231=0),0,1)</f>
        <v>0</v>
      </c>
      <c r="G1231" s="0" t="n">
        <f aca="false">IF($F1231=0,0,INDEX(Aux_HH!$D$4:$D$18,MATCH($B1231&amp;"|"&amp;$E1231,Aux_HH!$A$4:$A$18,0)))</f>
        <v>0</v>
      </c>
      <c r="H1231" s="0" t="n">
        <f aca="false">IF($F1231=0,0,INDEX(Aux_HH!$E$4:$E$18,MATCH($B1231&amp;"|"&amp;$E1231,Aux_HH!$A$4:$A$18,0)))</f>
        <v>0</v>
      </c>
      <c r="I1231" s="0" t="n">
        <f aca="false">IF($F1231=0,0,INDEX(Aux_HH!$F$4:$F$18,MATCH($B1231&amp;"|"&amp;$E1231,Aux_HH!$A$4:$A$18,0)))</f>
        <v>0</v>
      </c>
      <c r="J1231" s="0" t="n">
        <f aca="false">IF($F1231=0,0,INDEX(Aux_HH!$G$4:$G$18,MATCH($B1231&amp;"|"&amp;$E1231,Aux_HH!$A$4:$A$18,0)))</f>
        <v>0</v>
      </c>
      <c r="K1231" s="0" t="n">
        <f aca="false">IF($F1231=0,0,INDEX(Aux_HH!$H$4:$H$18,MATCH($B1231&amp;"|"&amp;$E1231,Aux_HH!$A$4:$A$18,0)))</f>
        <v>0</v>
      </c>
      <c r="L1231" s="0" t="n">
        <f aca="false">IF($F1231=0,0,INDEX(Aux_HH!$I$4:$I$18,MATCH($B1231&amp;"|"&amp;$E1231,Aux_HH!$A$4:$A$18,0)))</f>
        <v>0</v>
      </c>
    </row>
    <row r="1232" customFormat="false" ht="15" hidden="false" customHeight="false" outlineLevel="0" collapsed="false">
      <c r="A1232" s="0" t="str">
        <f aca="false">IF(Frota!$A28="","",Frota!$A28)</f>
        <v/>
      </c>
      <c r="B1232" s="0" t="str">
        <f aca="false">IF(Frota!$A28="","",Frota!$B28)</f>
        <v/>
      </c>
      <c r="C1232" s="0" t="n">
        <v>33</v>
      </c>
      <c r="D1232" s="0" t="n">
        <f aca="false">INDEX(Semanas!$E$3:$E$54,33)</f>
        <v>11</v>
      </c>
      <c r="E1232" s="0" t="str">
        <f aca="false">IF(Frota!$A28="","",Cronograma!AH28)</f>
        <v/>
      </c>
      <c r="F1232" s="0" t="n">
        <f aca="false">IF(OR($E1232="",$E1232=0),0,1)</f>
        <v>0</v>
      </c>
      <c r="G1232" s="0" t="n">
        <f aca="false">IF($F1232=0,0,INDEX(Aux_HH!$D$4:$D$18,MATCH($B1232&amp;"|"&amp;$E1232,Aux_HH!$A$4:$A$18,0)))</f>
        <v>0</v>
      </c>
      <c r="H1232" s="0" t="n">
        <f aca="false">IF($F1232=0,0,INDEX(Aux_HH!$E$4:$E$18,MATCH($B1232&amp;"|"&amp;$E1232,Aux_HH!$A$4:$A$18,0)))</f>
        <v>0</v>
      </c>
      <c r="I1232" s="0" t="n">
        <f aca="false">IF($F1232=0,0,INDEX(Aux_HH!$F$4:$F$18,MATCH($B1232&amp;"|"&amp;$E1232,Aux_HH!$A$4:$A$18,0)))</f>
        <v>0</v>
      </c>
      <c r="J1232" s="0" t="n">
        <f aca="false">IF($F1232=0,0,INDEX(Aux_HH!$G$4:$G$18,MATCH($B1232&amp;"|"&amp;$E1232,Aux_HH!$A$4:$A$18,0)))</f>
        <v>0</v>
      </c>
      <c r="K1232" s="0" t="n">
        <f aca="false">IF($F1232=0,0,INDEX(Aux_HH!$H$4:$H$18,MATCH($B1232&amp;"|"&amp;$E1232,Aux_HH!$A$4:$A$18,0)))</f>
        <v>0</v>
      </c>
      <c r="L1232" s="0" t="n">
        <f aca="false">IF($F1232=0,0,INDEX(Aux_HH!$I$4:$I$18,MATCH($B1232&amp;"|"&amp;$E1232,Aux_HH!$A$4:$A$18,0)))</f>
        <v>0</v>
      </c>
    </row>
    <row r="1233" customFormat="false" ht="15" hidden="false" customHeight="false" outlineLevel="0" collapsed="false">
      <c r="A1233" s="0" t="str">
        <f aca="false">IF(Frota!$A28="","",Frota!$A28)</f>
        <v/>
      </c>
      <c r="B1233" s="0" t="str">
        <f aca="false">IF(Frota!$A28="","",Frota!$B28)</f>
        <v/>
      </c>
      <c r="C1233" s="0" t="n">
        <v>34</v>
      </c>
      <c r="D1233" s="0" t="n">
        <f aca="false">INDEX(Semanas!$E$3:$E$54,34)</f>
        <v>11</v>
      </c>
      <c r="E1233" s="0" t="str">
        <f aca="false">IF(Frota!$A28="","",Cronograma!AI28)</f>
        <v/>
      </c>
      <c r="F1233" s="0" t="n">
        <f aca="false">IF(OR($E1233="",$E1233=0),0,1)</f>
        <v>0</v>
      </c>
      <c r="G1233" s="0" t="n">
        <f aca="false">IF($F1233=0,0,INDEX(Aux_HH!$D$4:$D$18,MATCH($B1233&amp;"|"&amp;$E1233,Aux_HH!$A$4:$A$18,0)))</f>
        <v>0</v>
      </c>
      <c r="H1233" s="0" t="n">
        <f aca="false">IF($F1233=0,0,INDEX(Aux_HH!$E$4:$E$18,MATCH($B1233&amp;"|"&amp;$E1233,Aux_HH!$A$4:$A$18,0)))</f>
        <v>0</v>
      </c>
      <c r="I1233" s="0" t="n">
        <f aca="false">IF($F1233=0,0,INDEX(Aux_HH!$F$4:$F$18,MATCH($B1233&amp;"|"&amp;$E1233,Aux_HH!$A$4:$A$18,0)))</f>
        <v>0</v>
      </c>
      <c r="J1233" s="0" t="n">
        <f aca="false">IF($F1233=0,0,INDEX(Aux_HH!$G$4:$G$18,MATCH($B1233&amp;"|"&amp;$E1233,Aux_HH!$A$4:$A$18,0)))</f>
        <v>0</v>
      </c>
      <c r="K1233" s="0" t="n">
        <f aca="false">IF($F1233=0,0,INDEX(Aux_HH!$H$4:$H$18,MATCH($B1233&amp;"|"&amp;$E1233,Aux_HH!$A$4:$A$18,0)))</f>
        <v>0</v>
      </c>
      <c r="L1233" s="0" t="n">
        <f aca="false">IF($F1233=0,0,INDEX(Aux_HH!$I$4:$I$18,MATCH($B1233&amp;"|"&amp;$E1233,Aux_HH!$A$4:$A$18,0)))</f>
        <v>0</v>
      </c>
    </row>
    <row r="1234" customFormat="false" ht="15" hidden="false" customHeight="false" outlineLevel="0" collapsed="false">
      <c r="A1234" s="0" t="str">
        <f aca="false">IF(Frota!$A28="","",Frota!$A28)</f>
        <v/>
      </c>
      <c r="B1234" s="0" t="str">
        <f aca="false">IF(Frota!$A28="","",Frota!$B28)</f>
        <v/>
      </c>
      <c r="C1234" s="0" t="n">
        <v>35</v>
      </c>
      <c r="D1234" s="0" t="n">
        <f aca="false">INDEX(Semanas!$E$3:$E$54,35)</f>
        <v>11</v>
      </c>
      <c r="E1234" s="0" t="str">
        <f aca="false">IF(Frota!$A28="","",Cronograma!AJ28)</f>
        <v/>
      </c>
      <c r="F1234" s="0" t="n">
        <f aca="false">IF(OR($E1234="",$E1234=0),0,1)</f>
        <v>0</v>
      </c>
      <c r="G1234" s="0" t="n">
        <f aca="false">IF($F1234=0,0,INDEX(Aux_HH!$D$4:$D$18,MATCH($B1234&amp;"|"&amp;$E1234,Aux_HH!$A$4:$A$18,0)))</f>
        <v>0</v>
      </c>
      <c r="H1234" s="0" t="n">
        <f aca="false">IF($F1234=0,0,INDEX(Aux_HH!$E$4:$E$18,MATCH($B1234&amp;"|"&amp;$E1234,Aux_HH!$A$4:$A$18,0)))</f>
        <v>0</v>
      </c>
      <c r="I1234" s="0" t="n">
        <f aca="false">IF($F1234=0,0,INDEX(Aux_HH!$F$4:$F$18,MATCH($B1234&amp;"|"&amp;$E1234,Aux_HH!$A$4:$A$18,0)))</f>
        <v>0</v>
      </c>
      <c r="J1234" s="0" t="n">
        <f aca="false">IF($F1234=0,0,INDEX(Aux_HH!$G$4:$G$18,MATCH($B1234&amp;"|"&amp;$E1234,Aux_HH!$A$4:$A$18,0)))</f>
        <v>0</v>
      </c>
      <c r="K1234" s="0" t="n">
        <f aca="false">IF($F1234=0,0,INDEX(Aux_HH!$H$4:$H$18,MATCH($B1234&amp;"|"&amp;$E1234,Aux_HH!$A$4:$A$18,0)))</f>
        <v>0</v>
      </c>
      <c r="L1234" s="0" t="n">
        <f aca="false">IF($F1234=0,0,INDEX(Aux_HH!$I$4:$I$18,MATCH($B1234&amp;"|"&amp;$E1234,Aux_HH!$A$4:$A$18,0)))</f>
        <v>0</v>
      </c>
    </row>
    <row r="1235" customFormat="false" ht="15" hidden="false" customHeight="false" outlineLevel="0" collapsed="false">
      <c r="A1235" s="0" t="str">
        <f aca="false">IF(Frota!$A28="","",Frota!$A28)</f>
        <v/>
      </c>
      <c r="B1235" s="0" t="str">
        <f aca="false">IF(Frota!$A28="","",Frota!$B28)</f>
        <v/>
      </c>
      <c r="C1235" s="0" t="n">
        <v>36</v>
      </c>
      <c r="D1235" s="0" t="n">
        <f aca="false">INDEX(Semanas!$E$3:$E$54,36)</f>
        <v>12</v>
      </c>
      <c r="E1235" s="0" t="str">
        <f aca="false">IF(Frota!$A28="","",Cronograma!AK28)</f>
        <v/>
      </c>
      <c r="F1235" s="0" t="n">
        <f aca="false">IF(OR($E1235="",$E1235=0),0,1)</f>
        <v>0</v>
      </c>
      <c r="G1235" s="0" t="n">
        <f aca="false">IF($F1235=0,0,INDEX(Aux_HH!$D$4:$D$18,MATCH($B1235&amp;"|"&amp;$E1235,Aux_HH!$A$4:$A$18,0)))</f>
        <v>0</v>
      </c>
      <c r="H1235" s="0" t="n">
        <f aca="false">IF($F1235=0,0,INDEX(Aux_HH!$E$4:$E$18,MATCH($B1235&amp;"|"&amp;$E1235,Aux_HH!$A$4:$A$18,0)))</f>
        <v>0</v>
      </c>
      <c r="I1235" s="0" t="n">
        <f aca="false">IF($F1235=0,0,INDEX(Aux_HH!$F$4:$F$18,MATCH($B1235&amp;"|"&amp;$E1235,Aux_HH!$A$4:$A$18,0)))</f>
        <v>0</v>
      </c>
      <c r="J1235" s="0" t="n">
        <f aca="false">IF($F1235=0,0,INDEX(Aux_HH!$G$4:$G$18,MATCH($B1235&amp;"|"&amp;$E1235,Aux_HH!$A$4:$A$18,0)))</f>
        <v>0</v>
      </c>
      <c r="K1235" s="0" t="n">
        <f aca="false">IF($F1235=0,0,INDEX(Aux_HH!$H$4:$H$18,MATCH($B1235&amp;"|"&amp;$E1235,Aux_HH!$A$4:$A$18,0)))</f>
        <v>0</v>
      </c>
      <c r="L1235" s="0" t="n">
        <f aca="false">IF($F1235=0,0,INDEX(Aux_HH!$I$4:$I$18,MATCH($B1235&amp;"|"&amp;$E1235,Aux_HH!$A$4:$A$18,0)))</f>
        <v>0</v>
      </c>
    </row>
    <row r="1236" customFormat="false" ht="15" hidden="false" customHeight="false" outlineLevel="0" collapsed="false">
      <c r="A1236" s="0" t="str">
        <f aca="false">IF(Frota!$A28="","",Frota!$A28)</f>
        <v/>
      </c>
      <c r="B1236" s="0" t="str">
        <f aca="false">IF(Frota!$A28="","",Frota!$B28)</f>
        <v/>
      </c>
      <c r="C1236" s="0" t="n">
        <v>37</v>
      </c>
      <c r="D1236" s="0" t="n">
        <f aca="false">INDEX(Semanas!$E$3:$E$54,37)</f>
        <v>12</v>
      </c>
      <c r="E1236" s="0" t="str">
        <f aca="false">IF(Frota!$A28="","",Cronograma!AL28)</f>
        <v/>
      </c>
      <c r="F1236" s="0" t="n">
        <f aca="false">IF(OR($E1236="",$E1236=0),0,1)</f>
        <v>0</v>
      </c>
      <c r="G1236" s="0" t="n">
        <f aca="false">IF($F1236=0,0,INDEX(Aux_HH!$D$4:$D$18,MATCH($B1236&amp;"|"&amp;$E1236,Aux_HH!$A$4:$A$18,0)))</f>
        <v>0</v>
      </c>
      <c r="H1236" s="0" t="n">
        <f aca="false">IF($F1236=0,0,INDEX(Aux_HH!$E$4:$E$18,MATCH($B1236&amp;"|"&amp;$E1236,Aux_HH!$A$4:$A$18,0)))</f>
        <v>0</v>
      </c>
      <c r="I1236" s="0" t="n">
        <f aca="false">IF($F1236=0,0,INDEX(Aux_HH!$F$4:$F$18,MATCH($B1236&amp;"|"&amp;$E1236,Aux_HH!$A$4:$A$18,0)))</f>
        <v>0</v>
      </c>
      <c r="J1236" s="0" t="n">
        <f aca="false">IF($F1236=0,0,INDEX(Aux_HH!$G$4:$G$18,MATCH($B1236&amp;"|"&amp;$E1236,Aux_HH!$A$4:$A$18,0)))</f>
        <v>0</v>
      </c>
      <c r="K1236" s="0" t="n">
        <f aca="false">IF($F1236=0,0,INDEX(Aux_HH!$H$4:$H$18,MATCH($B1236&amp;"|"&amp;$E1236,Aux_HH!$A$4:$A$18,0)))</f>
        <v>0</v>
      </c>
      <c r="L1236" s="0" t="n">
        <f aca="false">IF($F1236=0,0,INDEX(Aux_HH!$I$4:$I$18,MATCH($B1236&amp;"|"&amp;$E1236,Aux_HH!$A$4:$A$18,0)))</f>
        <v>0</v>
      </c>
    </row>
    <row r="1237" customFormat="false" ht="15" hidden="false" customHeight="false" outlineLevel="0" collapsed="false">
      <c r="A1237" s="0" t="str">
        <f aca="false">IF(Frota!$A28="","",Frota!$A28)</f>
        <v/>
      </c>
      <c r="B1237" s="0" t="str">
        <f aca="false">IF(Frota!$A28="","",Frota!$B28)</f>
        <v/>
      </c>
      <c r="C1237" s="0" t="n">
        <v>38</v>
      </c>
      <c r="D1237" s="0" t="n">
        <f aca="false">INDEX(Semanas!$E$3:$E$54,38)</f>
        <v>12</v>
      </c>
      <c r="E1237" s="0" t="str">
        <f aca="false">IF(Frota!$A28="","",Cronograma!AM28)</f>
        <v/>
      </c>
      <c r="F1237" s="0" t="n">
        <f aca="false">IF(OR($E1237="",$E1237=0),0,1)</f>
        <v>0</v>
      </c>
      <c r="G1237" s="0" t="n">
        <f aca="false">IF($F1237=0,0,INDEX(Aux_HH!$D$4:$D$18,MATCH($B1237&amp;"|"&amp;$E1237,Aux_HH!$A$4:$A$18,0)))</f>
        <v>0</v>
      </c>
      <c r="H1237" s="0" t="n">
        <f aca="false">IF($F1237=0,0,INDEX(Aux_HH!$E$4:$E$18,MATCH($B1237&amp;"|"&amp;$E1237,Aux_HH!$A$4:$A$18,0)))</f>
        <v>0</v>
      </c>
      <c r="I1237" s="0" t="n">
        <f aca="false">IF($F1237=0,0,INDEX(Aux_HH!$F$4:$F$18,MATCH($B1237&amp;"|"&amp;$E1237,Aux_HH!$A$4:$A$18,0)))</f>
        <v>0</v>
      </c>
      <c r="J1237" s="0" t="n">
        <f aca="false">IF($F1237=0,0,INDEX(Aux_HH!$G$4:$G$18,MATCH($B1237&amp;"|"&amp;$E1237,Aux_HH!$A$4:$A$18,0)))</f>
        <v>0</v>
      </c>
      <c r="K1237" s="0" t="n">
        <f aca="false">IF($F1237=0,0,INDEX(Aux_HH!$H$4:$H$18,MATCH($B1237&amp;"|"&amp;$E1237,Aux_HH!$A$4:$A$18,0)))</f>
        <v>0</v>
      </c>
      <c r="L1237" s="0" t="n">
        <f aca="false">IF($F1237=0,0,INDEX(Aux_HH!$I$4:$I$18,MATCH($B1237&amp;"|"&amp;$E1237,Aux_HH!$A$4:$A$18,0)))</f>
        <v>0</v>
      </c>
    </row>
    <row r="1238" customFormat="false" ht="15" hidden="false" customHeight="false" outlineLevel="0" collapsed="false">
      <c r="A1238" s="0" t="str">
        <f aca="false">IF(Frota!$A28="","",Frota!$A28)</f>
        <v/>
      </c>
      <c r="B1238" s="0" t="str">
        <f aca="false">IF(Frota!$A28="","",Frota!$B28)</f>
        <v/>
      </c>
      <c r="C1238" s="0" t="n">
        <v>39</v>
      </c>
      <c r="D1238" s="0" t="n">
        <f aca="false">INDEX(Semanas!$E$3:$E$54,39)</f>
        <v>12</v>
      </c>
      <c r="E1238" s="0" t="str">
        <f aca="false">IF(Frota!$A28="","",Cronograma!AN28)</f>
        <v/>
      </c>
      <c r="F1238" s="0" t="n">
        <f aca="false">IF(OR($E1238="",$E1238=0),0,1)</f>
        <v>0</v>
      </c>
      <c r="G1238" s="0" t="n">
        <f aca="false">IF($F1238=0,0,INDEX(Aux_HH!$D$4:$D$18,MATCH($B1238&amp;"|"&amp;$E1238,Aux_HH!$A$4:$A$18,0)))</f>
        <v>0</v>
      </c>
      <c r="H1238" s="0" t="n">
        <f aca="false">IF($F1238=0,0,INDEX(Aux_HH!$E$4:$E$18,MATCH($B1238&amp;"|"&amp;$E1238,Aux_HH!$A$4:$A$18,0)))</f>
        <v>0</v>
      </c>
      <c r="I1238" s="0" t="n">
        <f aca="false">IF($F1238=0,0,INDEX(Aux_HH!$F$4:$F$18,MATCH($B1238&amp;"|"&amp;$E1238,Aux_HH!$A$4:$A$18,0)))</f>
        <v>0</v>
      </c>
      <c r="J1238" s="0" t="n">
        <f aca="false">IF($F1238=0,0,INDEX(Aux_HH!$G$4:$G$18,MATCH($B1238&amp;"|"&amp;$E1238,Aux_HH!$A$4:$A$18,0)))</f>
        <v>0</v>
      </c>
      <c r="K1238" s="0" t="n">
        <f aca="false">IF($F1238=0,0,INDEX(Aux_HH!$H$4:$H$18,MATCH($B1238&amp;"|"&amp;$E1238,Aux_HH!$A$4:$A$18,0)))</f>
        <v>0</v>
      </c>
      <c r="L1238" s="0" t="n">
        <f aca="false">IF($F1238=0,0,INDEX(Aux_HH!$I$4:$I$18,MATCH($B1238&amp;"|"&amp;$E1238,Aux_HH!$A$4:$A$18,0)))</f>
        <v>0</v>
      </c>
    </row>
    <row r="1239" customFormat="false" ht="15" hidden="false" customHeight="false" outlineLevel="0" collapsed="false">
      <c r="A1239" s="0" t="str">
        <f aca="false">IF(Frota!$A28="","",Frota!$A28)</f>
        <v/>
      </c>
      <c r="B1239" s="0" t="str">
        <f aca="false">IF(Frota!$A28="","",Frota!$B28)</f>
        <v/>
      </c>
      <c r="C1239" s="0" t="n">
        <v>40</v>
      </c>
      <c r="D1239" s="0" t="n">
        <f aca="false">INDEX(Semanas!$E$3:$E$54,40)</f>
        <v>12</v>
      </c>
      <c r="E1239" s="0" t="str">
        <f aca="false">IF(Frota!$A28="","",Cronograma!AO28)</f>
        <v/>
      </c>
      <c r="F1239" s="0" t="n">
        <f aca="false">IF(OR($E1239="",$E1239=0),0,1)</f>
        <v>0</v>
      </c>
      <c r="G1239" s="0" t="n">
        <f aca="false">IF($F1239=0,0,INDEX(Aux_HH!$D$4:$D$18,MATCH($B1239&amp;"|"&amp;$E1239,Aux_HH!$A$4:$A$18,0)))</f>
        <v>0</v>
      </c>
      <c r="H1239" s="0" t="n">
        <f aca="false">IF($F1239=0,0,INDEX(Aux_HH!$E$4:$E$18,MATCH($B1239&amp;"|"&amp;$E1239,Aux_HH!$A$4:$A$18,0)))</f>
        <v>0</v>
      </c>
      <c r="I1239" s="0" t="n">
        <f aca="false">IF($F1239=0,0,INDEX(Aux_HH!$F$4:$F$18,MATCH($B1239&amp;"|"&amp;$E1239,Aux_HH!$A$4:$A$18,0)))</f>
        <v>0</v>
      </c>
      <c r="J1239" s="0" t="n">
        <f aca="false">IF($F1239=0,0,INDEX(Aux_HH!$G$4:$G$18,MATCH($B1239&amp;"|"&amp;$E1239,Aux_HH!$A$4:$A$18,0)))</f>
        <v>0</v>
      </c>
      <c r="K1239" s="0" t="n">
        <f aca="false">IF($F1239=0,0,INDEX(Aux_HH!$H$4:$H$18,MATCH($B1239&amp;"|"&amp;$E1239,Aux_HH!$A$4:$A$18,0)))</f>
        <v>0</v>
      </c>
      <c r="L1239" s="0" t="n">
        <f aca="false">IF($F1239=0,0,INDEX(Aux_HH!$I$4:$I$18,MATCH($B1239&amp;"|"&amp;$E1239,Aux_HH!$A$4:$A$18,0)))</f>
        <v>0</v>
      </c>
    </row>
    <row r="1240" customFormat="false" ht="15" hidden="false" customHeight="false" outlineLevel="0" collapsed="false">
      <c r="A1240" s="0" t="str">
        <f aca="false">IF(Frota!$A28="","",Frota!$A28)</f>
        <v/>
      </c>
      <c r="B1240" s="0" t="str">
        <f aca="false">IF(Frota!$A28="","",Frota!$B28)</f>
        <v/>
      </c>
      <c r="C1240" s="0" t="n">
        <v>41</v>
      </c>
      <c r="D1240" s="0" t="n">
        <f aca="false">INDEX(Semanas!$E$3:$E$54,41)</f>
        <v>1</v>
      </c>
      <c r="E1240" s="0" t="str">
        <f aca="false">IF(Frota!$A28="","",Cronograma!AP28)</f>
        <v/>
      </c>
      <c r="F1240" s="0" t="n">
        <f aca="false">IF(OR($E1240="",$E1240=0),0,1)</f>
        <v>0</v>
      </c>
      <c r="G1240" s="0" t="n">
        <f aca="false">IF($F1240=0,0,INDEX(Aux_HH!$D$4:$D$18,MATCH($B1240&amp;"|"&amp;$E1240,Aux_HH!$A$4:$A$18,0)))</f>
        <v>0</v>
      </c>
      <c r="H1240" s="0" t="n">
        <f aca="false">IF($F1240=0,0,INDEX(Aux_HH!$E$4:$E$18,MATCH($B1240&amp;"|"&amp;$E1240,Aux_HH!$A$4:$A$18,0)))</f>
        <v>0</v>
      </c>
      <c r="I1240" s="0" t="n">
        <f aca="false">IF($F1240=0,0,INDEX(Aux_HH!$F$4:$F$18,MATCH($B1240&amp;"|"&amp;$E1240,Aux_HH!$A$4:$A$18,0)))</f>
        <v>0</v>
      </c>
      <c r="J1240" s="0" t="n">
        <f aca="false">IF($F1240=0,0,INDEX(Aux_HH!$G$4:$G$18,MATCH($B1240&amp;"|"&amp;$E1240,Aux_HH!$A$4:$A$18,0)))</f>
        <v>0</v>
      </c>
      <c r="K1240" s="0" t="n">
        <f aca="false">IF($F1240=0,0,INDEX(Aux_HH!$H$4:$H$18,MATCH($B1240&amp;"|"&amp;$E1240,Aux_HH!$A$4:$A$18,0)))</f>
        <v>0</v>
      </c>
      <c r="L1240" s="0" t="n">
        <f aca="false">IF($F1240=0,0,INDEX(Aux_HH!$I$4:$I$18,MATCH($B1240&amp;"|"&amp;$E1240,Aux_HH!$A$4:$A$18,0)))</f>
        <v>0</v>
      </c>
    </row>
    <row r="1241" customFormat="false" ht="15" hidden="false" customHeight="false" outlineLevel="0" collapsed="false">
      <c r="A1241" s="0" t="str">
        <f aca="false">IF(Frota!$A28="","",Frota!$A28)</f>
        <v/>
      </c>
      <c r="B1241" s="0" t="str">
        <f aca="false">IF(Frota!$A28="","",Frota!$B28)</f>
        <v/>
      </c>
      <c r="C1241" s="0" t="n">
        <v>42</v>
      </c>
      <c r="D1241" s="0" t="n">
        <f aca="false">INDEX(Semanas!$E$3:$E$54,42)</f>
        <v>1</v>
      </c>
      <c r="E1241" s="0" t="str">
        <f aca="false">IF(Frota!$A28="","",Cronograma!AQ28)</f>
        <v/>
      </c>
      <c r="F1241" s="0" t="n">
        <f aca="false">IF(OR($E1241="",$E1241=0),0,1)</f>
        <v>0</v>
      </c>
      <c r="G1241" s="0" t="n">
        <f aca="false">IF($F1241=0,0,INDEX(Aux_HH!$D$4:$D$18,MATCH($B1241&amp;"|"&amp;$E1241,Aux_HH!$A$4:$A$18,0)))</f>
        <v>0</v>
      </c>
      <c r="H1241" s="0" t="n">
        <f aca="false">IF($F1241=0,0,INDEX(Aux_HH!$E$4:$E$18,MATCH($B1241&amp;"|"&amp;$E1241,Aux_HH!$A$4:$A$18,0)))</f>
        <v>0</v>
      </c>
      <c r="I1241" s="0" t="n">
        <f aca="false">IF($F1241=0,0,INDEX(Aux_HH!$F$4:$F$18,MATCH($B1241&amp;"|"&amp;$E1241,Aux_HH!$A$4:$A$18,0)))</f>
        <v>0</v>
      </c>
      <c r="J1241" s="0" t="n">
        <f aca="false">IF($F1241=0,0,INDEX(Aux_HH!$G$4:$G$18,MATCH($B1241&amp;"|"&amp;$E1241,Aux_HH!$A$4:$A$18,0)))</f>
        <v>0</v>
      </c>
      <c r="K1241" s="0" t="n">
        <f aca="false">IF($F1241=0,0,INDEX(Aux_HH!$H$4:$H$18,MATCH($B1241&amp;"|"&amp;$E1241,Aux_HH!$A$4:$A$18,0)))</f>
        <v>0</v>
      </c>
      <c r="L1241" s="0" t="n">
        <f aca="false">IF($F1241=0,0,INDEX(Aux_HH!$I$4:$I$18,MATCH($B1241&amp;"|"&amp;$E1241,Aux_HH!$A$4:$A$18,0)))</f>
        <v>0</v>
      </c>
    </row>
    <row r="1242" customFormat="false" ht="15" hidden="false" customHeight="false" outlineLevel="0" collapsed="false">
      <c r="A1242" s="0" t="str">
        <f aca="false">IF(Frota!$A28="","",Frota!$A28)</f>
        <v/>
      </c>
      <c r="B1242" s="0" t="str">
        <f aca="false">IF(Frota!$A28="","",Frota!$B28)</f>
        <v/>
      </c>
      <c r="C1242" s="0" t="n">
        <v>43</v>
      </c>
      <c r="D1242" s="0" t="n">
        <f aca="false">INDEX(Semanas!$E$3:$E$54,43)</f>
        <v>1</v>
      </c>
      <c r="E1242" s="0" t="str">
        <f aca="false">IF(Frota!$A28="","",Cronograma!AR28)</f>
        <v/>
      </c>
      <c r="F1242" s="0" t="n">
        <f aca="false">IF(OR($E1242="",$E1242=0),0,1)</f>
        <v>0</v>
      </c>
      <c r="G1242" s="0" t="n">
        <f aca="false">IF($F1242=0,0,INDEX(Aux_HH!$D$4:$D$18,MATCH($B1242&amp;"|"&amp;$E1242,Aux_HH!$A$4:$A$18,0)))</f>
        <v>0</v>
      </c>
      <c r="H1242" s="0" t="n">
        <f aca="false">IF($F1242=0,0,INDEX(Aux_HH!$E$4:$E$18,MATCH($B1242&amp;"|"&amp;$E1242,Aux_HH!$A$4:$A$18,0)))</f>
        <v>0</v>
      </c>
      <c r="I1242" s="0" t="n">
        <f aca="false">IF($F1242=0,0,INDEX(Aux_HH!$F$4:$F$18,MATCH($B1242&amp;"|"&amp;$E1242,Aux_HH!$A$4:$A$18,0)))</f>
        <v>0</v>
      </c>
      <c r="J1242" s="0" t="n">
        <f aca="false">IF($F1242=0,0,INDEX(Aux_HH!$G$4:$G$18,MATCH($B1242&amp;"|"&amp;$E1242,Aux_HH!$A$4:$A$18,0)))</f>
        <v>0</v>
      </c>
      <c r="K1242" s="0" t="n">
        <f aca="false">IF($F1242=0,0,INDEX(Aux_HH!$H$4:$H$18,MATCH($B1242&amp;"|"&amp;$E1242,Aux_HH!$A$4:$A$18,0)))</f>
        <v>0</v>
      </c>
      <c r="L1242" s="0" t="n">
        <f aca="false">IF($F1242=0,0,INDEX(Aux_HH!$I$4:$I$18,MATCH($B1242&amp;"|"&amp;$E1242,Aux_HH!$A$4:$A$18,0)))</f>
        <v>0</v>
      </c>
    </row>
    <row r="1243" customFormat="false" ht="15" hidden="false" customHeight="false" outlineLevel="0" collapsed="false">
      <c r="A1243" s="0" t="str">
        <f aca="false">IF(Frota!$A28="","",Frota!$A28)</f>
        <v/>
      </c>
      <c r="B1243" s="0" t="str">
        <f aca="false">IF(Frota!$A28="","",Frota!$B28)</f>
        <v/>
      </c>
      <c r="C1243" s="0" t="n">
        <v>44</v>
      </c>
      <c r="D1243" s="0" t="n">
        <f aca="false">INDEX(Semanas!$E$3:$E$54,44)</f>
        <v>1</v>
      </c>
      <c r="E1243" s="0" t="str">
        <f aca="false">IF(Frota!$A28="","",Cronograma!AS28)</f>
        <v/>
      </c>
      <c r="F1243" s="0" t="n">
        <f aca="false">IF(OR($E1243="",$E1243=0),0,1)</f>
        <v>0</v>
      </c>
      <c r="G1243" s="0" t="n">
        <f aca="false">IF($F1243=0,0,INDEX(Aux_HH!$D$4:$D$18,MATCH($B1243&amp;"|"&amp;$E1243,Aux_HH!$A$4:$A$18,0)))</f>
        <v>0</v>
      </c>
      <c r="H1243" s="0" t="n">
        <f aca="false">IF($F1243=0,0,INDEX(Aux_HH!$E$4:$E$18,MATCH($B1243&amp;"|"&amp;$E1243,Aux_HH!$A$4:$A$18,0)))</f>
        <v>0</v>
      </c>
      <c r="I1243" s="0" t="n">
        <f aca="false">IF($F1243=0,0,INDEX(Aux_HH!$F$4:$F$18,MATCH($B1243&amp;"|"&amp;$E1243,Aux_HH!$A$4:$A$18,0)))</f>
        <v>0</v>
      </c>
      <c r="J1243" s="0" t="n">
        <f aca="false">IF($F1243=0,0,INDEX(Aux_HH!$G$4:$G$18,MATCH($B1243&amp;"|"&amp;$E1243,Aux_HH!$A$4:$A$18,0)))</f>
        <v>0</v>
      </c>
      <c r="K1243" s="0" t="n">
        <f aca="false">IF($F1243=0,0,INDEX(Aux_HH!$H$4:$H$18,MATCH($B1243&amp;"|"&amp;$E1243,Aux_HH!$A$4:$A$18,0)))</f>
        <v>0</v>
      </c>
      <c r="L1243" s="0" t="n">
        <f aca="false">IF($F1243=0,0,INDEX(Aux_HH!$I$4:$I$18,MATCH($B1243&amp;"|"&amp;$E1243,Aux_HH!$A$4:$A$18,0)))</f>
        <v>0</v>
      </c>
    </row>
    <row r="1244" customFormat="false" ht="15" hidden="false" customHeight="false" outlineLevel="0" collapsed="false">
      <c r="A1244" s="0" t="str">
        <f aca="false">IF(Frota!$A28="","",Frota!$A28)</f>
        <v/>
      </c>
      <c r="B1244" s="0" t="str">
        <f aca="false">IF(Frota!$A28="","",Frota!$B28)</f>
        <v/>
      </c>
      <c r="C1244" s="0" t="n">
        <v>45</v>
      </c>
      <c r="D1244" s="0" t="n">
        <f aca="false">INDEX(Semanas!$E$3:$E$54,45)</f>
        <v>2</v>
      </c>
      <c r="E1244" s="0" t="str">
        <f aca="false">IF(Frota!$A28="","",Cronograma!AT28)</f>
        <v/>
      </c>
      <c r="F1244" s="0" t="n">
        <f aca="false">IF(OR($E1244="",$E1244=0),0,1)</f>
        <v>0</v>
      </c>
      <c r="G1244" s="0" t="n">
        <f aca="false">IF($F1244=0,0,INDEX(Aux_HH!$D$4:$D$18,MATCH($B1244&amp;"|"&amp;$E1244,Aux_HH!$A$4:$A$18,0)))</f>
        <v>0</v>
      </c>
      <c r="H1244" s="0" t="n">
        <f aca="false">IF($F1244=0,0,INDEX(Aux_HH!$E$4:$E$18,MATCH($B1244&amp;"|"&amp;$E1244,Aux_HH!$A$4:$A$18,0)))</f>
        <v>0</v>
      </c>
      <c r="I1244" s="0" t="n">
        <f aca="false">IF($F1244=0,0,INDEX(Aux_HH!$F$4:$F$18,MATCH($B1244&amp;"|"&amp;$E1244,Aux_HH!$A$4:$A$18,0)))</f>
        <v>0</v>
      </c>
      <c r="J1244" s="0" t="n">
        <f aca="false">IF($F1244=0,0,INDEX(Aux_HH!$G$4:$G$18,MATCH($B1244&amp;"|"&amp;$E1244,Aux_HH!$A$4:$A$18,0)))</f>
        <v>0</v>
      </c>
      <c r="K1244" s="0" t="n">
        <f aca="false">IF($F1244=0,0,INDEX(Aux_HH!$H$4:$H$18,MATCH($B1244&amp;"|"&amp;$E1244,Aux_HH!$A$4:$A$18,0)))</f>
        <v>0</v>
      </c>
      <c r="L1244" s="0" t="n">
        <f aca="false">IF($F1244=0,0,INDEX(Aux_HH!$I$4:$I$18,MATCH($B1244&amp;"|"&amp;$E1244,Aux_HH!$A$4:$A$18,0)))</f>
        <v>0</v>
      </c>
    </row>
    <row r="1245" customFormat="false" ht="15" hidden="false" customHeight="false" outlineLevel="0" collapsed="false">
      <c r="A1245" s="0" t="str">
        <f aca="false">IF(Frota!$A28="","",Frota!$A28)</f>
        <v/>
      </c>
      <c r="B1245" s="0" t="str">
        <f aca="false">IF(Frota!$A28="","",Frota!$B28)</f>
        <v/>
      </c>
      <c r="C1245" s="0" t="n">
        <v>46</v>
      </c>
      <c r="D1245" s="0" t="n">
        <f aca="false">INDEX(Semanas!$E$3:$E$54,46)</f>
        <v>2</v>
      </c>
      <c r="E1245" s="0" t="str">
        <f aca="false">IF(Frota!$A28="","",Cronograma!AU28)</f>
        <v/>
      </c>
      <c r="F1245" s="0" t="n">
        <f aca="false">IF(OR($E1245="",$E1245=0),0,1)</f>
        <v>0</v>
      </c>
      <c r="G1245" s="0" t="n">
        <f aca="false">IF($F1245=0,0,INDEX(Aux_HH!$D$4:$D$18,MATCH($B1245&amp;"|"&amp;$E1245,Aux_HH!$A$4:$A$18,0)))</f>
        <v>0</v>
      </c>
      <c r="H1245" s="0" t="n">
        <f aca="false">IF($F1245=0,0,INDEX(Aux_HH!$E$4:$E$18,MATCH($B1245&amp;"|"&amp;$E1245,Aux_HH!$A$4:$A$18,0)))</f>
        <v>0</v>
      </c>
      <c r="I1245" s="0" t="n">
        <f aca="false">IF($F1245=0,0,INDEX(Aux_HH!$F$4:$F$18,MATCH($B1245&amp;"|"&amp;$E1245,Aux_HH!$A$4:$A$18,0)))</f>
        <v>0</v>
      </c>
      <c r="J1245" s="0" t="n">
        <f aca="false">IF($F1245=0,0,INDEX(Aux_HH!$G$4:$G$18,MATCH($B1245&amp;"|"&amp;$E1245,Aux_HH!$A$4:$A$18,0)))</f>
        <v>0</v>
      </c>
      <c r="K1245" s="0" t="n">
        <f aca="false">IF($F1245=0,0,INDEX(Aux_HH!$H$4:$H$18,MATCH($B1245&amp;"|"&amp;$E1245,Aux_HH!$A$4:$A$18,0)))</f>
        <v>0</v>
      </c>
      <c r="L1245" s="0" t="n">
        <f aca="false">IF($F1245=0,0,INDEX(Aux_HH!$I$4:$I$18,MATCH($B1245&amp;"|"&amp;$E1245,Aux_HH!$A$4:$A$18,0)))</f>
        <v>0</v>
      </c>
    </row>
    <row r="1246" customFormat="false" ht="15" hidden="false" customHeight="false" outlineLevel="0" collapsed="false">
      <c r="A1246" s="0" t="str">
        <f aca="false">IF(Frota!$A28="","",Frota!$A28)</f>
        <v/>
      </c>
      <c r="B1246" s="0" t="str">
        <f aca="false">IF(Frota!$A28="","",Frota!$B28)</f>
        <v/>
      </c>
      <c r="C1246" s="0" t="n">
        <v>47</v>
      </c>
      <c r="D1246" s="0" t="n">
        <f aca="false">INDEX(Semanas!$E$3:$E$54,47)</f>
        <v>2</v>
      </c>
      <c r="E1246" s="0" t="str">
        <f aca="false">IF(Frota!$A28="","",Cronograma!AV28)</f>
        <v/>
      </c>
      <c r="F1246" s="0" t="n">
        <f aca="false">IF(OR($E1246="",$E1246=0),0,1)</f>
        <v>0</v>
      </c>
      <c r="G1246" s="0" t="n">
        <f aca="false">IF($F1246=0,0,INDEX(Aux_HH!$D$4:$D$18,MATCH($B1246&amp;"|"&amp;$E1246,Aux_HH!$A$4:$A$18,0)))</f>
        <v>0</v>
      </c>
      <c r="H1246" s="0" t="n">
        <f aca="false">IF($F1246=0,0,INDEX(Aux_HH!$E$4:$E$18,MATCH($B1246&amp;"|"&amp;$E1246,Aux_HH!$A$4:$A$18,0)))</f>
        <v>0</v>
      </c>
      <c r="I1246" s="0" t="n">
        <f aca="false">IF($F1246=0,0,INDEX(Aux_HH!$F$4:$F$18,MATCH($B1246&amp;"|"&amp;$E1246,Aux_HH!$A$4:$A$18,0)))</f>
        <v>0</v>
      </c>
      <c r="J1246" s="0" t="n">
        <f aca="false">IF($F1246=0,0,INDEX(Aux_HH!$G$4:$G$18,MATCH($B1246&amp;"|"&amp;$E1246,Aux_HH!$A$4:$A$18,0)))</f>
        <v>0</v>
      </c>
      <c r="K1246" s="0" t="n">
        <f aca="false">IF($F1246=0,0,INDEX(Aux_HH!$H$4:$H$18,MATCH($B1246&amp;"|"&amp;$E1246,Aux_HH!$A$4:$A$18,0)))</f>
        <v>0</v>
      </c>
      <c r="L1246" s="0" t="n">
        <f aca="false">IF($F1246=0,0,INDEX(Aux_HH!$I$4:$I$18,MATCH($B1246&amp;"|"&amp;$E1246,Aux_HH!$A$4:$A$18,0)))</f>
        <v>0</v>
      </c>
    </row>
    <row r="1247" customFormat="false" ht="15" hidden="false" customHeight="false" outlineLevel="0" collapsed="false">
      <c r="A1247" s="0" t="str">
        <f aca="false">IF(Frota!$A28="","",Frota!$A28)</f>
        <v/>
      </c>
      <c r="B1247" s="0" t="str">
        <f aca="false">IF(Frota!$A28="","",Frota!$B28)</f>
        <v/>
      </c>
      <c r="C1247" s="0" t="n">
        <v>48</v>
      </c>
      <c r="D1247" s="0" t="n">
        <f aca="false">INDEX(Semanas!$E$3:$E$54,48)</f>
        <v>2</v>
      </c>
      <c r="E1247" s="0" t="str">
        <f aca="false">IF(Frota!$A28="","",Cronograma!AW28)</f>
        <v/>
      </c>
      <c r="F1247" s="0" t="n">
        <f aca="false">IF(OR($E1247="",$E1247=0),0,1)</f>
        <v>0</v>
      </c>
      <c r="G1247" s="0" t="n">
        <f aca="false">IF($F1247=0,0,INDEX(Aux_HH!$D$4:$D$18,MATCH($B1247&amp;"|"&amp;$E1247,Aux_HH!$A$4:$A$18,0)))</f>
        <v>0</v>
      </c>
      <c r="H1247" s="0" t="n">
        <f aca="false">IF($F1247=0,0,INDEX(Aux_HH!$E$4:$E$18,MATCH($B1247&amp;"|"&amp;$E1247,Aux_HH!$A$4:$A$18,0)))</f>
        <v>0</v>
      </c>
      <c r="I1247" s="0" t="n">
        <f aca="false">IF($F1247=0,0,INDEX(Aux_HH!$F$4:$F$18,MATCH($B1247&amp;"|"&amp;$E1247,Aux_HH!$A$4:$A$18,0)))</f>
        <v>0</v>
      </c>
      <c r="J1247" s="0" t="n">
        <f aca="false">IF($F1247=0,0,INDEX(Aux_HH!$G$4:$G$18,MATCH($B1247&amp;"|"&amp;$E1247,Aux_HH!$A$4:$A$18,0)))</f>
        <v>0</v>
      </c>
      <c r="K1247" s="0" t="n">
        <f aca="false">IF($F1247=0,0,INDEX(Aux_HH!$H$4:$H$18,MATCH($B1247&amp;"|"&amp;$E1247,Aux_HH!$A$4:$A$18,0)))</f>
        <v>0</v>
      </c>
      <c r="L1247" s="0" t="n">
        <f aca="false">IF($F1247=0,0,INDEX(Aux_HH!$I$4:$I$18,MATCH($B1247&amp;"|"&amp;$E1247,Aux_HH!$A$4:$A$18,0)))</f>
        <v>0</v>
      </c>
    </row>
    <row r="1248" customFormat="false" ht="15" hidden="false" customHeight="false" outlineLevel="0" collapsed="false">
      <c r="A1248" s="0" t="str">
        <f aca="false">IF(Frota!$A28="","",Frota!$A28)</f>
        <v/>
      </c>
      <c r="B1248" s="0" t="str">
        <f aca="false">IF(Frota!$A28="","",Frota!$B28)</f>
        <v/>
      </c>
      <c r="C1248" s="0" t="n">
        <v>49</v>
      </c>
      <c r="D1248" s="0" t="n">
        <f aca="false">INDEX(Semanas!$E$3:$E$54,49)</f>
        <v>3</v>
      </c>
      <c r="E1248" s="0" t="str">
        <f aca="false">IF(Frota!$A28="","",Cronograma!AX28)</f>
        <v/>
      </c>
      <c r="F1248" s="0" t="n">
        <f aca="false">IF(OR($E1248="",$E1248=0),0,1)</f>
        <v>0</v>
      </c>
      <c r="G1248" s="0" t="n">
        <f aca="false">IF($F1248=0,0,INDEX(Aux_HH!$D$4:$D$18,MATCH($B1248&amp;"|"&amp;$E1248,Aux_HH!$A$4:$A$18,0)))</f>
        <v>0</v>
      </c>
      <c r="H1248" s="0" t="n">
        <f aca="false">IF($F1248=0,0,INDEX(Aux_HH!$E$4:$E$18,MATCH($B1248&amp;"|"&amp;$E1248,Aux_HH!$A$4:$A$18,0)))</f>
        <v>0</v>
      </c>
      <c r="I1248" s="0" t="n">
        <f aca="false">IF($F1248=0,0,INDEX(Aux_HH!$F$4:$F$18,MATCH($B1248&amp;"|"&amp;$E1248,Aux_HH!$A$4:$A$18,0)))</f>
        <v>0</v>
      </c>
      <c r="J1248" s="0" t="n">
        <f aca="false">IF($F1248=0,0,INDEX(Aux_HH!$G$4:$G$18,MATCH($B1248&amp;"|"&amp;$E1248,Aux_HH!$A$4:$A$18,0)))</f>
        <v>0</v>
      </c>
      <c r="K1248" s="0" t="n">
        <f aca="false">IF($F1248=0,0,INDEX(Aux_HH!$H$4:$H$18,MATCH($B1248&amp;"|"&amp;$E1248,Aux_HH!$A$4:$A$18,0)))</f>
        <v>0</v>
      </c>
      <c r="L1248" s="0" t="n">
        <f aca="false">IF($F1248=0,0,INDEX(Aux_HH!$I$4:$I$18,MATCH($B1248&amp;"|"&amp;$E1248,Aux_HH!$A$4:$A$18,0)))</f>
        <v>0</v>
      </c>
    </row>
    <row r="1249" customFormat="false" ht="15" hidden="false" customHeight="false" outlineLevel="0" collapsed="false">
      <c r="A1249" s="0" t="str">
        <f aca="false">IF(Frota!$A28="","",Frota!$A28)</f>
        <v/>
      </c>
      <c r="B1249" s="0" t="str">
        <f aca="false">IF(Frota!$A28="","",Frota!$B28)</f>
        <v/>
      </c>
      <c r="C1249" s="0" t="n">
        <v>50</v>
      </c>
      <c r="D1249" s="0" t="n">
        <f aca="false">INDEX(Semanas!$E$3:$E$54,50)</f>
        <v>3</v>
      </c>
      <c r="E1249" s="0" t="str">
        <f aca="false">IF(Frota!$A28="","",Cronograma!AY28)</f>
        <v/>
      </c>
      <c r="F1249" s="0" t="n">
        <f aca="false">IF(OR($E1249="",$E1249=0),0,1)</f>
        <v>0</v>
      </c>
      <c r="G1249" s="0" t="n">
        <f aca="false">IF($F1249=0,0,INDEX(Aux_HH!$D$4:$D$18,MATCH($B1249&amp;"|"&amp;$E1249,Aux_HH!$A$4:$A$18,0)))</f>
        <v>0</v>
      </c>
      <c r="H1249" s="0" t="n">
        <f aca="false">IF($F1249=0,0,INDEX(Aux_HH!$E$4:$E$18,MATCH($B1249&amp;"|"&amp;$E1249,Aux_HH!$A$4:$A$18,0)))</f>
        <v>0</v>
      </c>
      <c r="I1249" s="0" t="n">
        <f aca="false">IF($F1249=0,0,INDEX(Aux_HH!$F$4:$F$18,MATCH($B1249&amp;"|"&amp;$E1249,Aux_HH!$A$4:$A$18,0)))</f>
        <v>0</v>
      </c>
      <c r="J1249" s="0" t="n">
        <f aca="false">IF($F1249=0,0,INDEX(Aux_HH!$G$4:$G$18,MATCH($B1249&amp;"|"&amp;$E1249,Aux_HH!$A$4:$A$18,0)))</f>
        <v>0</v>
      </c>
      <c r="K1249" s="0" t="n">
        <f aca="false">IF($F1249=0,0,INDEX(Aux_HH!$H$4:$H$18,MATCH($B1249&amp;"|"&amp;$E1249,Aux_HH!$A$4:$A$18,0)))</f>
        <v>0</v>
      </c>
      <c r="L1249" s="0" t="n">
        <f aca="false">IF($F1249=0,0,INDEX(Aux_HH!$I$4:$I$18,MATCH($B1249&amp;"|"&amp;$E1249,Aux_HH!$A$4:$A$18,0)))</f>
        <v>0</v>
      </c>
    </row>
    <row r="1250" customFormat="false" ht="15" hidden="false" customHeight="false" outlineLevel="0" collapsed="false">
      <c r="A1250" s="0" t="str">
        <f aca="false">IF(Frota!$A28="","",Frota!$A28)</f>
        <v/>
      </c>
      <c r="B1250" s="0" t="str">
        <f aca="false">IF(Frota!$A28="","",Frota!$B28)</f>
        <v/>
      </c>
      <c r="C1250" s="0" t="n">
        <v>51</v>
      </c>
      <c r="D1250" s="0" t="n">
        <f aca="false">INDEX(Semanas!$E$3:$E$54,51)</f>
        <v>3</v>
      </c>
      <c r="E1250" s="0" t="str">
        <f aca="false">IF(Frota!$A28="","",Cronograma!AZ28)</f>
        <v/>
      </c>
      <c r="F1250" s="0" t="n">
        <f aca="false">IF(OR($E1250="",$E1250=0),0,1)</f>
        <v>0</v>
      </c>
      <c r="G1250" s="0" t="n">
        <f aca="false">IF($F1250=0,0,INDEX(Aux_HH!$D$4:$D$18,MATCH($B1250&amp;"|"&amp;$E1250,Aux_HH!$A$4:$A$18,0)))</f>
        <v>0</v>
      </c>
      <c r="H1250" s="0" t="n">
        <f aca="false">IF($F1250=0,0,INDEX(Aux_HH!$E$4:$E$18,MATCH($B1250&amp;"|"&amp;$E1250,Aux_HH!$A$4:$A$18,0)))</f>
        <v>0</v>
      </c>
      <c r="I1250" s="0" t="n">
        <f aca="false">IF($F1250=0,0,INDEX(Aux_HH!$F$4:$F$18,MATCH($B1250&amp;"|"&amp;$E1250,Aux_HH!$A$4:$A$18,0)))</f>
        <v>0</v>
      </c>
      <c r="J1250" s="0" t="n">
        <f aca="false">IF($F1250=0,0,INDEX(Aux_HH!$G$4:$G$18,MATCH($B1250&amp;"|"&amp;$E1250,Aux_HH!$A$4:$A$18,0)))</f>
        <v>0</v>
      </c>
      <c r="K1250" s="0" t="n">
        <f aca="false">IF($F1250=0,0,INDEX(Aux_HH!$H$4:$H$18,MATCH($B1250&amp;"|"&amp;$E1250,Aux_HH!$A$4:$A$18,0)))</f>
        <v>0</v>
      </c>
      <c r="L1250" s="0" t="n">
        <f aca="false">IF($F1250=0,0,INDEX(Aux_HH!$I$4:$I$18,MATCH($B1250&amp;"|"&amp;$E1250,Aux_HH!$A$4:$A$18,0)))</f>
        <v>0</v>
      </c>
    </row>
    <row r="1251" customFormat="false" ht="15" hidden="false" customHeight="false" outlineLevel="0" collapsed="false">
      <c r="A1251" s="0" t="str">
        <f aca="false">IF(Frota!$A28="","",Frota!$A28)</f>
        <v/>
      </c>
      <c r="B1251" s="0" t="str">
        <f aca="false">IF(Frota!$A28="","",Frota!$B28)</f>
        <v/>
      </c>
      <c r="C1251" s="0" t="n">
        <v>52</v>
      </c>
      <c r="D1251" s="0" t="n">
        <f aca="false">INDEX(Semanas!$E$3:$E$54,52)</f>
        <v>3</v>
      </c>
      <c r="E1251" s="0" t="str">
        <f aca="false">IF(Frota!$A28="","",Cronograma!BA28)</f>
        <v/>
      </c>
      <c r="F1251" s="0" t="n">
        <f aca="false">IF(OR($E1251="",$E1251=0),0,1)</f>
        <v>0</v>
      </c>
      <c r="G1251" s="0" t="n">
        <f aca="false">IF($F1251=0,0,INDEX(Aux_HH!$D$4:$D$18,MATCH($B1251&amp;"|"&amp;$E1251,Aux_HH!$A$4:$A$18,0)))</f>
        <v>0</v>
      </c>
      <c r="H1251" s="0" t="n">
        <f aca="false">IF($F1251=0,0,INDEX(Aux_HH!$E$4:$E$18,MATCH($B1251&amp;"|"&amp;$E1251,Aux_HH!$A$4:$A$18,0)))</f>
        <v>0</v>
      </c>
      <c r="I1251" s="0" t="n">
        <f aca="false">IF($F1251=0,0,INDEX(Aux_HH!$F$4:$F$18,MATCH($B1251&amp;"|"&amp;$E1251,Aux_HH!$A$4:$A$18,0)))</f>
        <v>0</v>
      </c>
      <c r="J1251" s="0" t="n">
        <f aca="false">IF($F1251=0,0,INDEX(Aux_HH!$G$4:$G$18,MATCH($B1251&amp;"|"&amp;$E1251,Aux_HH!$A$4:$A$18,0)))</f>
        <v>0</v>
      </c>
      <c r="K1251" s="0" t="n">
        <f aca="false">IF($F1251=0,0,INDEX(Aux_HH!$H$4:$H$18,MATCH($B1251&amp;"|"&amp;$E1251,Aux_HH!$A$4:$A$18,0)))</f>
        <v>0</v>
      </c>
      <c r="L1251" s="0" t="n">
        <f aca="false">IF($F1251=0,0,INDEX(Aux_HH!$I$4:$I$18,MATCH($B1251&amp;"|"&amp;$E1251,Aux_HH!$A$4:$A$18,0)))</f>
        <v>0</v>
      </c>
    </row>
    <row r="1252" customFormat="false" ht="15" hidden="false" customHeight="false" outlineLevel="0" collapsed="false">
      <c r="A1252" s="0" t="str">
        <f aca="false">IF(Frota!$A29="","",Frota!$A29)</f>
        <v/>
      </c>
      <c r="B1252" s="0" t="str">
        <f aca="false">IF(Frota!$A29="","",Frota!$B29)</f>
        <v/>
      </c>
      <c r="C1252" s="0" t="n">
        <v>1</v>
      </c>
      <c r="D1252" s="0" t="n">
        <f aca="false">INDEX(Semanas!$E$3:$E$54,1)</f>
        <v>4</v>
      </c>
      <c r="E1252" s="0" t="str">
        <f aca="false">IF(Frota!$A29="","",Cronograma!B29)</f>
        <v/>
      </c>
      <c r="F1252" s="0" t="n">
        <f aca="false">IF(OR($E1252="",$E1252=0),0,1)</f>
        <v>0</v>
      </c>
      <c r="G1252" s="0" t="n">
        <f aca="false">IF($F1252=0,0,INDEX(Aux_HH!$D$4:$D$18,MATCH($B1252&amp;"|"&amp;$E1252,Aux_HH!$A$4:$A$18,0)))</f>
        <v>0</v>
      </c>
      <c r="H1252" s="0" t="n">
        <f aca="false">IF($F1252=0,0,INDEX(Aux_HH!$E$4:$E$18,MATCH($B1252&amp;"|"&amp;$E1252,Aux_HH!$A$4:$A$18,0)))</f>
        <v>0</v>
      </c>
      <c r="I1252" s="0" t="n">
        <f aca="false">IF($F1252=0,0,INDEX(Aux_HH!$F$4:$F$18,MATCH($B1252&amp;"|"&amp;$E1252,Aux_HH!$A$4:$A$18,0)))</f>
        <v>0</v>
      </c>
      <c r="J1252" s="0" t="n">
        <f aca="false">IF($F1252=0,0,INDEX(Aux_HH!$G$4:$G$18,MATCH($B1252&amp;"|"&amp;$E1252,Aux_HH!$A$4:$A$18,0)))</f>
        <v>0</v>
      </c>
      <c r="K1252" s="0" t="n">
        <f aca="false">IF($F1252=0,0,INDEX(Aux_HH!$H$4:$H$18,MATCH($B1252&amp;"|"&amp;$E1252,Aux_HH!$A$4:$A$18,0)))</f>
        <v>0</v>
      </c>
      <c r="L1252" s="0" t="n">
        <f aca="false">IF($F1252=0,0,INDEX(Aux_HH!$I$4:$I$18,MATCH($B1252&amp;"|"&amp;$E1252,Aux_HH!$A$4:$A$18,0)))</f>
        <v>0</v>
      </c>
    </row>
    <row r="1253" customFormat="false" ht="15" hidden="false" customHeight="false" outlineLevel="0" collapsed="false">
      <c r="A1253" s="0" t="str">
        <f aca="false">IF(Frota!$A29="","",Frota!$A29)</f>
        <v/>
      </c>
      <c r="B1253" s="0" t="str">
        <f aca="false">IF(Frota!$A29="","",Frota!$B29)</f>
        <v/>
      </c>
      <c r="C1253" s="0" t="n">
        <v>2</v>
      </c>
      <c r="D1253" s="0" t="n">
        <f aca="false">INDEX(Semanas!$E$3:$E$54,2)</f>
        <v>4</v>
      </c>
      <c r="E1253" s="0" t="str">
        <f aca="false">IF(Frota!$A29="","",Cronograma!C29)</f>
        <v/>
      </c>
      <c r="F1253" s="0" t="n">
        <f aca="false">IF(OR($E1253="",$E1253=0),0,1)</f>
        <v>0</v>
      </c>
      <c r="G1253" s="0" t="n">
        <f aca="false">IF($F1253=0,0,INDEX(Aux_HH!$D$4:$D$18,MATCH($B1253&amp;"|"&amp;$E1253,Aux_HH!$A$4:$A$18,0)))</f>
        <v>0</v>
      </c>
      <c r="H1253" s="0" t="n">
        <f aca="false">IF($F1253=0,0,INDEX(Aux_HH!$E$4:$E$18,MATCH($B1253&amp;"|"&amp;$E1253,Aux_HH!$A$4:$A$18,0)))</f>
        <v>0</v>
      </c>
      <c r="I1253" s="0" t="n">
        <f aca="false">IF($F1253=0,0,INDEX(Aux_HH!$F$4:$F$18,MATCH($B1253&amp;"|"&amp;$E1253,Aux_HH!$A$4:$A$18,0)))</f>
        <v>0</v>
      </c>
      <c r="J1253" s="0" t="n">
        <f aca="false">IF($F1253=0,0,INDEX(Aux_HH!$G$4:$G$18,MATCH($B1253&amp;"|"&amp;$E1253,Aux_HH!$A$4:$A$18,0)))</f>
        <v>0</v>
      </c>
      <c r="K1253" s="0" t="n">
        <f aca="false">IF($F1253=0,0,INDEX(Aux_HH!$H$4:$H$18,MATCH($B1253&amp;"|"&amp;$E1253,Aux_HH!$A$4:$A$18,0)))</f>
        <v>0</v>
      </c>
      <c r="L1253" s="0" t="n">
        <f aca="false">IF($F1253=0,0,INDEX(Aux_HH!$I$4:$I$18,MATCH($B1253&amp;"|"&amp;$E1253,Aux_HH!$A$4:$A$18,0)))</f>
        <v>0</v>
      </c>
    </row>
    <row r="1254" customFormat="false" ht="15" hidden="false" customHeight="false" outlineLevel="0" collapsed="false">
      <c r="A1254" s="0" t="str">
        <f aca="false">IF(Frota!$A29="","",Frota!$A29)</f>
        <v/>
      </c>
      <c r="B1254" s="0" t="str">
        <f aca="false">IF(Frota!$A29="","",Frota!$B29)</f>
        <v/>
      </c>
      <c r="C1254" s="0" t="n">
        <v>3</v>
      </c>
      <c r="D1254" s="0" t="n">
        <f aca="false">INDEX(Semanas!$E$3:$E$54,3)</f>
        <v>4</v>
      </c>
      <c r="E1254" s="0" t="str">
        <f aca="false">IF(Frota!$A29="","",Cronograma!D29)</f>
        <v/>
      </c>
      <c r="F1254" s="0" t="n">
        <f aca="false">IF(OR($E1254="",$E1254=0),0,1)</f>
        <v>0</v>
      </c>
      <c r="G1254" s="0" t="n">
        <f aca="false">IF($F1254=0,0,INDEX(Aux_HH!$D$4:$D$18,MATCH($B1254&amp;"|"&amp;$E1254,Aux_HH!$A$4:$A$18,0)))</f>
        <v>0</v>
      </c>
      <c r="H1254" s="0" t="n">
        <f aca="false">IF($F1254=0,0,INDEX(Aux_HH!$E$4:$E$18,MATCH($B1254&amp;"|"&amp;$E1254,Aux_HH!$A$4:$A$18,0)))</f>
        <v>0</v>
      </c>
      <c r="I1254" s="0" t="n">
        <f aca="false">IF($F1254=0,0,INDEX(Aux_HH!$F$4:$F$18,MATCH($B1254&amp;"|"&amp;$E1254,Aux_HH!$A$4:$A$18,0)))</f>
        <v>0</v>
      </c>
      <c r="J1254" s="0" t="n">
        <f aca="false">IF($F1254=0,0,INDEX(Aux_HH!$G$4:$G$18,MATCH($B1254&amp;"|"&amp;$E1254,Aux_HH!$A$4:$A$18,0)))</f>
        <v>0</v>
      </c>
      <c r="K1254" s="0" t="n">
        <f aca="false">IF($F1254=0,0,INDEX(Aux_HH!$H$4:$H$18,MATCH($B1254&amp;"|"&amp;$E1254,Aux_HH!$A$4:$A$18,0)))</f>
        <v>0</v>
      </c>
      <c r="L1254" s="0" t="n">
        <f aca="false">IF($F1254=0,0,INDEX(Aux_HH!$I$4:$I$18,MATCH($B1254&amp;"|"&amp;$E1254,Aux_HH!$A$4:$A$18,0)))</f>
        <v>0</v>
      </c>
    </row>
    <row r="1255" customFormat="false" ht="15" hidden="false" customHeight="false" outlineLevel="0" collapsed="false">
      <c r="A1255" s="0" t="str">
        <f aca="false">IF(Frota!$A29="","",Frota!$A29)</f>
        <v/>
      </c>
      <c r="B1255" s="0" t="str">
        <f aca="false">IF(Frota!$A29="","",Frota!$B29)</f>
        <v/>
      </c>
      <c r="C1255" s="0" t="n">
        <v>4</v>
      </c>
      <c r="D1255" s="0" t="n">
        <f aca="false">INDEX(Semanas!$E$3:$E$54,4)</f>
        <v>4</v>
      </c>
      <c r="E1255" s="0" t="str">
        <f aca="false">IF(Frota!$A29="","",Cronograma!E29)</f>
        <v/>
      </c>
      <c r="F1255" s="0" t="n">
        <f aca="false">IF(OR($E1255="",$E1255=0),0,1)</f>
        <v>0</v>
      </c>
      <c r="G1255" s="0" t="n">
        <f aca="false">IF($F1255=0,0,INDEX(Aux_HH!$D$4:$D$18,MATCH($B1255&amp;"|"&amp;$E1255,Aux_HH!$A$4:$A$18,0)))</f>
        <v>0</v>
      </c>
      <c r="H1255" s="0" t="n">
        <f aca="false">IF($F1255=0,0,INDEX(Aux_HH!$E$4:$E$18,MATCH($B1255&amp;"|"&amp;$E1255,Aux_HH!$A$4:$A$18,0)))</f>
        <v>0</v>
      </c>
      <c r="I1255" s="0" t="n">
        <f aca="false">IF($F1255=0,0,INDEX(Aux_HH!$F$4:$F$18,MATCH($B1255&amp;"|"&amp;$E1255,Aux_HH!$A$4:$A$18,0)))</f>
        <v>0</v>
      </c>
      <c r="J1255" s="0" t="n">
        <f aca="false">IF($F1255=0,0,INDEX(Aux_HH!$G$4:$G$18,MATCH($B1255&amp;"|"&amp;$E1255,Aux_HH!$A$4:$A$18,0)))</f>
        <v>0</v>
      </c>
      <c r="K1255" s="0" t="n">
        <f aca="false">IF($F1255=0,0,INDEX(Aux_HH!$H$4:$H$18,MATCH($B1255&amp;"|"&amp;$E1255,Aux_HH!$A$4:$A$18,0)))</f>
        <v>0</v>
      </c>
      <c r="L1255" s="0" t="n">
        <f aca="false">IF($F1255=0,0,INDEX(Aux_HH!$I$4:$I$18,MATCH($B1255&amp;"|"&amp;$E1255,Aux_HH!$A$4:$A$18,0)))</f>
        <v>0</v>
      </c>
    </row>
    <row r="1256" customFormat="false" ht="15" hidden="false" customHeight="false" outlineLevel="0" collapsed="false">
      <c r="A1256" s="0" t="str">
        <f aca="false">IF(Frota!$A29="","",Frota!$A29)</f>
        <v/>
      </c>
      <c r="B1256" s="0" t="str">
        <f aca="false">IF(Frota!$A29="","",Frota!$B29)</f>
        <v/>
      </c>
      <c r="C1256" s="0" t="n">
        <v>5</v>
      </c>
      <c r="D1256" s="0" t="n">
        <f aca="false">INDEX(Semanas!$E$3:$E$54,5)</f>
        <v>4</v>
      </c>
      <c r="E1256" s="0" t="str">
        <f aca="false">IF(Frota!$A29="","",Cronograma!F29)</f>
        <v/>
      </c>
      <c r="F1256" s="0" t="n">
        <f aca="false">IF(OR($E1256="",$E1256=0),0,1)</f>
        <v>0</v>
      </c>
      <c r="G1256" s="0" t="n">
        <f aca="false">IF($F1256=0,0,INDEX(Aux_HH!$D$4:$D$18,MATCH($B1256&amp;"|"&amp;$E1256,Aux_HH!$A$4:$A$18,0)))</f>
        <v>0</v>
      </c>
      <c r="H1256" s="0" t="n">
        <f aca="false">IF($F1256=0,0,INDEX(Aux_HH!$E$4:$E$18,MATCH($B1256&amp;"|"&amp;$E1256,Aux_HH!$A$4:$A$18,0)))</f>
        <v>0</v>
      </c>
      <c r="I1256" s="0" t="n">
        <f aca="false">IF($F1256=0,0,INDEX(Aux_HH!$F$4:$F$18,MATCH($B1256&amp;"|"&amp;$E1256,Aux_HH!$A$4:$A$18,0)))</f>
        <v>0</v>
      </c>
      <c r="J1256" s="0" t="n">
        <f aca="false">IF($F1256=0,0,INDEX(Aux_HH!$G$4:$G$18,MATCH($B1256&amp;"|"&amp;$E1256,Aux_HH!$A$4:$A$18,0)))</f>
        <v>0</v>
      </c>
      <c r="K1256" s="0" t="n">
        <f aca="false">IF($F1256=0,0,INDEX(Aux_HH!$H$4:$H$18,MATCH($B1256&amp;"|"&amp;$E1256,Aux_HH!$A$4:$A$18,0)))</f>
        <v>0</v>
      </c>
      <c r="L1256" s="0" t="n">
        <f aca="false">IF($F1256=0,0,INDEX(Aux_HH!$I$4:$I$18,MATCH($B1256&amp;"|"&amp;$E1256,Aux_HH!$A$4:$A$18,0)))</f>
        <v>0</v>
      </c>
    </row>
    <row r="1257" customFormat="false" ht="15" hidden="false" customHeight="false" outlineLevel="0" collapsed="false">
      <c r="A1257" s="0" t="str">
        <f aca="false">IF(Frota!$A29="","",Frota!$A29)</f>
        <v/>
      </c>
      <c r="B1257" s="0" t="str">
        <f aca="false">IF(Frota!$A29="","",Frota!$B29)</f>
        <v/>
      </c>
      <c r="C1257" s="0" t="n">
        <v>6</v>
      </c>
      <c r="D1257" s="0" t="n">
        <f aca="false">INDEX(Semanas!$E$3:$E$54,6)</f>
        <v>5</v>
      </c>
      <c r="E1257" s="0" t="str">
        <f aca="false">IF(Frota!$A29="","",Cronograma!G29)</f>
        <v/>
      </c>
      <c r="F1257" s="0" t="n">
        <f aca="false">IF(OR($E1257="",$E1257=0),0,1)</f>
        <v>0</v>
      </c>
      <c r="G1257" s="0" t="n">
        <f aca="false">IF($F1257=0,0,INDEX(Aux_HH!$D$4:$D$18,MATCH($B1257&amp;"|"&amp;$E1257,Aux_HH!$A$4:$A$18,0)))</f>
        <v>0</v>
      </c>
      <c r="H1257" s="0" t="n">
        <f aca="false">IF($F1257=0,0,INDEX(Aux_HH!$E$4:$E$18,MATCH($B1257&amp;"|"&amp;$E1257,Aux_HH!$A$4:$A$18,0)))</f>
        <v>0</v>
      </c>
      <c r="I1257" s="0" t="n">
        <f aca="false">IF($F1257=0,0,INDEX(Aux_HH!$F$4:$F$18,MATCH($B1257&amp;"|"&amp;$E1257,Aux_HH!$A$4:$A$18,0)))</f>
        <v>0</v>
      </c>
      <c r="J1257" s="0" t="n">
        <f aca="false">IF($F1257=0,0,INDEX(Aux_HH!$G$4:$G$18,MATCH($B1257&amp;"|"&amp;$E1257,Aux_HH!$A$4:$A$18,0)))</f>
        <v>0</v>
      </c>
      <c r="K1257" s="0" t="n">
        <f aca="false">IF($F1257=0,0,INDEX(Aux_HH!$H$4:$H$18,MATCH($B1257&amp;"|"&amp;$E1257,Aux_HH!$A$4:$A$18,0)))</f>
        <v>0</v>
      </c>
      <c r="L1257" s="0" t="n">
        <f aca="false">IF($F1257=0,0,INDEX(Aux_HH!$I$4:$I$18,MATCH($B1257&amp;"|"&amp;$E1257,Aux_HH!$A$4:$A$18,0)))</f>
        <v>0</v>
      </c>
    </row>
    <row r="1258" customFormat="false" ht="15" hidden="false" customHeight="false" outlineLevel="0" collapsed="false">
      <c r="A1258" s="0" t="str">
        <f aca="false">IF(Frota!$A29="","",Frota!$A29)</f>
        <v/>
      </c>
      <c r="B1258" s="0" t="str">
        <f aca="false">IF(Frota!$A29="","",Frota!$B29)</f>
        <v/>
      </c>
      <c r="C1258" s="0" t="n">
        <v>7</v>
      </c>
      <c r="D1258" s="0" t="n">
        <f aca="false">INDEX(Semanas!$E$3:$E$54,7)</f>
        <v>5</v>
      </c>
      <c r="E1258" s="0" t="str">
        <f aca="false">IF(Frota!$A29="","",Cronograma!H29)</f>
        <v/>
      </c>
      <c r="F1258" s="0" t="n">
        <f aca="false">IF(OR($E1258="",$E1258=0),0,1)</f>
        <v>0</v>
      </c>
      <c r="G1258" s="0" t="n">
        <f aca="false">IF($F1258=0,0,INDEX(Aux_HH!$D$4:$D$18,MATCH($B1258&amp;"|"&amp;$E1258,Aux_HH!$A$4:$A$18,0)))</f>
        <v>0</v>
      </c>
      <c r="H1258" s="0" t="n">
        <f aca="false">IF($F1258=0,0,INDEX(Aux_HH!$E$4:$E$18,MATCH($B1258&amp;"|"&amp;$E1258,Aux_HH!$A$4:$A$18,0)))</f>
        <v>0</v>
      </c>
      <c r="I1258" s="0" t="n">
        <f aca="false">IF($F1258=0,0,INDEX(Aux_HH!$F$4:$F$18,MATCH($B1258&amp;"|"&amp;$E1258,Aux_HH!$A$4:$A$18,0)))</f>
        <v>0</v>
      </c>
      <c r="J1258" s="0" t="n">
        <f aca="false">IF($F1258=0,0,INDEX(Aux_HH!$G$4:$G$18,MATCH($B1258&amp;"|"&amp;$E1258,Aux_HH!$A$4:$A$18,0)))</f>
        <v>0</v>
      </c>
      <c r="K1258" s="0" t="n">
        <f aca="false">IF($F1258=0,0,INDEX(Aux_HH!$H$4:$H$18,MATCH($B1258&amp;"|"&amp;$E1258,Aux_HH!$A$4:$A$18,0)))</f>
        <v>0</v>
      </c>
      <c r="L1258" s="0" t="n">
        <f aca="false">IF($F1258=0,0,INDEX(Aux_HH!$I$4:$I$18,MATCH($B1258&amp;"|"&amp;$E1258,Aux_HH!$A$4:$A$18,0)))</f>
        <v>0</v>
      </c>
    </row>
    <row r="1259" customFormat="false" ht="15" hidden="false" customHeight="false" outlineLevel="0" collapsed="false">
      <c r="A1259" s="0" t="str">
        <f aca="false">IF(Frota!$A29="","",Frota!$A29)</f>
        <v/>
      </c>
      <c r="B1259" s="0" t="str">
        <f aca="false">IF(Frota!$A29="","",Frota!$B29)</f>
        <v/>
      </c>
      <c r="C1259" s="0" t="n">
        <v>8</v>
      </c>
      <c r="D1259" s="0" t="n">
        <f aca="false">INDEX(Semanas!$E$3:$E$54,8)</f>
        <v>5</v>
      </c>
      <c r="E1259" s="0" t="str">
        <f aca="false">IF(Frota!$A29="","",Cronograma!I29)</f>
        <v/>
      </c>
      <c r="F1259" s="0" t="n">
        <f aca="false">IF(OR($E1259="",$E1259=0),0,1)</f>
        <v>0</v>
      </c>
      <c r="G1259" s="0" t="n">
        <f aca="false">IF($F1259=0,0,INDEX(Aux_HH!$D$4:$D$18,MATCH($B1259&amp;"|"&amp;$E1259,Aux_HH!$A$4:$A$18,0)))</f>
        <v>0</v>
      </c>
      <c r="H1259" s="0" t="n">
        <f aca="false">IF($F1259=0,0,INDEX(Aux_HH!$E$4:$E$18,MATCH($B1259&amp;"|"&amp;$E1259,Aux_HH!$A$4:$A$18,0)))</f>
        <v>0</v>
      </c>
      <c r="I1259" s="0" t="n">
        <f aca="false">IF($F1259=0,0,INDEX(Aux_HH!$F$4:$F$18,MATCH($B1259&amp;"|"&amp;$E1259,Aux_HH!$A$4:$A$18,0)))</f>
        <v>0</v>
      </c>
      <c r="J1259" s="0" t="n">
        <f aca="false">IF($F1259=0,0,INDEX(Aux_HH!$G$4:$G$18,MATCH($B1259&amp;"|"&amp;$E1259,Aux_HH!$A$4:$A$18,0)))</f>
        <v>0</v>
      </c>
      <c r="K1259" s="0" t="n">
        <f aca="false">IF($F1259=0,0,INDEX(Aux_HH!$H$4:$H$18,MATCH($B1259&amp;"|"&amp;$E1259,Aux_HH!$A$4:$A$18,0)))</f>
        <v>0</v>
      </c>
      <c r="L1259" s="0" t="n">
        <f aca="false">IF($F1259=0,0,INDEX(Aux_HH!$I$4:$I$18,MATCH($B1259&amp;"|"&amp;$E1259,Aux_HH!$A$4:$A$18,0)))</f>
        <v>0</v>
      </c>
    </row>
    <row r="1260" customFormat="false" ht="15" hidden="false" customHeight="false" outlineLevel="0" collapsed="false">
      <c r="A1260" s="0" t="str">
        <f aca="false">IF(Frota!$A29="","",Frota!$A29)</f>
        <v/>
      </c>
      <c r="B1260" s="0" t="str">
        <f aca="false">IF(Frota!$A29="","",Frota!$B29)</f>
        <v/>
      </c>
      <c r="C1260" s="0" t="n">
        <v>9</v>
      </c>
      <c r="D1260" s="0" t="n">
        <f aca="false">INDEX(Semanas!$E$3:$E$54,9)</f>
        <v>5</v>
      </c>
      <c r="E1260" s="0" t="str">
        <f aca="false">IF(Frota!$A29="","",Cronograma!J29)</f>
        <v/>
      </c>
      <c r="F1260" s="0" t="n">
        <f aca="false">IF(OR($E1260="",$E1260=0),0,1)</f>
        <v>0</v>
      </c>
      <c r="G1260" s="0" t="n">
        <f aca="false">IF($F1260=0,0,INDEX(Aux_HH!$D$4:$D$18,MATCH($B1260&amp;"|"&amp;$E1260,Aux_HH!$A$4:$A$18,0)))</f>
        <v>0</v>
      </c>
      <c r="H1260" s="0" t="n">
        <f aca="false">IF($F1260=0,0,INDEX(Aux_HH!$E$4:$E$18,MATCH($B1260&amp;"|"&amp;$E1260,Aux_HH!$A$4:$A$18,0)))</f>
        <v>0</v>
      </c>
      <c r="I1260" s="0" t="n">
        <f aca="false">IF($F1260=0,0,INDEX(Aux_HH!$F$4:$F$18,MATCH($B1260&amp;"|"&amp;$E1260,Aux_HH!$A$4:$A$18,0)))</f>
        <v>0</v>
      </c>
      <c r="J1260" s="0" t="n">
        <f aca="false">IF($F1260=0,0,INDEX(Aux_HH!$G$4:$G$18,MATCH($B1260&amp;"|"&amp;$E1260,Aux_HH!$A$4:$A$18,0)))</f>
        <v>0</v>
      </c>
      <c r="K1260" s="0" t="n">
        <f aca="false">IF($F1260=0,0,INDEX(Aux_HH!$H$4:$H$18,MATCH($B1260&amp;"|"&amp;$E1260,Aux_HH!$A$4:$A$18,0)))</f>
        <v>0</v>
      </c>
      <c r="L1260" s="0" t="n">
        <f aca="false">IF($F1260=0,0,INDEX(Aux_HH!$I$4:$I$18,MATCH($B1260&amp;"|"&amp;$E1260,Aux_HH!$A$4:$A$18,0)))</f>
        <v>0</v>
      </c>
    </row>
    <row r="1261" customFormat="false" ht="15" hidden="false" customHeight="false" outlineLevel="0" collapsed="false">
      <c r="A1261" s="0" t="str">
        <f aca="false">IF(Frota!$A29="","",Frota!$A29)</f>
        <v/>
      </c>
      <c r="B1261" s="0" t="str">
        <f aca="false">IF(Frota!$A29="","",Frota!$B29)</f>
        <v/>
      </c>
      <c r="C1261" s="0" t="n">
        <v>10</v>
      </c>
      <c r="D1261" s="0" t="n">
        <f aca="false">INDEX(Semanas!$E$3:$E$54,10)</f>
        <v>6</v>
      </c>
      <c r="E1261" s="0" t="str">
        <f aca="false">IF(Frota!$A29="","",Cronograma!K29)</f>
        <v/>
      </c>
      <c r="F1261" s="0" t="n">
        <f aca="false">IF(OR($E1261="",$E1261=0),0,1)</f>
        <v>0</v>
      </c>
      <c r="G1261" s="0" t="n">
        <f aca="false">IF($F1261=0,0,INDEX(Aux_HH!$D$4:$D$18,MATCH($B1261&amp;"|"&amp;$E1261,Aux_HH!$A$4:$A$18,0)))</f>
        <v>0</v>
      </c>
      <c r="H1261" s="0" t="n">
        <f aca="false">IF($F1261=0,0,INDEX(Aux_HH!$E$4:$E$18,MATCH($B1261&amp;"|"&amp;$E1261,Aux_HH!$A$4:$A$18,0)))</f>
        <v>0</v>
      </c>
      <c r="I1261" s="0" t="n">
        <f aca="false">IF($F1261=0,0,INDEX(Aux_HH!$F$4:$F$18,MATCH($B1261&amp;"|"&amp;$E1261,Aux_HH!$A$4:$A$18,0)))</f>
        <v>0</v>
      </c>
      <c r="J1261" s="0" t="n">
        <f aca="false">IF($F1261=0,0,INDEX(Aux_HH!$G$4:$G$18,MATCH($B1261&amp;"|"&amp;$E1261,Aux_HH!$A$4:$A$18,0)))</f>
        <v>0</v>
      </c>
      <c r="K1261" s="0" t="n">
        <f aca="false">IF($F1261=0,0,INDEX(Aux_HH!$H$4:$H$18,MATCH($B1261&amp;"|"&amp;$E1261,Aux_HH!$A$4:$A$18,0)))</f>
        <v>0</v>
      </c>
      <c r="L1261" s="0" t="n">
        <f aca="false">IF($F1261=0,0,INDEX(Aux_HH!$I$4:$I$18,MATCH($B1261&amp;"|"&amp;$E1261,Aux_HH!$A$4:$A$18,0)))</f>
        <v>0</v>
      </c>
    </row>
    <row r="1262" customFormat="false" ht="15" hidden="false" customHeight="false" outlineLevel="0" collapsed="false">
      <c r="A1262" s="0" t="str">
        <f aca="false">IF(Frota!$A29="","",Frota!$A29)</f>
        <v/>
      </c>
      <c r="B1262" s="0" t="str">
        <f aca="false">IF(Frota!$A29="","",Frota!$B29)</f>
        <v/>
      </c>
      <c r="C1262" s="0" t="n">
        <v>11</v>
      </c>
      <c r="D1262" s="0" t="n">
        <f aca="false">INDEX(Semanas!$E$3:$E$54,11)</f>
        <v>6</v>
      </c>
      <c r="E1262" s="0" t="str">
        <f aca="false">IF(Frota!$A29="","",Cronograma!L29)</f>
        <v/>
      </c>
      <c r="F1262" s="0" t="n">
        <f aca="false">IF(OR($E1262="",$E1262=0),0,1)</f>
        <v>0</v>
      </c>
      <c r="G1262" s="0" t="n">
        <f aca="false">IF($F1262=0,0,INDEX(Aux_HH!$D$4:$D$18,MATCH($B1262&amp;"|"&amp;$E1262,Aux_HH!$A$4:$A$18,0)))</f>
        <v>0</v>
      </c>
      <c r="H1262" s="0" t="n">
        <f aca="false">IF($F1262=0,0,INDEX(Aux_HH!$E$4:$E$18,MATCH($B1262&amp;"|"&amp;$E1262,Aux_HH!$A$4:$A$18,0)))</f>
        <v>0</v>
      </c>
      <c r="I1262" s="0" t="n">
        <f aca="false">IF($F1262=0,0,INDEX(Aux_HH!$F$4:$F$18,MATCH($B1262&amp;"|"&amp;$E1262,Aux_HH!$A$4:$A$18,0)))</f>
        <v>0</v>
      </c>
      <c r="J1262" s="0" t="n">
        <f aca="false">IF($F1262=0,0,INDEX(Aux_HH!$G$4:$G$18,MATCH($B1262&amp;"|"&amp;$E1262,Aux_HH!$A$4:$A$18,0)))</f>
        <v>0</v>
      </c>
      <c r="K1262" s="0" t="n">
        <f aca="false">IF($F1262=0,0,INDEX(Aux_HH!$H$4:$H$18,MATCH($B1262&amp;"|"&amp;$E1262,Aux_HH!$A$4:$A$18,0)))</f>
        <v>0</v>
      </c>
      <c r="L1262" s="0" t="n">
        <f aca="false">IF($F1262=0,0,INDEX(Aux_HH!$I$4:$I$18,MATCH($B1262&amp;"|"&amp;$E1262,Aux_HH!$A$4:$A$18,0)))</f>
        <v>0</v>
      </c>
    </row>
    <row r="1263" customFormat="false" ht="15" hidden="false" customHeight="false" outlineLevel="0" collapsed="false">
      <c r="A1263" s="0" t="str">
        <f aca="false">IF(Frota!$A29="","",Frota!$A29)</f>
        <v/>
      </c>
      <c r="B1263" s="0" t="str">
        <f aca="false">IF(Frota!$A29="","",Frota!$B29)</f>
        <v/>
      </c>
      <c r="C1263" s="0" t="n">
        <v>12</v>
      </c>
      <c r="D1263" s="0" t="n">
        <f aca="false">INDEX(Semanas!$E$3:$E$54,12)</f>
        <v>6</v>
      </c>
      <c r="E1263" s="0" t="str">
        <f aca="false">IF(Frota!$A29="","",Cronograma!M29)</f>
        <v/>
      </c>
      <c r="F1263" s="0" t="n">
        <f aca="false">IF(OR($E1263="",$E1263=0),0,1)</f>
        <v>0</v>
      </c>
      <c r="G1263" s="0" t="n">
        <f aca="false">IF($F1263=0,0,INDEX(Aux_HH!$D$4:$D$18,MATCH($B1263&amp;"|"&amp;$E1263,Aux_HH!$A$4:$A$18,0)))</f>
        <v>0</v>
      </c>
      <c r="H1263" s="0" t="n">
        <f aca="false">IF($F1263=0,0,INDEX(Aux_HH!$E$4:$E$18,MATCH($B1263&amp;"|"&amp;$E1263,Aux_HH!$A$4:$A$18,0)))</f>
        <v>0</v>
      </c>
      <c r="I1263" s="0" t="n">
        <f aca="false">IF($F1263=0,0,INDEX(Aux_HH!$F$4:$F$18,MATCH($B1263&amp;"|"&amp;$E1263,Aux_HH!$A$4:$A$18,0)))</f>
        <v>0</v>
      </c>
      <c r="J1263" s="0" t="n">
        <f aca="false">IF($F1263=0,0,INDEX(Aux_HH!$G$4:$G$18,MATCH($B1263&amp;"|"&amp;$E1263,Aux_HH!$A$4:$A$18,0)))</f>
        <v>0</v>
      </c>
      <c r="K1263" s="0" t="n">
        <f aca="false">IF($F1263=0,0,INDEX(Aux_HH!$H$4:$H$18,MATCH($B1263&amp;"|"&amp;$E1263,Aux_HH!$A$4:$A$18,0)))</f>
        <v>0</v>
      </c>
      <c r="L1263" s="0" t="n">
        <f aca="false">IF($F1263=0,0,INDEX(Aux_HH!$I$4:$I$18,MATCH($B1263&amp;"|"&amp;$E1263,Aux_HH!$A$4:$A$18,0)))</f>
        <v>0</v>
      </c>
    </row>
    <row r="1264" customFormat="false" ht="15" hidden="false" customHeight="false" outlineLevel="0" collapsed="false">
      <c r="A1264" s="0" t="str">
        <f aca="false">IF(Frota!$A29="","",Frota!$A29)</f>
        <v/>
      </c>
      <c r="B1264" s="0" t="str">
        <f aca="false">IF(Frota!$A29="","",Frota!$B29)</f>
        <v/>
      </c>
      <c r="C1264" s="0" t="n">
        <v>13</v>
      </c>
      <c r="D1264" s="0" t="n">
        <f aca="false">INDEX(Semanas!$E$3:$E$54,13)</f>
        <v>6</v>
      </c>
      <c r="E1264" s="0" t="str">
        <f aca="false">IF(Frota!$A29="","",Cronograma!N29)</f>
        <v/>
      </c>
      <c r="F1264" s="0" t="n">
        <f aca="false">IF(OR($E1264="",$E1264=0),0,1)</f>
        <v>0</v>
      </c>
      <c r="G1264" s="0" t="n">
        <f aca="false">IF($F1264=0,0,INDEX(Aux_HH!$D$4:$D$18,MATCH($B1264&amp;"|"&amp;$E1264,Aux_HH!$A$4:$A$18,0)))</f>
        <v>0</v>
      </c>
      <c r="H1264" s="0" t="n">
        <f aca="false">IF($F1264=0,0,INDEX(Aux_HH!$E$4:$E$18,MATCH($B1264&amp;"|"&amp;$E1264,Aux_HH!$A$4:$A$18,0)))</f>
        <v>0</v>
      </c>
      <c r="I1264" s="0" t="n">
        <f aca="false">IF($F1264=0,0,INDEX(Aux_HH!$F$4:$F$18,MATCH($B1264&amp;"|"&amp;$E1264,Aux_HH!$A$4:$A$18,0)))</f>
        <v>0</v>
      </c>
      <c r="J1264" s="0" t="n">
        <f aca="false">IF($F1264=0,0,INDEX(Aux_HH!$G$4:$G$18,MATCH($B1264&amp;"|"&amp;$E1264,Aux_HH!$A$4:$A$18,0)))</f>
        <v>0</v>
      </c>
      <c r="K1264" s="0" t="n">
        <f aca="false">IF($F1264=0,0,INDEX(Aux_HH!$H$4:$H$18,MATCH($B1264&amp;"|"&amp;$E1264,Aux_HH!$A$4:$A$18,0)))</f>
        <v>0</v>
      </c>
      <c r="L1264" s="0" t="n">
        <f aca="false">IF($F1264=0,0,INDEX(Aux_HH!$I$4:$I$18,MATCH($B1264&amp;"|"&amp;$E1264,Aux_HH!$A$4:$A$18,0)))</f>
        <v>0</v>
      </c>
    </row>
    <row r="1265" customFormat="false" ht="15" hidden="false" customHeight="false" outlineLevel="0" collapsed="false">
      <c r="A1265" s="0" t="str">
        <f aca="false">IF(Frota!$A29="","",Frota!$A29)</f>
        <v/>
      </c>
      <c r="B1265" s="0" t="str">
        <f aca="false">IF(Frota!$A29="","",Frota!$B29)</f>
        <v/>
      </c>
      <c r="C1265" s="0" t="n">
        <v>14</v>
      </c>
      <c r="D1265" s="0" t="n">
        <f aca="false">INDEX(Semanas!$E$3:$E$54,14)</f>
        <v>7</v>
      </c>
      <c r="E1265" s="0" t="str">
        <f aca="false">IF(Frota!$A29="","",Cronograma!O29)</f>
        <v/>
      </c>
      <c r="F1265" s="0" t="n">
        <f aca="false">IF(OR($E1265="",$E1265=0),0,1)</f>
        <v>0</v>
      </c>
      <c r="G1265" s="0" t="n">
        <f aca="false">IF($F1265=0,0,INDEX(Aux_HH!$D$4:$D$18,MATCH($B1265&amp;"|"&amp;$E1265,Aux_HH!$A$4:$A$18,0)))</f>
        <v>0</v>
      </c>
      <c r="H1265" s="0" t="n">
        <f aca="false">IF($F1265=0,0,INDEX(Aux_HH!$E$4:$E$18,MATCH($B1265&amp;"|"&amp;$E1265,Aux_HH!$A$4:$A$18,0)))</f>
        <v>0</v>
      </c>
      <c r="I1265" s="0" t="n">
        <f aca="false">IF($F1265=0,0,INDEX(Aux_HH!$F$4:$F$18,MATCH($B1265&amp;"|"&amp;$E1265,Aux_HH!$A$4:$A$18,0)))</f>
        <v>0</v>
      </c>
      <c r="J1265" s="0" t="n">
        <f aca="false">IF($F1265=0,0,INDEX(Aux_HH!$G$4:$G$18,MATCH($B1265&amp;"|"&amp;$E1265,Aux_HH!$A$4:$A$18,0)))</f>
        <v>0</v>
      </c>
      <c r="K1265" s="0" t="n">
        <f aca="false">IF($F1265=0,0,INDEX(Aux_HH!$H$4:$H$18,MATCH($B1265&amp;"|"&amp;$E1265,Aux_HH!$A$4:$A$18,0)))</f>
        <v>0</v>
      </c>
      <c r="L1265" s="0" t="n">
        <f aca="false">IF($F1265=0,0,INDEX(Aux_HH!$I$4:$I$18,MATCH($B1265&amp;"|"&amp;$E1265,Aux_HH!$A$4:$A$18,0)))</f>
        <v>0</v>
      </c>
    </row>
    <row r="1266" customFormat="false" ht="15" hidden="false" customHeight="false" outlineLevel="0" collapsed="false">
      <c r="A1266" s="0" t="str">
        <f aca="false">IF(Frota!$A29="","",Frota!$A29)</f>
        <v/>
      </c>
      <c r="B1266" s="0" t="str">
        <f aca="false">IF(Frota!$A29="","",Frota!$B29)</f>
        <v/>
      </c>
      <c r="C1266" s="0" t="n">
        <v>15</v>
      </c>
      <c r="D1266" s="0" t="n">
        <f aca="false">INDEX(Semanas!$E$3:$E$54,15)</f>
        <v>7</v>
      </c>
      <c r="E1266" s="0" t="str">
        <f aca="false">IF(Frota!$A29="","",Cronograma!P29)</f>
        <v/>
      </c>
      <c r="F1266" s="0" t="n">
        <f aca="false">IF(OR($E1266="",$E1266=0),0,1)</f>
        <v>0</v>
      </c>
      <c r="G1266" s="0" t="n">
        <f aca="false">IF($F1266=0,0,INDEX(Aux_HH!$D$4:$D$18,MATCH($B1266&amp;"|"&amp;$E1266,Aux_HH!$A$4:$A$18,0)))</f>
        <v>0</v>
      </c>
      <c r="H1266" s="0" t="n">
        <f aca="false">IF($F1266=0,0,INDEX(Aux_HH!$E$4:$E$18,MATCH($B1266&amp;"|"&amp;$E1266,Aux_HH!$A$4:$A$18,0)))</f>
        <v>0</v>
      </c>
      <c r="I1266" s="0" t="n">
        <f aca="false">IF($F1266=0,0,INDEX(Aux_HH!$F$4:$F$18,MATCH($B1266&amp;"|"&amp;$E1266,Aux_HH!$A$4:$A$18,0)))</f>
        <v>0</v>
      </c>
      <c r="J1266" s="0" t="n">
        <f aca="false">IF($F1266=0,0,INDEX(Aux_HH!$G$4:$G$18,MATCH($B1266&amp;"|"&amp;$E1266,Aux_HH!$A$4:$A$18,0)))</f>
        <v>0</v>
      </c>
      <c r="K1266" s="0" t="n">
        <f aca="false">IF($F1266=0,0,INDEX(Aux_HH!$H$4:$H$18,MATCH($B1266&amp;"|"&amp;$E1266,Aux_HH!$A$4:$A$18,0)))</f>
        <v>0</v>
      </c>
      <c r="L1266" s="0" t="n">
        <f aca="false">IF($F1266=0,0,INDEX(Aux_HH!$I$4:$I$18,MATCH($B1266&amp;"|"&amp;$E1266,Aux_HH!$A$4:$A$18,0)))</f>
        <v>0</v>
      </c>
    </row>
    <row r="1267" customFormat="false" ht="15" hidden="false" customHeight="false" outlineLevel="0" collapsed="false">
      <c r="A1267" s="0" t="str">
        <f aca="false">IF(Frota!$A29="","",Frota!$A29)</f>
        <v/>
      </c>
      <c r="B1267" s="0" t="str">
        <f aca="false">IF(Frota!$A29="","",Frota!$B29)</f>
        <v/>
      </c>
      <c r="C1267" s="0" t="n">
        <v>16</v>
      </c>
      <c r="D1267" s="0" t="n">
        <f aca="false">INDEX(Semanas!$E$3:$E$54,16)</f>
        <v>7</v>
      </c>
      <c r="E1267" s="0" t="str">
        <f aca="false">IF(Frota!$A29="","",Cronograma!Q29)</f>
        <v/>
      </c>
      <c r="F1267" s="0" t="n">
        <f aca="false">IF(OR($E1267="",$E1267=0),0,1)</f>
        <v>0</v>
      </c>
      <c r="G1267" s="0" t="n">
        <f aca="false">IF($F1267=0,0,INDEX(Aux_HH!$D$4:$D$18,MATCH($B1267&amp;"|"&amp;$E1267,Aux_HH!$A$4:$A$18,0)))</f>
        <v>0</v>
      </c>
      <c r="H1267" s="0" t="n">
        <f aca="false">IF($F1267=0,0,INDEX(Aux_HH!$E$4:$E$18,MATCH($B1267&amp;"|"&amp;$E1267,Aux_HH!$A$4:$A$18,0)))</f>
        <v>0</v>
      </c>
      <c r="I1267" s="0" t="n">
        <f aca="false">IF($F1267=0,0,INDEX(Aux_HH!$F$4:$F$18,MATCH($B1267&amp;"|"&amp;$E1267,Aux_HH!$A$4:$A$18,0)))</f>
        <v>0</v>
      </c>
      <c r="J1267" s="0" t="n">
        <f aca="false">IF($F1267=0,0,INDEX(Aux_HH!$G$4:$G$18,MATCH($B1267&amp;"|"&amp;$E1267,Aux_HH!$A$4:$A$18,0)))</f>
        <v>0</v>
      </c>
      <c r="K1267" s="0" t="n">
        <f aca="false">IF($F1267=0,0,INDEX(Aux_HH!$H$4:$H$18,MATCH($B1267&amp;"|"&amp;$E1267,Aux_HH!$A$4:$A$18,0)))</f>
        <v>0</v>
      </c>
      <c r="L1267" s="0" t="n">
        <f aca="false">IF($F1267=0,0,INDEX(Aux_HH!$I$4:$I$18,MATCH($B1267&amp;"|"&amp;$E1267,Aux_HH!$A$4:$A$18,0)))</f>
        <v>0</v>
      </c>
    </row>
    <row r="1268" customFormat="false" ht="15" hidden="false" customHeight="false" outlineLevel="0" collapsed="false">
      <c r="A1268" s="0" t="str">
        <f aca="false">IF(Frota!$A29="","",Frota!$A29)</f>
        <v/>
      </c>
      <c r="B1268" s="0" t="str">
        <f aca="false">IF(Frota!$A29="","",Frota!$B29)</f>
        <v/>
      </c>
      <c r="C1268" s="0" t="n">
        <v>17</v>
      </c>
      <c r="D1268" s="0" t="n">
        <f aca="false">INDEX(Semanas!$E$3:$E$54,17)</f>
        <v>7</v>
      </c>
      <c r="E1268" s="0" t="str">
        <f aca="false">IF(Frota!$A29="","",Cronograma!R29)</f>
        <v/>
      </c>
      <c r="F1268" s="0" t="n">
        <f aca="false">IF(OR($E1268="",$E1268=0),0,1)</f>
        <v>0</v>
      </c>
      <c r="G1268" s="0" t="n">
        <f aca="false">IF($F1268=0,0,INDEX(Aux_HH!$D$4:$D$18,MATCH($B1268&amp;"|"&amp;$E1268,Aux_HH!$A$4:$A$18,0)))</f>
        <v>0</v>
      </c>
      <c r="H1268" s="0" t="n">
        <f aca="false">IF($F1268=0,0,INDEX(Aux_HH!$E$4:$E$18,MATCH($B1268&amp;"|"&amp;$E1268,Aux_HH!$A$4:$A$18,0)))</f>
        <v>0</v>
      </c>
      <c r="I1268" s="0" t="n">
        <f aca="false">IF($F1268=0,0,INDEX(Aux_HH!$F$4:$F$18,MATCH($B1268&amp;"|"&amp;$E1268,Aux_HH!$A$4:$A$18,0)))</f>
        <v>0</v>
      </c>
      <c r="J1268" s="0" t="n">
        <f aca="false">IF($F1268=0,0,INDEX(Aux_HH!$G$4:$G$18,MATCH($B1268&amp;"|"&amp;$E1268,Aux_HH!$A$4:$A$18,0)))</f>
        <v>0</v>
      </c>
      <c r="K1268" s="0" t="n">
        <f aca="false">IF($F1268=0,0,INDEX(Aux_HH!$H$4:$H$18,MATCH($B1268&amp;"|"&amp;$E1268,Aux_HH!$A$4:$A$18,0)))</f>
        <v>0</v>
      </c>
      <c r="L1268" s="0" t="n">
        <f aca="false">IF($F1268=0,0,INDEX(Aux_HH!$I$4:$I$18,MATCH($B1268&amp;"|"&amp;$E1268,Aux_HH!$A$4:$A$18,0)))</f>
        <v>0</v>
      </c>
    </row>
    <row r="1269" customFormat="false" ht="15" hidden="false" customHeight="false" outlineLevel="0" collapsed="false">
      <c r="A1269" s="0" t="str">
        <f aca="false">IF(Frota!$A29="","",Frota!$A29)</f>
        <v/>
      </c>
      <c r="B1269" s="0" t="str">
        <f aca="false">IF(Frota!$A29="","",Frota!$B29)</f>
        <v/>
      </c>
      <c r="C1269" s="0" t="n">
        <v>18</v>
      </c>
      <c r="D1269" s="0" t="n">
        <f aca="false">INDEX(Semanas!$E$3:$E$54,18)</f>
        <v>7</v>
      </c>
      <c r="E1269" s="0" t="str">
        <f aca="false">IF(Frota!$A29="","",Cronograma!S29)</f>
        <v/>
      </c>
      <c r="F1269" s="0" t="n">
        <f aca="false">IF(OR($E1269="",$E1269=0),0,1)</f>
        <v>0</v>
      </c>
      <c r="G1269" s="0" t="n">
        <f aca="false">IF($F1269=0,0,INDEX(Aux_HH!$D$4:$D$18,MATCH($B1269&amp;"|"&amp;$E1269,Aux_HH!$A$4:$A$18,0)))</f>
        <v>0</v>
      </c>
      <c r="H1269" s="0" t="n">
        <f aca="false">IF($F1269=0,0,INDEX(Aux_HH!$E$4:$E$18,MATCH($B1269&amp;"|"&amp;$E1269,Aux_HH!$A$4:$A$18,0)))</f>
        <v>0</v>
      </c>
      <c r="I1269" s="0" t="n">
        <f aca="false">IF($F1269=0,0,INDEX(Aux_HH!$F$4:$F$18,MATCH($B1269&amp;"|"&amp;$E1269,Aux_HH!$A$4:$A$18,0)))</f>
        <v>0</v>
      </c>
      <c r="J1269" s="0" t="n">
        <f aca="false">IF($F1269=0,0,INDEX(Aux_HH!$G$4:$G$18,MATCH($B1269&amp;"|"&amp;$E1269,Aux_HH!$A$4:$A$18,0)))</f>
        <v>0</v>
      </c>
      <c r="K1269" s="0" t="n">
        <f aca="false">IF($F1269=0,0,INDEX(Aux_HH!$H$4:$H$18,MATCH($B1269&amp;"|"&amp;$E1269,Aux_HH!$A$4:$A$18,0)))</f>
        <v>0</v>
      </c>
      <c r="L1269" s="0" t="n">
        <f aca="false">IF($F1269=0,0,INDEX(Aux_HH!$I$4:$I$18,MATCH($B1269&amp;"|"&amp;$E1269,Aux_HH!$A$4:$A$18,0)))</f>
        <v>0</v>
      </c>
    </row>
    <row r="1270" customFormat="false" ht="15" hidden="false" customHeight="false" outlineLevel="0" collapsed="false">
      <c r="A1270" s="0" t="str">
        <f aca="false">IF(Frota!$A29="","",Frota!$A29)</f>
        <v/>
      </c>
      <c r="B1270" s="0" t="str">
        <f aca="false">IF(Frota!$A29="","",Frota!$B29)</f>
        <v/>
      </c>
      <c r="C1270" s="0" t="n">
        <v>19</v>
      </c>
      <c r="D1270" s="0" t="n">
        <f aca="false">INDEX(Semanas!$E$3:$E$54,19)</f>
        <v>8</v>
      </c>
      <c r="E1270" s="0" t="str">
        <f aca="false">IF(Frota!$A29="","",Cronograma!T29)</f>
        <v/>
      </c>
      <c r="F1270" s="0" t="n">
        <f aca="false">IF(OR($E1270="",$E1270=0),0,1)</f>
        <v>0</v>
      </c>
      <c r="G1270" s="0" t="n">
        <f aca="false">IF($F1270=0,0,INDEX(Aux_HH!$D$4:$D$18,MATCH($B1270&amp;"|"&amp;$E1270,Aux_HH!$A$4:$A$18,0)))</f>
        <v>0</v>
      </c>
      <c r="H1270" s="0" t="n">
        <f aca="false">IF($F1270=0,0,INDEX(Aux_HH!$E$4:$E$18,MATCH($B1270&amp;"|"&amp;$E1270,Aux_HH!$A$4:$A$18,0)))</f>
        <v>0</v>
      </c>
      <c r="I1270" s="0" t="n">
        <f aca="false">IF($F1270=0,0,INDEX(Aux_HH!$F$4:$F$18,MATCH($B1270&amp;"|"&amp;$E1270,Aux_HH!$A$4:$A$18,0)))</f>
        <v>0</v>
      </c>
      <c r="J1270" s="0" t="n">
        <f aca="false">IF($F1270=0,0,INDEX(Aux_HH!$G$4:$G$18,MATCH($B1270&amp;"|"&amp;$E1270,Aux_HH!$A$4:$A$18,0)))</f>
        <v>0</v>
      </c>
      <c r="K1270" s="0" t="n">
        <f aca="false">IF($F1270=0,0,INDEX(Aux_HH!$H$4:$H$18,MATCH($B1270&amp;"|"&amp;$E1270,Aux_HH!$A$4:$A$18,0)))</f>
        <v>0</v>
      </c>
      <c r="L1270" s="0" t="n">
        <f aca="false">IF($F1270=0,0,INDEX(Aux_HH!$I$4:$I$18,MATCH($B1270&amp;"|"&amp;$E1270,Aux_HH!$A$4:$A$18,0)))</f>
        <v>0</v>
      </c>
    </row>
    <row r="1271" customFormat="false" ht="15" hidden="false" customHeight="false" outlineLevel="0" collapsed="false">
      <c r="A1271" s="0" t="str">
        <f aca="false">IF(Frota!$A29="","",Frota!$A29)</f>
        <v/>
      </c>
      <c r="B1271" s="0" t="str">
        <f aca="false">IF(Frota!$A29="","",Frota!$B29)</f>
        <v/>
      </c>
      <c r="C1271" s="0" t="n">
        <v>20</v>
      </c>
      <c r="D1271" s="0" t="n">
        <f aca="false">INDEX(Semanas!$E$3:$E$54,20)</f>
        <v>8</v>
      </c>
      <c r="E1271" s="0" t="str">
        <f aca="false">IF(Frota!$A29="","",Cronograma!U29)</f>
        <v/>
      </c>
      <c r="F1271" s="0" t="n">
        <f aca="false">IF(OR($E1271="",$E1271=0),0,1)</f>
        <v>0</v>
      </c>
      <c r="G1271" s="0" t="n">
        <f aca="false">IF($F1271=0,0,INDEX(Aux_HH!$D$4:$D$18,MATCH($B1271&amp;"|"&amp;$E1271,Aux_HH!$A$4:$A$18,0)))</f>
        <v>0</v>
      </c>
      <c r="H1271" s="0" t="n">
        <f aca="false">IF($F1271=0,0,INDEX(Aux_HH!$E$4:$E$18,MATCH($B1271&amp;"|"&amp;$E1271,Aux_HH!$A$4:$A$18,0)))</f>
        <v>0</v>
      </c>
      <c r="I1271" s="0" t="n">
        <f aca="false">IF($F1271=0,0,INDEX(Aux_HH!$F$4:$F$18,MATCH($B1271&amp;"|"&amp;$E1271,Aux_HH!$A$4:$A$18,0)))</f>
        <v>0</v>
      </c>
      <c r="J1271" s="0" t="n">
        <f aca="false">IF($F1271=0,0,INDEX(Aux_HH!$G$4:$G$18,MATCH($B1271&amp;"|"&amp;$E1271,Aux_HH!$A$4:$A$18,0)))</f>
        <v>0</v>
      </c>
      <c r="K1271" s="0" t="n">
        <f aca="false">IF($F1271=0,0,INDEX(Aux_HH!$H$4:$H$18,MATCH($B1271&amp;"|"&amp;$E1271,Aux_HH!$A$4:$A$18,0)))</f>
        <v>0</v>
      </c>
      <c r="L1271" s="0" t="n">
        <f aca="false">IF($F1271=0,0,INDEX(Aux_HH!$I$4:$I$18,MATCH($B1271&amp;"|"&amp;$E1271,Aux_HH!$A$4:$A$18,0)))</f>
        <v>0</v>
      </c>
    </row>
    <row r="1272" customFormat="false" ht="15" hidden="false" customHeight="false" outlineLevel="0" collapsed="false">
      <c r="A1272" s="0" t="str">
        <f aca="false">IF(Frota!$A29="","",Frota!$A29)</f>
        <v/>
      </c>
      <c r="B1272" s="0" t="str">
        <f aca="false">IF(Frota!$A29="","",Frota!$B29)</f>
        <v/>
      </c>
      <c r="C1272" s="0" t="n">
        <v>21</v>
      </c>
      <c r="D1272" s="0" t="n">
        <f aca="false">INDEX(Semanas!$E$3:$E$54,21)</f>
        <v>8</v>
      </c>
      <c r="E1272" s="0" t="str">
        <f aca="false">IF(Frota!$A29="","",Cronograma!V29)</f>
        <v/>
      </c>
      <c r="F1272" s="0" t="n">
        <f aca="false">IF(OR($E1272="",$E1272=0),0,1)</f>
        <v>0</v>
      </c>
      <c r="G1272" s="0" t="n">
        <f aca="false">IF($F1272=0,0,INDEX(Aux_HH!$D$4:$D$18,MATCH($B1272&amp;"|"&amp;$E1272,Aux_HH!$A$4:$A$18,0)))</f>
        <v>0</v>
      </c>
      <c r="H1272" s="0" t="n">
        <f aca="false">IF($F1272=0,0,INDEX(Aux_HH!$E$4:$E$18,MATCH($B1272&amp;"|"&amp;$E1272,Aux_HH!$A$4:$A$18,0)))</f>
        <v>0</v>
      </c>
      <c r="I1272" s="0" t="n">
        <f aca="false">IF($F1272=0,0,INDEX(Aux_HH!$F$4:$F$18,MATCH($B1272&amp;"|"&amp;$E1272,Aux_HH!$A$4:$A$18,0)))</f>
        <v>0</v>
      </c>
      <c r="J1272" s="0" t="n">
        <f aca="false">IF($F1272=0,0,INDEX(Aux_HH!$G$4:$G$18,MATCH($B1272&amp;"|"&amp;$E1272,Aux_HH!$A$4:$A$18,0)))</f>
        <v>0</v>
      </c>
      <c r="K1272" s="0" t="n">
        <f aca="false">IF($F1272=0,0,INDEX(Aux_HH!$H$4:$H$18,MATCH($B1272&amp;"|"&amp;$E1272,Aux_HH!$A$4:$A$18,0)))</f>
        <v>0</v>
      </c>
      <c r="L1272" s="0" t="n">
        <f aca="false">IF($F1272=0,0,INDEX(Aux_HH!$I$4:$I$18,MATCH($B1272&amp;"|"&amp;$E1272,Aux_HH!$A$4:$A$18,0)))</f>
        <v>0</v>
      </c>
    </row>
    <row r="1273" customFormat="false" ht="15" hidden="false" customHeight="false" outlineLevel="0" collapsed="false">
      <c r="A1273" s="0" t="str">
        <f aca="false">IF(Frota!$A29="","",Frota!$A29)</f>
        <v/>
      </c>
      <c r="B1273" s="0" t="str">
        <f aca="false">IF(Frota!$A29="","",Frota!$B29)</f>
        <v/>
      </c>
      <c r="C1273" s="0" t="n">
        <v>22</v>
      </c>
      <c r="D1273" s="0" t="n">
        <f aca="false">INDEX(Semanas!$E$3:$E$54,22)</f>
        <v>8</v>
      </c>
      <c r="E1273" s="0" t="str">
        <f aca="false">IF(Frota!$A29="","",Cronograma!W29)</f>
        <v/>
      </c>
      <c r="F1273" s="0" t="n">
        <f aca="false">IF(OR($E1273="",$E1273=0),0,1)</f>
        <v>0</v>
      </c>
      <c r="G1273" s="0" t="n">
        <f aca="false">IF($F1273=0,0,INDEX(Aux_HH!$D$4:$D$18,MATCH($B1273&amp;"|"&amp;$E1273,Aux_HH!$A$4:$A$18,0)))</f>
        <v>0</v>
      </c>
      <c r="H1273" s="0" t="n">
        <f aca="false">IF($F1273=0,0,INDEX(Aux_HH!$E$4:$E$18,MATCH($B1273&amp;"|"&amp;$E1273,Aux_HH!$A$4:$A$18,0)))</f>
        <v>0</v>
      </c>
      <c r="I1273" s="0" t="n">
        <f aca="false">IF($F1273=0,0,INDEX(Aux_HH!$F$4:$F$18,MATCH($B1273&amp;"|"&amp;$E1273,Aux_HH!$A$4:$A$18,0)))</f>
        <v>0</v>
      </c>
      <c r="J1273" s="0" t="n">
        <f aca="false">IF($F1273=0,0,INDEX(Aux_HH!$G$4:$G$18,MATCH($B1273&amp;"|"&amp;$E1273,Aux_HH!$A$4:$A$18,0)))</f>
        <v>0</v>
      </c>
      <c r="K1273" s="0" t="n">
        <f aca="false">IF($F1273=0,0,INDEX(Aux_HH!$H$4:$H$18,MATCH($B1273&amp;"|"&amp;$E1273,Aux_HH!$A$4:$A$18,0)))</f>
        <v>0</v>
      </c>
      <c r="L1273" s="0" t="n">
        <f aca="false">IF($F1273=0,0,INDEX(Aux_HH!$I$4:$I$18,MATCH($B1273&amp;"|"&amp;$E1273,Aux_HH!$A$4:$A$18,0)))</f>
        <v>0</v>
      </c>
    </row>
    <row r="1274" customFormat="false" ht="15" hidden="false" customHeight="false" outlineLevel="0" collapsed="false">
      <c r="A1274" s="0" t="str">
        <f aca="false">IF(Frota!$A29="","",Frota!$A29)</f>
        <v/>
      </c>
      <c r="B1274" s="0" t="str">
        <f aca="false">IF(Frota!$A29="","",Frota!$B29)</f>
        <v/>
      </c>
      <c r="C1274" s="0" t="n">
        <v>23</v>
      </c>
      <c r="D1274" s="0" t="n">
        <f aca="false">INDEX(Semanas!$E$3:$E$54,23)</f>
        <v>9</v>
      </c>
      <c r="E1274" s="0" t="str">
        <f aca="false">IF(Frota!$A29="","",Cronograma!X29)</f>
        <v/>
      </c>
      <c r="F1274" s="0" t="n">
        <f aca="false">IF(OR($E1274="",$E1274=0),0,1)</f>
        <v>0</v>
      </c>
      <c r="G1274" s="0" t="n">
        <f aca="false">IF($F1274=0,0,INDEX(Aux_HH!$D$4:$D$18,MATCH($B1274&amp;"|"&amp;$E1274,Aux_HH!$A$4:$A$18,0)))</f>
        <v>0</v>
      </c>
      <c r="H1274" s="0" t="n">
        <f aca="false">IF($F1274=0,0,INDEX(Aux_HH!$E$4:$E$18,MATCH($B1274&amp;"|"&amp;$E1274,Aux_HH!$A$4:$A$18,0)))</f>
        <v>0</v>
      </c>
      <c r="I1274" s="0" t="n">
        <f aca="false">IF($F1274=0,0,INDEX(Aux_HH!$F$4:$F$18,MATCH($B1274&amp;"|"&amp;$E1274,Aux_HH!$A$4:$A$18,0)))</f>
        <v>0</v>
      </c>
      <c r="J1274" s="0" t="n">
        <f aca="false">IF($F1274=0,0,INDEX(Aux_HH!$G$4:$G$18,MATCH($B1274&amp;"|"&amp;$E1274,Aux_HH!$A$4:$A$18,0)))</f>
        <v>0</v>
      </c>
      <c r="K1274" s="0" t="n">
        <f aca="false">IF($F1274=0,0,INDEX(Aux_HH!$H$4:$H$18,MATCH($B1274&amp;"|"&amp;$E1274,Aux_HH!$A$4:$A$18,0)))</f>
        <v>0</v>
      </c>
      <c r="L1274" s="0" t="n">
        <f aca="false">IF($F1274=0,0,INDEX(Aux_HH!$I$4:$I$18,MATCH($B1274&amp;"|"&amp;$E1274,Aux_HH!$A$4:$A$18,0)))</f>
        <v>0</v>
      </c>
    </row>
    <row r="1275" customFormat="false" ht="15" hidden="false" customHeight="false" outlineLevel="0" collapsed="false">
      <c r="A1275" s="0" t="str">
        <f aca="false">IF(Frota!$A29="","",Frota!$A29)</f>
        <v/>
      </c>
      <c r="B1275" s="0" t="str">
        <f aca="false">IF(Frota!$A29="","",Frota!$B29)</f>
        <v/>
      </c>
      <c r="C1275" s="0" t="n">
        <v>24</v>
      </c>
      <c r="D1275" s="0" t="n">
        <f aca="false">INDEX(Semanas!$E$3:$E$54,24)</f>
        <v>9</v>
      </c>
      <c r="E1275" s="0" t="str">
        <f aca="false">IF(Frota!$A29="","",Cronograma!Y29)</f>
        <v/>
      </c>
      <c r="F1275" s="0" t="n">
        <f aca="false">IF(OR($E1275="",$E1275=0),0,1)</f>
        <v>0</v>
      </c>
      <c r="G1275" s="0" t="n">
        <f aca="false">IF($F1275=0,0,INDEX(Aux_HH!$D$4:$D$18,MATCH($B1275&amp;"|"&amp;$E1275,Aux_HH!$A$4:$A$18,0)))</f>
        <v>0</v>
      </c>
      <c r="H1275" s="0" t="n">
        <f aca="false">IF($F1275=0,0,INDEX(Aux_HH!$E$4:$E$18,MATCH($B1275&amp;"|"&amp;$E1275,Aux_HH!$A$4:$A$18,0)))</f>
        <v>0</v>
      </c>
      <c r="I1275" s="0" t="n">
        <f aca="false">IF($F1275=0,0,INDEX(Aux_HH!$F$4:$F$18,MATCH($B1275&amp;"|"&amp;$E1275,Aux_HH!$A$4:$A$18,0)))</f>
        <v>0</v>
      </c>
      <c r="J1275" s="0" t="n">
        <f aca="false">IF($F1275=0,0,INDEX(Aux_HH!$G$4:$G$18,MATCH($B1275&amp;"|"&amp;$E1275,Aux_HH!$A$4:$A$18,0)))</f>
        <v>0</v>
      </c>
      <c r="K1275" s="0" t="n">
        <f aca="false">IF($F1275=0,0,INDEX(Aux_HH!$H$4:$H$18,MATCH($B1275&amp;"|"&amp;$E1275,Aux_HH!$A$4:$A$18,0)))</f>
        <v>0</v>
      </c>
      <c r="L1275" s="0" t="n">
        <f aca="false">IF($F1275=0,0,INDEX(Aux_HH!$I$4:$I$18,MATCH($B1275&amp;"|"&amp;$E1275,Aux_HH!$A$4:$A$18,0)))</f>
        <v>0</v>
      </c>
    </row>
    <row r="1276" customFormat="false" ht="15" hidden="false" customHeight="false" outlineLevel="0" collapsed="false">
      <c r="A1276" s="0" t="str">
        <f aca="false">IF(Frota!$A29="","",Frota!$A29)</f>
        <v/>
      </c>
      <c r="B1276" s="0" t="str">
        <f aca="false">IF(Frota!$A29="","",Frota!$B29)</f>
        <v/>
      </c>
      <c r="C1276" s="0" t="n">
        <v>25</v>
      </c>
      <c r="D1276" s="0" t="n">
        <f aca="false">INDEX(Semanas!$E$3:$E$54,25)</f>
        <v>9</v>
      </c>
      <c r="E1276" s="0" t="str">
        <f aca="false">IF(Frota!$A29="","",Cronograma!Z29)</f>
        <v/>
      </c>
      <c r="F1276" s="0" t="n">
        <f aca="false">IF(OR($E1276="",$E1276=0),0,1)</f>
        <v>0</v>
      </c>
      <c r="G1276" s="0" t="n">
        <f aca="false">IF($F1276=0,0,INDEX(Aux_HH!$D$4:$D$18,MATCH($B1276&amp;"|"&amp;$E1276,Aux_HH!$A$4:$A$18,0)))</f>
        <v>0</v>
      </c>
      <c r="H1276" s="0" t="n">
        <f aca="false">IF($F1276=0,0,INDEX(Aux_HH!$E$4:$E$18,MATCH($B1276&amp;"|"&amp;$E1276,Aux_HH!$A$4:$A$18,0)))</f>
        <v>0</v>
      </c>
      <c r="I1276" s="0" t="n">
        <f aca="false">IF($F1276=0,0,INDEX(Aux_HH!$F$4:$F$18,MATCH($B1276&amp;"|"&amp;$E1276,Aux_HH!$A$4:$A$18,0)))</f>
        <v>0</v>
      </c>
      <c r="J1276" s="0" t="n">
        <f aca="false">IF($F1276=0,0,INDEX(Aux_HH!$G$4:$G$18,MATCH($B1276&amp;"|"&amp;$E1276,Aux_HH!$A$4:$A$18,0)))</f>
        <v>0</v>
      </c>
      <c r="K1276" s="0" t="n">
        <f aca="false">IF($F1276=0,0,INDEX(Aux_HH!$H$4:$H$18,MATCH($B1276&amp;"|"&amp;$E1276,Aux_HH!$A$4:$A$18,0)))</f>
        <v>0</v>
      </c>
      <c r="L1276" s="0" t="n">
        <f aca="false">IF($F1276=0,0,INDEX(Aux_HH!$I$4:$I$18,MATCH($B1276&amp;"|"&amp;$E1276,Aux_HH!$A$4:$A$18,0)))</f>
        <v>0</v>
      </c>
    </row>
    <row r="1277" customFormat="false" ht="15" hidden="false" customHeight="false" outlineLevel="0" collapsed="false">
      <c r="A1277" s="0" t="str">
        <f aca="false">IF(Frota!$A29="","",Frota!$A29)</f>
        <v/>
      </c>
      <c r="B1277" s="0" t="str">
        <f aca="false">IF(Frota!$A29="","",Frota!$B29)</f>
        <v/>
      </c>
      <c r="C1277" s="0" t="n">
        <v>26</v>
      </c>
      <c r="D1277" s="0" t="n">
        <f aca="false">INDEX(Semanas!$E$3:$E$54,26)</f>
        <v>9</v>
      </c>
      <c r="E1277" s="0" t="str">
        <f aca="false">IF(Frota!$A29="","",Cronograma!AA29)</f>
        <v/>
      </c>
      <c r="F1277" s="0" t="n">
        <f aca="false">IF(OR($E1277="",$E1277=0),0,1)</f>
        <v>0</v>
      </c>
      <c r="G1277" s="0" t="n">
        <f aca="false">IF($F1277=0,0,INDEX(Aux_HH!$D$4:$D$18,MATCH($B1277&amp;"|"&amp;$E1277,Aux_HH!$A$4:$A$18,0)))</f>
        <v>0</v>
      </c>
      <c r="H1277" s="0" t="n">
        <f aca="false">IF($F1277=0,0,INDEX(Aux_HH!$E$4:$E$18,MATCH($B1277&amp;"|"&amp;$E1277,Aux_HH!$A$4:$A$18,0)))</f>
        <v>0</v>
      </c>
      <c r="I1277" s="0" t="n">
        <f aca="false">IF($F1277=0,0,INDEX(Aux_HH!$F$4:$F$18,MATCH($B1277&amp;"|"&amp;$E1277,Aux_HH!$A$4:$A$18,0)))</f>
        <v>0</v>
      </c>
      <c r="J1277" s="0" t="n">
        <f aca="false">IF($F1277=0,0,INDEX(Aux_HH!$G$4:$G$18,MATCH($B1277&amp;"|"&amp;$E1277,Aux_HH!$A$4:$A$18,0)))</f>
        <v>0</v>
      </c>
      <c r="K1277" s="0" t="n">
        <f aca="false">IF($F1277=0,0,INDEX(Aux_HH!$H$4:$H$18,MATCH($B1277&amp;"|"&amp;$E1277,Aux_HH!$A$4:$A$18,0)))</f>
        <v>0</v>
      </c>
      <c r="L1277" s="0" t="n">
        <f aca="false">IF($F1277=0,0,INDEX(Aux_HH!$I$4:$I$18,MATCH($B1277&amp;"|"&amp;$E1277,Aux_HH!$A$4:$A$18,0)))</f>
        <v>0</v>
      </c>
    </row>
    <row r="1278" customFormat="false" ht="15" hidden="false" customHeight="false" outlineLevel="0" collapsed="false">
      <c r="A1278" s="0" t="str">
        <f aca="false">IF(Frota!$A29="","",Frota!$A29)</f>
        <v/>
      </c>
      <c r="B1278" s="0" t="str">
        <f aca="false">IF(Frota!$A29="","",Frota!$B29)</f>
        <v/>
      </c>
      <c r="C1278" s="0" t="n">
        <v>27</v>
      </c>
      <c r="D1278" s="0" t="n">
        <f aca="false">INDEX(Semanas!$E$3:$E$54,27)</f>
        <v>9</v>
      </c>
      <c r="E1278" s="0" t="str">
        <f aca="false">IF(Frota!$A29="","",Cronograma!AB29)</f>
        <v/>
      </c>
      <c r="F1278" s="0" t="n">
        <f aca="false">IF(OR($E1278="",$E1278=0),0,1)</f>
        <v>0</v>
      </c>
      <c r="G1278" s="0" t="n">
        <f aca="false">IF($F1278=0,0,INDEX(Aux_HH!$D$4:$D$18,MATCH($B1278&amp;"|"&amp;$E1278,Aux_HH!$A$4:$A$18,0)))</f>
        <v>0</v>
      </c>
      <c r="H1278" s="0" t="n">
        <f aca="false">IF($F1278=0,0,INDEX(Aux_HH!$E$4:$E$18,MATCH($B1278&amp;"|"&amp;$E1278,Aux_HH!$A$4:$A$18,0)))</f>
        <v>0</v>
      </c>
      <c r="I1278" s="0" t="n">
        <f aca="false">IF($F1278=0,0,INDEX(Aux_HH!$F$4:$F$18,MATCH($B1278&amp;"|"&amp;$E1278,Aux_HH!$A$4:$A$18,0)))</f>
        <v>0</v>
      </c>
      <c r="J1278" s="0" t="n">
        <f aca="false">IF($F1278=0,0,INDEX(Aux_HH!$G$4:$G$18,MATCH($B1278&amp;"|"&amp;$E1278,Aux_HH!$A$4:$A$18,0)))</f>
        <v>0</v>
      </c>
      <c r="K1278" s="0" t="n">
        <f aca="false">IF($F1278=0,0,INDEX(Aux_HH!$H$4:$H$18,MATCH($B1278&amp;"|"&amp;$E1278,Aux_HH!$A$4:$A$18,0)))</f>
        <v>0</v>
      </c>
      <c r="L1278" s="0" t="n">
        <f aca="false">IF($F1278=0,0,INDEX(Aux_HH!$I$4:$I$18,MATCH($B1278&amp;"|"&amp;$E1278,Aux_HH!$A$4:$A$18,0)))</f>
        <v>0</v>
      </c>
    </row>
    <row r="1279" customFormat="false" ht="15" hidden="false" customHeight="false" outlineLevel="0" collapsed="false">
      <c r="A1279" s="0" t="str">
        <f aca="false">IF(Frota!$A29="","",Frota!$A29)</f>
        <v/>
      </c>
      <c r="B1279" s="0" t="str">
        <f aca="false">IF(Frota!$A29="","",Frota!$B29)</f>
        <v/>
      </c>
      <c r="C1279" s="0" t="n">
        <v>28</v>
      </c>
      <c r="D1279" s="0" t="n">
        <f aca="false">INDEX(Semanas!$E$3:$E$54,28)</f>
        <v>10</v>
      </c>
      <c r="E1279" s="0" t="str">
        <f aca="false">IF(Frota!$A29="","",Cronograma!AC29)</f>
        <v/>
      </c>
      <c r="F1279" s="0" t="n">
        <f aca="false">IF(OR($E1279="",$E1279=0),0,1)</f>
        <v>0</v>
      </c>
      <c r="G1279" s="0" t="n">
        <f aca="false">IF($F1279=0,0,INDEX(Aux_HH!$D$4:$D$18,MATCH($B1279&amp;"|"&amp;$E1279,Aux_HH!$A$4:$A$18,0)))</f>
        <v>0</v>
      </c>
      <c r="H1279" s="0" t="n">
        <f aca="false">IF($F1279=0,0,INDEX(Aux_HH!$E$4:$E$18,MATCH($B1279&amp;"|"&amp;$E1279,Aux_HH!$A$4:$A$18,0)))</f>
        <v>0</v>
      </c>
      <c r="I1279" s="0" t="n">
        <f aca="false">IF($F1279=0,0,INDEX(Aux_HH!$F$4:$F$18,MATCH($B1279&amp;"|"&amp;$E1279,Aux_HH!$A$4:$A$18,0)))</f>
        <v>0</v>
      </c>
      <c r="J1279" s="0" t="n">
        <f aca="false">IF($F1279=0,0,INDEX(Aux_HH!$G$4:$G$18,MATCH($B1279&amp;"|"&amp;$E1279,Aux_HH!$A$4:$A$18,0)))</f>
        <v>0</v>
      </c>
      <c r="K1279" s="0" t="n">
        <f aca="false">IF($F1279=0,0,INDEX(Aux_HH!$H$4:$H$18,MATCH($B1279&amp;"|"&amp;$E1279,Aux_HH!$A$4:$A$18,0)))</f>
        <v>0</v>
      </c>
      <c r="L1279" s="0" t="n">
        <f aca="false">IF($F1279=0,0,INDEX(Aux_HH!$I$4:$I$18,MATCH($B1279&amp;"|"&amp;$E1279,Aux_HH!$A$4:$A$18,0)))</f>
        <v>0</v>
      </c>
    </row>
    <row r="1280" customFormat="false" ht="15" hidden="false" customHeight="false" outlineLevel="0" collapsed="false">
      <c r="A1280" s="0" t="str">
        <f aca="false">IF(Frota!$A29="","",Frota!$A29)</f>
        <v/>
      </c>
      <c r="B1280" s="0" t="str">
        <f aca="false">IF(Frota!$A29="","",Frota!$B29)</f>
        <v/>
      </c>
      <c r="C1280" s="0" t="n">
        <v>29</v>
      </c>
      <c r="D1280" s="0" t="n">
        <f aca="false">INDEX(Semanas!$E$3:$E$54,29)</f>
        <v>10</v>
      </c>
      <c r="E1280" s="0" t="str">
        <f aca="false">IF(Frota!$A29="","",Cronograma!AD29)</f>
        <v/>
      </c>
      <c r="F1280" s="0" t="n">
        <f aca="false">IF(OR($E1280="",$E1280=0),0,1)</f>
        <v>0</v>
      </c>
      <c r="G1280" s="0" t="n">
        <f aca="false">IF($F1280=0,0,INDEX(Aux_HH!$D$4:$D$18,MATCH($B1280&amp;"|"&amp;$E1280,Aux_HH!$A$4:$A$18,0)))</f>
        <v>0</v>
      </c>
      <c r="H1280" s="0" t="n">
        <f aca="false">IF($F1280=0,0,INDEX(Aux_HH!$E$4:$E$18,MATCH($B1280&amp;"|"&amp;$E1280,Aux_HH!$A$4:$A$18,0)))</f>
        <v>0</v>
      </c>
      <c r="I1280" s="0" t="n">
        <f aca="false">IF($F1280=0,0,INDEX(Aux_HH!$F$4:$F$18,MATCH($B1280&amp;"|"&amp;$E1280,Aux_HH!$A$4:$A$18,0)))</f>
        <v>0</v>
      </c>
      <c r="J1280" s="0" t="n">
        <f aca="false">IF($F1280=0,0,INDEX(Aux_HH!$G$4:$G$18,MATCH($B1280&amp;"|"&amp;$E1280,Aux_HH!$A$4:$A$18,0)))</f>
        <v>0</v>
      </c>
      <c r="K1280" s="0" t="n">
        <f aca="false">IF($F1280=0,0,INDEX(Aux_HH!$H$4:$H$18,MATCH($B1280&amp;"|"&amp;$E1280,Aux_HH!$A$4:$A$18,0)))</f>
        <v>0</v>
      </c>
      <c r="L1280" s="0" t="n">
        <f aca="false">IF($F1280=0,0,INDEX(Aux_HH!$I$4:$I$18,MATCH($B1280&amp;"|"&amp;$E1280,Aux_HH!$A$4:$A$18,0)))</f>
        <v>0</v>
      </c>
    </row>
    <row r="1281" customFormat="false" ht="15" hidden="false" customHeight="false" outlineLevel="0" collapsed="false">
      <c r="A1281" s="0" t="str">
        <f aca="false">IF(Frota!$A29="","",Frota!$A29)</f>
        <v/>
      </c>
      <c r="B1281" s="0" t="str">
        <f aca="false">IF(Frota!$A29="","",Frota!$B29)</f>
        <v/>
      </c>
      <c r="C1281" s="0" t="n">
        <v>30</v>
      </c>
      <c r="D1281" s="0" t="n">
        <f aca="false">INDEX(Semanas!$E$3:$E$54,30)</f>
        <v>10</v>
      </c>
      <c r="E1281" s="0" t="str">
        <f aca="false">IF(Frota!$A29="","",Cronograma!AE29)</f>
        <v/>
      </c>
      <c r="F1281" s="0" t="n">
        <f aca="false">IF(OR($E1281="",$E1281=0),0,1)</f>
        <v>0</v>
      </c>
      <c r="G1281" s="0" t="n">
        <f aca="false">IF($F1281=0,0,INDEX(Aux_HH!$D$4:$D$18,MATCH($B1281&amp;"|"&amp;$E1281,Aux_HH!$A$4:$A$18,0)))</f>
        <v>0</v>
      </c>
      <c r="H1281" s="0" t="n">
        <f aca="false">IF($F1281=0,0,INDEX(Aux_HH!$E$4:$E$18,MATCH($B1281&amp;"|"&amp;$E1281,Aux_HH!$A$4:$A$18,0)))</f>
        <v>0</v>
      </c>
      <c r="I1281" s="0" t="n">
        <f aca="false">IF($F1281=0,0,INDEX(Aux_HH!$F$4:$F$18,MATCH($B1281&amp;"|"&amp;$E1281,Aux_HH!$A$4:$A$18,0)))</f>
        <v>0</v>
      </c>
      <c r="J1281" s="0" t="n">
        <f aca="false">IF($F1281=0,0,INDEX(Aux_HH!$G$4:$G$18,MATCH($B1281&amp;"|"&amp;$E1281,Aux_HH!$A$4:$A$18,0)))</f>
        <v>0</v>
      </c>
      <c r="K1281" s="0" t="n">
        <f aca="false">IF($F1281=0,0,INDEX(Aux_HH!$H$4:$H$18,MATCH($B1281&amp;"|"&amp;$E1281,Aux_HH!$A$4:$A$18,0)))</f>
        <v>0</v>
      </c>
      <c r="L1281" s="0" t="n">
        <f aca="false">IF($F1281=0,0,INDEX(Aux_HH!$I$4:$I$18,MATCH($B1281&amp;"|"&amp;$E1281,Aux_HH!$A$4:$A$18,0)))</f>
        <v>0</v>
      </c>
    </row>
    <row r="1282" customFormat="false" ht="15" hidden="false" customHeight="false" outlineLevel="0" collapsed="false">
      <c r="A1282" s="0" t="str">
        <f aca="false">IF(Frota!$A29="","",Frota!$A29)</f>
        <v/>
      </c>
      <c r="B1282" s="0" t="str">
        <f aca="false">IF(Frota!$A29="","",Frota!$B29)</f>
        <v/>
      </c>
      <c r="C1282" s="0" t="n">
        <v>31</v>
      </c>
      <c r="D1282" s="0" t="n">
        <f aca="false">INDEX(Semanas!$E$3:$E$54,31)</f>
        <v>10</v>
      </c>
      <c r="E1282" s="0" t="str">
        <f aca="false">IF(Frota!$A29="","",Cronograma!AF29)</f>
        <v/>
      </c>
      <c r="F1282" s="0" t="n">
        <f aca="false">IF(OR($E1282="",$E1282=0),0,1)</f>
        <v>0</v>
      </c>
      <c r="G1282" s="0" t="n">
        <f aca="false">IF($F1282=0,0,INDEX(Aux_HH!$D$4:$D$18,MATCH($B1282&amp;"|"&amp;$E1282,Aux_HH!$A$4:$A$18,0)))</f>
        <v>0</v>
      </c>
      <c r="H1282" s="0" t="n">
        <f aca="false">IF($F1282=0,0,INDEX(Aux_HH!$E$4:$E$18,MATCH($B1282&amp;"|"&amp;$E1282,Aux_HH!$A$4:$A$18,0)))</f>
        <v>0</v>
      </c>
      <c r="I1282" s="0" t="n">
        <f aca="false">IF($F1282=0,0,INDEX(Aux_HH!$F$4:$F$18,MATCH($B1282&amp;"|"&amp;$E1282,Aux_HH!$A$4:$A$18,0)))</f>
        <v>0</v>
      </c>
      <c r="J1282" s="0" t="n">
        <f aca="false">IF($F1282=0,0,INDEX(Aux_HH!$G$4:$G$18,MATCH($B1282&amp;"|"&amp;$E1282,Aux_HH!$A$4:$A$18,0)))</f>
        <v>0</v>
      </c>
      <c r="K1282" s="0" t="n">
        <f aca="false">IF($F1282=0,0,INDEX(Aux_HH!$H$4:$H$18,MATCH($B1282&amp;"|"&amp;$E1282,Aux_HH!$A$4:$A$18,0)))</f>
        <v>0</v>
      </c>
      <c r="L1282" s="0" t="n">
        <f aca="false">IF($F1282=0,0,INDEX(Aux_HH!$I$4:$I$18,MATCH($B1282&amp;"|"&amp;$E1282,Aux_HH!$A$4:$A$18,0)))</f>
        <v>0</v>
      </c>
    </row>
    <row r="1283" customFormat="false" ht="15" hidden="false" customHeight="false" outlineLevel="0" collapsed="false">
      <c r="A1283" s="0" t="str">
        <f aca="false">IF(Frota!$A29="","",Frota!$A29)</f>
        <v/>
      </c>
      <c r="B1283" s="0" t="str">
        <f aca="false">IF(Frota!$A29="","",Frota!$B29)</f>
        <v/>
      </c>
      <c r="C1283" s="0" t="n">
        <v>32</v>
      </c>
      <c r="D1283" s="0" t="n">
        <f aca="false">INDEX(Semanas!$E$3:$E$54,32)</f>
        <v>11</v>
      </c>
      <c r="E1283" s="0" t="str">
        <f aca="false">IF(Frota!$A29="","",Cronograma!AG29)</f>
        <v/>
      </c>
      <c r="F1283" s="0" t="n">
        <f aca="false">IF(OR($E1283="",$E1283=0),0,1)</f>
        <v>0</v>
      </c>
      <c r="G1283" s="0" t="n">
        <f aca="false">IF($F1283=0,0,INDEX(Aux_HH!$D$4:$D$18,MATCH($B1283&amp;"|"&amp;$E1283,Aux_HH!$A$4:$A$18,0)))</f>
        <v>0</v>
      </c>
      <c r="H1283" s="0" t="n">
        <f aca="false">IF($F1283=0,0,INDEX(Aux_HH!$E$4:$E$18,MATCH($B1283&amp;"|"&amp;$E1283,Aux_HH!$A$4:$A$18,0)))</f>
        <v>0</v>
      </c>
      <c r="I1283" s="0" t="n">
        <f aca="false">IF($F1283=0,0,INDEX(Aux_HH!$F$4:$F$18,MATCH($B1283&amp;"|"&amp;$E1283,Aux_HH!$A$4:$A$18,0)))</f>
        <v>0</v>
      </c>
      <c r="J1283" s="0" t="n">
        <f aca="false">IF($F1283=0,0,INDEX(Aux_HH!$G$4:$G$18,MATCH($B1283&amp;"|"&amp;$E1283,Aux_HH!$A$4:$A$18,0)))</f>
        <v>0</v>
      </c>
      <c r="K1283" s="0" t="n">
        <f aca="false">IF($F1283=0,0,INDEX(Aux_HH!$H$4:$H$18,MATCH($B1283&amp;"|"&amp;$E1283,Aux_HH!$A$4:$A$18,0)))</f>
        <v>0</v>
      </c>
      <c r="L1283" s="0" t="n">
        <f aca="false">IF($F1283=0,0,INDEX(Aux_HH!$I$4:$I$18,MATCH($B1283&amp;"|"&amp;$E1283,Aux_HH!$A$4:$A$18,0)))</f>
        <v>0</v>
      </c>
    </row>
    <row r="1284" customFormat="false" ht="15" hidden="false" customHeight="false" outlineLevel="0" collapsed="false">
      <c r="A1284" s="0" t="str">
        <f aca="false">IF(Frota!$A29="","",Frota!$A29)</f>
        <v/>
      </c>
      <c r="B1284" s="0" t="str">
        <f aca="false">IF(Frota!$A29="","",Frota!$B29)</f>
        <v/>
      </c>
      <c r="C1284" s="0" t="n">
        <v>33</v>
      </c>
      <c r="D1284" s="0" t="n">
        <f aca="false">INDEX(Semanas!$E$3:$E$54,33)</f>
        <v>11</v>
      </c>
      <c r="E1284" s="0" t="str">
        <f aca="false">IF(Frota!$A29="","",Cronograma!AH29)</f>
        <v/>
      </c>
      <c r="F1284" s="0" t="n">
        <f aca="false">IF(OR($E1284="",$E1284=0),0,1)</f>
        <v>0</v>
      </c>
      <c r="G1284" s="0" t="n">
        <f aca="false">IF($F1284=0,0,INDEX(Aux_HH!$D$4:$D$18,MATCH($B1284&amp;"|"&amp;$E1284,Aux_HH!$A$4:$A$18,0)))</f>
        <v>0</v>
      </c>
      <c r="H1284" s="0" t="n">
        <f aca="false">IF($F1284=0,0,INDEX(Aux_HH!$E$4:$E$18,MATCH($B1284&amp;"|"&amp;$E1284,Aux_HH!$A$4:$A$18,0)))</f>
        <v>0</v>
      </c>
      <c r="I1284" s="0" t="n">
        <f aca="false">IF($F1284=0,0,INDEX(Aux_HH!$F$4:$F$18,MATCH($B1284&amp;"|"&amp;$E1284,Aux_HH!$A$4:$A$18,0)))</f>
        <v>0</v>
      </c>
      <c r="J1284" s="0" t="n">
        <f aca="false">IF($F1284=0,0,INDEX(Aux_HH!$G$4:$G$18,MATCH($B1284&amp;"|"&amp;$E1284,Aux_HH!$A$4:$A$18,0)))</f>
        <v>0</v>
      </c>
      <c r="K1284" s="0" t="n">
        <f aca="false">IF($F1284=0,0,INDEX(Aux_HH!$H$4:$H$18,MATCH($B1284&amp;"|"&amp;$E1284,Aux_HH!$A$4:$A$18,0)))</f>
        <v>0</v>
      </c>
      <c r="L1284" s="0" t="n">
        <f aca="false">IF($F1284=0,0,INDEX(Aux_HH!$I$4:$I$18,MATCH($B1284&amp;"|"&amp;$E1284,Aux_HH!$A$4:$A$18,0)))</f>
        <v>0</v>
      </c>
    </row>
    <row r="1285" customFormat="false" ht="15" hidden="false" customHeight="false" outlineLevel="0" collapsed="false">
      <c r="A1285" s="0" t="str">
        <f aca="false">IF(Frota!$A29="","",Frota!$A29)</f>
        <v/>
      </c>
      <c r="B1285" s="0" t="str">
        <f aca="false">IF(Frota!$A29="","",Frota!$B29)</f>
        <v/>
      </c>
      <c r="C1285" s="0" t="n">
        <v>34</v>
      </c>
      <c r="D1285" s="0" t="n">
        <f aca="false">INDEX(Semanas!$E$3:$E$54,34)</f>
        <v>11</v>
      </c>
      <c r="E1285" s="0" t="str">
        <f aca="false">IF(Frota!$A29="","",Cronograma!AI29)</f>
        <v/>
      </c>
      <c r="F1285" s="0" t="n">
        <f aca="false">IF(OR($E1285="",$E1285=0),0,1)</f>
        <v>0</v>
      </c>
      <c r="G1285" s="0" t="n">
        <f aca="false">IF($F1285=0,0,INDEX(Aux_HH!$D$4:$D$18,MATCH($B1285&amp;"|"&amp;$E1285,Aux_HH!$A$4:$A$18,0)))</f>
        <v>0</v>
      </c>
      <c r="H1285" s="0" t="n">
        <f aca="false">IF($F1285=0,0,INDEX(Aux_HH!$E$4:$E$18,MATCH($B1285&amp;"|"&amp;$E1285,Aux_HH!$A$4:$A$18,0)))</f>
        <v>0</v>
      </c>
      <c r="I1285" s="0" t="n">
        <f aca="false">IF($F1285=0,0,INDEX(Aux_HH!$F$4:$F$18,MATCH($B1285&amp;"|"&amp;$E1285,Aux_HH!$A$4:$A$18,0)))</f>
        <v>0</v>
      </c>
      <c r="J1285" s="0" t="n">
        <f aca="false">IF($F1285=0,0,INDEX(Aux_HH!$G$4:$G$18,MATCH($B1285&amp;"|"&amp;$E1285,Aux_HH!$A$4:$A$18,0)))</f>
        <v>0</v>
      </c>
      <c r="K1285" s="0" t="n">
        <f aca="false">IF($F1285=0,0,INDEX(Aux_HH!$H$4:$H$18,MATCH($B1285&amp;"|"&amp;$E1285,Aux_HH!$A$4:$A$18,0)))</f>
        <v>0</v>
      </c>
      <c r="L1285" s="0" t="n">
        <f aca="false">IF($F1285=0,0,INDEX(Aux_HH!$I$4:$I$18,MATCH($B1285&amp;"|"&amp;$E1285,Aux_HH!$A$4:$A$18,0)))</f>
        <v>0</v>
      </c>
    </row>
    <row r="1286" customFormat="false" ht="15" hidden="false" customHeight="false" outlineLevel="0" collapsed="false">
      <c r="A1286" s="0" t="str">
        <f aca="false">IF(Frota!$A29="","",Frota!$A29)</f>
        <v/>
      </c>
      <c r="B1286" s="0" t="str">
        <f aca="false">IF(Frota!$A29="","",Frota!$B29)</f>
        <v/>
      </c>
      <c r="C1286" s="0" t="n">
        <v>35</v>
      </c>
      <c r="D1286" s="0" t="n">
        <f aca="false">INDEX(Semanas!$E$3:$E$54,35)</f>
        <v>11</v>
      </c>
      <c r="E1286" s="0" t="str">
        <f aca="false">IF(Frota!$A29="","",Cronograma!AJ29)</f>
        <v/>
      </c>
      <c r="F1286" s="0" t="n">
        <f aca="false">IF(OR($E1286="",$E1286=0),0,1)</f>
        <v>0</v>
      </c>
      <c r="G1286" s="0" t="n">
        <f aca="false">IF($F1286=0,0,INDEX(Aux_HH!$D$4:$D$18,MATCH($B1286&amp;"|"&amp;$E1286,Aux_HH!$A$4:$A$18,0)))</f>
        <v>0</v>
      </c>
      <c r="H1286" s="0" t="n">
        <f aca="false">IF($F1286=0,0,INDEX(Aux_HH!$E$4:$E$18,MATCH($B1286&amp;"|"&amp;$E1286,Aux_HH!$A$4:$A$18,0)))</f>
        <v>0</v>
      </c>
      <c r="I1286" s="0" t="n">
        <f aca="false">IF($F1286=0,0,INDEX(Aux_HH!$F$4:$F$18,MATCH($B1286&amp;"|"&amp;$E1286,Aux_HH!$A$4:$A$18,0)))</f>
        <v>0</v>
      </c>
      <c r="J1286" s="0" t="n">
        <f aca="false">IF($F1286=0,0,INDEX(Aux_HH!$G$4:$G$18,MATCH($B1286&amp;"|"&amp;$E1286,Aux_HH!$A$4:$A$18,0)))</f>
        <v>0</v>
      </c>
      <c r="K1286" s="0" t="n">
        <f aca="false">IF($F1286=0,0,INDEX(Aux_HH!$H$4:$H$18,MATCH($B1286&amp;"|"&amp;$E1286,Aux_HH!$A$4:$A$18,0)))</f>
        <v>0</v>
      </c>
      <c r="L1286" s="0" t="n">
        <f aca="false">IF($F1286=0,0,INDEX(Aux_HH!$I$4:$I$18,MATCH($B1286&amp;"|"&amp;$E1286,Aux_HH!$A$4:$A$18,0)))</f>
        <v>0</v>
      </c>
    </row>
    <row r="1287" customFormat="false" ht="15" hidden="false" customHeight="false" outlineLevel="0" collapsed="false">
      <c r="A1287" s="0" t="str">
        <f aca="false">IF(Frota!$A29="","",Frota!$A29)</f>
        <v/>
      </c>
      <c r="B1287" s="0" t="str">
        <f aca="false">IF(Frota!$A29="","",Frota!$B29)</f>
        <v/>
      </c>
      <c r="C1287" s="0" t="n">
        <v>36</v>
      </c>
      <c r="D1287" s="0" t="n">
        <f aca="false">INDEX(Semanas!$E$3:$E$54,36)</f>
        <v>12</v>
      </c>
      <c r="E1287" s="0" t="str">
        <f aca="false">IF(Frota!$A29="","",Cronograma!AK29)</f>
        <v/>
      </c>
      <c r="F1287" s="0" t="n">
        <f aca="false">IF(OR($E1287="",$E1287=0),0,1)</f>
        <v>0</v>
      </c>
      <c r="G1287" s="0" t="n">
        <f aca="false">IF($F1287=0,0,INDEX(Aux_HH!$D$4:$D$18,MATCH($B1287&amp;"|"&amp;$E1287,Aux_HH!$A$4:$A$18,0)))</f>
        <v>0</v>
      </c>
      <c r="H1287" s="0" t="n">
        <f aca="false">IF($F1287=0,0,INDEX(Aux_HH!$E$4:$E$18,MATCH($B1287&amp;"|"&amp;$E1287,Aux_HH!$A$4:$A$18,0)))</f>
        <v>0</v>
      </c>
      <c r="I1287" s="0" t="n">
        <f aca="false">IF($F1287=0,0,INDEX(Aux_HH!$F$4:$F$18,MATCH($B1287&amp;"|"&amp;$E1287,Aux_HH!$A$4:$A$18,0)))</f>
        <v>0</v>
      </c>
      <c r="J1287" s="0" t="n">
        <f aca="false">IF($F1287=0,0,INDEX(Aux_HH!$G$4:$G$18,MATCH($B1287&amp;"|"&amp;$E1287,Aux_HH!$A$4:$A$18,0)))</f>
        <v>0</v>
      </c>
      <c r="K1287" s="0" t="n">
        <f aca="false">IF($F1287=0,0,INDEX(Aux_HH!$H$4:$H$18,MATCH($B1287&amp;"|"&amp;$E1287,Aux_HH!$A$4:$A$18,0)))</f>
        <v>0</v>
      </c>
      <c r="L1287" s="0" t="n">
        <f aca="false">IF($F1287=0,0,INDEX(Aux_HH!$I$4:$I$18,MATCH($B1287&amp;"|"&amp;$E1287,Aux_HH!$A$4:$A$18,0)))</f>
        <v>0</v>
      </c>
    </row>
    <row r="1288" customFormat="false" ht="15" hidden="false" customHeight="false" outlineLevel="0" collapsed="false">
      <c r="A1288" s="0" t="str">
        <f aca="false">IF(Frota!$A29="","",Frota!$A29)</f>
        <v/>
      </c>
      <c r="B1288" s="0" t="str">
        <f aca="false">IF(Frota!$A29="","",Frota!$B29)</f>
        <v/>
      </c>
      <c r="C1288" s="0" t="n">
        <v>37</v>
      </c>
      <c r="D1288" s="0" t="n">
        <f aca="false">INDEX(Semanas!$E$3:$E$54,37)</f>
        <v>12</v>
      </c>
      <c r="E1288" s="0" t="str">
        <f aca="false">IF(Frota!$A29="","",Cronograma!AL29)</f>
        <v/>
      </c>
      <c r="F1288" s="0" t="n">
        <f aca="false">IF(OR($E1288="",$E1288=0),0,1)</f>
        <v>0</v>
      </c>
      <c r="G1288" s="0" t="n">
        <f aca="false">IF($F1288=0,0,INDEX(Aux_HH!$D$4:$D$18,MATCH($B1288&amp;"|"&amp;$E1288,Aux_HH!$A$4:$A$18,0)))</f>
        <v>0</v>
      </c>
      <c r="H1288" s="0" t="n">
        <f aca="false">IF($F1288=0,0,INDEX(Aux_HH!$E$4:$E$18,MATCH($B1288&amp;"|"&amp;$E1288,Aux_HH!$A$4:$A$18,0)))</f>
        <v>0</v>
      </c>
      <c r="I1288" s="0" t="n">
        <f aca="false">IF($F1288=0,0,INDEX(Aux_HH!$F$4:$F$18,MATCH($B1288&amp;"|"&amp;$E1288,Aux_HH!$A$4:$A$18,0)))</f>
        <v>0</v>
      </c>
      <c r="J1288" s="0" t="n">
        <f aca="false">IF($F1288=0,0,INDEX(Aux_HH!$G$4:$G$18,MATCH($B1288&amp;"|"&amp;$E1288,Aux_HH!$A$4:$A$18,0)))</f>
        <v>0</v>
      </c>
      <c r="K1288" s="0" t="n">
        <f aca="false">IF($F1288=0,0,INDEX(Aux_HH!$H$4:$H$18,MATCH($B1288&amp;"|"&amp;$E1288,Aux_HH!$A$4:$A$18,0)))</f>
        <v>0</v>
      </c>
      <c r="L1288" s="0" t="n">
        <f aca="false">IF($F1288=0,0,INDEX(Aux_HH!$I$4:$I$18,MATCH($B1288&amp;"|"&amp;$E1288,Aux_HH!$A$4:$A$18,0)))</f>
        <v>0</v>
      </c>
    </row>
    <row r="1289" customFormat="false" ht="15" hidden="false" customHeight="false" outlineLevel="0" collapsed="false">
      <c r="A1289" s="0" t="str">
        <f aca="false">IF(Frota!$A29="","",Frota!$A29)</f>
        <v/>
      </c>
      <c r="B1289" s="0" t="str">
        <f aca="false">IF(Frota!$A29="","",Frota!$B29)</f>
        <v/>
      </c>
      <c r="C1289" s="0" t="n">
        <v>38</v>
      </c>
      <c r="D1289" s="0" t="n">
        <f aca="false">INDEX(Semanas!$E$3:$E$54,38)</f>
        <v>12</v>
      </c>
      <c r="E1289" s="0" t="str">
        <f aca="false">IF(Frota!$A29="","",Cronograma!AM29)</f>
        <v/>
      </c>
      <c r="F1289" s="0" t="n">
        <f aca="false">IF(OR($E1289="",$E1289=0),0,1)</f>
        <v>0</v>
      </c>
      <c r="G1289" s="0" t="n">
        <f aca="false">IF($F1289=0,0,INDEX(Aux_HH!$D$4:$D$18,MATCH($B1289&amp;"|"&amp;$E1289,Aux_HH!$A$4:$A$18,0)))</f>
        <v>0</v>
      </c>
      <c r="H1289" s="0" t="n">
        <f aca="false">IF($F1289=0,0,INDEX(Aux_HH!$E$4:$E$18,MATCH($B1289&amp;"|"&amp;$E1289,Aux_HH!$A$4:$A$18,0)))</f>
        <v>0</v>
      </c>
      <c r="I1289" s="0" t="n">
        <f aca="false">IF($F1289=0,0,INDEX(Aux_HH!$F$4:$F$18,MATCH($B1289&amp;"|"&amp;$E1289,Aux_HH!$A$4:$A$18,0)))</f>
        <v>0</v>
      </c>
      <c r="J1289" s="0" t="n">
        <f aca="false">IF($F1289=0,0,INDEX(Aux_HH!$G$4:$G$18,MATCH($B1289&amp;"|"&amp;$E1289,Aux_HH!$A$4:$A$18,0)))</f>
        <v>0</v>
      </c>
      <c r="K1289" s="0" t="n">
        <f aca="false">IF($F1289=0,0,INDEX(Aux_HH!$H$4:$H$18,MATCH($B1289&amp;"|"&amp;$E1289,Aux_HH!$A$4:$A$18,0)))</f>
        <v>0</v>
      </c>
      <c r="L1289" s="0" t="n">
        <f aca="false">IF($F1289=0,0,INDEX(Aux_HH!$I$4:$I$18,MATCH($B1289&amp;"|"&amp;$E1289,Aux_HH!$A$4:$A$18,0)))</f>
        <v>0</v>
      </c>
    </row>
    <row r="1290" customFormat="false" ht="15" hidden="false" customHeight="false" outlineLevel="0" collapsed="false">
      <c r="A1290" s="0" t="str">
        <f aca="false">IF(Frota!$A29="","",Frota!$A29)</f>
        <v/>
      </c>
      <c r="B1290" s="0" t="str">
        <f aca="false">IF(Frota!$A29="","",Frota!$B29)</f>
        <v/>
      </c>
      <c r="C1290" s="0" t="n">
        <v>39</v>
      </c>
      <c r="D1290" s="0" t="n">
        <f aca="false">INDEX(Semanas!$E$3:$E$54,39)</f>
        <v>12</v>
      </c>
      <c r="E1290" s="0" t="str">
        <f aca="false">IF(Frota!$A29="","",Cronograma!AN29)</f>
        <v/>
      </c>
      <c r="F1290" s="0" t="n">
        <f aca="false">IF(OR($E1290="",$E1290=0),0,1)</f>
        <v>0</v>
      </c>
      <c r="G1290" s="0" t="n">
        <f aca="false">IF($F1290=0,0,INDEX(Aux_HH!$D$4:$D$18,MATCH($B1290&amp;"|"&amp;$E1290,Aux_HH!$A$4:$A$18,0)))</f>
        <v>0</v>
      </c>
      <c r="H1290" s="0" t="n">
        <f aca="false">IF($F1290=0,0,INDEX(Aux_HH!$E$4:$E$18,MATCH($B1290&amp;"|"&amp;$E1290,Aux_HH!$A$4:$A$18,0)))</f>
        <v>0</v>
      </c>
      <c r="I1290" s="0" t="n">
        <f aca="false">IF($F1290=0,0,INDEX(Aux_HH!$F$4:$F$18,MATCH($B1290&amp;"|"&amp;$E1290,Aux_HH!$A$4:$A$18,0)))</f>
        <v>0</v>
      </c>
      <c r="J1290" s="0" t="n">
        <f aca="false">IF($F1290=0,0,INDEX(Aux_HH!$G$4:$G$18,MATCH($B1290&amp;"|"&amp;$E1290,Aux_HH!$A$4:$A$18,0)))</f>
        <v>0</v>
      </c>
      <c r="K1290" s="0" t="n">
        <f aca="false">IF($F1290=0,0,INDEX(Aux_HH!$H$4:$H$18,MATCH($B1290&amp;"|"&amp;$E1290,Aux_HH!$A$4:$A$18,0)))</f>
        <v>0</v>
      </c>
      <c r="L1290" s="0" t="n">
        <f aca="false">IF($F1290=0,0,INDEX(Aux_HH!$I$4:$I$18,MATCH($B1290&amp;"|"&amp;$E1290,Aux_HH!$A$4:$A$18,0)))</f>
        <v>0</v>
      </c>
    </row>
    <row r="1291" customFormat="false" ht="15" hidden="false" customHeight="false" outlineLevel="0" collapsed="false">
      <c r="A1291" s="0" t="str">
        <f aca="false">IF(Frota!$A29="","",Frota!$A29)</f>
        <v/>
      </c>
      <c r="B1291" s="0" t="str">
        <f aca="false">IF(Frota!$A29="","",Frota!$B29)</f>
        <v/>
      </c>
      <c r="C1291" s="0" t="n">
        <v>40</v>
      </c>
      <c r="D1291" s="0" t="n">
        <f aca="false">INDEX(Semanas!$E$3:$E$54,40)</f>
        <v>12</v>
      </c>
      <c r="E1291" s="0" t="str">
        <f aca="false">IF(Frota!$A29="","",Cronograma!AO29)</f>
        <v/>
      </c>
      <c r="F1291" s="0" t="n">
        <f aca="false">IF(OR($E1291="",$E1291=0),0,1)</f>
        <v>0</v>
      </c>
      <c r="G1291" s="0" t="n">
        <f aca="false">IF($F1291=0,0,INDEX(Aux_HH!$D$4:$D$18,MATCH($B1291&amp;"|"&amp;$E1291,Aux_HH!$A$4:$A$18,0)))</f>
        <v>0</v>
      </c>
      <c r="H1291" s="0" t="n">
        <f aca="false">IF($F1291=0,0,INDEX(Aux_HH!$E$4:$E$18,MATCH($B1291&amp;"|"&amp;$E1291,Aux_HH!$A$4:$A$18,0)))</f>
        <v>0</v>
      </c>
      <c r="I1291" s="0" t="n">
        <f aca="false">IF($F1291=0,0,INDEX(Aux_HH!$F$4:$F$18,MATCH($B1291&amp;"|"&amp;$E1291,Aux_HH!$A$4:$A$18,0)))</f>
        <v>0</v>
      </c>
      <c r="J1291" s="0" t="n">
        <f aca="false">IF($F1291=0,0,INDEX(Aux_HH!$G$4:$G$18,MATCH($B1291&amp;"|"&amp;$E1291,Aux_HH!$A$4:$A$18,0)))</f>
        <v>0</v>
      </c>
      <c r="K1291" s="0" t="n">
        <f aca="false">IF($F1291=0,0,INDEX(Aux_HH!$H$4:$H$18,MATCH($B1291&amp;"|"&amp;$E1291,Aux_HH!$A$4:$A$18,0)))</f>
        <v>0</v>
      </c>
      <c r="L1291" s="0" t="n">
        <f aca="false">IF($F1291=0,0,INDEX(Aux_HH!$I$4:$I$18,MATCH($B1291&amp;"|"&amp;$E1291,Aux_HH!$A$4:$A$18,0)))</f>
        <v>0</v>
      </c>
    </row>
    <row r="1292" customFormat="false" ht="15" hidden="false" customHeight="false" outlineLevel="0" collapsed="false">
      <c r="A1292" s="0" t="str">
        <f aca="false">IF(Frota!$A29="","",Frota!$A29)</f>
        <v/>
      </c>
      <c r="B1292" s="0" t="str">
        <f aca="false">IF(Frota!$A29="","",Frota!$B29)</f>
        <v/>
      </c>
      <c r="C1292" s="0" t="n">
        <v>41</v>
      </c>
      <c r="D1292" s="0" t="n">
        <f aca="false">INDEX(Semanas!$E$3:$E$54,41)</f>
        <v>1</v>
      </c>
      <c r="E1292" s="0" t="str">
        <f aca="false">IF(Frota!$A29="","",Cronograma!AP29)</f>
        <v/>
      </c>
      <c r="F1292" s="0" t="n">
        <f aca="false">IF(OR($E1292="",$E1292=0),0,1)</f>
        <v>0</v>
      </c>
      <c r="G1292" s="0" t="n">
        <f aca="false">IF($F1292=0,0,INDEX(Aux_HH!$D$4:$D$18,MATCH($B1292&amp;"|"&amp;$E1292,Aux_HH!$A$4:$A$18,0)))</f>
        <v>0</v>
      </c>
      <c r="H1292" s="0" t="n">
        <f aca="false">IF($F1292=0,0,INDEX(Aux_HH!$E$4:$E$18,MATCH($B1292&amp;"|"&amp;$E1292,Aux_HH!$A$4:$A$18,0)))</f>
        <v>0</v>
      </c>
      <c r="I1292" s="0" t="n">
        <f aca="false">IF($F1292=0,0,INDEX(Aux_HH!$F$4:$F$18,MATCH($B1292&amp;"|"&amp;$E1292,Aux_HH!$A$4:$A$18,0)))</f>
        <v>0</v>
      </c>
      <c r="J1292" s="0" t="n">
        <f aca="false">IF($F1292=0,0,INDEX(Aux_HH!$G$4:$G$18,MATCH($B1292&amp;"|"&amp;$E1292,Aux_HH!$A$4:$A$18,0)))</f>
        <v>0</v>
      </c>
      <c r="K1292" s="0" t="n">
        <f aca="false">IF($F1292=0,0,INDEX(Aux_HH!$H$4:$H$18,MATCH($B1292&amp;"|"&amp;$E1292,Aux_HH!$A$4:$A$18,0)))</f>
        <v>0</v>
      </c>
      <c r="L1292" s="0" t="n">
        <f aca="false">IF($F1292=0,0,INDEX(Aux_HH!$I$4:$I$18,MATCH($B1292&amp;"|"&amp;$E1292,Aux_HH!$A$4:$A$18,0)))</f>
        <v>0</v>
      </c>
    </row>
    <row r="1293" customFormat="false" ht="15" hidden="false" customHeight="false" outlineLevel="0" collapsed="false">
      <c r="A1293" s="0" t="str">
        <f aca="false">IF(Frota!$A29="","",Frota!$A29)</f>
        <v/>
      </c>
      <c r="B1293" s="0" t="str">
        <f aca="false">IF(Frota!$A29="","",Frota!$B29)</f>
        <v/>
      </c>
      <c r="C1293" s="0" t="n">
        <v>42</v>
      </c>
      <c r="D1293" s="0" t="n">
        <f aca="false">INDEX(Semanas!$E$3:$E$54,42)</f>
        <v>1</v>
      </c>
      <c r="E1293" s="0" t="str">
        <f aca="false">IF(Frota!$A29="","",Cronograma!AQ29)</f>
        <v/>
      </c>
      <c r="F1293" s="0" t="n">
        <f aca="false">IF(OR($E1293="",$E1293=0),0,1)</f>
        <v>0</v>
      </c>
      <c r="G1293" s="0" t="n">
        <f aca="false">IF($F1293=0,0,INDEX(Aux_HH!$D$4:$D$18,MATCH($B1293&amp;"|"&amp;$E1293,Aux_HH!$A$4:$A$18,0)))</f>
        <v>0</v>
      </c>
      <c r="H1293" s="0" t="n">
        <f aca="false">IF($F1293=0,0,INDEX(Aux_HH!$E$4:$E$18,MATCH($B1293&amp;"|"&amp;$E1293,Aux_HH!$A$4:$A$18,0)))</f>
        <v>0</v>
      </c>
      <c r="I1293" s="0" t="n">
        <f aca="false">IF($F1293=0,0,INDEX(Aux_HH!$F$4:$F$18,MATCH($B1293&amp;"|"&amp;$E1293,Aux_HH!$A$4:$A$18,0)))</f>
        <v>0</v>
      </c>
      <c r="J1293" s="0" t="n">
        <f aca="false">IF($F1293=0,0,INDEX(Aux_HH!$G$4:$G$18,MATCH($B1293&amp;"|"&amp;$E1293,Aux_HH!$A$4:$A$18,0)))</f>
        <v>0</v>
      </c>
      <c r="K1293" s="0" t="n">
        <f aca="false">IF($F1293=0,0,INDEX(Aux_HH!$H$4:$H$18,MATCH($B1293&amp;"|"&amp;$E1293,Aux_HH!$A$4:$A$18,0)))</f>
        <v>0</v>
      </c>
      <c r="L1293" s="0" t="n">
        <f aca="false">IF($F1293=0,0,INDEX(Aux_HH!$I$4:$I$18,MATCH($B1293&amp;"|"&amp;$E1293,Aux_HH!$A$4:$A$18,0)))</f>
        <v>0</v>
      </c>
    </row>
    <row r="1294" customFormat="false" ht="15" hidden="false" customHeight="false" outlineLevel="0" collapsed="false">
      <c r="A1294" s="0" t="str">
        <f aca="false">IF(Frota!$A29="","",Frota!$A29)</f>
        <v/>
      </c>
      <c r="B1294" s="0" t="str">
        <f aca="false">IF(Frota!$A29="","",Frota!$B29)</f>
        <v/>
      </c>
      <c r="C1294" s="0" t="n">
        <v>43</v>
      </c>
      <c r="D1294" s="0" t="n">
        <f aca="false">INDEX(Semanas!$E$3:$E$54,43)</f>
        <v>1</v>
      </c>
      <c r="E1294" s="0" t="str">
        <f aca="false">IF(Frota!$A29="","",Cronograma!AR29)</f>
        <v/>
      </c>
      <c r="F1294" s="0" t="n">
        <f aca="false">IF(OR($E1294="",$E1294=0),0,1)</f>
        <v>0</v>
      </c>
      <c r="G1294" s="0" t="n">
        <f aca="false">IF($F1294=0,0,INDEX(Aux_HH!$D$4:$D$18,MATCH($B1294&amp;"|"&amp;$E1294,Aux_HH!$A$4:$A$18,0)))</f>
        <v>0</v>
      </c>
      <c r="H1294" s="0" t="n">
        <f aca="false">IF($F1294=0,0,INDEX(Aux_HH!$E$4:$E$18,MATCH($B1294&amp;"|"&amp;$E1294,Aux_HH!$A$4:$A$18,0)))</f>
        <v>0</v>
      </c>
      <c r="I1294" s="0" t="n">
        <f aca="false">IF($F1294=0,0,INDEX(Aux_HH!$F$4:$F$18,MATCH($B1294&amp;"|"&amp;$E1294,Aux_HH!$A$4:$A$18,0)))</f>
        <v>0</v>
      </c>
      <c r="J1294" s="0" t="n">
        <f aca="false">IF($F1294=0,0,INDEX(Aux_HH!$G$4:$G$18,MATCH($B1294&amp;"|"&amp;$E1294,Aux_HH!$A$4:$A$18,0)))</f>
        <v>0</v>
      </c>
      <c r="K1294" s="0" t="n">
        <f aca="false">IF($F1294=0,0,INDEX(Aux_HH!$H$4:$H$18,MATCH($B1294&amp;"|"&amp;$E1294,Aux_HH!$A$4:$A$18,0)))</f>
        <v>0</v>
      </c>
      <c r="L1294" s="0" t="n">
        <f aca="false">IF($F1294=0,0,INDEX(Aux_HH!$I$4:$I$18,MATCH($B1294&amp;"|"&amp;$E1294,Aux_HH!$A$4:$A$18,0)))</f>
        <v>0</v>
      </c>
    </row>
    <row r="1295" customFormat="false" ht="15" hidden="false" customHeight="false" outlineLevel="0" collapsed="false">
      <c r="A1295" s="0" t="str">
        <f aca="false">IF(Frota!$A29="","",Frota!$A29)</f>
        <v/>
      </c>
      <c r="B1295" s="0" t="str">
        <f aca="false">IF(Frota!$A29="","",Frota!$B29)</f>
        <v/>
      </c>
      <c r="C1295" s="0" t="n">
        <v>44</v>
      </c>
      <c r="D1295" s="0" t="n">
        <f aca="false">INDEX(Semanas!$E$3:$E$54,44)</f>
        <v>1</v>
      </c>
      <c r="E1295" s="0" t="str">
        <f aca="false">IF(Frota!$A29="","",Cronograma!AS29)</f>
        <v/>
      </c>
      <c r="F1295" s="0" t="n">
        <f aca="false">IF(OR($E1295="",$E1295=0),0,1)</f>
        <v>0</v>
      </c>
      <c r="G1295" s="0" t="n">
        <f aca="false">IF($F1295=0,0,INDEX(Aux_HH!$D$4:$D$18,MATCH($B1295&amp;"|"&amp;$E1295,Aux_HH!$A$4:$A$18,0)))</f>
        <v>0</v>
      </c>
      <c r="H1295" s="0" t="n">
        <f aca="false">IF($F1295=0,0,INDEX(Aux_HH!$E$4:$E$18,MATCH($B1295&amp;"|"&amp;$E1295,Aux_HH!$A$4:$A$18,0)))</f>
        <v>0</v>
      </c>
      <c r="I1295" s="0" t="n">
        <f aca="false">IF($F1295=0,0,INDEX(Aux_HH!$F$4:$F$18,MATCH($B1295&amp;"|"&amp;$E1295,Aux_HH!$A$4:$A$18,0)))</f>
        <v>0</v>
      </c>
      <c r="J1295" s="0" t="n">
        <f aca="false">IF($F1295=0,0,INDEX(Aux_HH!$G$4:$G$18,MATCH($B1295&amp;"|"&amp;$E1295,Aux_HH!$A$4:$A$18,0)))</f>
        <v>0</v>
      </c>
      <c r="K1295" s="0" t="n">
        <f aca="false">IF($F1295=0,0,INDEX(Aux_HH!$H$4:$H$18,MATCH($B1295&amp;"|"&amp;$E1295,Aux_HH!$A$4:$A$18,0)))</f>
        <v>0</v>
      </c>
      <c r="L1295" s="0" t="n">
        <f aca="false">IF($F1295=0,0,INDEX(Aux_HH!$I$4:$I$18,MATCH($B1295&amp;"|"&amp;$E1295,Aux_HH!$A$4:$A$18,0)))</f>
        <v>0</v>
      </c>
    </row>
    <row r="1296" customFormat="false" ht="15" hidden="false" customHeight="false" outlineLevel="0" collapsed="false">
      <c r="A1296" s="0" t="str">
        <f aca="false">IF(Frota!$A29="","",Frota!$A29)</f>
        <v/>
      </c>
      <c r="B1296" s="0" t="str">
        <f aca="false">IF(Frota!$A29="","",Frota!$B29)</f>
        <v/>
      </c>
      <c r="C1296" s="0" t="n">
        <v>45</v>
      </c>
      <c r="D1296" s="0" t="n">
        <f aca="false">INDEX(Semanas!$E$3:$E$54,45)</f>
        <v>2</v>
      </c>
      <c r="E1296" s="0" t="str">
        <f aca="false">IF(Frota!$A29="","",Cronograma!AT29)</f>
        <v/>
      </c>
      <c r="F1296" s="0" t="n">
        <f aca="false">IF(OR($E1296="",$E1296=0),0,1)</f>
        <v>0</v>
      </c>
      <c r="G1296" s="0" t="n">
        <f aca="false">IF($F1296=0,0,INDEX(Aux_HH!$D$4:$D$18,MATCH($B1296&amp;"|"&amp;$E1296,Aux_HH!$A$4:$A$18,0)))</f>
        <v>0</v>
      </c>
      <c r="H1296" s="0" t="n">
        <f aca="false">IF($F1296=0,0,INDEX(Aux_HH!$E$4:$E$18,MATCH($B1296&amp;"|"&amp;$E1296,Aux_HH!$A$4:$A$18,0)))</f>
        <v>0</v>
      </c>
      <c r="I1296" s="0" t="n">
        <f aca="false">IF($F1296=0,0,INDEX(Aux_HH!$F$4:$F$18,MATCH($B1296&amp;"|"&amp;$E1296,Aux_HH!$A$4:$A$18,0)))</f>
        <v>0</v>
      </c>
      <c r="J1296" s="0" t="n">
        <f aca="false">IF($F1296=0,0,INDEX(Aux_HH!$G$4:$G$18,MATCH($B1296&amp;"|"&amp;$E1296,Aux_HH!$A$4:$A$18,0)))</f>
        <v>0</v>
      </c>
      <c r="K1296" s="0" t="n">
        <f aca="false">IF($F1296=0,0,INDEX(Aux_HH!$H$4:$H$18,MATCH($B1296&amp;"|"&amp;$E1296,Aux_HH!$A$4:$A$18,0)))</f>
        <v>0</v>
      </c>
      <c r="L1296" s="0" t="n">
        <f aca="false">IF($F1296=0,0,INDEX(Aux_HH!$I$4:$I$18,MATCH($B1296&amp;"|"&amp;$E1296,Aux_HH!$A$4:$A$18,0)))</f>
        <v>0</v>
      </c>
    </row>
    <row r="1297" customFormat="false" ht="15" hidden="false" customHeight="false" outlineLevel="0" collapsed="false">
      <c r="A1297" s="0" t="str">
        <f aca="false">IF(Frota!$A29="","",Frota!$A29)</f>
        <v/>
      </c>
      <c r="B1297" s="0" t="str">
        <f aca="false">IF(Frota!$A29="","",Frota!$B29)</f>
        <v/>
      </c>
      <c r="C1297" s="0" t="n">
        <v>46</v>
      </c>
      <c r="D1297" s="0" t="n">
        <f aca="false">INDEX(Semanas!$E$3:$E$54,46)</f>
        <v>2</v>
      </c>
      <c r="E1297" s="0" t="str">
        <f aca="false">IF(Frota!$A29="","",Cronograma!AU29)</f>
        <v/>
      </c>
      <c r="F1297" s="0" t="n">
        <f aca="false">IF(OR($E1297="",$E1297=0),0,1)</f>
        <v>0</v>
      </c>
      <c r="G1297" s="0" t="n">
        <f aca="false">IF($F1297=0,0,INDEX(Aux_HH!$D$4:$D$18,MATCH($B1297&amp;"|"&amp;$E1297,Aux_HH!$A$4:$A$18,0)))</f>
        <v>0</v>
      </c>
      <c r="H1297" s="0" t="n">
        <f aca="false">IF($F1297=0,0,INDEX(Aux_HH!$E$4:$E$18,MATCH($B1297&amp;"|"&amp;$E1297,Aux_HH!$A$4:$A$18,0)))</f>
        <v>0</v>
      </c>
      <c r="I1297" s="0" t="n">
        <f aca="false">IF($F1297=0,0,INDEX(Aux_HH!$F$4:$F$18,MATCH($B1297&amp;"|"&amp;$E1297,Aux_HH!$A$4:$A$18,0)))</f>
        <v>0</v>
      </c>
      <c r="J1297" s="0" t="n">
        <f aca="false">IF($F1297=0,0,INDEX(Aux_HH!$G$4:$G$18,MATCH($B1297&amp;"|"&amp;$E1297,Aux_HH!$A$4:$A$18,0)))</f>
        <v>0</v>
      </c>
      <c r="K1297" s="0" t="n">
        <f aca="false">IF($F1297=0,0,INDEX(Aux_HH!$H$4:$H$18,MATCH($B1297&amp;"|"&amp;$E1297,Aux_HH!$A$4:$A$18,0)))</f>
        <v>0</v>
      </c>
      <c r="L1297" s="0" t="n">
        <f aca="false">IF($F1297=0,0,INDEX(Aux_HH!$I$4:$I$18,MATCH($B1297&amp;"|"&amp;$E1297,Aux_HH!$A$4:$A$18,0)))</f>
        <v>0</v>
      </c>
    </row>
    <row r="1298" customFormat="false" ht="15" hidden="false" customHeight="false" outlineLevel="0" collapsed="false">
      <c r="A1298" s="0" t="str">
        <f aca="false">IF(Frota!$A29="","",Frota!$A29)</f>
        <v/>
      </c>
      <c r="B1298" s="0" t="str">
        <f aca="false">IF(Frota!$A29="","",Frota!$B29)</f>
        <v/>
      </c>
      <c r="C1298" s="0" t="n">
        <v>47</v>
      </c>
      <c r="D1298" s="0" t="n">
        <f aca="false">INDEX(Semanas!$E$3:$E$54,47)</f>
        <v>2</v>
      </c>
      <c r="E1298" s="0" t="str">
        <f aca="false">IF(Frota!$A29="","",Cronograma!AV29)</f>
        <v/>
      </c>
      <c r="F1298" s="0" t="n">
        <f aca="false">IF(OR($E1298="",$E1298=0),0,1)</f>
        <v>0</v>
      </c>
      <c r="G1298" s="0" t="n">
        <f aca="false">IF($F1298=0,0,INDEX(Aux_HH!$D$4:$D$18,MATCH($B1298&amp;"|"&amp;$E1298,Aux_HH!$A$4:$A$18,0)))</f>
        <v>0</v>
      </c>
      <c r="H1298" s="0" t="n">
        <f aca="false">IF($F1298=0,0,INDEX(Aux_HH!$E$4:$E$18,MATCH($B1298&amp;"|"&amp;$E1298,Aux_HH!$A$4:$A$18,0)))</f>
        <v>0</v>
      </c>
      <c r="I1298" s="0" t="n">
        <f aca="false">IF($F1298=0,0,INDEX(Aux_HH!$F$4:$F$18,MATCH($B1298&amp;"|"&amp;$E1298,Aux_HH!$A$4:$A$18,0)))</f>
        <v>0</v>
      </c>
      <c r="J1298" s="0" t="n">
        <f aca="false">IF($F1298=0,0,INDEX(Aux_HH!$G$4:$G$18,MATCH($B1298&amp;"|"&amp;$E1298,Aux_HH!$A$4:$A$18,0)))</f>
        <v>0</v>
      </c>
      <c r="K1298" s="0" t="n">
        <f aca="false">IF($F1298=0,0,INDEX(Aux_HH!$H$4:$H$18,MATCH($B1298&amp;"|"&amp;$E1298,Aux_HH!$A$4:$A$18,0)))</f>
        <v>0</v>
      </c>
      <c r="L1298" s="0" t="n">
        <f aca="false">IF($F1298=0,0,INDEX(Aux_HH!$I$4:$I$18,MATCH($B1298&amp;"|"&amp;$E1298,Aux_HH!$A$4:$A$18,0)))</f>
        <v>0</v>
      </c>
    </row>
    <row r="1299" customFormat="false" ht="15" hidden="false" customHeight="false" outlineLevel="0" collapsed="false">
      <c r="A1299" s="0" t="str">
        <f aca="false">IF(Frota!$A29="","",Frota!$A29)</f>
        <v/>
      </c>
      <c r="B1299" s="0" t="str">
        <f aca="false">IF(Frota!$A29="","",Frota!$B29)</f>
        <v/>
      </c>
      <c r="C1299" s="0" t="n">
        <v>48</v>
      </c>
      <c r="D1299" s="0" t="n">
        <f aca="false">INDEX(Semanas!$E$3:$E$54,48)</f>
        <v>2</v>
      </c>
      <c r="E1299" s="0" t="str">
        <f aca="false">IF(Frota!$A29="","",Cronograma!AW29)</f>
        <v/>
      </c>
      <c r="F1299" s="0" t="n">
        <f aca="false">IF(OR($E1299="",$E1299=0),0,1)</f>
        <v>0</v>
      </c>
      <c r="G1299" s="0" t="n">
        <f aca="false">IF($F1299=0,0,INDEX(Aux_HH!$D$4:$D$18,MATCH($B1299&amp;"|"&amp;$E1299,Aux_HH!$A$4:$A$18,0)))</f>
        <v>0</v>
      </c>
      <c r="H1299" s="0" t="n">
        <f aca="false">IF($F1299=0,0,INDEX(Aux_HH!$E$4:$E$18,MATCH($B1299&amp;"|"&amp;$E1299,Aux_HH!$A$4:$A$18,0)))</f>
        <v>0</v>
      </c>
      <c r="I1299" s="0" t="n">
        <f aca="false">IF($F1299=0,0,INDEX(Aux_HH!$F$4:$F$18,MATCH($B1299&amp;"|"&amp;$E1299,Aux_HH!$A$4:$A$18,0)))</f>
        <v>0</v>
      </c>
      <c r="J1299" s="0" t="n">
        <f aca="false">IF($F1299=0,0,INDEX(Aux_HH!$G$4:$G$18,MATCH($B1299&amp;"|"&amp;$E1299,Aux_HH!$A$4:$A$18,0)))</f>
        <v>0</v>
      </c>
      <c r="K1299" s="0" t="n">
        <f aca="false">IF($F1299=0,0,INDEX(Aux_HH!$H$4:$H$18,MATCH($B1299&amp;"|"&amp;$E1299,Aux_HH!$A$4:$A$18,0)))</f>
        <v>0</v>
      </c>
      <c r="L1299" s="0" t="n">
        <f aca="false">IF($F1299=0,0,INDEX(Aux_HH!$I$4:$I$18,MATCH($B1299&amp;"|"&amp;$E1299,Aux_HH!$A$4:$A$18,0)))</f>
        <v>0</v>
      </c>
    </row>
    <row r="1300" customFormat="false" ht="15" hidden="false" customHeight="false" outlineLevel="0" collapsed="false">
      <c r="A1300" s="0" t="str">
        <f aca="false">IF(Frota!$A29="","",Frota!$A29)</f>
        <v/>
      </c>
      <c r="B1300" s="0" t="str">
        <f aca="false">IF(Frota!$A29="","",Frota!$B29)</f>
        <v/>
      </c>
      <c r="C1300" s="0" t="n">
        <v>49</v>
      </c>
      <c r="D1300" s="0" t="n">
        <f aca="false">INDEX(Semanas!$E$3:$E$54,49)</f>
        <v>3</v>
      </c>
      <c r="E1300" s="0" t="str">
        <f aca="false">IF(Frota!$A29="","",Cronograma!AX29)</f>
        <v/>
      </c>
      <c r="F1300" s="0" t="n">
        <f aca="false">IF(OR($E1300="",$E1300=0),0,1)</f>
        <v>0</v>
      </c>
      <c r="G1300" s="0" t="n">
        <f aca="false">IF($F1300=0,0,INDEX(Aux_HH!$D$4:$D$18,MATCH($B1300&amp;"|"&amp;$E1300,Aux_HH!$A$4:$A$18,0)))</f>
        <v>0</v>
      </c>
      <c r="H1300" s="0" t="n">
        <f aca="false">IF($F1300=0,0,INDEX(Aux_HH!$E$4:$E$18,MATCH($B1300&amp;"|"&amp;$E1300,Aux_HH!$A$4:$A$18,0)))</f>
        <v>0</v>
      </c>
      <c r="I1300" s="0" t="n">
        <f aca="false">IF($F1300=0,0,INDEX(Aux_HH!$F$4:$F$18,MATCH($B1300&amp;"|"&amp;$E1300,Aux_HH!$A$4:$A$18,0)))</f>
        <v>0</v>
      </c>
      <c r="J1300" s="0" t="n">
        <f aca="false">IF($F1300=0,0,INDEX(Aux_HH!$G$4:$G$18,MATCH($B1300&amp;"|"&amp;$E1300,Aux_HH!$A$4:$A$18,0)))</f>
        <v>0</v>
      </c>
      <c r="K1300" s="0" t="n">
        <f aca="false">IF($F1300=0,0,INDEX(Aux_HH!$H$4:$H$18,MATCH($B1300&amp;"|"&amp;$E1300,Aux_HH!$A$4:$A$18,0)))</f>
        <v>0</v>
      </c>
      <c r="L1300" s="0" t="n">
        <f aca="false">IF($F1300=0,0,INDEX(Aux_HH!$I$4:$I$18,MATCH($B1300&amp;"|"&amp;$E1300,Aux_HH!$A$4:$A$18,0)))</f>
        <v>0</v>
      </c>
    </row>
    <row r="1301" customFormat="false" ht="15" hidden="false" customHeight="false" outlineLevel="0" collapsed="false">
      <c r="A1301" s="0" t="str">
        <f aca="false">IF(Frota!$A29="","",Frota!$A29)</f>
        <v/>
      </c>
      <c r="B1301" s="0" t="str">
        <f aca="false">IF(Frota!$A29="","",Frota!$B29)</f>
        <v/>
      </c>
      <c r="C1301" s="0" t="n">
        <v>50</v>
      </c>
      <c r="D1301" s="0" t="n">
        <f aca="false">INDEX(Semanas!$E$3:$E$54,50)</f>
        <v>3</v>
      </c>
      <c r="E1301" s="0" t="str">
        <f aca="false">IF(Frota!$A29="","",Cronograma!AY29)</f>
        <v/>
      </c>
      <c r="F1301" s="0" t="n">
        <f aca="false">IF(OR($E1301="",$E1301=0),0,1)</f>
        <v>0</v>
      </c>
      <c r="G1301" s="0" t="n">
        <f aca="false">IF($F1301=0,0,INDEX(Aux_HH!$D$4:$D$18,MATCH($B1301&amp;"|"&amp;$E1301,Aux_HH!$A$4:$A$18,0)))</f>
        <v>0</v>
      </c>
      <c r="H1301" s="0" t="n">
        <f aca="false">IF($F1301=0,0,INDEX(Aux_HH!$E$4:$E$18,MATCH($B1301&amp;"|"&amp;$E1301,Aux_HH!$A$4:$A$18,0)))</f>
        <v>0</v>
      </c>
      <c r="I1301" s="0" t="n">
        <f aca="false">IF($F1301=0,0,INDEX(Aux_HH!$F$4:$F$18,MATCH($B1301&amp;"|"&amp;$E1301,Aux_HH!$A$4:$A$18,0)))</f>
        <v>0</v>
      </c>
      <c r="J1301" s="0" t="n">
        <f aca="false">IF($F1301=0,0,INDEX(Aux_HH!$G$4:$G$18,MATCH($B1301&amp;"|"&amp;$E1301,Aux_HH!$A$4:$A$18,0)))</f>
        <v>0</v>
      </c>
      <c r="K1301" s="0" t="n">
        <f aca="false">IF($F1301=0,0,INDEX(Aux_HH!$H$4:$H$18,MATCH($B1301&amp;"|"&amp;$E1301,Aux_HH!$A$4:$A$18,0)))</f>
        <v>0</v>
      </c>
      <c r="L1301" s="0" t="n">
        <f aca="false">IF($F1301=0,0,INDEX(Aux_HH!$I$4:$I$18,MATCH($B1301&amp;"|"&amp;$E1301,Aux_HH!$A$4:$A$18,0)))</f>
        <v>0</v>
      </c>
    </row>
    <row r="1302" customFormat="false" ht="15" hidden="false" customHeight="false" outlineLevel="0" collapsed="false">
      <c r="A1302" s="0" t="str">
        <f aca="false">IF(Frota!$A29="","",Frota!$A29)</f>
        <v/>
      </c>
      <c r="B1302" s="0" t="str">
        <f aca="false">IF(Frota!$A29="","",Frota!$B29)</f>
        <v/>
      </c>
      <c r="C1302" s="0" t="n">
        <v>51</v>
      </c>
      <c r="D1302" s="0" t="n">
        <f aca="false">INDEX(Semanas!$E$3:$E$54,51)</f>
        <v>3</v>
      </c>
      <c r="E1302" s="0" t="str">
        <f aca="false">IF(Frota!$A29="","",Cronograma!AZ29)</f>
        <v/>
      </c>
      <c r="F1302" s="0" t="n">
        <f aca="false">IF(OR($E1302="",$E1302=0),0,1)</f>
        <v>0</v>
      </c>
      <c r="G1302" s="0" t="n">
        <f aca="false">IF($F1302=0,0,INDEX(Aux_HH!$D$4:$D$18,MATCH($B1302&amp;"|"&amp;$E1302,Aux_HH!$A$4:$A$18,0)))</f>
        <v>0</v>
      </c>
      <c r="H1302" s="0" t="n">
        <f aca="false">IF($F1302=0,0,INDEX(Aux_HH!$E$4:$E$18,MATCH($B1302&amp;"|"&amp;$E1302,Aux_HH!$A$4:$A$18,0)))</f>
        <v>0</v>
      </c>
      <c r="I1302" s="0" t="n">
        <f aca="false">IF($F1302=0,0,INDEX(Aux_HH!$F$4:$F$18,MATCH($B1302&amp;"|"&amp;$E1302,Aux_HH!$A$4:$A$18,0)))</f>
        <v>0</v>
      </c>
      <c r="J1302" s="0" t="n">
        <f aca="false">IF($F1302=0,0,INDEX(Aux_HH!$G$4:$G$18,MATCH($B1302&amp;"|"&amp;$E1302,Aux_HH!$A$4:$A$18,0)))</f>
        <v>0</v>
      </c>
      <c r="K1302" s="0" t="n">
        <f aca="false">IF($F1302=0,0,INDEX(Aux_HH!$H$4:$H$18,MATCH($B1302&amp;"|"&amp;$E1302,Aux_HH!$A$4:$A$18,0)))</f>
        <v>0</v>
      </c>
      <c r="L1302" s="0" t="n">
        <f aca="false">IF($F1302=0,0,INDEX(Aux_HH!$I$4:$I$18,MATCH($B1302&amp;"|"&amp;$E1302,Aux_HH!$A$4:$A$18,0)))</f>
        <v>0</v>
      </c>
    </row>
    <row r="1303" customFormat="false" ht="15" hidden="false" customHeight="false" outlineLevel="0" collapsed="false">
      <c r="A1303" s="0" t="str">
        <f aca="false">IF(Frota!$A29="","",Frota!$A29)</f>
        <v/>
      </c>
      <c r="B1303" s="0" t="str">
        <f aca="false">IF(Frota!$A29="","",Frota!$B29)</f>
        <v/>
      </c>
      <c r="C1303" s="0" t="n">
        <v>52</v>
      </c>
      <c r="D1303" s="0" t="n">
        <f aca="false">INDEX(Semanas!$E$3:$E$54,52)</f>
        <v>3</v>
      </c>
      <c r="E1303" s="0" t="str">
        <f aca="false">IF(Frota!$A29="","",Cronograma!BA29)</f>
        <v/>
      </c>
      <c r="F1303" s="0" t="n">
        <f aca="false">IF(OR($E1303="",$E1303=0),0,1)</f>
        <v>0</v>
      </c>
      <c r="G1303" s="0" t="n">
        <f aca="false">IF($F1303=0,0,INDEX(Aux_HH!$D$4:$D$18,MATCH($B1303&amp;"|"&amp;$E1303,Aux_HH!$A$4:$A$18,0)))</f>
        <v>0</v>
      </c>
      <c r="H1303" s="0" t="n">
        <f aca="false">IF($F1303=0,0,INDEX(Aux_HH!$E$4:$E$18,MATCH($B1303&amp;"|"&amp;$E1303,Aux_HH!$A$4:$A$18,0)))</f>
        <v>0</v>
      </c>
      <c r="I1303" s="0" t="n">
        <f aca="false">IF($F1303=0,0,INDEX(Aux_HH!$F$4:$F$18,MATCH($B1303&amp;"|"&amp;$E1303,Aux_HH!$A$4:$A$18,0)))</f>
        <v>0</v>
      </c>
      <c r="J1303" s="0" t="n">
        <f aca="false">IF($F1303=0,0,INDEX(Aux_HH!$G$4:$G$18,MATCH($B1303&amp;"|"&amp;$E1303,Aux_HH!$A$4:$A$18,0)))</f>
        <v>0</v>
      </c>
      <c r="K1303" s="0" t="n">
        <f aca="false">IF($F1303=0,0,INDEX(Aux_HH!$H$4:$H$18,MATCH($B1303&amp;"|"&amp;$E1303,Aux_HH!$A$4:$A$18,0)))</f>
        <v>0</v>
      </c>
      <c r="L1303" s="0" t="n">
        <f aca="false">IF($F1303=0,0,INDEX(Aux_HH!$I$4:$I$18,MATCH($B1303&amp;"|"&amp;$E1303,Aux_HH!$A$4:$A$18,0)))</f>
        <v>0</v>
      </c>
    </row>
    <row r="1304" customFormat="false" ht="15" hidden="false" customHeight="false" outlineLevel="0" collapsed="false">
      <c r="A1304" s="0" t="str">
        <f aca="false">IF(Frota!$A30="","",Frota!$A30)</f>
        <v/>
      </c>
      <c r="B1304" s="0" t="str">
        <f aca="false">IF(Frota!$A30="","",Frota!$B30)</f>
        <v/>
      </c>
      <c r="C1304" s="0" t="n">
        <v>1</v>
      </c>
      <c r="D1304" s="0" t="n">
        <f aca="false">INDEX(Semanas!$E$3:$E$54,1)</f>
        <v>4</v>
      </c>
      <c r="E1304" s="0" t="str">
        <f aca="false">IF(Frota!$A30="","",Cronograma!B30)</f>
        <v/>
      </c>
      <c r="F1304" s="0" t="n">
        <f aca="false">IF(OR($E1304="",$E1304=0),0,1)</f>
        <v>0</v>
      </c>
      <c r="G1304" s="0" t="n">
        <f aca="false">IF($F1304=0,0,INDEX(Aux_HH!$D$4:$D$18,MATCH($B1304&amp;"|"&amp;$E1304,Aux_HH!$A$4:$A$18,0)))</f>
        <v>0</v>
      </c>
      <c r="H1304" s="0" t="n">
        <f aca="false">IF($F1304=0,0,INDEX(Aux_HH!$E$4:$E$18,MATCH($B1304&amp;"|"&amp;$E1304,Aux_HH!$A$4:$A$18,0)))</f>
        <v>0</v>
      </c>
      <c r="I1304" s="0" t="n">
        <f aca="false">IF($F1304=0,0,INDEX(Aux_HH!$F$4:$F$18,MATCH($B1304&amp;"|"&amp;$E1304,Aux_HH!$A$4:$A$18,0)))</f>
        <v>0</v>
      </c>
      <c r="J1304" s="0" t="n">
        <f aca="false">IF($F1304=0,0,INDEX(Aux_HH!$G$4:$G$18,MATCH($B1304&amp;"|"&amp;$E1304,Aux_HH!$A$4:$A$18,0)))</f>
        <v>0</v>
      </c>
      <c r="K1304" s="0" t="n">
        <f aca="false">IF($F1304=0,0,INDEX(Aux_HH!$H$4:$H$18,MATCH($B1304&amp;"|"&amp;$E1304,Aux_HH!$A$4:$A$18,0)))</f>
        <v>0</v>
      </c>
      <c r="L1304" s="0" t="n">
        <f aca="false">IF($F1304=0,0,INDEX(Aux_HH!$I$4:$I$18,MATCH($B1304&amp;"|"&amp;$E1304,Aux_HH!$A$4:$A$18,0)))</f>
        <v>0</v>
      </c>
    </row>
    <row r="1305" customFormat="false" ht="15" hidden="false" customHeight="false" outlineLevel="0" collapsed="false">
      <c r="A1305" s="0" t="str">
        <f aca="false">IF(Frota!$A30="","",Frota!$A30)</f>
        <v/>
      </c>
      <c r="B1305" s="0" t="str">
        <f aca="false">IF(Frota!$A30="","",Frota!$B30)</f>
        <v/>
      </c>
      <c r="C1305" s="0" t="n">
        <v>2</v>
      </c>
      <c r="D1305" s="0" t="n">
        <f aca="false">INDEX(Semanas!$E$3:$E$54,2)</f>
        <v>4</v>
      </c>
      <c r="E1305" s="0" t="str">
        <f aca="false">IF(Frota!$A30="","",Cronograma!C30)</f>
        <v/>
      </c>
      <c r="F1305" s="0" t="n">
        <f aca="false">IF(OR($E1305="",$E1305=0),0,1)</f>
        <v>0</v>
      </c>
      <c r="G1305" s="0" t="n">
        <f aca="false">IF($F1305=0,0,INDEX(Aux_HH!$D$4:$D$18,MATCH($B1305&amp;"|"&amp;$E1305,Aux_HH!$A$4:$A$18,0)))</f>
        <v>0</v>
      </c>
      <c r="H1305" s="0" t="n">
        <f aca="false">IF($F1305=0,0,INDEX(Aux_HH!$E$4:$E$18,MATCH($B1305&amp;"|"&amp;$E1305,Aux_HH!$A$4:$A$18,0)))</f>
        <v>0</v>
      </c>
      <c r="I1305" s="0" t="n">
        <f aca="false">IF($F1305=0,0,INDEX(Aux_HH!$F$4:$F$18,MATCH($B1305&amp;"|"&amp;$E1305,Aux_HH!$A$4:$A$18,0)))</f>
        <v>0</v>
      </c>
      <c r="J1305" s="0" t="n">
        <f aca="false">IF($F1305=0,0,INDEX(Aux_HH!$G$4:$G$18,MATCH($B1305&amp;"|"&amp;$E1305,Aux_HH!$A$4:$A$18,0)))</f>
        <v>0</v>
      </c>
      <c r="K1305" s="0" t="n">
        <f aca="false">IF($F1305=0,0,INDEX(Aux_HH!$H$4:$H$18,MATCH($B1305&amp;"|"&amp;$E1305,Aux_HH!$A$4:$A$18,0)))</f>
        <v>0</v>
      </c>
      <c r="L1305" s="0" t="n">
        <f aca="false">IF($F1305=0,0,INDEX(Aux_HH!$I$4:$I$18,MATCH($B1305&amp;"|"&amp;$E1305,Aux_HH!$A$4:$A$18,0)))</f>
        <v>0</v>
      </c>
    </row>
    <row r="1306" customFormat="false" ht="15" hidden="false" customHeight="false" outlineLevel="0" collapsed="false">
      <c r="A1306" s="0" t="str">
        <f aca="false">IF(Frota!$A30="","",Frota!$A30)</f>
        <v/>
      </c>
      <c r="B1306" s="0" t="str">
        <f aca="false">IF(Frota!$A30="","",Frota!$B30)</f>
        <v/>
      </c>
      <c r="C1306" s="0" t="n">
        <v>3</v>
      </c>
      <c r="D1306" s="0" t="n">
        <f aca="false">INDEX(Semanas!$E$3:$E$54,3)</f>
        <v>4</v>
      </c>
      <c r="E1306" s="0" t="str">
        <f aca="false">IF(Frota!$A30="","",Cronograma!D30)</f>
        <v/>
      </c>
      <c r="F1306" s="0" t="n">
        <f aca="false">IF(OR($E1306="",$E1306=0),0,1)</f>
        <v>0</v>
      </c>
      <c r="G1306" s="0" t="n">
        <f aca="false">IF($F1306=0,0,INDEX(Aux_HH!$D$4:$D$18,MATCH($B1306&amp;"|"&amp;$E1306,Aux_HH!$A$4:$A$18,0)))</f>
        <v>0</v>
      </c>
      <c r="H1306" s="0" t="n">
        <f aca="false">IF($F1306=0,0,INDEX(Aux_HH!$E$4:$E$18,MATCH($B1306&amp;"|"&amp;$E1306,Aux_HH!$A$4:$A$18,0)))</f>
        <v>0</v>
      </c>
      <c r="I1306" s="0" t="n">
        <f aca="false">IF($F1306=0,0,INDEX(Aux_HH!$F$4:$F$18,MATCH($B1306&amp;"|"&amp;$E1306,Aux_HH!$A$4:$A$18,0)))</f>
        <v>0</v>
      </c>
      <c r="J1306" s="0" t="n">
        <f aca="false">IF($F1306=0,0,INDEX(Aux_HH!$G$4:$G$18,MATCH($B1306&amp;"|"&amp;$E1306,Aux_HH!$A$4:$A$18,0)))</f>
        <v>0</v>
      </c>
      <c r="K1306" s="0" t="n">
        <f aca="false">IF($F1306=0,0,INDEX(Aux_HH!$H$4:$H$18,MATCH($B1306&amp;"|"&amp;$E1306,Aux_HH!$A$4:$A$18,0)))</f>
        <v>0</v>
      </c>
      <c r="L1306" s="0" t="n">
        <f aca="false">IF($F1306=0,0,INDEX(Aux_HH!$I$4:$I$18,MATCH($B1306&amp;"|"&amp;$E1306,Aux_HH!$A$4:$A$18,0)))</f>
        <v>0</v>
      </c>
    </row>
    <row r="1307" customFormat="false" ht="15" hidden="false" customHeight="false" outlineLevel="0" collapsed="false">
      <c r="A1307" s="0" t="str">
        <f aca="false">IF(Frota!$A30="","",Frota!$A30)</f>
        <v/>
      </c>
      <c r="B1307" s="0" t="str">
        <f aca="false">IF(Frota!$A30="","",Frota!$B30)</f>
        <v/>
      </c>
      <c r="C1307" s="0" t="n">
        <v>4</v>
      </c>
      <c r="D1307" s="0" t="n">
        <f aca="false">INDEX(Semanas!$E$3:$E$54,4)</f>
        <v>4</v>
      </c>
      <c r="E1307" s="0" t="str">
        <f aca="false">IF(Frota!$A30="","",Cronograma!E30)</f>
        <v/>
      </c>
      <c r="F1307" s="0" t="n">
        <f aca="false">IF(OR($E1307="",$E1307=0),0,1)</f>
        <v>0</v>
      </c>
      <c r="G1307" s="0" t="n">
        <f aca="false">IF($F1307=0,0,INDEX(Aux_HH!$D$4:$D$18,MATCH($B1307&amp;"|"&amp;$E1307,Aux_HH!$A$4:$A$18,0)))</f>
        <v>0</v>
      </c>
      <c r="H1307" s="0" t="n">
        <f aca="false">IF($F1307=0,0,INDEX(Aux_HH!$E$4:$E$18,MATCH($B1307&amp;"|"&amp;$E1307,Aux_HH!$A$4:$A$18,0)))</f>
        <v>0</v>
      </c>
      <c r="I1307" s="0" t="n">
        <f aca="false">IF($F1307=0,0,INDEX(Aux_HH!$F$4:$F$18,MATCH($B1307&amp;"|"&amp;$E1307,Aux_HH!$A$4:$A$18,0)))</f>
        <v>0</v>
      </c>
      <c r="J1307" s="0" t="n">
        <f aca="false">IF($F1307=0,0,INDEX(Aux_HH!$G$4:$G$18,MATCH($B1307&amp;"|"&amp;$E1307,Aux_HH!$A$4:$A$18,0)))</f>
        <v>0</v>
      </c>
      <c r="K1307" s="0" t="n">
        <f aca="false">IF($F1307=0,0,INDEX(Aux_HH!$H$4:$H$18,MATCH($B1307&amp;"|"&amp;$E1307,Aux_HH!$A$4:$A$18,0)))</f>
        <v>0</v>
      </c>
      <c r="L1307" s="0" t="n">
        <f aca="false">IF($F1307=0,0,INDEX(Aux_HH!$I$4:$I$18,MATCH($B1307&amp;"|"&amp;$E1307,Aux_HH!$A$4:$A$18,0)))</f>
        <v>0</v>
      </c>
    </row>
    <row r="1308" customFormat="false" ht="15" hidden="false" customHeight="false" outlineLevel="0" collapsed="false">
      <c r="A1308" s="0" t="str">
        <f aca="false">IF(Frota!$A30="","",Frota!$A30)</f>
        <v/>
      </c>
      <c r="B1308" s="0" t="str">
        <f aca="false">IF(Frota!$A30="","",Frota!$B30)</f>
        <v/>
      </c>
      <c r="C1308" s="0" t="n">
        <v>5</v>
      </c>
      <c r="D1308" s="0" t="n">
        <f aca="false">INDEX(Semanas!$E$3:$E$54,5)</f>
        <v>4</v>
      </c>
      <c r="E1308" s="0" t="str">
        <f aca="false">IF(Frota!$A30="","",Cronograma!F30)</f>
        <v/>
      </c>
      <c r="F1308" s="0" t="n">
        <f aca="false">IF(OR($E1308="",$E1308=0),0,1)</f>
        <v>0</v>
      </c>
      <c r="G1308" s="0" t="n">
        <f aca="false">IF($F1308=0,0,INDEX(Aux_HH!$D$4:$D$18,MATCH($B1308&amp;"|"&amp;$E1308,Aux_HH!$A$4:$A$18,0)))</f>
        <v>0</v>
      </c>
      <c r="H1308" s="0" t="n">
        <f aca="false">IF($F1308=0,0,INDEX(Aux_HH!$E$4:$E$18,MATCH($B1308&amp;"|"&amp;$E1308,Aux_HH!$A$4:$A$18,0)))</f>
        <v>0</v>
      </c>
      <c r="I1308" s="0" t="n">
        <f aca="false">IF($F1308=0,0,INDEX(Aux_HH!$F$4:$F$18,MATCH($B1308&amp;"|"&amp;$E1308,Aux_HH!$A$4:$A$18,0)))</f>
        <v>0</v>
      </c>
      <c r="J1308" s="0" t="n">
        <f aca="false">IF($F1308=0,0,INDEX(Aux_HH!$G$4:$G$18,MATCH($B1308&amp;"|"&amp;$E1308,Aux_HH!$A$4:$A$18,0)))</f>
        <v>0</v>
      </c>
      <c r="K1308" s="0" t="n">
        <f aca="false">IF($F1308=0,0,INDEX(Aux_HH!$H$4:$H$18,MATCH($B1308&amp;"|"&amp;$E1308,Aux_HH!$A$4:$A$18,0)))</f>
        <v>0</v>
      </c>
      <c r="L1308" s="0" t="n">
        <f aca="false">IF($F1308=0,0,INDEX(Aux_HH!$I$4:$I$18,MATCH($B1308&amp;"|"&amp;$E1308,Aux_HH!$A$4:$A$18,0)))</f>
        <v>0</v>
      </c>
    </row>
    <row r="1309" customFormat="false" ht="15" hidden="false" customHeight="false" outlineLevel="0" collapsed="false">
      <c r="A1309" s="0" t="str">
        <f aca="false">IF(Frota!$A30="","",Frota!$A30)</f>
        <v/>
      </c>
      <c r="B1309" s="0" t="str">
        <f aca="false">IF(Frota!$A30="","",Frota!$B30)</f>
        <v/>
      </c>
      <c r="C1309" s="0" t="n">
        <v>6</v>
      </c>
      <c r="D1309" s="0" t="n">
        <f aca="false">INDEX(Semanas!$E$3:$E$54,6)</f>
        <v>5</v>
      </c>
      <c r="E1309" s="0" t="str">
        <f aca="false">IF(Frota!$A30="","",Cronograma!G30)</f>
        <v/>
      </c>
      <c r="F1309" s="0" t="n">
        <f aca="false">IF(OR($E1309="",$E1309=0),0,1)</f>
        <v>0</v>
      </c>
      <c r="G1309" s="0" t="n">
        <f aca="false">IF($F1309=0,0,INDEX(Aux_HH!$D$4:$D$18,MATCH($B1309&amp;"|"&amp;$E1309,Aux_HH!$A$4:$A$18,0)))</f>
        <v>0</v>
      </c>
      <c r="H1309" s="0" t="n">
        <f aca="false">IF($F1309=0,0,INDEX(Aux_HH!$E$4:$E$18,MATCH($B1309&amp;"|"&amp;$E1309,Aux_HH!$A$4:$A$18,0)))</f>
        <v>0</v>
      </c>
      <c r="I1309" s="0" t="n">
        <f aca="false">IF($F1309=0,0,INDEX(Aux_HH!$F$4:$F$18,MATCH($B1309&amp;"|"&amp;$E1309,Aux_HH!$A$4:$A$18,0)))</f>
        <v>0</v>
      </c>
      <c r="J1309" s="0" t="n">
        <f aca="false">IF($F1309=0,0,INDEX(Aux_HH!$G$4:$G$18,MATCH($B1309&amp;"|"&amp;$E1309,Aux_HH!$A$4:$A$18,0)))</f>
        <v>0</v>
      </c>
      <c r="K1309" s="0" t="n">
        <f aca="false">IF($F1309=0,0,INDEX(Aux_HH!$H$4:$H$18,MATCH($B1309&amp;"|"&amp;$E1309,Aux_HH!$A$4:$A$18,0)))</f>
        <v>0</v>
      </c>
      <c r="L1309" s="0" t="n">
        <f aca="false">IF($F1309=0,0,INDEX(Aux_HH!$I$4:$I$18,MATCH($B1309&amp;"|"&amp;$E1309,Aux_HH!$A$4:$A$18,0)))</f>
        <v>0</v>
      </c>
    </row>
    <row r="1310" customFormat="false" ht="15" hidden="false" customHeight="false" outlineLevel="0" collapsed="false">
      <c r="A1310" s="0" t="str">
        <f aca="false">IF(Frota!$A30="","",Frota!$A30)</f>
        <v/>
      </c>
      <c r="B1310" s="0" t="str">
        <f aca="false">IF(Frota!$A30="","",Frota!$B30)</f>
        <v/>
      </c>
      <c r="C1310" s="0" t="n">
        <v>7</v>
      </c>
      <c r="D1310" s="0" t="n">
        <f aca="false">INDEX(Semanas!$E$3:$E$54,7)</f>
        <v>5</v>
      </c>
      <c r="E1310" s="0" t="str">
        <f aca="false">IF(Frota!$A30="","",Cronograma!H30)</f>
        <v/>
      </c>
      <c r="F1310" s="0" t="n">
        <f aca="false">IF(OR($E1310="",$E1310=0),0,1)</f>
        <v>0</v>
      </c>
      <c r="G1310" s="0" t="n">
        <f aca="false">IF($F1310=0,0,INDEX(Aux_HH!$D$4:$D$18,MATCH($B1310&amp;"|"&amp;$E1310,Aux_HH!$A$4:$A$18,0)))</f>
        <v>0</v>
      </c>
      <c r="H1310" s="0" t="n">
        <f aca="false">IF($F1310=0,0,INDEX(Aux_HH!$E$4:$E$18,MATCH($B1310&amp;"|"&amp;$E1310,Aux_HH!$A$4:$A$18,0)))</f>
        <v>0</v>
      </c>
      <c r="I1310" s="0" t="n">
        <f aca="false">IF($F1310=0,0,INDEX(Aux_HH!$F$4:$F$18,MATCH($B1310&amp;"|"&amp;$E1310,Aux_HH!$A$4:$A$18,0)))</f>
        <v>0</v>
      </c>
      <c r="J1310" s="0" t="n">
        <f aca="false">IF($F1310=0,0,INDEX(Aux_HH!$G$4:$G$18,MATCH($B1310&amp;"|"&amp;$E1310,Aux_HH!$A$4:$A$18,0)))</f>
        <v>0</v>
      </c>
      <c r="K1310" s="0" t="n">
        <f aca="false">IF($F1310=0,0,INDEX(Aux_HH!$H$4:$H$18,MATCH($B1310&amp;"|"&amp;$E1310,Aux_HH!$A$4:$A$18,0)))</f>
        <v>0</v>
      </c>
      <c r="L1310" s="0" t="n">
        <f aca="false">IF($F1310=0,0,INDEX(Aux_HH!$I$4:$I$18,MATCH($B1310&amp;"|"&amp;$E1310,Aux_HH!$A$4:$A$18,0)))</f>
        <v>0</v>
      </c>
    </row>
    <row r="1311" customFormat="false" ht="15" hidden="false" customHeight="false" outlineLevel="0" collapsed="false">
      <c r="A1311" s="0" t="str">
        <f aca="false">IF(Frota!$A30="","",Frota!$A30)</f>
        <v/>
      </c>
      <c r="B1311" s="0" t="str">
        <f aca="false">IF(Frota!$A30="","",Frota!$B30)</f>
        <v/>
      </c>
      <c r="C1311" s="0" t="n">
        <v>8</v>
      </c>
      <c r="D1311" s="0" t="n">
        <f aca="false">INDEX(Semanas!$E$3:$E$54,8)</f>
        <v>5</v>
      </c>
      <c r="E1311" s="0" t="str">
        <f aca="false">IF(Frota!$A30="","",Cronograma!I30)</f>
        <v/>
      </c>
      <c r="F1311" s="0" t="n">
        <f aca="false">IF(OR($E1311="",$E1311=0),0,1)</f>
        <v>0</v>
      </c>
      <c r="G1311" s="0" t="n">
        <f aca="false">IF($F1311=0,0,INDEX(Aux_HH!$D$4:$D$18,MATCH($B1311&amp;"|"&amp;$E1311,Aux_HH!$A$4:$A$18,0)))</f>
        <v>0</v>
      </c>
      <c r="H1311" s="0" t="n">
        <f aca="false">IF($F1311=0,0,INDEX(Aux_HH!$E$4:$E$18,MATCH($B1311&amp;"|"&amp;$E1311,Aux_HH!$A$4:$A$18,0)))</f>
        <v>0</v>
      </c>
      <c r="I1311" s="0" t="n">
        <f aca="false">IF($F1311=0,0,INDEX(Aux_HH!$F$4:$F$18,MATCH($B1311&amp;"|"&amp;$E1311,Aux_HH!$A$4:$A$18,0)))</f>
        <v>0</v>
      </c>
      <c r="J1311" s="0" t="n">
        <f aca="false">IF($F1311=0,0,INDEX(Aux_HH!$G$4:$G$18,MATCH($B1311&amp;"|"&amp;$E1311,Aux_HH!$A$4:$A$18,0)))</f>
        <v>0</v>
      </c>
      <c r="K1311" s="0" t="n">
        <f aca="false">IF($F1311=0,0,INDEX(Aux_HH!$H$4:$H$18,MATCH($B1311&amp;"|"&amp;$E1311,Aux_HH!$A$4:$A$18,0)))</f>
        <v>0</v>
      </c>
      <c r="L1311" s="0" t="n">
        <f aca="false">IF($F1311=0,0,INDEX(Aux_HH!$I$4:$I$18,MATCH($B1311&amp;"|"&amp;$E1311,Aux_HH!$A$4:$A$18,0)))</f>
        <v>0</v>
      </c>
    </row>
    <row r="1312" customFormat="false" ht="15" hidden="false" customHeight="false" outlineLevel="0" collapsed="false">
      <c r="A1312" s="0" t="str">
        <f aca="false">IF(Frota!$A30="","",Frota!$A30)</f>
        <v/>
      </c>
      <c r="B1312" s="0" t="str">
        <f aca="false">IF(Frota!$A30="","",Frota!$B30)</f>
        <v/>
      </c>
      <c r="C1312" s="0" t="n">
        <v>9</v>
      </c>
      <c r="D1312" s="0" t="n">
        <f aca="false">INDEX(Semanas!$E$3:$E$54,9)</f>
        <v>5</v>
      </c>
      <c r="E1312" s="0" t="str">
        <f aca="false">IF(Frota!$A30="","",Cronograma!J30)</f>
        <v/>
      </c>
      <c r="F1312" s="0" t="n">
        <f aca="false">IF(OR($E1312="",$E1312=0),0,1)</f>
        <v>0</v>
      </c>
      <c r="G1312" s="0" t="n">
        <f aca="false">IF($F1312=0,0,INDEX(Aux_HH!$D$4:$D$18,MATCH($B1312&amp;"|"&amp;$E1312,Aux_HH!$A$4:$A$18,0)))</f>
        <v>0</v>
      </c>
      <c r="H1312" s="0" t="n">
        <f aca="false">IF($F1312=0,0,INDEX(Aux_HH!$E$4:$E$18,MATCH($B1312&amp;"|"&amp;$E1312,Aux_HH!$A$4:$A$18,0)))</f>
        <v>0</v>
      </c>
      <c r="I1312" s="0" t="n">
        <f aca="false">IF($F1312=0,0,INDEX(Aux_HH!$F$4:$F$18,MATCH($B1312&amp;"|"&amp;$E1312,Aux_HH!$A$4:$A$18,0)))</f>
        <v>0</v>
      </c>
      <c r="J1312" s="0" t="n">
        <f aca="false">IF($F1312=0,0,INDEX(Aux_HH!$G$4:$G$18,MATCH($B1312&amp;"|"&amp;$E1312,Aux_HH!$A$4:$A$18,0)))</f>
        <v>0</v>
      </c>
      <c r="K1312" s="0" t="n">
        <f aca="false">IF($F1312=0,0,INDEX(Aux_HH!$H$4:$H$18,MATCH($B1312&amp;"|"&amp;$E1312,Aux_HH!$A$4:$A$18,0)))</f>
        <v>0</v>
      </c>
      <c r="L1312" s="0" t="n">
        <f aca="false">IF($F1312=0,0,INDEX(Aux_HH!$I$4:$I$18,MATCH($B1312&amp;"|"&amp;$E1312,Aux_HH!$A$4:$A$18,0)))</f>
        <v>0</v>
      </c>
    </row>
    <row r="1313" customFormat="false" ht="15" hidden="false" customHeight="false" outlineLevel="0" collapsed="false">
      <c r="A1313" s="0" t="str">
        <f aca="false">IF(Frota!$A30="","",Frota!$A30)</f>
        <v/>
      </c>
      <c r="B1313" s="0" t="str">
        <f aca="false">IF(Frota!$A30="","",Frota!$B30)</f>
        <v/>
      </c>
      <c r="C1313" s="0" t="n">
        <v>10</v>
      </c>
      <c r="D1313" s="0" t="n">
        <f aca="false">INDEX(Semanas!$E$3:$E$54,10)</f>
        <v>6</v>
      </c>
      <c r="E1313" s="0" t="str">
        <f aca="false">IF(Frota!$A30="","",Cronograma!K30)</f>
        <v/>
      </c>
      <c r="F1313" s="0" t="n">
        <f aca="false">IF(OR($E1313="",$E1313=0),0,1)</f>
        <v>0</v>
      </c>
      <c r="G1313" s="0" t="n">
        <f aca="false">IF($F1313=0,0,INDEX(Aux_HH!$D$4:$D$18,MATCH($B1313&amp;"|"&amp;$E1313,Aux_HH!$A$4:$A$18,0)))</f>
        <v>0</v>
      </c>
      <c r="H1313" s="0" t="n">
        <f aca="false">IF($F1313=0,0,INDEX(Aux_HH!$E$4:$E$18,MATCH($B1313&amp;"|"&amp;$E1313,Aux_HH!$A$4:$A$18,0)))</f>
        <v>0</v>
      </c>
      <c r="I1313" s="0" t="n">
        <f aca="false">IF($F1313=0,0,INDEX(Aux_HH!$F$4:$F$18,MATCH($B1313&amp;"|"&amp;$E1313,Aux_HH!$A$4:$A$18,0)))</f>
        <v>0</v>
      </c>
      <c r="J1313" s="0" t="n">
        <f aca="false">IF($F1313=0,0,INDEX(Aux_HH!$G$4:$G$18,MATCH($B1313&amp;"|"&amp;$E1313,Aux_HH!$A$4:$A$18,0)))</f>
        <v>0</v>
      </c>
      <c r="K1313" s="0" t="n">
        <f aca="false">IF($F1313=0,0,INDEX(Aux_HH!$H$4:$H$18,MATCH($B1313&amp;"|"&amp;$E1313,Aux_HH!$A$4:$A$18,0)))</f>
        <v>0</v>
      </c>
      <c r="L1313" s="0" t="n">
        <f aca="false">IF($F1313=0,0,INDEX(Aux_HH!$I$4:$I$18,MATCH($B1313&amp;"|"&amp;$E1313,Aux_HH!$A$4:$A$18,0)))</f>
        <v>0</v>
      </c>
    </row>
    <row r="1314" customFormat="false" ht="15" hidden="false" customHeight="false" outlineLevel="0" collapsed="false">
      <c r="A1314" s="0" t="str">
        <f aca="false">IF(Frota!$A30="","",Frota!$A30)</f>
        <v/>
      </c>
      <c r="B1314" s="0" t="str">
        <f aca="false">IF(Frota!$A30="","",Frota!$B30)</f>
        <v/>
      </c>
      <c r="C1314" s="0" t="n">
        <v>11</v>
      </c>
      <c r="D1314" s="0" t="n">
        <f aca="false">INDEX(Semanas!$E$3:$E$54,11)</f>
        <v>6</v>
      </c>
      <c r="E1314" s="0" t="str">
        <f aca="false">IF(Frota!$A30="","",Cronograma!L30)</f>
        <v/>
      </c>
      <c r="F1314" s="0" t="n">
        <f aca="false">IF(OR($E1314="",$E1314=0),0,1)</f>
        <v>0</v>
      </c>
      <c r="G1314" s="0" t="n">
        <f aca="false">IF($F1314=0,0,INDEX(Aux_HH!$D$4:$D$18,MATCH($B1314&amp;"|"&amp;$E1314,Aux_HH!$A$4:$A$18,0)))</f>
        <v>0</v>
      </c>
      <c r="H1314" s="0" t="n">
        <f aca="false">IF($F1314=0,0,INDEX(Aux_HH!$E$4:$E$18,MATCH($B1314&amp;"|"&amp;$E1314,Aux_HH!$A$4:$A$18,0)))</f>
        <v>0</v>
      </c>
      <c r="I1314" s="0" t="n">
        <f aca="false">IF($F1314=0,0,INDEX(Aux_HH!$F$4:$F$18,MATCH($B1314&amp;"|"&amp;$E1314,Aux_HH!$A$4:$A$18,0)))</f>
        <v>0</v>
      </c>
      <c r="J1314" s="0" t="n">
        <f aca="false">IF($F1314=0,0,INDEX(Aux_HH!$G$4:$G$18,MATCH($B1314&amp;"|"&amp;$E1314,Aux_HH!$A$4:$A$18,0)))</f>
        <v>0</v>
      </c>
      <c r="K1314" s="0" t="n">
        <f aca="false">IF($F1314=0,0,INDEX(Aux_HH!$H$4:$H$18,MATCH($B1314&amp;"|"&amp;$E1314,Aux_HH!$A$4:$A$18,0)))</f>
        <v>0</v>
      </c>
      <c r="L1314" s="0" t="n">
        <f aca="false">IF($F1314=0,0,INDEX(Aux_HH!$I$4:$I$18,MATCH($B1314&amp;"|"&amp;$E1314,Aux_HH!$A$4:$A$18,0)))</f>
        <v>0</v>
      </c>
    </row>
    <row r="1315" customFormat="false" ht="15" hidden="false" customHeight="false" outlineLevel="0" collapsed="false">
      <c r="A1315" s="0" t="str">
        <f aca="false">IF(Frota!$A30="","",Frota!$A30)</f>
        <v/>
      </c>
      <c r="B1315" s="0" t="str">
        <f aca="false">IF(Frota!$A30="","",Frota!$B30)</f>
        <v/>
      </c>
      <c r="C1315" s="0" t="n">
        <v>12</v>
      </c>
      <c r="D1315" s="0" t="n">
        <f aca="false">INDEX(Semanas!$E$3:$E$54,12)</f>
        <v>6</v>
      </c>
      <c r="E1315" s="0" t="str">
        <f aca="false">IF(Frota!$A30="","",Cronograma!M30)</f>
        <v/>
      </c>
      <c r="F1315" s="0" t="n">
        <f aca="false">IF(OR($E1315="",$E1315=0),0,1)</f>
        <v>0</v>
      </c>
      <c r="G1315" s="0" t="n">
        <f aca="false">IF($F1315=0,0,INDEX(Aux_HH!$D$4:$D$18,MATCH($B1315&amp;"|"&amp;$E1315,Aux_HH!$A$4:$A$18,0)))</f>
        <v>0</v>
      </c>
      <c r="H1315" s="0" t="n">
        <f aca="false">IF($F1315=0,0,INDEX(Aux_HH!$E$4:$E$18,MATCH($B1315&amp;"|"&amp;$E1315,Aux_HH!$A$4:$A$18,0)))</f>
        <v>0</v>
      </c>
      <c r="I1315" s="0" t="n">
        <f aca="false">IF($F1315=0,0,INDEX(Aux_HH!$F$4:$F$18,MATCH($B1315&amp;"|"&amp;$E1315,Aux_HH!$A$4:$A$18,0)))</f>
        <v>0</v>
      </c>
      <c r="J1315" s="0" t="n">
        <f aca="false">IF($F1315=0,0,INDEX(Aux_HH!$G$4:$G$18,MATCH($B1315&amp;"|"&amp;$E1315,Aux_HH!$A$4:$A$18,0)))</f>
        <v>0</v>
      </c>
      <c r="K1315" s="0" t="n">
        <f aca="false">IF($F1315=0,0,INDEX(Aux_HH!$H$4:$H$18,MATCH($B1315&amp;"|"&amp;$E1315,Aux_HH!$A$4:$A$18,0)))</f>
        <v>0</v>
      </c>
      <c r="L1315" s="0" t="n">
        <f aca="false">IF($F1315=0,0,INDEX(Aux_HH!$I$4:$I$18,MATCH($B1315&amp;"|"&amp;$E1315,Aux_HH!$A$4:$A$18,0)))</f>
        <v>0</v>
      </c>
    </row>
    <row r="1316" customFormat="false" ht="15" hidden="false" customHeight="false" outlineLevel="0" collapsed="false">
      <c r="A1316" s="0" t="str">
        <f aca="false">IF(Frota!$A30="","",Frota!$A30)</f>
        <v/>
      </c>
      <c r="B1316" s="0" t="str">
        <f aca="false">IF(Frota!$A30="","",Frota!$B30)</f>
        <v/>
      </c>
      <c r="C1316" s="0" t="n">
        <v>13</v>
      </c>
      <c r="D1316" s="0" t="n">
        <f aca="false">INDEX(Semanas!$E$3:$E$54,13)</f>
        <v>6</v>
      </c>
      <c r="E1316" s="0" t="str">
        <f aca="false">IF(Frota!$A30="","",Cronograma!N30)</f>
        <v/>
      </c>
      <c r="F1316" s="0" t="n">
        <f aca="false">IF(OR($E1316="",$E1316=0),0,1)</f>
        <v>0</v>
      </c>
      <c r="G1316" s="0" t="n">
        <f aca="false">IF($F1316=0,0,INDEX(Aux_HH!$D$4:$D$18,MATCH($B1316&amp;"|"&amp;$E1316,Aux_HH!$A$4:$A$18,0)))</f>
        <v>0</v>
      </c>
      <c r="H1316" s="0" t="n">
        <f aca="false">IF($F1316=0,0,INDEX(Aux_HH!$E$4:$E$18,MATCH($B1316&amp;"|"&amp;$E1316,Aux_HH!$A$4:$A$18,0)))</f>
        <v>0</v>
      </c>
      <c r="I1316" s="0" t="n">
        <f aca="false">IF($F1316=0,0,INDEX(Aux_HH!$F$4:$F$18,MATCH($B1316&amp;"|"&amp;$E1316,Aux_HH!$A$4:$A$18,0)))</f>
        <v>0</v>
      </c>
      <c r="J1316" s="0" t="n">
        <f aca="false">IF($F1316=0,0,INDEX(Aux_HH!$G$4:$G$18,MATCH($B1316&amp;"|"&amp;$E1316,Aux_HH!$A$4:$A$18,0)))</f>
        <v>0</v>
      </c>
      <c r="K1316" s="0" t="n">
        <f aca="false">IF($F1316=0,0,INDEX(Aux_HH!$H$4:$H$18,MATCH($B1316&amp;"|"&amp;$E1316,Aux_HH!$A$4:$A$18,0)))</f>
        <v>0</v>
      </c>
      <c r="L1316" s="0" t="n">
        <f aca="false">IF($F1316=0,0,INDEX(Aux_HH!$I$4:$I$18,MATCH($B1316&amp;"|"&amp;$E1316,Aux_HH!$A$4:$A$18,0)))</f>
        <v>0</v>
      </c>
    </row>
    <row r="1317" customFormat="false" ht="15" hidden="false" customHeight="false" outlineLevel="0" collapsed="false">
      <c r="A1317" s="0" t="str">
        <f aca="false">IF(Frota!$A30="","",Frota!$A30)</f>
        <v/>
      </c>
      <c r="B1317" s="0" t="str">
        <f aca="false">IF(Frota!$A30="","",Frota!$B30)</f>
        <v/>
      </c>
      <c r="C1317" s="0" t="n">
        <v>14</v>
      </c>
      <c r="D1317" s="0" t="n">
        <f aca="false">INDEX(Semanas!$E$3:$E$54,14)</f>
        <v>7</v>
      </c>
      <c r="E1317" s="0" t="str">
        <f aca="false">IF(Frota!$A30="","",Cronograma!O30)</f>
        <v/>
      </c>
      <c r="F1317" s="0" t="n">
        <f aca="false">IF(OR($E1317="",$E1317=0),0,1)</f>
        <v>0</v>
      </c>
      <c r="G1317" s="0" t="n">
        <f aca="false">IF($F1317=0,0,INDEX(Aux_HH!$D$4:$D$18,MATCH($B1317&amp;"|"&amp;$E1317,Aux_HH!$A$4:$A$18,0)))</f>
        <v>0</v>
      </c>
      <c r="H1317" s="0" t="n">
        <f aca="false">IF($F1317=0,0,INDEX(Aux_HH!$E$4:$E$18,MATCH($B1317&amp;"|"&amp;$E1317,Aux_HH!$A$4:$A$18,0)))</f>
        <v>0</v>
      </c>
      <c r="I1317" s="0" t="n">
        <f aca="false">IF($F1317=0,0,INDEX(Aux_HH!$F$4:$F$18,MATCH($B1317&amp;"|"&amp;$E1317,Aux_HH!$A$4:$A$18,0)))</f>
        <v>0</v>
      </c>
      <c r="J1317" s="0" t="n">
        <f aca="false">IF($F1317=0,0,INDEX(Aux_HH!$G$4:$G$18,MATCH($B1317&amp;"|"&amp;$E1317,Aux_HH!$A$4:$A$18,0)))</f>
        <v>0</v>
      </c>
      <c r="K1317" s="0" t="n">
        <f aca="false">IF($F1317=0,0,INDEX(Aux_HH!$H$4:$H$18,MATCH($B1317&amp;"|"&amp;$E1317,Aux_HH!$A$4:$A$18,0)))</f>
        <v>0</v>
      </c>
      <c r="L1317" s="0" t="n">
        <f aca="false">IF($F1317=0,0,INDEX(Aux_HH!$I$4:$I$18,MATCH($B1317&amp;"|"&amp;$E1317,Aux_HH!$A$4:$A$18,0)))</f>
        <v>0</v>
      </c>
    </row>
    <row r="1318" customFormat="false" ht="15" hidden="false" customHeight="false" outlineLevel="0" collapsed="false">
      <c r="A1318" s="0" t="str">
        <f aca="false">IF(Frota!$A30="","",Frota!$A30)</f>
        <v/>
      </c>
      <c r="B1318" s="0" t="str">
        <f aca="false">IF(Frota!$A30="","",Frota!$B30)</f>
        <v/>
      </c>
      <c r="C1318" s="0" t="n">
        <v>15</v>
      </c>
      <c r="D1318" s="0" t="n">
        <f aca="false">INDEX(Semanas!$E$3:$E$54,15)</f>
        <v>7</v>
      </c>
      <c r="E1318" s="0" t="str">
        <f aca="false">IF(Frota!$A30="","",Cronograma!P30)</f>
        <v/>
      </c>
      <c r="F1318" s="0" t="n">
        <f aca="false">IF(OR($E1318="",$E1318=0),0,1)</f>
        <v>0</v>
      </c>
      <c r="G1318" s="0" t="n">
        <f aca="false">IF($F1318=0,0,INDEX(Aux_HH!$D$4:$D$18,MATCH($B1318&amp;"|"&amp;$E1318,Aux_HH!$A$4:$A$18,0)))</f>
        <v>0</v>
      </c>
      <c r="H1318" s="0" t="n">
        <f aca="false">IF($F1318=0,0,INDEX(Aux_HH!$E$4:$E$18,MATCH($B1318&amp;"|"&amp;$E1318,Aux_HH!$A$4:$A$18,0)))</f>
        <v>0</v>
      </c>
      <c r="I1318" s="0" t="n">
        <f aca="false">IF($F1318=0,0,INDEX(Aux_HH!$F$4:$F$18,MATCH($B1318&amp;"|"&amp;$E1318,Aux_HH!$A$4:$A$18,0)))</f>
        <v>0</v>
      </c>
      <c r="J1318" s="0" t="n">
        <f aca="false">IF($F1318=0,0,INDEX(Aux_HH!$G$4:$G$18,MATCH($B1318&amp;"|"&amp;$E1318,Aux_HH!$A$4:$A$18,0)))</f>
        <v>0</v>
      </c>
      <c r="K1318" s="0" t="n">
        <f aca="false">IF($F1318=0,0,INDEX(Aux_HH!$H$4:$H$18,MATCH($B1318&amp;"|"&amp;$E1318,Aux_HH!$A$4:$A$18,0)))</f>
        <v>0</v>
      </c>
      <c r="L1318" s="0" t="n">
        <f aca="false">IF($F1318=0,0,INDEX(Aux_HH!$I$4:$I$18,MATCH($B1318&amp;"|"&amp;$E1318,Aux_HH!$A$4:$A$18,0)))</f>
        <v>0</v>
      </c>
    </row>
    <row r="1319" customFormat="false" ht="15" hidden="false" customHeight="false" outlineLevel="0" collapsed="false">
      <c r="A1319" s="0" t="str">
        <f aca="false">IF(Frota!$A30="","",Frota!$A30)</f>
        <v/>
      </c>
      <c r="B1319" s="0" t="str">
        <f aca="false">IF(Frota!$A30="","",Frota!$B30)</f>
        <v/>
      </c>
      <c r="C1319" s="0" t="n">
        <v>16</v>
      </c>
      <c r="D1319" s="0" t="n">
        <f aca="false">INDEX(Semanas!$E$3:$E$54,16)</f>
        <v>7</v>
      </c>
      <c r="E1319" s="0" t="str">
        <f aca="false">IF(Frota!$A30="","",Cronograma!Q30)</f>
        <v/>
      </c>
      <c r="F1319" s="0" t="n">
        <f aca="false">IF(OR($E1319="",$E1319=0),0,1)</f>
        <v>0</v>
      </c>
      <c r="G1319" s="0" t="n">
        <f aca="false">IF($F1319=0,0,INDEX(Aux_HH!$D$4:$D$18,MATCH($B1319&amp;"|"&amp;$E1319,Aux_HH!$A$4:$A$18,0)))</f>
        <v>0</v>
      </c>
      <c r="H1319" s="0" t="n">
        <f aca="false">IF($F1319=0,0,INDEX(Aux_HH!$E$4:$E$18,MATCH($B1319&amp;"|"&amp;$E1319,Aux_HH!$A$4:$A$18,0)))</f>
        <v>0</v>
      </c>
      <c r="I1319" s="0" t="n">
        <f aca="false">IF($F1319=0,0,INDEX(Aux_HH!$F$4:$F$18,MATCH($B1319&amp;"|"&amp;$E1319,Aux_HH!$A$4:$A$18,0)))</f>
        <v>0</v>
      </c>
      <c r="J1319" s="0" t="n">
        <f aca="false">IF($F1319=0,0,INDEX(Aux_HH!$G$4:$G$18,MATCH($B1319&amp;"|"&amp;$E1319,Aux_HH!$A$4:$A$18,0)))</f>
        <v>0</v>
      </c>
      <c r="K1319" s="0" t="n">
        <f aca="false">IF($F1319=0,0,INDEX(Aux_HH!$H$4:$H$18,MATCH($B1319&amp;"|"&amp;$E1319,Aux_HH!$A$4:$A$18,0)))</f>
        <v>0</v>
      </c>
      <c r="L1319" s="0" t="n">
        <f aca="false">IF($F1319=0,0,INDEX(Aux_HH!$I$4:$I$18,MATCH($B1319&amp;"|"&amp;$E1319,Aux_HH!$A$4:$A$18,0)))</f>
        <v>0</v>
      </c>
    </row>
    <row r="1320" customFormat="false" ht="15" hidden="false" customHeight="false" outlineLevel="0" collapsed="false">
      <c r="A1320" s="0" t="str">
        <f aca="false">IF(Frota!$A30="","",Frota!$A30)</f>
        <v/>
      </c>
      <c r="B1320" s="0" t="str">
        <f aca="false">IF(Frota!$A30="","",Frota!$B30)</f>
        <v/>
      </c>
      <c r="C1320" s="0" t="n">
        <v>17</v>
      </c>
      <c r="D1320" s="0" t="n">
        <f aca="false">INDEX(Semanas!$E$3:$E$54,17)</f>
        <v>7</v>
      </c>
      <c r="E1320" s="0" t="str">
        <f aca="false">IF(Frota!$A30="","",Cronograma!R30)</f>
        <v/>
      </c>
      <c r="F1320" s="0" t="n">
        <f aca="false">IF(OR($E1320="",$E1320=0),0,1)</f>
        <v>0</v>
      </c>
      <c r="G1320" s="0" t="n">
        <f aca="false">IF($F1320=0,0,INDEX(Aux_HH!$D$4:$D$18,MATCH($B1320&amp;"|"&amp;$E1320,Aux_HH!$A$4:$A$18,0)))</f>
        <v>0</v>
      </c>
      <c r="H1320" s="0" t="n">
        <f aca="false">IF($F1320=0,0,INDEX(Aux_HH!$E$4:$E$18,MATCH($B1320&amp;"|"&amp;$E1320,Aux_HH!$A$4:$A$18,0)))</f>
        <v>0</v>
      </c>
      <c r="I1320" s="0" t="n">
        <f aca="false">IF($F1320=0,0,INDEX(Aux_HH!$F$4:$F$18,MATCH($B1320&amp;"|"&amp;$E1320,Aux_HH!$A$4:$A$18,0)))</f>
        <v>0</v>
      </c>
      <c r="J1320" s="0" t="n">
        <f aca="false">IF($F1320=0,0,INDEX(Aux_HH!$G$4:$G$18,MATCH($B1320&amp;"|"&amp;$E1320,Aux_HH!$A$4:$A$18,0)))</f>
        <v>0</v>
      </c>
      <c r="K1320" s="0" t="n">
        <f aca="false">IF($F1320=0,0,INDEX(Aux_HH!$H$4:$H$18,MATCH($B1320&amp;"|"&amp;$E1320,Aux_HH!$A$4:$A$18,0)))</f>
        <v>0</v>
      </c>
      <c r="L1320" s="0" t="n">
        <f aca="false">IF($F1320=0,0,INDEX(Aux_HH!$I$4:$I$18,MATCH($B1320&amp;"|"&amp;$E1320,Aux_HH!$A$4:$A$18,0)))</f>
        <v>0</v>
      </c>
    </row>
    <row r="1321" customFormat="false" ht="15" hidden="false" customHeight="false" outlineLevel="0" collapsed="false">
      <c r="A1321" s="0" t="str">
        <f aca="false">IF(Frota!$A30="","",Frota!$A30)</f>
        <v/>
      </c>
      <c r="B1321" s="0" t="str">
        <f aca="false">IF(Frota!$A30="","",Frota!$B30)</f>
        <v/>
      </c>
      <c r="C1321" s="0" t="n">
        <v>18</v>
      </c>
      <c r="D1321" s="0" t="n">
        <f aca="false">INDEX(Semanas!$E$3:$E$54,18)</f>
        <v>7</v>
      </c>
      <c r="E1321" s="0" t="str">
        <f aca="false">IF(Frota!$A30="","",Cronograma!S30)</f>
        <v/>
      </c>
      <c r="F1321" s="0" t="n">
        <f aca="false">IF(OR($E1321="",$E1321=0),0,1)</f>
        <v>0</v>
      </c>
      <c r="G1321" s="0" t="n">
        <f aca="false">IF($F1321=0,0,INDEX(Aux_HH!$D$4:$D$18,MATCH($B1321&amp;"|"&amp;$E1321,Aux_HH!$A$4:$A$18,0)))</f>
        <v>0</v>
      </c>
      <c r="H1321" s="0" t="n">
        <f aca="false">IF($F1321=0,0,INDEX(Aux_HH!$E$4:$E$18,MATCH($B1321&amp;"|"&amp;$E1321,Aux_HH!$A$4:$A$18,0)))</f>
        <v>0</v>
      </c>
      <c r="I1321" s="0" t="n">
        <f aca="false">IF($F1321=0,0,INDEX(Aux_HH!$F$4:$F$18,MATCH($B1321&amp;"|"&amp;$E1321,Aux_HH!$A$4:$A$18,0)))</f>
        <v>0</v>
      </c>
      <c r="J1321" s="0" t="n">
        <f aca="false">IF($F1321=0,0,INDEX(Aux_HH!$G$4:$G$18,MATCH($B1321&amp;"|"&amp;$E1321,Aux_HH!$A$4:$A$18,0)))</f>
        <v>0</v>
      </c>
      <c r="K1321" s="0" t="n">
        <f aca="false">IF($F1321=0,0,INDEX(Aux_HH!$H$4:$H$18,MATCH($B1321&amp;"|"&amp;$E1321,Aux_HH!$A$4:$A$18,0)))</f>
        <v>0</v>
      </c>
      <c r="L1321" s="0" t="n">
        <f aca="false">IF($F1321=0,0,INDEX(Aux_HH!$I$4:$I$18,MATCH($B1321&amp;"|"&amp;$E1321,Aux_HH!$A$4:$A$18,0)))</f>
        <v>0</v>
      </c>
    </row>
    <row r="1322" customFormat="false" ht="15" hidden="false" customHeight="false" outlineLevel="0" collapsed="false">
      <c r="A1322" s="0" t="str">
        <f aca="false">IF(Frota!$A30="","",Frota!$A30)</f>
        <v/>
      </c>
      <c r="B1322" s="0" t="str">
        <f aca="false">IF(Frota!$A30="","",Frota!$B30)</f>
        <v/>
      </c>
      <c r="C1322" s="0" t="n">
        <v>19</v>
      </c>
      <c r="D1322" s="0" t="n">
        <f aca="false">INDEX(Semanas!$E$3:$E$54,19)</f>
        <v>8</v>
      </c>
      <c r="E1322" s="0" t="str">
        <f aca="false">IF(Frota!$A30="","",Cronograma!T30)</f>
        <v/>
      </c>
      <c r="F1322" s="0" t="n">
        <f aca="false">IF(OR($E1322="",$E1322=0),0,1)</f>
        <v>0</v>
      </c>
      <c r="G1322" s="0" t="n">
        <f aca="false">IF($F1322=0,0,INDEX(Aux_HH!$D$4:$D$18,MATCH($B1322&amp;"|"&amp;$E1322,Aux_HH!$A$4:$A$18,0)))</f>
        <v>0</v>
      </c>
      <c r="H1322" s="0" t="n">
        <f aca="false">IF($F1322=0,0,INDEX(Aux_HH!$E$4:$E$18,MATCH($B1322&amp;"|"&amp;$E1322,Aux_HH!$A$4:$A$18,0)))</f>
        <v>0</v>
      </c>
      <c r="I1322" s="0" t="n">
        <f aca="false">IF($F1322=0,0,INDEX(Aux_HH!$F$4:$F$18,MATCH($B1322&amp;"|"&amp;$E1322,Aux_HH!$A$4:$A$18,0)))</f>
        <v>0</v>
      </c>
      <c r="J1322" s="0" t="n">
        <f aca="false">IF($F1322=0,0,INDEX(Aux_HH!$G$4:$G$18,MATCH($B1322&amp;"|"&amp;$E1322,Aux_HH!$A$4:$A$18,0)))</f>
        <v>0</v>
      </c>
      <c r="K1322" s="0" t="n">
        <f aca="false">IF($F1322=0,0,INDEX(Aux_HH!$H$4:$H$18,MATCH($B1322&amp;"|"&amp;$E1322,Aux_HH!$A$4:$A$18,0)))</f>
        <v>0</v>
      </c>
      <c r="L1322" s="0" t="n">
        <f aca="false">IF($F1322=0,0,INDEX(Aux_HH!$I$4:$I$18,MATCH($B1322&amp;"|"&amp;$E1322,Aux_HH!$A$4:$A$18,0)))</f>
        <v>0</v>
      </c>
    </row>
    <row r="1323" customFormat="false" ht="15" hidden="false" customHeight="false" outlineLevel="0" collapsed="false">
      <c r="A1323" s="0" t="str">
        <f aca="false">IF(Frota!$A30="","",Frota!$A30)</f>
        <v/>
      </c>
      <c r="B1323" s="0" t="str">
        <f aca="false">IF(Frota!$A30="","",Frota!$B30)</f>
        <v/>
      </c>
      <c r="C1323" s="0" t="n">
        <v>20</v>
      </c>
      <c r="D1323" s="0" t="n">
        <f aca="false">INDEX(Semanas!$E$3:$E$54,20)</f>
        <v>8</v>
      </c>
      <c r="E1323" s="0" t="str">
        <f aca="false">IF(Frota!$A30="","",Cronograma!U30)</f>
        <v/>
      </c>
      <c r="F1323" s="0" t="n">
        <f aca="false">IF(OR($E1323="",$E1323=0),0,1)</f>
        <v>0</v>
      </c>
      <c r="G1323" s="0" t="n">
        <f aca="false">IF($F1323=0,0,INDEX(Aux_HH!$D$4:$D$18,MATCH($B1323&amp;"|"&amp;$E1323,Aux_HH!$A$4:$A$18,0)))</f>
        <v>0</v>
      </c>
      <c r="H1323" s="0" t="n">
        <f aca="false">IF($F1323=0,0,INDEX(Aux_HH!$E$4:$E$18,MATCH($B1323&amp;"|"&amp;$E1323,Aux_HH!$A$4:$A$18,0)))</f>
        <v>0</v>
      </c>
      <c r="I1323" s="0" t="n">
        <f aca="false">IF($F1323=0,0,INDEX(Aux_HH!$F$4:$F$18,MATCH($B1323&amp;"|"&amp;$E1323,Aux_HH!$A$4:$A$18,0)))</f>
        <v>0</v>
      </c>
      <c r="J1323" s="0" t="n">
        <f aca="false">IF($F1323=0,0,INDEX(Aux_HH!$G$4:$G$18,MATCH($B1323&amp;"|"&amp;$E1323,Aux_HH!$A$4:$A$18,0)))</f>
        <v>0</v>
      </c>
      <c r="K1323" s="0" t="n">
        <f aca="false">IF($F1323=0,0,INDEX(Aux_HH!$H$4:$H$18,MATCH($B1323&amp;"|"&amp;$E1323,Aux_HH!$A$4:$A$18,0)))</f>
        <v>0</v>
      </c>
      <c r="L1323" s="0" t="n">
        <f aca="false">IF($F1323=0,0,INDEX(Aux_HH!$I$4:$I$18,MATCH($B1323&amp;"|"&amp;$E1323,Aux_HH!$A$4:$A$18,0)))</f>
        <v>0</v>
      </c>
    </row>
    <row r="1324" customFormat="false" ht="15" hidden="false" customHeight="false" outlineLevel="0" collapsed="false">
      <c r="A1324" s="0" t="str">
        <f aca="false">IF(Frota!$A30="","",Frota!$A30)</f>
        <v/>
      </c>
      <c r="B1324" s="0" t="str">
        <f aca="false">IF(Frota!$A30="","",Frota!$B30)</f>
        <v/>
      </c>
      <c r="C1324" s="0" t="n">
        <v>21</v>
      </c>
      <c r="D1324" s="0" t="n">
        <f aca="false">INDEX(Semanas!$E$3:$E$54,21)</f>
        <v>8</v>
      </c>
      <c r="E1324" s="0" t="str">
        <f aca="false">IF(Frota!$A30="","",Cronograma!V30)</f>
        <v/>
      </c>
      <c r="F1324" s="0" t="n">
        <f aca="false">IF(OR($E1324="",$E1324=0),0,1)</f>
        <v>0</v>
      </c>
      <c r="G1324" s="0" t="n">
        <f aca="false">IF($F1324=0,0,INDEX(Aux_HH!$D$4:$D$18,MATCH($B1324&amp;"|"&amp;$E1324,Aux_HH!$A$4:$A$18,0)))</f>
        <v>0</v>
      </c>
      <c r="H1324" s="0" t="n">
        <f aca="false">IF($F1324=0,0,INDEX(Aux_HH!$E$4:$E$18,MATCH($B1324&amp;"|"&amp;$E1324,Aux_HH!$A$4:$A$18,0)))</f>
        <v>0</v>
      </c>
      <c r="I1324" s="0" t="n">
        <f aca="false">IF($F1324=0,0,INDEX(Aux_HH!$F$4:$F$18,MATCH($B1324&amp;"|"&amp;$E1324,Aux_HH!$A$4:$A$18,0)))</f>
        <v>0</v>
      </c>
      <c r="J1324" s="0" t="n">
        <f aca="false">IF($F1324=0,0,INDEX(Aux_HH!$G$4:$G$18,MATCH($B1324&amp;"|"&amp;$E1324,Aux_HH!$A$4:$A$18,0)))</f>
        <v>0</v>
      </c>
      <c r="K1324" s="0" t="n">
        <f aca="false">IF($F1324=0,0,INDEX(Aux_HH!$H$4:$H$18,MATCH($B1324&amp;"|"&amp;$E1324,Aux_HH!$A$4:$A$18,0)))</f>
        <v>0</v>
      </c>
      <c r="L1324" s="0" t="n">
        <f aca="false">IF($F1324=0,0,INDEX(Aux_HH!$I$4:$I$18,MATCH($B1324&amp;"|"&amp;$E1324,Aux_HH!$A$4:$A$18,0)))</f>
        <v>0</v>
      </c>
    </row>
    <row r="1325" customFormat="false" ht="15" hidden="false" customHeight="false" outlineLevel="0" collapsed="false">
      <c r="A1325" s="0" t="str">
        <f aca="false">IF(Frota!$A30="","",Frota!$A30)</f>
        <v/>
      </c>
      <c r="B1325" s="0" t="str">
        <f aca="false">IF(Frota!$A30="","",Frota!$B30)</f>
        <v/>
      </c>
      <c r="C1325" s="0" t="n">
        <v>22</v>
      </c>
      <c r="D1325" s="0" t="n">
        <f aca="false">INDEX(Semanas!$E$3:$E$54,22)</f>
        <v>8</v>
      </c>
      <c r="E1325" s="0" t="str">
        <f aca="false">IF(Frota!$A30="","",Cronograma!W30)</f>
        <v/>
      </c>
      <c r="F1325" s="0" t="n">
        <f aca="false">IF(OR($E1325="",$E1325=0),0,1)</f>
        <v>0</v>
      </c>
      <c r="G1325" s="0" t="n">
        <f aca="false">IF($F1325=0,0,INDEX(Aux_HH!$D$4:$D$18,MATCH($B1325&amp;"|"&amp;$E1325,Aux_HH!$A$4:$A$18,0)))</f>
        <v>0</v>
      </c>
      <c r="H1325" s="0" t="n">
        <f aca="false">IF($F1325=0,0,INDEX(Aux_HH!$E$4:$E$18,MATCH($B1325&amp;"|"&amp;$E1325,Aux_HH!$A$4:$A$18,0)))</f>
        <v>0</v>
      </c>
      <c r="I1325" s="0" t="n">
        <f aca="false">IF($F1325=0,0,INDEX(Aux_HH!$F$4:$F$18,MATCH($B1325&amp;"|"&amp;$E1325,Aux_HH!$A$4:$A$18,0)))</f>
        <v>0</v>
      </c>
      <c r="J1325" s="0" t="n">
        <f aca="false">IF($F1325=0,0,INDEX(Aux_HH!$G$4:$G$18,MATCH($B1325&amp;"|"&amp;$E1325,Aux_HH!$A$4:$A$18,0)))</f>
        <v>0</v>
      </c>
      <c r="K1325" s="0" t="n">
        <f aca="false">IF($F1325=0,0,INDEX(Aux_HH!$H$4:$H$18,MATCH($B1325&amp;"|"&amp;$E1325,Aux_HH!$A$4:$A$18,0)))</f>
        <v>0</v>
      </c>
      <c r="L1325" s="0" t="n">
        <f aca="false">IF($F1325=0,0,INDEX(Aux_HH!$I$4:$I$18,MATCH($B1325&amp;"|"&amp;$E1325,Aux_HH!$A$4:$A$18,0)))</f>
        <v>0</v>
      </c>
    </row>
    <row r="1326" customFormat="false" ht="15" hidden="false" customHeight="false" outlineLevel="0" collapsed="false">
      <c r="A1326" s="0" t="str">
        <f aca="false">IF(Frota!$A30="","",Frota!$A30)</f>
        <v/>
      </c>
      <c r="B1326" s="0" t="str">
        <f aca="false">IF(Frota!$A30="","",Frota!$B30)</f>
        <v/>
      </c>
      <c r="C1326" s="0" t="n">
        <v>23</v>
      </c>
      <c r="D1326" s="0" t="n">
        <f aca="false">INDEX(Semanas!$E$3:$E$54,23)</f>
        <v>9</v>
      </c>
      <c r="E1326" s="0" t="str">
        <f aca="false">IF(Frota!$A30="","",Cronograma!X30)</f>
        <v/>
      </c>
      <c r="F1326" s="0" t="n">
        <f aca="false">IF(OR($E1326="",$E1326=0),0,1)</f>
        <v>0</v>
      </c>
      <c r="G1326" s="0" t="n">
        <f aca="false">IF($F1326=0,0,INDEX(Aux_HH!$D$4:$D$18,MATCH($B1326&amp;"|"&amp;$E1326,Aux_HH!$A$4:$A$18,0)))</f>
        <v>0</v>
      </c>
      <c r="H1326" s="0" t="n">
        <f aca="false">IF($F1326=0,0,INDEX(Aux_HH!$E$4:$E$18,MATCH($B1326&amp;"|"&amp;$E1326,Aux_HH!$A$4:$A$18,0)))</f>
        <v>0</v>
      </c>
      <c r="I1326" s="0" t="n">
        <f aca="false">IF($F1326=0,0,INDEX(Aux_HH!$F$4:$F$18,MATCH($B1326&amp;"|"&amp;$E1326,Aux_HH!$A$4:$A$18,0)))</f>
        <v>0</v>
      </c>
      <c r="J1326" s="0" t="n">
        <f aca="false">IF($F1326=0,0,INDEX(Aux_HH!$G$4:$G$18,MATCH($B1326&amp;"|"&amp;$E1326,Aux_HH!$A$4:$A$18,0)))</f>
        <v>0</v>
      </c>
      <c r="K1326" s="0" t="n">
        <f aca="false">IF($F1326=0,0,INDEX(Aux_HH!$H$4:$H$18,MATCH($B1326&amp;"|"&amp;$E1326,Aux_HH!$A$4:$A$18,0)))</f>
        <v>0</v>
      </c>
      <c r="L1326" s="0" t="n">
        <f aca="false">IF($F1326=0,0,INDEX(Aux_HH!$I$4:$I$18,MATCH($B1326&amp;"|"&amp;$E1326,Aux_HH!$A$4:$A$18,0)))</f>
        <v>0</v>
      </c>
    </row>
    <row r="1327" customFormat="false" ht="15" hidden="false" customHeight="false" outlineLevel="0" collapsed="false">
      <c r="A1327" s="0" t="str">
        <f aca="false">IF(Frota!$A30="","",Frota!$A30)</f>
        <v/>
      </c>
      <c r="B1327" s="0" t="str">
        <f aca="false">IF(Frota!$A30="","",Frota!$B30)</f>
        <v/>
      </c>
      <c r="C1327" s="0" t="n">
        <v>24</v>
      </c>
      <c r="D1327" s="0" t="n">
        <f aca="false">INDEX(Semanas!$E$3:$E$54,24)</f>
        <v>9</v>
      </c>
      <c r="E1327" s="0" t="str">
        <f aca="false">IF(Frota!$A30="","",Cronograma!Y30)</f>
        <v/>
      </c>
      <c r="F1327" s="0" t="n">
        <f aca="false">IF(OR($E1327="",$E1327=0),0,1)</f>
        <v>0</v>
      </c>
      <c r="G1327" s="0" t="n">
        <f aca="false">IF($F1327=0,0,INDEX(Aux_HH!$D$4:$D$18,MATCH($B1327&amp;"|"&amp;$E1327,Aux_HH!$A$4:$A$18,0)))</f>
        <v>0</v>
      </c>
      <c r="H1327" s="0" t="n">
        <f aca="false">IF($F1327=0,0,INDEX(Aux_HH!$E$4:$E$18,MATCH($B1327&amp;"|"&amp;$E1327,Aux_HH!$A$4:$A$18,0)))</f>
        <v>0</v>
      </c>
      <c r="I1327" s="0" t="n">
        <f aca="false">IF($F1327=0,0,INDEX(Aux_HH!$F$4:$F$18,MATCH($B1327&amp;"|"&amp;$E1327,Aux_HH!$A$4:$A$18,0)))</f>
        <v>0</v>
      </c>
      <c r="J1327" s="0" t="n">
        <f aca="false">IF($F1327=0,0,INDEX(Aux_HH!$G$4:$G$18,MATCH($B1327&amp;"|"&amp;$E1327,Aux_HH!$A$4:$A$18,0)))</f>
        <v>0</v>
      </c>
      <c r="K1327" s="0" t="n">
        <f aca="false">IF($F1327=0,0,INDEX(Aux_HH!$H$4:$H$18,MATCH($B1327&amp;"|"&amp;$E1327,Aux_HH!$A$4:$A$18,0)))</f>
        <v>0</v>
      </c>
      <c r="L1327" s="0" t="n">
        <f aca="false">IF($F1327=0,0,INDEX(Aux_HH!$I$4:$I$18,MATCH($B1327&amp;"|"&amp;$E1327,Aux_HH!$A$4:$A$18,0)))</f>
        <v>0</v>
      </c>
    </row>
    <row r="1328" customFormat="false" ht="15" hidden="false" customHeight="false" outlineLevel="0" collapsed="false">
      <c r="A1328" s="0" t="str">
        <f aca="false">IF(Frota!$A30="","",Frota!$A30)</f>
        <v/>
      </c>
      <c r="B1328" s="0" t="str">
        <f aca="false">IF(Frota!$A30="","",Frota!$B30)</f>
        <v/>
      </c>
      <c r="C1328" s="0" t="n">
        <v>25</v>
      </c>
      <c r="D1328" s="0" t="n">
        <f aca="false">INDEX(Semanas!$E$3:$E$54,25)</f>
        <v>9</v>
      </c>
      <c r="E1328" s="0" t="str">
        <f aca="false">IF(Frota!$A30="","",Cronograma!Z30)</f>
        <v/>
      </c>
      <c r="F1328" s="0" t="n">
        <f aca="false">IF(OR($E1328="",$E1328=0),0,1)</f>
        <v>0</v>
      </c>
      <c r="G1328" s="0" t="n">
        <f aca="false">IF($F1328=0,0,INDEX(Aux_HH!$D$4:$D$18,MATCH($B1328&amp;"|"&amp;$E1328,Aux_HH!$A$4:$A$18,0)))</f>
        <v>0</v>
      </c>
      <c r="H1328" s="0" t="n">
        <f aca="false">IF($F1328=0,0,INDEX(Aux_HH!$E$4:$E$18,MATCH($B1328&amp;"|"&amp;$E1328,Aux_HH!$A$4:$A$18,0)))</f>
        <v>0</v>
      </c>
      <c r="I1328" s="0" t="n">
        <f aca="false">IF($F1328=0,0,INDEX(Aux_HH!$F$4:$F$18,MATCH($B1328&amp;"|"&amp;$E1328,Aux_HH!$A$4:$A$18,0)))</f>
        <v>0</v>
      </c>
      <c r="J1328" s="0" t="n">
        <f aca="false">IF($F1328=0,0,INDEX(Aux_HH!$G$4:$G$18,MATCH($B1328&amp;"|"&amp;$E1328,Aux_HH!$A$4:$A$18,0)))</f>
        <v>0</v>
      </c>
      <c r="K1328" s="0" t="n">
        <f aca="false">IF($F1328=0,0,INDEX(Aux_HH!$H$4:$H$18,MATCH($B1328&amp;"|"&amp;$E1328,Aux_HH!$A$4:$A$18,0)))</f>
        <v>0</v>
      </c>
      <c r="L1328" s="0" t="n">
        <f aca="false">IF($F1328=0,0,INDEX(Aux_HH!$I$4:$I$18,MATCH($B1328&amp;"|"&amp;$E1328,Aux_HH!$A$4:$A$18,0)))</f>
        <v>0</v>
      </c>
    </row>
    <row r="1329" customFormat="false" ht="15" hidden="false" customHeight="false" outlineLevel="0" collapsed="false">
      <c r="A1329" s="0" t="str">
        <f aca="false">IF(Frota!$A30="","",Frota!$A30)</f>
        <v/>
      </c>
      <c r="B1329" s="0" t="str">
        <f aca="false">IF(Frota!$A30="","",Frota!$B30)</f>
        <v/>
      </c>
      <c r="C1329" s="0" t="n">
        <v>26</v>
      </c>
      <c r="D1329" s="0" t="n">
        <f aca="false">INDEX(Semanas!$E$3:$E$54,26)</f>
        <v>9</v>
      </c>
      <c r="E1329" s="0" t="str">
        <f aca="false">IF(Frota!$A30="","",Cronograma!AA30)</f>
        <v/>
      </c>
      <c r="F1329" s="0" t="n">
        <f aca="false">IF(OR($E1329="",$E1329=0),0,1)</f>
        <v>0</v>
      </c>
      <c r="G1329" s="0" t="n">
        <f aca="false">IF($F1329=0,0,INDEX(Aux_HH!$D$4:$D$18,MATCH($B1329&amp;"|"&amp;$E1329,Aux_HH!$A$4:$A$18,0)))</f>
        <v>0</v>
      </c>
      <c r="H1329" s="0" t="n">
        <f aca="false">IF($F1329=0,0,INDEX(Aux_HH!$E$4:$E$18,MATCH($B1329&amp;"|"&amp;$E1329,Aux_HH!$A$4:$A$18,0)))</f>
        <v>0</v>
      </c>
      <c r="I1329" s="0" t="n">
        <f aca="false">IF($F1329=0,0,INDEX(Aux_HH!$F$4:$F$18,MATCH($B1329&amp;"|"&amp;$E1329,Aux_HH!$A$4:$A$18,0)))</f>
        <v>0</v>
      </c>
      <c r="J1329" s="0" t="n">
        <f aca="false">IF($F1329=0,0,INDEX(Aux_HH!$G$4:$G$18,MATCH($B1329&amp;"|"&amp;$E1329,Aux_HH!$A$4:$A$18,0)))</f>
        <v>0</v>
      </c>
      <c r="K1329" s="0" t="n">
        <f aca="false">IF($F1329=0,0,INDEX(Aux_HH!$H$4:$H$18,MATCH($B1329&amp;"|"&amp;$E1329,Aux_HH!$A$4:$A$18,0)))</f>
        <v>0</v>
      </c>
      <c r="L1329" s="0" t="n">
        <f aca="false">IF($F1329=0,0,INDEX(Aux_HH!$I$4:$I$18,MATCH($B1329&amp;"|"&amp;$E1329,Aux_HH!$A$4:$A$18,0)))</f>
        <v>0</v>
      </c>
    </row>
    <row r="1330" customFormat="false" ht="15" hidden="false" customHeight="false" outlineLevel="0" collapsed="false">
      <c r="A1330" s="0" t="str">
        <f aca="false">IF(Frota!$A30="","",Frota!$A30)</f>
        <v/>
      </c>
      <c r="B1330" s="0" t="str">
        <f aca="false">IF(Frota!$A30="","",Frota!$B30)</f>
        <v/>
      </c>
      <c r="C1330" s="0" t="n">
        <v>27</v>
      </c>
      <c r="D1330" s="0" t="n">
        <f aca="false">INDEX(Semanas!$E$3:$E$54,27)</f>
        <v>9</v>
      </c>
      <c r="E1330" s="0" t="str">
        <f aca="false">IF(Frota!$A30="","",Cronograma!AB30)</f>
        <v/>
      </c>
      <c r="F1330" s="0" t="n">
        <f aca="false">IF(OR($E1330="",$E1330=0),0,1)</f>
        <v>0</v>
      </c>
      <c r="G1330" s="0" t="n">
        <f aca="false">IF($F1330=0,0,INDEX(Aux_HH!$D$4:$D$18,MATCH($B1330&amp;"|"&amp;$E1330,Aux_HH!$A$4:$A$18,0)))</f>
        <v>0</v>
      </c>
      <c r="H1330" s="0" t="n">
        <f aca="false">IF($F1330=0,0,INDEX(Aux_HH!$E$4:$E$18,MATCH($B1330&amp;"|"&amp;$E1330,Aux_HH!$A$4:$A$18,0)))</f>
        <v>0</v>
      </c>
      <c r="I1330" s="0" t="n">
        <f aca="false">IF($F1330=0,0,INDEX(Aux_HH!$F$4:$F$18,MATCH($B1330&amp;"|"&amp;$E1330,Aux_HH!$A$4:$A$18,0)))</f>
        <v>0</v>
      </c>
      <c r="J1330" s="0" t="n">
        <f aca="false">IF($F1330=0,0,INDEX(Aux_HH!$G$4:$G$18,MATCH($B1330&amp;"|"&amp;$E1330,Aux_HH!$A$4:$A$18,0)))</f>
        <v>0</v>
      </c>
      <c r="K1330" s="0" t="n">
        <f aca="false">IF($F1330=0,0,INDEX(Aux_HH!$H$4:$H$18,MATCH($B1330&amp;"|"&amp;$E1330,Aux_HH!$A$4:$A$18,0)))</f>
        <v>0</v>
      </c>
      <c r="L1330" s="0" t="n">
        <f aca="false">IF($F1330=0,0,INDEX(Aux_HH!$I$4:$I$18,MATCH($B1330&amp;"|"&amp;$E1330,Aux_HH!$A$4:$A$18,0)))</f>
        <v>0</v>
      </c>
    </row>
    <row r="1331" customFormat="false" ht="15" hidden="false" customHeight="false" outlineLevel="0" collapsed="false">
      <c r="A1331" s="0" t="str">
        <f aca="false">IF(Frota!$A30="","",Frota!$A30)</f>
        <v/>
      </c>
      <c r="B1331" s="0" t="str">
        <f aca="false">IF(Frota!$A30="","",Frota!$B30)</f>
        <v/>
      </c>
      <c r="C1331" s="0" t="n">
        <v>28</v>
      </c>
      <c r="D1331" s="0" t="n">
        <f aca="false">INDEX(Semanas!$E$3:$E$54,28)</f>
        <v>10</v>
      </c>
      <c r="E1331" s="0" t="str">
        <f aca="false">IF(Frota!$A30="","",Cronograma!AC30)</f>
        <v/>
      </c>
      <c r="F1331" s="0" t="n">
        <f aca="false">IF(OR($E1331="",$E1331=0),0,1)</f>
        <v>0</v>
      </c>
      <c r="G1331" s="0" t="n">
        <f aca="false">IF($F1331=0,0,INDEX(Aux_HH!$D$4:$D$18,MATCH($B1331&amp;"|"&amp;$E1331,Aux_HH!$A$4:$A$18,0)))</f>
        <v>0</v>
      </c>
      <c r="H1331" s="0" t="n">
        <f aca="false">IF($F1331=0,0,INDEX(Aux_HH!$E$4:$E$18,MATCH($B1331&amp;"|"&amp;$E1331,Aux_HH!$A$4:$A$18,0)))</f>
        <v>0</v>
      </c>
      <c r="I1331" s="0" t="n">
        <f aca="false">IF($F1331=0,0,INDEX(Aux_HH!$F$4:$F$18,MATCH($B1331&amp;"|"&amp;$E1331,Aux_HH!$A$4:$A$18,0)))</f>
        <v>0</v>
      </c>
      <c r="J1331" s="0" t="n">
        <f aca="false">IF($F1331=0,0,INDEX(Aux_HH!$G$4:$G$18,MATCH($B1331&amp;"|"&amp;$E1331,Aux_HH!$A$4:$A$18,0)))</f>
        <v>0</v>
      </c>
      <c r="K1331" s="0" t="n">
        <f aca="false">IF($F1331=0,0,INDEX(Aux_HH!$H$4:$H$18,MATCH($B1331&amp;"|"&amp;$E1331,Aux_HH!$A$4:$A$18,0)))</f>
        <v>0</v>
      </c>
      <c r="L1331" s="0" t="n">
        <f aca="false">IF($F1331=0,0,INDEX(Aux_HH!$I$4:$I$18,MATCH($B1331&amp;"|"&amp;$E1331,Aux_HH!$A$4:$A$18,0)))</f>
        <v>0</v>
      </c>
    </row>
    <row r="1332" customFormat="false" ht="15" hidden="false" customHeight="false" outlineLevel="0" collapsed="false">
      <c r="A1332" s="0" t="str">
        <f aca="false">IF(Frota!$A30="","",Frota!$A30)</f>
        <v/>
      </c>
      <c r="B1332" s="0" t="str">
        <f aca="false">IF(Frota!$A30="","",Frota!$B30)</f>
        <v/>
      </c>
      <c r="C1332" s="0" t="n">
        <v>29</v>
      </c>
      <c r="D1332" s="0" t="n">
        <f aca="false">INDEX(Semanas!$E$3:$E$54,29)</f>
        <v>10</v>
      </c>
      <c r="E1332" s="0" t="str">
        <f aca="false">IF(Frota!$A30="","",Cronograma!AD30)</f>
        <v/>
      </c>
      <c r="F1332" s="0" t="n">
        <f aca="false">IF(OR($E1332="",$E1332=0),0,1)</f>
        <v>0</v>
      </c>
      <c r="G1332" s="0" t="n">
        <f aca="false">IF($F1332=0,0,INDEX(Aux_HH!$D$4:$D$18,MATCH($B1332&amp;"|"&amp;$E1332,Aux_HH!$A$4:$A$18,0)))</f>
        <v>0</v>
      </c>
      <c r="H1332" s="0" t="n">
        <f aca="false">IF($F1332=0,0,INDEX(Aux_HH!$E$4:$E$18,MATCH($B1332&amp;"|"&amp;$E1332,Aux_HH!$A$4:$A$18,0)))</f>
        <v>0</v>
      </c>
      <c r="I1332" s="0" t="n">
        <f aca="false">IF($F1332=0,0,INDEX(Aux_HH!$F$4:$F$18,MATCH($B1332&amp;"|"&amp;$E1332,Aux_HH!$A$4:$A$18,0)))</f>
        <v>0</v>
      </c>
      <c r="J1332" s="0" t="n">
        <f aca="false">IF($F1332=0,0,INDEX(Aux_HH!$G$4:$G$18,MATCH($B1332&amp;"|"&amp;$E1332,Aux_HH!$A$4:$A$18,0)))</f>
        <v>0</v>
      </c>
      <c r="K1332" s="0" t="n">
        <f aca="false">IF($F1332=0,0,INDEX(Aux_HH!$H$4:$H$18,MATCH($B1332&amp;"|"&amp;$E1332,Aux_HH!$A$4:$A$18,0)))</f>
        <v>0</v>
      </c>
      <c r="L1332" s="0" t="n">
        <f aca="false">IF($F1332=0,0,INDEX(Aux_HH!$I$4:$I$18,MATCH($B1332&amp;"|"&amp;$E1332,Aux_HH!$A$4:$A$18,0)))</f>
        <v>0</v>
      </c>
    </row>
    <row r="1333" customFormat="false" ht="15" hidden="false" customHeight="false" outlineLevel="0" collapsed="false">
      <c r="A1333" s="0" t="str">
        <f aca="false">IF(Frota!$A30="","",Frota!$A30)</f>
        <v/>
      </c>
      <c r="B1333" s="0" t="str">
        <f aca="false">IF(Frota!$A30="","",Frota!$B30)</f>
        <v/>
      </c>
      <c r="C1333" s="0" t="n">
        <v>30</v>
      </c>
      <c r="D1333" s="0" t="n">
        <f aca="false">INDEX(Semanas!$E$3:$E$54,30)</f>
        <v>10</v>
      </c>
      <c r="E1333" s="0" t="str">
        <f aca="false">IF(Frota!$A30="","",Cronograma!AE30)</f>
        <v/>
      </c>
      <c r="F1333" s="0" t="n">
        <f aca="false">IF(OR($E1333="",$E1333=0),0,1)</f>
        <v>0</v>
      </c>
      <c r="G1333" s="0" t="n">
        <f aca="false">IF($F1333=0,0,INDEX(Aux_HH!$D$4:$D$18,MATCH($B1333&amp;"|"&amp;$E1333,Aux_HH!$A$4:$A$18,0)))</f>
        <v>0</v>
      </c>
      <c r="H1333" s="0" t="n">
        <f aca="false">IF($F1333=0,0,INDEX(Aux_HH!$E$4:$E$18,MATCH($B1333&amp;"|"&amp;$E1333,Aux_HH!$A$4:$A$18,0)))</f>
        <v>0</v>
      </c>
      <c r="I1333" s="0" t="n">
        <f aca="false">IF($F1333=0,0,INDEX(Aux_HH!$F$4:$F$18,MATCH($B1333&amp;"|"&amp;$E1333,Aux_HH!$A$4:$A$18,0)))</f>
        <v>0</v>
      </c>
      <c r="J1333" s="0" t="n">
        <f aca="false">IF($F1333=0,0,INDEX(Aux_HH!$G$4:$G$18,MATCH($B1333&amp;"|"&amp;$E1333,Aux_HH!$A$4:$A$18,0)))</f>
        <v>0</v>
      </c>
      <c r="K1333" s="0" t="n">
        <f aca="false">IF($F1333=0,0,INDEX(Aux_HH!$H$4:$H$18,MATCH($B1333&amp;"|"&amp;$E1333,Aux_HH!$A$4:$A$18,0)))</f>
        <v>0</v>
      </c>
      <c r="L1333" s="0" t="n">
        <f aca="false">IF($F1333=0,0,INDEX(Aux_HH!$I$4:$I$18,MATCH($B1333&amp;"|"&amp;$E1333,Aux_HH!$A$4:$A$18,0)))</f>
        <v>0</v>
      </c>
    </row>
    <row r="1334" customFormat="false" ht="15" hidden="false" customHeight="false" outlineLevel="0" collapsed="false">
      <c r="A1334" s="0" t="str">
        <f aca="false">IF(Frota!$A30="","",Frota!$A30)</f>
        <v/>
      </c>
      <c r="B1334" s="0" t="str">
        <f aca="false">IF(Frota!$A30="","",Frota!$B30)</f>
        <v/>
      </c>
      <c r="C1334" s="0" t="n">
        <v>31</v>
      </c>
      <c r="D1334" s="0" t="n">
        <f aca="false">INDEX(Semanas!$E$3:$E$54,31)</f>
        <v>10</v>
      </c>
      <c r="E1334" s="0" t="str">
        <f aca="false">IF(Frota!$A30="","",Cronograma!AF30)</f>
        <v/>
      </c>
      <c r="F1334" s="0" t="n">
        <f aca="false">IF(OR($E1334="",$E1334=0),0,1)</f>
        <v>0</v>
      </c>
      <c r="G1334" s="0" t="n">
        <f aca="false">IF($F1334=0,0,INDEX(Aux_HH!$D$4:$D$18,MATCH($B1334&amp;"|"&amp;$E1334,Aux_HH!$A$4:$A$18,0)))</f>
        <v>0</v>
      </c>
      <c r="H1334" s="0" t="n">
        <f aca="false">IF($F1334=0,0,INDEX(Aux_HH!$E$4:$E$18,MATCH($B1334&amp;"|"&amp;$E1334,Aux_HH!$A$4:$A$18,0)))</f>
        <v>0</v>
      </c>
      <c r="I1334" s="0" t="n">
        <f aca="false">IF($F1334=0,0,INDEX(Aux_HH!$F$4:$F$18,MATCH($B1334&amp;"|"&amp;$E1334,Aux_HH!$A$4:$A$18,0)))</f>
        <v>0</v>
      </c>
      <c r="J1334" s="0" t="n">
        <f aca="false">IF($F1334=0,0,INDEX(Aux_HH!$G$4:$G$18,MATCH($B1334&amp;"|"&amp;$E1334,Aux_HH!$A$4:$A$18,0)))</f>
        <v>0</v>
      </c>
      <c r="K1334" s="0" t="n">
        <f aca="false">IF($F1334=0,0,INDEX(Aux_HH!$H$4:$H$18,MATCH($B1334&amp;"|"&amp;$E1334,Aux_HH!$A$4:$A$18,0)))</f>
        <v>0</v>
      </c>
      <c r="L1334" s="0" t="n">
        <f aca="false">IF($F1334=0,0,INDEX(Aux_HH!$I$4:$I$18,MATCH($B1334&amp;"|"&amp;$E1334,Aux_HH!$A$4:$A$18,0)))</f>
        <v>0</v>
      </c>
    </row>
    <row r="1335" customFormat="false" ht="15" hidden="false" customHeight="false" outlineLevel="0" collapsed="false">
      <c r="A1335" s="0" t="str">
        <f aca="false">IF(Frota!$A30="","",Frota!$A30)</f>
        <v/>
      </c>
      <c r="B1335" s="0" t="str">
        <f aca="false">IF(Frota!$A30="","",Frota!$B30)</f>
        <v/>
      </c>
      <c r="C1335" s="0" t="n">
        <v>32</v>
      </c>
      <c r="D1335" s="0" t="n">
        <f aca="false">INDEX(Semanas!$E$3:$E$54,32)</f>
        <v>11</v>
      </c>
      <c r="E1335" s="0" t="str">
        <f aca="false">IF(Frota!$A30="","",Cronograma!AG30)</f>
        <v/>
      </c>
      <c r="F1335" s="0" t="n">
        <f aca="false">IF(OR($E1335="",$E1335=0),0,1)</f>
        <v>0</v>
      </c>
      <c r="G1335" s="0" t="n">
        <f aca="false">IF($F1335=0,0,INDEX(Aux_HH!$D$4:$D$18,MATCH($B1335&amp;"|"&amp;$E1335,Aux_HH!$A$4:$A$18,0)))</f>
        <v>0</v>
      </c>
      <c r="H1335" s="0" t="n">
        <f aca="false">IF($F1335=0,0,INDEX(Aux_HH!$E$4:$E$18,MATCH($B1335&amp;"|"&amp;$E1335,Aux_HH!$A$4:$A$18,0)))</f>
        <v>0</v>
      </c>
      <c r="I1335" s="0" t="n">
        <f aca="false">IF($F1335=0,0,INDEX(Aux_HH!$F$4:$F$18,MATCH($B1335&amp;"|"&amp;$E1335,Aux_HH!$A$4:$A$18,0)))</f>
        <v>0</v>
      </c>
      <c r="J1335" s="0" t="n">
        <f aca="false">IF($F1335=0,0,INDEX(Aux_HH!$G$4:$G$18,MATCH($B1335&amp;"|"&amp;$E1335,Aux_HH!$A$4:$A$18,0)))</f>
        <v>0</v>
      </c>
      <c r="K1335" s="0" t="n">
        <f aca="false">IF($F1335=0,0,INDEX(Aux_HH!$H$4:$H$18,MATCH($B1335&amp;"|"&amp;$E1335,Aux_HH!$A$4:$A$18,0)))</f>
        <v>0</v>
      </c>
      <c r="L1335" s="0" t="n">
        <f aca="false">IF($F1335=0,0,INDEX(Aux_HH!$I$4:$I$18,MATCH($B1335&amp;"|"&amp;$E1335,Aux_HH!$A$4:$A$18,0)))</f>
        <v>0</v>
      </c>
    </row>
    <row r="1336" customFormat="false" ht="15" hidden="false" customHeight="false" outlineLevel="0" collapsed="false">
      <c r="A1336" s="0" t="str">
        <f aca="false">IF(Frota!$A30="","",Frota!$A30)</f>
        <v/>
      </c>
      <c r="B1336" s="0" t="str">
        <f aca="false">IF(Frota!$A30="","",Frota!$B30)</f>
        <v/>
      </c>
      <c r="C1336" s="0" t="n">
        <v>33</v>
      </c>
      <c r="D1336" s="0" t="n">
        <f aca="false">INDEX(Semanas!$E$3:$E$54,33)</f>
        <v>11</v>
      </c>
      <c r="E1336" s="0" t="str">
        <f aca="false">IF(Frota!$A30="","",Cronograma!AH30)</f>
        <v/>
      </c>
      <c r="F1336" s="0" t="n">
        <f aca="false">IF(OR($E1336="",$E1336=0),0,1)</f>
        <v>0</v>
      </c>
      <c r="G1336" s="0" t="n">
        <f aca="false">IF($F1336=0,0,INDEX(Aux_HH!$D$4:$D$18,MATCH($B1336&amp;"|"&amp;$E1336,Aux_HH!$A$4:$A$18,0)))</f>
        <v>0</v>
      </c>
      <c r="H1336" s="0" t="n">
        <f aca="false">IF($F1336=0,0,INDEX(Aux_HH!$E$4:$E$18,MATCH($B1336&amp;"|"&amp;$E1336,Aux_HH!$A$4:$A$18,0)))</f>
        <v>0</v>
      </c>
      <c r="I1336" s="0" t="n">
        <f aca="false">IF($F1336=0,0,INDEX(Aux_HH!$F$4:$F$18,MATCH($B1336&amp;"|"&amp;$E1336,Aux_HH!$A$4:$A$18,0)))</f>
        <v>0</v>
      </c>
      <c r="J1336" s="0" t="n">
        <f aca="false">IF($F1336=0,0,INDEX(Aux_HH!$G$4:$G$18,MATCH($B1336&amp;"|"&amp;$E1336,Aux_HH!$A$4:$A$18,0)))</f>
        <v>0</v>
      </c>
      <c r="K1336" s="0" t="n">
        <f aca="false">IF($F1336=0,0,INDEX(Aux_HH!$H$4:$H$18,MATCH($B1336&amp;"|"&amp;$E1336,Aux_HH!$A$4:$A$18,0)))</f>
        <v>0</v>
      </c>
      <c r="L1336" s="0" t="n">
        <f aca="false">IF($F1336=0,0,INDEX(Aux_HH!$I$4:$I$18,MATCH($B1336&amp;"|"&amp;$E1336,Aux_HH!$A$4:$A$18,0)))</f>
        <v>0</v>
      </c>
    </row>
    <row r="1337" customFormat="false" ht="15" hidden="false" customHeight="false" outlineLevel="0" collapsed="false">
      <c r="A1337" s="0" t="str">
        <f aca="false">IF(Frota!$A30="","",Frota!$A30)</f>
        <v/>
      </c>
      <c r="B1337" s="0" t="str">
        <f aca="false">IF(Frota!$A30="","",Frota!$B30)</f>
        <v/>
      </c>
      <c r="C1337" s="0" t="n">
        <v>34</v>
      </c>
      <c r="D1337" s="0" t="n">
        <f aca="false">INDEX(Semanas!$E$3:$E$54,34)</f>
        <v>11</v>
      </c>
      <c r="E1337" s="0" t="str">
        <f aca="false">IF(Frota!$A30="","",Cronograma!AI30)</f>
        <v/>
      </c>
      <c r="F1337" s="0" t="n">
        <f aca="false">IF(OR($E1337="",$E1337=0),0,1)</f>
        <v>0</v>
      </c>
      <c r="G1337" s="0" t="n">
        <f aca="false">IF($F1337=0,0,INDEX(Aux_HH!$D$4:$D$18,MATCH($B1337&amp;"|"&amp;$E1337,Aux_HH!$A$4:$A$18,0)))</f>
        <v>0</v>
      </c>
      <c r="H1337" s="0" t="n">
        <f aca="false">IF($F1337=0,0,INDEX(Aux_HH!$E$4:$E$18,MATCH($B1337&amp;"|"&amp;$E1337,Aux_HH!$A$4:$A$18,0)))</f>
        <v>0</v>
      </c>
      <c r="I1337" s="0" t="n">
        <f aca="false">IF($F1337=0,0,INDEX(Aux_HH!$F$4:$F$18,MATCH($B1337&amp;"|"&amp;$E1337,Aux_HH!$A$4:$A$18,0)))</f>
        <v>0</v>
      </c>
      <c r="J1337" s="0" t="n">
        <f aca="false">IF($F1337=0,0,INDEX(Aux_HH!$G$4:$G$18,MATCH($B1337&amp;"|"&amp;$E1337,Aux_HH!$A$4:$A$18,0)))</f>
        <v>0</v>
      </c>
      <c r="K1337" s="0" t="n">
        <f aca="false">IF($F1337=0,0,INDEX(Aux_HH!$H$4:$H$18,MATCH($B1337&amp;"|"&amp;$E1337,Aux_HH!$A$4:$A$18,0)))</f>
        <v>0</v>
      </c>
      <c r="L1337" s="0" t="n">
        <f aca="false">IF($F1337=0,0,INDEX(Aux_HH!$I$4:$I$18,MATCH($B1337&amp;"|"&amp;$E1337,Aux_HH!$A$4:$A$18,0)))</f>
        <v>0</v>
      </c>
    </row>
    <row r="1338" customFormat="false" ht="15" hidden="false" customHeight="false" outlineLevel="0" collapsed="false">
      <c r="A1338" s="0" t="str">
        <f aca="false">IF(Frota!$A30="","",Frota!$A30)</f>
        <v/>
      </c>
      <c r="B1338" s="0" t="str">
        <f aca="false">IF(Frota!$A30="","",Frota!$B30)</f>
        <v/>
      </c>
      <c r="C1338" s="0" t="n">
        <v>35</v>
      </c>
      <c r="D1338" s="0" t="n">
        <f aca="false">INDEX(Semanas!$E$3:$E$54,35)</f>
        <v>11</v>
      </c>
      <c r="E1338" s="0" t="str">
        <f aca="false">IF(Frota!$A30="","",Cronograma!AJ30)</f>
        <v/>
      </c>
      <c r="F1338" s="0" t="n">
        <f aca="false">IF(OR($E1338="",$E1338=0),0,1)</f>
        <v>0</v>
      </c>
      <c r="G1338" s="0" t="n">
        <f aca="false">IF($F1338=0,0,INDEX(Aux_HH!$D$4:$D$18,MATCH($B1338&amp;"|"&amp;$E1338,Aux_HH!$A$4:$A$18,0)))</f>
        <v>0</v>
      </c>
      <c r="H1338" s="0" t="n">
        <f aca="false">IF($F1338=0,0,INDEX(Aux_HH!$E$4:$E$18,MATCH($B1338&amp;"|"&amp;$E1338,Aux_HH!$A$4:$A$18,0)))</f>
        <v>0</v>
      </c>
      <c r="I1338" s="0" t="n">
        <f aca="false">IF($F1338=0,0,INDEX(Aux_HH!$F$4:$F$18,MATCH($B1338&amp;"|"&amp;$E1338,Aux_HH!$A$4:$A$18,0)))</f>
        <v>0</v>
      </c>
      <c r="J1338" s="0" t="n">
        <f aca="false">IF($F1338=0,0,INDEX(Aux_HH!$G$4:$G$18,MATCH($B1338&amp;"|"&amp;$E1338,Aux_HH!$A$4:$A$18,0)))</f>
        <v>0</v>
      </c>
      <c r="K1338" s="0" t="n">
        <f aca="false">IF($F1338=0,0,INDEX(Aux_HH!$H$4:$H$18,MATCH($B1338&amp;"|"&amp;$E1338,Aux_HH!$A$4:$A$18,0)))</f>
        <v>0</v>
      </c>
      <c r="L1338" s="0" t="n">
        <f aca="false">IF($F1338=0,0,INDEX(Aux_HH!$I$4:$I$18,MATCH($B1338&amp;"|"&amp;$E1338,Aux_HH!$A$4:$A$18,0)))</f>
        <v>0</v>
      </c>
    </row>
    <row r="1339" customFormat="false" ht="15" hidden="false" customHeight="false" outlineLevel="0" collapsed="false">
      <c r="A1339" s="0" t="str">
        <f aca="false">IF(Frota!$A30="","",Frota!$A30)</f>
        <v/>
      </c>
      <c r="B1339" s="0" t="str">
        <f aca="false">IF(Frota!$A30="","",Frota!$B30)</f>
        <v/>
      </c>
      <c r="C1339" s="0" t="n">
        <v>36</v>
      </c>
      <c r="D1339" s="0" t="n">
        <f aca="false">INDEX(Semanas!$E$3:$E$54,36)</f>
        <v>12</v>
      </c>
      <c r="E1339" s="0" t="str">
        <f aca="false">IF(Frota!$A30="","",Cronograma!AK30)</f>
        <v/>
      </c>
      <c r="F1339" s="0" t="n">
        <f aca="false">IF(OR($E1339="",$E1339=0),0,1)</f>
        <v>0</v>
      </c>
      <c r="G1339" s="0" t="n">
        <f aca="false">IF($F1339=0,0,INDEX(Aux_HH!$D$4:$D$18,MATCH($B1339&amp;"|"&amp;$E1339,Aux_HH!$A$4:$A$18,0)))</f>
        <v>0</v>
      </c>
      <c r="H1339" s="0" t="n">
        <f aca="false">IF($F1339=0,0,INDEX(Aux_HH!$E$4:$E$18,MATCH($B1339&amp;"|"&amp;$E1339,Aux_HH!$A$4:$A$18,0)))</f>
        <v>0</v>
      </c>
      <c r="I1339" s="0" t="n">
        <f aca="false">IF($F1339=0,0,INDEX(Aux_HH!$F$4:$F$18,MATCH($B1339&amp;"|"&amp;$E1339,Aux_HH!$A$4:$A$18,0)))</f>
        <v>0</v>
      </c>
      <c r="J1339" s="0" t="n">
        <f aca="false">IF($F1339=0,0,INDEX(Aux_HH!$G$4:$G$18,MATCH($B1339&amp;"|"&amp;$E1339,Aux_HH!$A$4:$A$18,0)))</f>
        <v>0</v>
      </c>
      <c r="K1339" s="0" t="n">
        <f aca="false">IF($F1339=0,0,INDEX(Aux_HH!$H$4:$H$18,MATCH($B1339&amp;"|"&amp;$E1339,Aux_HH!$A$4:$A$18,0)))</f>
        <v>0</v>
      </c>
      <c r="L1339" s="0" t="n">
        <f aca="false">IF($F1339=0,0,INDEX(Aux_HH!$I$4:$I$18,MATCH($B1339&amp;"|"&amp;$E1339,Aux_HH!$A$4:$A$18,0)))</f>
        <v>0</v>
      </c>
    </row>
    <row r="1340" customFormat="false" ht="15" hidden="false" customHeight="false" outlineLevel="0" collapsed="false">
      <c r="A1340" s="0" t="str">
        <f aca="false">IF(Frota!$A30="","",Frota!$A30)</f>
        <v/>
      </c>
      <c r="B1340" s="0" t="str">
        <f aca="false">IF(Frota!$A30="","",Frota!$B30)</f>
        <v/>
      </c>
      <c r="C1340" s="0" t="n">
        <v>37</v>
      </c>
      <c r="D1340" s="0" t="n">
        <f aca="false">INDEX(Semanas!$E$3:$E$54,37)</f>
        <v>12</v>
      </c>
      <c r="E1340" s="0" t="str">
        <f aca="false">IF(Frota!$A30="","",Cronograma!AL30)</f>
        <v/>
      </c>
      <c r="F1340" s="0" t="n">
        <f aca="false">IF(OR($E1340="",$E1340=0),0,1)</f>
        <v>0</v>
      </c>
      <c r="G1340" s="0" t="n">
        <f aca="false">IF($F1340=0,0,INDEX(Aux_HH!$D$4:$D$18,MATCH($B1340&amp;"|"&amp;$E1340,Aux_HH!$A$4:$A$18,0)))</f>
        <v>0</v>
      </c>
      <c r="H1340" s="0" t="n">
        <f aca="false">IF($F1340=0,0,INDEX(Aux_HH!$E$4:$E$18,MATCH($B1340&amp;"|"&amp;$E1340,Aux_HH!$A$4:$A$18,0)))</f>
        <v>0</v>
      </c>
      <c r="I1340" s="0" t="n">
        <f aca="false">IF($F1340=0,0,INDEX(Aux_HH!$F$4:$F$18,MATCH($B1340&amp;"|"&amp;$E1340,Aux_HH!$A$4:$A$18,0)))</f>
        <v>0</v>
      </c>
      <c r="J1340" s="0" t="n">
        <f aca="false">IF($F1340=0,0,INDEX(Aux_HH!$G$4:$G$18,MATCH($B1340&amp;"|"&amp;$E1340,Aux_HH!$A$4:$A$18,0)))</f>
        <v>0</v>
      </c>
      <c r="K1340" s="0" t="n">
        <f aca="false">IF($F1340=0,0,INDEX(Aux_HH!$H$4:$H$18,MATCH($B1340&amp;"|"&amp;$E1340,Aux_HH!$A$4:$A$18,0)))</f>
        <v>0</v>
      </c>
      <c r="L1340" s="0" t="n">
        <f aca="false">IF($F1340=0,0,INDEX(Aux_HH!$I$4:$I$18,MATCH($B1340&amp;"|"&amp;$E1340,Aux_HH!$A$4:$A$18,0)))</f>
        <v>0</v>
      </c>
    </row>
    <row r="1341" customFormat="false" ht="15" hidden="false" customHeight="false" outlineLevel="0" collapsed="false">
      <c r="A1341" s="0" t="str">
        <f aca="false">IF(Frota!$A30="","",Frota!$A30)</f>
        <v/>
      </c>
      <c r="B1341" s="0" t="str">
        <f aca="false">IF(Frota!$A30="","",Frota!$B30)</f>
        <v/>
      </c>
      <c r="C1341" s="0" t="n">
        <v>38</v>
      </c>
      <c r="D1341" s="0" t="n">
        <f aca="false">INDEX(Semanas!$E$3:$E$54,38)</f>
        <v>12</v>
      </c>
      <c r="E1341" s="0" t="str">
        <f aca="false">IF(Frota!$A30="","",Cronograma!AM30)</f>
        <v/>
      </c>
      <c r="F1341" s="0" t="n">
        <f aca="false">IF(OR($E1341="",$E1341=0),0,1)</f>
        <v>0</v>
      </c>
      <c r="G1341" s="0" t="n">
        <f aca="false">IF($F1341=0,0,INDEX(Aux_HH!$D$4:$D$18,MATCH($B1341&amp;"|"&amp;$E1341,Aux_HH!$A$4:$A$18,0)))</f>
        <v>0</v>
      </c>
      <c r="H1341" s="0" t="n">
        <f aca="false">IF($F1341=0,0,INDEX(Aux_HH!$E$4:$E$18,MATCH($B1341&amp;"|"&amp;$E1341,Aux_HH!$A$4:$A$18,0)))</f>
        <v>0</v>
      </c>
      <c r="I1341" s="0" t="n">
        <f aca="false">IF($F1341=0,0,INDEX(Aux_HH!$F$4:$F$18,MATCH($B1341&amp;"|"&amp;$E1341,Aux_HH!$A$4:$A$18,0)))</f>
        <v>0</v>
      </c>
      <c r="J1341" s="0" t="n">
        <f aca="false">IF($F1341=0,0,INDEX(Aux_HH!$G$4:$G$18,MATCH($B1341&amp;"|"&amp;$E1341,Aux_HH!$A$4:$A$18,0)))</f>
        <v>0</v>
      </c>
      <c r="K1341" s="0" t="n">
        <f aca="false">IF($F1341=0,0,INDEX(Aux_HH!$H$4:$H$18,MATCH($B1341&amp;"|"&amp;$E1341,Aux_HH!$A$4:$A$18,0)))</f>
        <v>0</v>
      </c>
      <c r="L1341" s="0" t="n">
        <f aca="false">IF($F1341=0,0,INDEX(Aux_HH!$I$4:$I$18,MATCH($B1341&amp;"|"&amp;$E1341,Aux_HH!$A$4:$A$18,0)))</f>
        <v>0</v>
      </c>
    </row>
    <row r="1342" customFormat="false" ht="15" hidden="false" customHeight="false" outlineLevel="0" collapsed="false">
      <c r="A1342" s="0" t="str">
        <f aca="false">IF(Frota!$A30="","",Frota!$A30)</f>
        <v/>
      </c>
      <c r="B1342" s="0" t="str">
        <f aca="false">IF(Frota!$A30="","",Frota!$B30)</f>
        <v/>
      </c>
      <c r="C1342" s="0" t="n">
        <v>39</v>
      </c>
      <c r="D1342" s="0" t="n">
        <f aca="false">INDEX(Semanas!$E$3:$E$54,39)</f>
        <v>12</v>
      </c>
      <c r="E1342" s="0" t="str">
        <f aca="false">IF(Frota!$A30="","",Cronograma!AN30)</f>
        <v/>
      </c>
      <c r="F1342" s="0" t="n">
        <f aca="false">IF(OR($E1342="",$E1342=0),0,1)</f>
        <v>0</v>
      </c>
      <c r="G1342" s="0" t="n">
        <f aca="false">IF($F1342=0,0,INDEX(Aux_HH!$D$4:$D$18,MATCH($B1342&amp;"|"&amp;$E1342,Aux_HH!$A$4:$A$18,0)))</f>
        <v>0</v>
      </c>
      <c r="H1342" s="0" t="n">
        <f aca="false">IF($F1342=0,0,INDEX(Aux_HH!$E$4:$E$18,MATCH($B1342&amp;"|"&amp;$E1342,Aux_HH!$A$4:$A$18,0)))</f>
        <v>0</v>
      </c>
      <c r="I1342" s="0" t="n">
        <f aca="false">IF($F1342=0,0,INDEX(Aux_HH!$F$4:$F$18,MATCH($B1342&amp;"|"&amp;$E1342,Aux_HH!$A$4:$A$18,0)))</f>
        <v>0</v>
      </c>
      <c r="J1342" s="0" t="n">
        <f aca="false">IF($F1342=0,0,INDEX(Aux_HH!$G$4:$G$18,MATCH($B1342&amp;"|"&amp;$E1342,Aux_HH!$A$4:$A$18,0)))</f>
        <v>0</v>
      </c>
      <c r="K1342" s="0" t="n">
        <f aca="false">IF($F1342=0,0,INDEX(Aux_HH!$H$4:$H$18,MATCH($B1342&amp;"|"&amp;$E1342,Aux_HH!$A$4:$A$18,0)))</f>
        <v>0</v>
      </c>
      <c r="L1342" s="0" t="n">
        <f aca="false">IF($F1342=0,0,INDEX(Aux_HH!$I$4:$I$18,MATCH($B1342&amp;"|"&amp;$E1342,Aux_HH!$A$4:$A$18,0)))</f>
        <v>0</v>
      </c>
    </row>
    <row r="1343" customFormat="false" ht="15" hidden="false" customHeight="false" outlineLevel="0" collapsed="false">
      <c r="A1343" s="0" t="str">
        <f aca="false">IF(Frota!$A30="","",Frota!$A30)</f>
        <v/>
      </c>
      <c r="B1343" s="0" t="str">
        <f aca="false">IF(Frota!$A30="","",Frota!$B30)</f>
        <v/>
      </c>
      <c r="C1343" s="0" t="n">
        <v>40</v>
      </c>
      <c r="D1343" s="0" t="n">
        <f aca="false">INDEX(Semanas!$E$3:$E$54,40)</f>
        <v>12</v>
      </c>
      <c r="E1343" s="0" t="str">
        <f aca="false">IF(Frota!$A30="","",Cronograma!AO30)</f>
        <v/>
      </c>
      <c r="F1343" s="0" t="n">
        <f aca="false">IF(OR($E1343="",$E1343=0),0,1)</f>
        <v>0</v>
      </c>
      <c r="G1343" s="0" t="n">
        <f aca="false">IF($F1343=0,0,INDEX(Aux_HH!$D$4:$D$18,MATCH($B1343&amp;"|"&amp;$E1343,Aux_HH!$A$4:$A$18,0)))</f>
        <v>0</v>
      </c>
      <c r="H1343" s="0" t="n">
        <f aca="false">IF($F1343=0,0,INDEX(Aux_HH!$E$4:$E$18,MATCH($B1343&amp;"|"&amp;$E1343,Aux_HH!$A$4:$A$18,0)))</f>
        <v>0</v>
      </c>
      <c r="I1343" s="0" t="n">
        <f aca="false">IF($F1343=0,0,INDEX(Aux_HH!$F$4:$F$18,MATCH($B1343&amp;"|"&amp;$E1343,Aux_HH!$A$4:$A$18,0)))</f>
        <v>0</v>
      </c>
      <c r="J1343" s="0" t="n">
        <f aca="false">IF($F1343=0,0,INDEX(Aux_HH!$G$4:$G$18,MATCH($B1343&amp;"|"&amp;$E1343,Aux_HH!$A$4:$A$18,0)))</f>
        <v>0</v>
      </c>
      <c r="K1343" s="0" t="n">
        <f aca="false">IF($F1343=0,0,INDEX(Aux_HH!$H$4:$H$18,MATCH($B1343&amp;"|"&amp;$E1343,Aux_HH!$A$4:$A$18,0)))</f>
        <v>0</v>
      </c>
      <c r="L1343" s="0" t="n">
        <f aca="false">IF($F1343=0,0,INDEX(Aux_HH!$I$4:$I$18,MATCH($B1343&amp;"|"&amp;$E1343,Aux_HH!$A$4:$A$18,0)))</f>
        <v>0</v>
      </c>
    </row>
    <row r="1344" customFormat="false" ht="15" hidden="false" customHeight="false" outlineLevel="0" collapsed="false">
      <c r="A1344" s="0" t="str">
        <f aca="false">IF(Frota!$A30="","",Frota!$A30)</f>
        <v/>
      </c>
      <c r="B1344" s="0" t="str">
        <f aca="false">IF(Frota!$A30="","",Frota!$B30)</f>
        <v/>
      </c>
      <c r="C1344" s="0" t="n">
        <v>41</v>
      </c>
      <c r="D1344" s="0" t="n">
        <f aca="false">INDEX(Semanas!$E$3:$E$54,41)</f>
        <v>1</v>
      </c>
      <c r="E1344" s="0" t="str">
        <f aca="false">IF(Frota!$A30="","",Cronograma!AP30)</f>
        <v/>
      </c>
      <c r="F1344" s="0" t="n">
        <f aca="false">IF(OR($E1344="",$E1344=0),0,1)</f>
        <v>0</v>
      </c>
      <c r="G1344" s="0" t="n">
        <f aca="false">IF($F1344=0,0,INDEX(Aux_HH!$D$4:$D$18,MATCH($B1344&amp;"|"&amp;$E1344,Aux_HH!$A$4:$A$18,0)))</f>
        <v>0</v>
      </c>
      <c r="H1344" s="0" t="n">
        <f aca="false">IF($F1344=0,0,INDEX(Aux_HH!$E$4:$E$18,MATCH($B1344&amp;"|"&amp;$E1344,Aux_HH!$A$4:$A$18,0)))</f>
        <v>0</v>
      </c>
      <c r="I1344" s="0" t="n">
        <f aca="false">IF($F1344=0,0,INDEX(Aux_HH!$F$4:$F$18,MATCH($B1344&amp;"|"&amp;$E1344,Aux_HH!$A$4:$A$18,0)))</f>
        <v>0</v>
      </c>
      <c r="J1344" s="0" t="n">
        <f aca="false">IF($F1344=0,0,INDEX(Aux_HH!$G$4:$G$18,MATCH($B1344&amp;"|"&amp;$E1344,Aux_HH!$A$4:$A$18,0)))</f>
        <v>0</v>
      </c>
      <c r="K1344" s="0" t="n">
        <f aca="false">IF($F1344=0,0,INDEX(Aux_HH!$H$4:$H$18,MATCH($B1344&amp;"|"&amp;$E1344,Aux_HH!$A$4:$A$18,0)))</f>
        <v>0</v>
      </c>
      <c r="L1344" s="0" t="n">
        <f aca="false">IF($F1344=0,0,INDEX(Aux_HH!$I$4:$I$18,MATCH($B1344&amp;"|"&amp;$E1344,Aux_HH!$A$4:$A$18,0)))</f>
        <v>0</v>
      </c>
    </row>
    <row r="1345" customFormat="false" ht="15" hidden="false" customHeight="false" outlineLevel="0" collapsed="false">
      <c r="A1345" s="0" t="str">
        <f aca="false">IF(Frota!$A30="","",Frota!$A30)</f>
        <v/>
      </c>
      <c r="B1345" s="0" t="str">
        <f aca="false">IF(Frota!$A30="","",Frota!$B30)</f>
        <v/>
      </c>
      <c r="C1345" s="0" t="n">
        <v>42</v>
      </c>
      <c r="D1345" s="0" t="n">
        <f aca="false">INDEX(Semanas!$E$3:$E$54,42)</f>
        <v>1</v>
      </c>
      <c r="E1345" s="0" t="str">
        <f aca="false">IF(Frota!$A30="","",Cronograma!AQ30)</f>
        <v/>
      </c>
      <c r="F1345" s="0" t="n">
        <f aca="false">IF(OR($E1345="",$E1345=0),0,1)</f>
        <v>0</v>
      </c>
      <c r="G1345" s="0" t="n">
        <f aca="false">IF($F1345=0,0,INDEX(Aux_HH!$D$4:$D$18,MATCH($B1345&amp;"|"&amp;$E1345,Aux_HH!$A$4:$A$18,0)))</f>
        <v>0</v>
      </c>
      <c r="H1345" s="0" t="n">
        <f aca="false">IF($F1345=0,0,INDEX(Aux_HH!$E$4:$E$18,MATCH($B1345&amp;"|"&amp;$E1345,Aux_HH!$A$4:$A$18,0)))</f>
        <v>0</v>
      </c>
      <c r="I1345" s="0" t="n">
        <f aca="false">IF($F1345=0,0,INDEX(Aux_HH!$F$4:$F$18,MATCH($B1345&amp;"|"&amp;$E1345,Aux_HH!$A$4:$A$18,0)))</f>
        <v>0</v>
      </c>
      <c r="J1345" s="0" t="n">
        <f aca="false">IF($F1345=0,0,INDEX(Aux_HH!$G$4:$G$18,MATCH($B1345&amp;"|"&amp;$E1345,Aux_HH!$A$4:$A$18,0)))</f>
        <v>0</v>
      </c>
      <c r="K1345" s="0" t="n">
        <f aca="false">IF($F1345=0,0,INDEX(Aux_HH!$H$4:$H$18,MATCH($B1345&amp;"|"&amp;$E1345,Aux_HH!$A$4:$A$18,0)))</f>
        <v>0</v>
      </c>
      <c r="L1345" s="0" t="n">
        <f aca="false">IF($F1345=0,0,INDEX(Aux_HH!$I$4:$I$18,MATCH($B1345&amp;"|"&amp;$E1345,Aux_HH!$A$4:$A$18,0)))</f>
        <v>0</v>
      </c>
    </row>
    <row r="1346" customFormat="false" ht="15" hidden="false" customHeight="false" outlineLevel="0" collapsed="false">
      <c r="A1346" s="0" t="str">
        <f aca="false">IF(Frota!$A30="","",Frota!$A30)</f>
        <v/>
      </c>
      <c r="B1346" s="0" t="str">
        <f aca="false">IF(Frota!$A30="","",Frota!$B30)</f>
        <v/>
      </c>
      <c r="C1346" s="0" t="n">
        <v>43</v>
      </c>
      <c r="D1346" s="0" t="n">
        <f aca="false">INDEX(Semanas!$E$3:$E$54,43)</f>
        <v>1</v>
      </c>
      <c r="E1346" s="0" t="str">
        <f aca="false">IF(Frota!$A30="","",Cronograma!AR30)</f>
        <v/>
      </c>
      <c r="F1346" s="0" t="n">
        <f aca="false">IF(OR($E1346="",$E1346=0),0,1)</f>
        <v>0</v>
      </c>
      <c r="G1346" s="0" t="n">
        <f aca="false">IF($F1346=0,0,INDEX(Aux_HH!$D$4:$D$18,MATCH($B1346&amp;"|"&amp;$E1346,Aux_HH!$A$4:$A$18,0)))</f>
        <v>0</v>
      </c>
      <c r="H1346" s="0" t="n">
        <f aca="false">IF($F1346=0,0,INDEX(Aux_HH!$E$4:$E$18,MATCH($B1346&amp;"|"&amp;$E1346,Aux_HH!$A$4:$A$18,0)))</f>
        <v>0</v>
      </c>
      <c r="I1346" s="0" t="n">
        <f aca="false">IF($F1346=0,0,INDEX(Aux_HH!$F$4:$F$18,MATCH($B1346&amp;"|"&amp;$E1346,Aux_HH!$A$4:$A$18,0)))</f>
        <v>0</v>
      </c>
      <c r="J1346" s="0" t="n">
        <f aca="false">IF($F1346=0,0,INDEX(Aux_HH!$G$4:$G$18,MATCH($B1346&amp;"|"&amp;$E1346,Aux_HH!$A$4:$A$18,0)))</f>
        <v>0</v>
      </c>
      <c r="K1346" s="0" t="n">
        <f aca="false">IF($F1346=0,0,INDEX(Aux_HH!$H$4:$H$18,MATCH($B1346&amp;"|"&amp;$E1346,Aux_HH!$A$4:$A$18,0)))</f>
        <v>0</v>
      </c>
      <c r="L1346" s="0" t="n">
        <f aca="false">IF($F1346=0,0,INDEX(Aux_HH!$I$4:$I$18,MATCH($B1346&amp;"|"&amp;$E1346,Aux_HH!$A$4:$A$18,0)))</f>
        <v>0</v>
      </c>
    </row>
    <row r="1347" customFormat="false" ht="15" hidden="false" customHeight="false" outlineLevel="0" collapsed="false">
      <c r="A1347" s="0" t="str">
        <f aca="false">IF(Frota!$A30="","",Frota!$A30)</f>
        <v/>
      </c>
      <c r="B1347" s="0" t="str">
        <f aca="false">IF(Frota!$A30="","",Frota!$B30)</f>
        <v/>
      </c>
      <c r="C1347" s="0" t="n">
        <v>44</v>
      </c>
      <c r="D1347" s="0" t="n">
        <f aca="false">INDEX(Semanas!$E$3:$E$54,44)</f>
        <v>1</v>
      </c>
      <c r="E1347" s="0" t="str">
        <f aca="false">IF(Frota!$A30="","",Cronograma!AS30)</f>
        <v/>
      </c>
      <c r="F1347" s="0" t="n">
        <f aca="false">IF(OR($E1347="",$E1347=0),0,1)</f>
        <v>0</v>
      </c>
      <c r="G1347" s="0" t="n">
        <f aca="false">IF($F1347=0,0,INDEX(Aux_HH!$D$4:$D$18,MATCH($B1347&amp;"|"&amp;$E1347,Aux_HH!$A$4:$A$18,0)))</f>
        <v>0</v>
      </c>
      <c r="H1347" s="0" t="n">
        <f aca="false">IF($F1347=0,0,INDEX(Aux_HH!$E$4:$E$18,MATCH($B1347&amp;"|"&amp;$E1347,Aux_HH!$A$4:$A$18,0)))</f>
        <v>0</v>
      </c>
      <c r="I1347" s="0" t="n">
        <f aca="false">IF($F1347=0,0,INDEX(Aux_HH!$F$4:$F$18,MATCH($B1347&amp;"|"&amp;$E1347,Aux_HH!$A$4:$A$18,0)))</f>
        <v>0</v>
      </c>
      <c r="J1347" s="0" t="n">
        <f aca="false">IF($F1347=0,0,INDEX(Aux_HH!$G$4:$G$18,MATCH($B1347&amp;"|"&amp;$E1347,Aux_HH!$A$4:$A$18,0)))</f>
        <v>0</v>
      </c>
      <c r="K1347" s="0" t="n">
        <f aca="false">IF($F1347=0,0,INDEX(Aux_HH!$H$4:$H$18,MATCH($B1347&amp;"|"&amp;$E1347,Aux_HH!$A$4:$A$18,0)))</f>
        <v>0</v>
      </c>
      <c r="L1347" s="0" t="n">
        <f aca="false">IF($F1347=0,0,INDEX(Aux_HH!$I$4:$I$18,MATCH($B1347&amp;"|"&amp;$E1347,Aux_HH!$A$4:$A$18,0)))</f>
        <v>0</v>
      </c>
    </row>
    <row r="1348" customFormat="false" ht="15" hidden="false" customHeight="false" outlineLevel="0" collapsed="false">
      <c r="A1348" s="0" t="str">
        <f aca="false">IF(Frota!$A30="","",Frota!$A30)</f>
        <v/>
      </c>
      <c r="B1348" s="0" t="str">
        <f aca="false">IF(Frota!$A30="","",Frota!$B30)</f>
        <v/>
      </c>
      <c r="C1348" s="0" t="n">
        <v>45</v>
      </c>
      <c r="D1348" s="0" t="n">
        <f aca="false">INDEX(Semanas!$E$3:$E$54,45)</f>
        <v>2</v>
      </c>
      <c r="E1348" s="0" t="str">
        <f aca="false">IF(Frota!$A30="","",Cronograma!AT30)</f>
        <v/>
      </c>
      <c r="F1348" s="0" t="n">
        <f aca="false">IF(OR($E1348="",$E1348=0),0,1)</f>
        <v>0</v>
      </c>
      <c r="G1348" s="0" t="n">
        <f aca="false">IF($F1348=0,0,INDEX(Aux_HH!$D$4:$D$18,MATCH($B1348&amp;"|"&amp;$E1348,Aux_HH!$A$4:$A$18,0)))</f>
        <v>0</v>
      </c>
      <c r="H1348" s="0" t="n">
        <f aca="false">IF($F1348=0,0,INDEX(Aux_HH!$E$4:$E$18,MATCH($B1348&amp;"|"&amp;$E1348,Aux_HH!$A$4:$A$18,0)))</f>
        <v>0</v>
      </c>
      <c r="I1348" s="0" t="n">
        <f aca="false">IF($F1348=0,0,INDEX(Aux_HH!$F$4:$F$18,MATCH($B1348&amp;"|"&amp;$E1348,Aux_HH!$A$4:$A$18,0)))</f>
        <v>0</v>
      </c>
      <c r="J1348" s="0" t="n">
        <f aca="false">IF($F1348=0,0,INDEX(Aux_HH!$G$4:$G$18,MATCH($B1348&amp;"|"&amp;$E1348,Aux_HH!$A$4:$A$18,0)))</f>
        <v>0</v>
      </c>
      <c r="K1348" s="0" t="n">
        <f aca="false">IF($F1348=0,0,INDEX(Aux_HH!$H$4:$H$18,MATCH($B1348&amp;"|"&amp;$E1348,Aux_HH!$A$4:$A$18,0)))</f>
        <v>0</v>
      </c>
      <c r="L1348" s="0" t="n">
        <f aca="false">IF($F1348=0,0,INDEX(Aux_HH!$I$4:$I$18,MATCH($B1348&amp;"|"&amp;$E1348,Aux_HH!$A$4:$A$18,0)))</f>
        <v>0</v>
      </c>
    </row>
    <row r="1349" customFormat="false" ht="15" hidden="false" customHeight="false" outlineLevel="0" collapsed="false">
      <c r="A1349" s="0" t="str">
        <f aca="false">IF(Frota!$A30="","",Frota!$A30)</f>
        <v/>
      </c>
      <c r="B1349" s="0" t="str">
        <f aca="false">IF(Frota!$A30="","",Frota!$B30)</f>
        <v/>
      </c>
      <c r="C1349" s="0" t="n">
        <v>46</v>
      </c>
      <c r="D1349" s="0" t="n">
        <f aca="false">INDEX(Semanas!$E$3:$E$54,46)</f>
        <v>2</v>
      </c>
      <c r="E1349" s="0" t="str">
        <f aca="false">IF(Frota!$A30="","",Cronograma!AU30)</f>
        <v/>
      </c>
      <c r="F1349" s="0" t="n">
        <f aca="false">IF(OR($E1349="",$E1349=0),0,1)</f>
        <v>0</v>
      </c>
      <c r="G1349" s="0" t="n">
        <f aca="false">IF($F1349=0,0,INDEX(Aux_HH!$D$4:$D$18,MATCH($B1349&amp;"|"&amp;$E1349,Aux_HH!$A$4:$A$18,0)))</f>
        <v>0</v>
      </c>
      <c r="H1349" s="0" t="n">
        <f aca="false">IF($F1349=0,0,INDEX(Aux_HH!$E$4:$E$18,MATCH($B1349&amp;"|"&amp;$E1349,Aux_HH!$A$4:$A$18,0)))</f>
        <v>0</v>
      </c>
      <c r="I1349" s="0" t="n">
        <f aca="false">IF($F1349=0,0,INDEX(Aux_HH!$F$4:$F$18,MATCH($B1349&amp;"|"&amp;$E1349,Aux_HH!$A$4:$A$18,0)))</f>
        <v>0</v>
      </c>
      <c r="J1349" s="0" t="n">
        <f aca="false">IF($F1349=0,0,INDEX(Aux_HH!$G$4:$G$18,MATCH($B1349&amp;"|"&amp;$E1349,Aux_HH!$A$4:$A$18,0)))</f>
        <v>0</v>
      </c>
      <c r="K1349" s="0" t="n">
        <f aca="false">IF($F1349=0,0,INDEX(Aux_HH!$H$4:$H$18,MATCH($B1349&amp;"|"&amp;$E1349,Aux_HH!$A$4:$A$18,0)))</f>
        <v>0</v>
      </c>
      <c r="L1349" s="0" t="n">
        <f aca="false">IF($F1349=0,0,INDEX(Aux_HH!$I$4:$I$18,MATCH($B1349&amp;"|"&amp;$E1349,Aux_HH!$A$4:$A$18,0)))</f>
        <v>0</v>
      </c>
    </row>
    <row r="1350" customFormat="false" ht="15" hidden="false" customHeight="false" outlineLevel="0" collapsed="false">
      <c r="A1350" s="0" t="str">
        <f aca="false">IF(Frota!$A30="","",Frota!$A30)</f>
        <v/>
      </c>
      <c r="B1350" s="0" t="str">
        <f aca="false">IF(Frota!$A30="","",Frota!$B30)</f>
        <v/>
      </c>
      <c r="C1350" s="0" t="n">
        <v>47</v>
      </c>
      <c r="D1350" s="0" t="n">
        <f aca="false">INDEX(Semanas!$E$3:$E$54,47)</f>
        <v>2</v>
      </c>
      <c r="E1350" s="0" t="str">
        <f aca="false">IF(Frota!$A30="","",Cronograma!AV30)</f>
        <v/>
      </c>
      <c r="F1350" s="0" t="n">
        <f aca="false">IF(OR($E1350="",$E1350=0),0,1)</f>
        <v>0</v>
      </c>
      <c r="G1350" s="0" t="n">
        <f aca="false">IF($F1350=0,0,INDEX(Aux_HH!$D$4:$D$18,MATCH($B1350&amp;"|"&amp;$E1350,Aux_HH!$A$4:$A$18,0)))</f>
        <v>0</v>
      </c>
      <c r="H1350" s="0" t="n">
        <f aca="false">IF($F1350=0,0,INDEX(Aux_HH!$E$4:$E$18,MATCH($B1350&amp;"|"&amp;$E1350,Aux_HH!$A$4:$A$18,0)))</f>
        <v>0</v>
      </c>
      <c r="I1350" s="0" t="n">
        <f aca="false">IF($F1350=0,0,INDEX(Aux_HH!$F$4:$F$18,MATCH($B1350&amp;"|"&amp;$E1350,Aux_HH!$A$4:$A$18,0)))</f>
        <v>0</v>
      </c>
      <c r="J1350" s="0" t="n">
        <f aca="false">IF($F1350=0,0,INDEX(Aux_HH!$G$4:$G$18,MATCH($B1350&amp;"|"&amp;$E1350,Aux_HH!$A$4:$A$18,0)))</f>
        <v>0</v>
      </c>
      <c r="K1350" s="0" t="n">
        <f aca="false">IF($F1350=0,0,INDEX(Aux_HH!$H$4:$H$18,MATCH($B1350&amp;"|"&amp;$E1350,Aux_HH!$A$4:$A$18,0)))</f>
        <v>0</v>
      </c>
      <c r="L1350" s="0" t="n">
        <f aca="false">IF($F1350=0,0,INDEX(Aux_HH!$I$4:$I$18,MATCH($B1350&amp;"|"&amp;$E1350,Aux_HH!$A$4:$A$18,0)))</f>
        <v>0</v>
      </c>
    </row>
    <row r="1351" customFormat="false" ht="15" hidden="false" customHeight="false" outlineLevel="0" collapsed="false">
      <c r="A1351" s="0" t="str">
        <f aca="false">IF(Frota!$A30="","",Frota!$A30)</f>
        <v/>
      </c>
      <c r="B1351" s="0" t="str">
        <f aca="false">IF(Frota!$A30="","",Frota!$B30)</f>
        <v/>
      </c>
      <c r="C1351" s="0" t="n">
        <v>48</v>
      </c>
      <c r="D1351" s="0" t="n">
        <f aca="false">INDEX(Semanas!$E$3:$E$54,48)</f>
        <v>2</v>
      </c>
      <c r="E1351" s="0" t="str">
        <f aca="false">IF(Frota!$A30="","",Cronograma!AW30)</f>
        <v/>
      </c>
      <c r="F1351" s="0" t="n">
        <f aca="false">IF(OR($E1351="",$E1351=0),0,1)</f>
        <v>0</v>
      </c>
      <c r="G1351" s="0" t="n">
        <f aca="false">IF($F1351=0,0,INDEX(Aux_HH!$D$4:$D$18,MATCH($B1351&amp;"|"&amp;$E1351,Aux_HH!$A$4:$A$18,0)))</f>
        <v>0</v>
      </c>
      <c r="H1351" s="0" t="n">
        <f aca="false">IF($F1351=0,0,INDEX(Aux_HH!$E$4:$E$18,MATCH($B1351&amp;"|"&amp;$E1351,Aux_HH!$A$4:$A$18,0)))</f>
        <v>0</v>
      </c>
      <c r="I1351" s="0" t="n">
        <f aca="false">IF($F1351=0,0,INDEX(Aux_HH!$F$4:$F$18,MATCH($B1351&amp;"|"&amp;$E1351,Aux_HH!$A$4:$A$18,0)))</f>
        <v>0</v>
      </c>
      <c r="J1351" s="0" t="n">
        <f aca="false">IF($F1351=0,0,INDEX(Aux_HH!$G$4:$G$18,MATCH($B1351&amp;"|"&amp;$E1351,Aux_HH!$A$4:$A$18,0)))</f>
        <v>0</v>
      </c>
      <c r="K1351" s="0" t="n">
        <f aca="false">IF($F1351=0,0,INDEX(Aux_HH!$H$4:$H$18,MATCH($B1351&amp;"|"&amp;$E1351,Aux_HH!$A$4:$A$18,0)))</f>
        <v>0</v>
      </c>
      <c r="L1351" s="0" t="n">
        <f aca="false">IF($F1351=0,0,INDEX(Aux_HH!$I$4:$I$18,MATCH($B1351&amp;"|"&amp;$E1351,Aux_HH!$A$4:$A$18,0)))</f>
        <v>0</v>
      </c>
    </row>
    <row r="1352" customFormat="false" ht="15" hidden="false" customHeight="false" outlineLevel="0" collapsed="false">
      <c r="A1352" s="0" t="str">
        <f aca="false">IF(Frota!$A30="","",Frota!$A30)</f>
        <v/>
      </c>
      <c r="B1352" s="0" t="str">
        <f aca="false">IF(Frota!$A30="","",Frota!$B30)</f>
        <v/>
      </c>
      <c r="C1352" s="0" t="n">
        <v>49</v>
      </c>
      <c r="D1352" s="0" t="n">
        <f aca="false">INDEX(Semanas!$E$3:$E$54,49)</f>
        <v>3</v>
      </c>
      <c r="E1352" s="0" t="str">
        <f aca="false">IF(Frota!$A30="","",Cronograma!AX30)</f>
        <v/>
      </c>
      <c r="F1352" s="0" t="n">
        <f aca="false">IF(OR($E1352="",$E1352=0),0,1)</f>
        <v>0</v>
      </c>
      <c r="G1352" s="0" t="n">
        <f aca="false">IF($F1352=0,0,INDEX(Aux_HH!$D$4:$D$18,MATCH($B1352&amp;"|"&amp;$E1352,Aux_HH!$A$4:$A$18,0)))</f>
        <v>0</v>
      </c>
      <c r="H1352" s="0" t="n">
        <f aca="false">IF($F1352=0,0,INDEX(Aux_HH!$E$4:$E$18,MATCH($B1352&amp;"|"&amp;$E1352,Aux_HH!$A$4:$A$18,0)))</f>
        <v>0</v>
      </c>
      <c r="I1352" s="0" t="n">
        <f aca="false">IF($F1352=0,0,INDEX(Aux_HH!$F$4:$F$18,MATCH($B1352&amp;"|"&amp;$E1352,Aux_HH!$A$4:$A$18,0)))</f>
        <v>0</v>
      </c>
      <c r="J1352" s="0" t="n">
        <f aca="false">IF($F1352=0,0,INDEX(Aux_HH!$G$4:$G$18,MATCH($B1352&amp;"|"&amp;$E1352,Aux_HH!$A$4:$A$18,0)))</f>
        <v>0</v>
      </c>
      <c r="K1352" s="0" t="n">
        <f aca="false">IF($F1352=0,0,INDEX(Aux_HH!$H$4:$H$18,MATCH($B1352&amp;"|"&amp;$E1352,Aux_HH!$A$4:$A$18,0)))</f>
        <v>0</v>
      </c>
      <c r="L1352" s="0" t="n">
        <f aca="false">IF($F1352=0,0,INDEX(Aux_HH!$I$4:$I$18,MATCH($B1352&amp;"|"&amp;$E1352,Aux_HH!$A$4:$A$18,0)))</f>
        <v>0</v>
      </c>
    </row>
    <row r="1353" customFormat="false" ht="15" hidden="false" customHeight="false" outlineLevel="0" collapsed="false">
      <c r="A1353" s="0" t="str">
        <f aca="false">IF(Frota!$A30="","",Frota!$A30)</f>
        <v/>
      </c>
      <c r="B1353" s="0" t="str">
        <f aca="false">IF(Frota!$A30="","",Frota!$B30)</f>
        <v/>
      </c>
      <c r="C1353" s="0" t="n">
        <v>50</v>
      </c>
      <c r="D1353" s="0" t="n">
        <f aca="false">INDEX(Semanas!$E$3:$E$54,50)</f>
        <v>3</v>
      </c>
      <c r="E1353" s="0" t="str">
        <f aca="false">IF(Frota!$A30="","",Cronograma!AY30)</f>
        <v/>
      </c>
      <c r="F1353" s="0" t="n">
        <f aca="false">IF(OR($E1353="",$E1353=0),0,1)</f>
        <v>0</v>
      </c>
      <c r="G1353" s="0" t="n">
        <f aca="false">IF($F1353=0,0,INDEX(Aux_HH!$D$4:$D$18,MATCH($B1353&amp;"|"&amp;$E1353,Aux_HH!$A$4:$A$18,0)))</f>
        <v>0</v>
      </c>
      <c r="H1353" s="0" t="n">
        <f aca="false">IF($F1353=0,0,INDEX(Aux_HH!$E$4:$E$18,MATCH($B1353&amp;"|"&amp;$E1353,Aux_HH!$A$4:$A$18,0)))</f>
        <v>0</v>
      </c>
      <c r="I1353" s="0" t="n">
        <f aca="false">IF($F1353=0,0,INDEX(Aux_HH!$F$4:$F$18,MATCH($B1353&amp;"|"&amp;$E1353,Aux_HH!$A$4:$A$18,0)))</f>
        <v>0</v>
      </c>
      <c r="J1353" s="0" t="n">
        <f aca="false">IF($F1353=0,0,INDEX(Aux_HH!$G$4:$G$18,MATCH($B1353&amp;"|"&amp;$E1353,Aux_HH!$A$4:$A$18,0)))</f>
        <v>0</v>
      </c>
      <c r="K1353" s="0" t="n">
        <f aca="false">IF($F1353=0,0,INDEX(Aux_HH!$H$4:$H$18,MATCH($B1353&amp;"|"&amp;$E1353,Aux_HH!$A$4:$A$18,0)))</f>
        <v>0</v>
      </c>
      <c r="L1353" s="0" t="n">
        <f aca="false">IF($F1353=0,0,INDEX(Aux_HH!$I$4:$I$18,MATCH($B1353&amp;"|"&amp;$E1353,Aux_HH!$A$4:$A$18,0)))</f>
        <v>0</v>
      </c>
    </row>
    <row r="1354" customFormat="false" ht="15" hidden="false" customHeight="false" outlineLevel="0" collapsed="false">
      <c r="A1354" s="0" t="str">
        <f aca="false">IF(Frota!$A30="","",Frota!$A30)</f>
        <v/>
      </c>
      <c r="B1354" s="0" t="str">
        <f aca="false">IF(Frota!$A30="","",Frota!$B30)</f>
        <v/>
      </c>
      <c r="C1354" s="0" t="n">
        <v>51</v>
      </c>
      <c r="D1354" s="0" t="n">
        <f aca="false">INDEX(Semanas!$E$3:$E$54,51)</f>
        <v>3</v>
      </c>
      <c r="E1354" s="0" t="str">
        <f aca="false">IF(Frota!$A30="","",Cronograma!AZ30)</f>
        <v/>
      </c>
      <c r="F1354" s="0" t="n">
        <f aca="false">IF(OR($E1354="",$E1354=0),0,1)</f>
        <v>0</v>
      </c>
      <c r="G1354" s="0" t="n">
        <f aca="false">IF($F1354=0,0,INDEX(Aux_HH!$D$4:$D$18,MATCH($B1354&amp;"|"&amp;$E1354,Aux_HH!$A$4:$A$18,0)))</f>
        <v>0</v>
      </c>
      <c r="H1354" s="0" t="n">
        <f aca="false">IF($F1354=0,0,INDEX(Aux_HH!$E$4:$E$18,MATCH($B1354&amp;"|"&amp;$E1354,Aux_HH!$A$4:$A$18,0)))</f>
        <v>0</v>
      </c>
      <c r="I1354" s="0" t="n">
        <f aca="false">IF($F1354=0,0,INDEX(Aux_HH!$F$4:$F$18,MATCH($B1354&amp;"|"&amp;$E1354,Aux_HH!$A$4:$A$18,0)))</f>
        <v>0</v>
      </c>
      <c r="J1354" s="0" t="n">
        <f aca="false">IF($F1354=0,0,INDEX(Aux_HH!$G$4:$G$18,MATCH($B1354&amp;"|"&amp;$E1354,Aux_HH!$A$4:$A$18,0)))</f>
        <v>0</v>
      </c>
      <c r="K1354" s="0" t="n">
        <f aca="false">IF($F1354=0,0,INDEX(Aux_HH!$H$4:$H$18,MATCH($B1354&amp;"|"&amp;$E1354,Aux_HH!$A$4:$A$18,0)))</f>
        <v>0</v>
      </c>
      <c r="L1354" s="0" t="n">
        <f aca="false">IF($F1354=0,0,INDEX(Aux_HH!$I$4:$I$18,MATCH($B1354&amp;"|"&amp;$E1354,Aux_HH!$A$4:$A$18,0)))</f>
        <v>0</v>
      </c>
    </row>
    <row r="1355" customFormat="false" ht="15" hidden="false" customHeight="false" outlineLevel="0" collapsed="false">
      <c r="A1355" s="0" t="str">
        <f aca="false">IF(Frota!$A30="","",Frota!$A30)</f>
        <v/>
      </c>
      <c r="B1355" s="0" t="str">
        <f aca="false">IF(Frota!$A30="","",Frota!$B30)</f>
        <v/>
      </c>
      <c r="C1355" s="0" t="n">
        <v>52</v>
      </c>
      <c r="D1355" s="0" t="n">
        <f aca="false">INDEX(Semanas!$E$3:$E$54,52)</f>
        <v>3</v>
      </c>
      <c r="E1355" s="0" t="str">
        <f aca="false">IF(Frota!$A30="","",Cronograma!BA30)</f>
        <v/>
      </c>
      <c r="F1355" s="0" t="n">
        <f aca="false">IF(OR($E1355="",$E1355=0),0,1)</f>
        <v>0</v>
      </c>
      <c r="G1355" s="0" t="n">
        <f aca="false">IF($F1355=0,0,INDEX(Aux_HH!$D$4:$D$18,MATCH($B1355&amp;"|"&amp;$E1355,Aux_HH!$A$4:$A$18,0)))</f>
        <v>0</v>
      </c>
      <c r="H1355" s="0" t="n">
        <f aca="false">IF($F1355=0,0,INDEX(Aux_HH!$E$4:$E$18,MATCH($B1355&amp;"|"&amp;$E1355,Aux_HH!$A$4:$A$18,0)))</f>
        <v>0</v>
      </c>
      <c r="I1355" s="0" t="n">
        <f aca="false">IF($F1355=0,0,INDEX(Aux_HH!$F$4:$F$18,MATCH($B1355&amp;"|"&amp;$E1355,Aux_HH!$A$4:$A$18,0)))</f>
        <v>0</v>
      </c>
      <c r="J1355" s="0" t="n">
        <f aca="false">IF($F1355=0,0,INDEX(Aux_HH!$G$4:$G$18,MATCH($B1355&amp;"|"&amp;$E1355,Aux_HH!$A$4:$A$18,0)))</f>
        <v>0</v>
      </c>
      <c r="K1355" s="0" t="n">
        <f aca="false">IF($F1355=0,0,INDEX(Aux_HH!$H$4:$H$18,MATCH($B1355&amp;"|"&amp;$E1355,Aux_HH!$A$4:$A$18,0)))</f>
        <v>0</v>
      </c>
      <c r="L1355" s="0" t="n">
        <f aca="false">IF($F1355=0,0,INDEX(Aux_HH!$I$4:$I$18,MATCH($B1355&amp;"|"&amp;$E1355,Aux_HH!$A$4:$A$18,0)))</f>
        <v>0</v>
      </c>
    </row>
    <row r="1356" customFormat="false" ht="15" hidden="false" customHeight="false" outlineLevel="0" collapsed="false">
      <c r="A1356" s="0" t="str">
        <f aca="false">IF(Frota!$A31="","",Frota!$A31)</f>
        <v/>
      </c>
      <c r="B1356" s="0" t="str">
        <f aca="false">IF(Frota!$A31="","",Frota!$B31)</f>
        <v/>
      </c>
      <c r="C1356" s="0" t="n">
        <v>1</v>
      </c>
      <c r="D1356" s="0" t="n">
        <f aca="false">INDEX(Semanas!$E$3:$E$54,1)</f>
        <v>4</v>
      </c>
      <c r="E1356" s="0" t="str">
        <f aca="false">IF(Frota!$A31="","",Cronograma!B31)</f>
        <v/>
      </c>
      <c r="F1356" s="0" t="n">
        <f aca="false">IF(OR($E1356="",$E1356=0),0,1)</f>
        <v>0</v>
      </c>
      <c r="G1356" s="0" t="n">
        <f aca="false">IF($F1356=0,0,INDEX(Aux_HH!$D$4:$D$18,MATCH($B1356&amp;"|"&amp;$E1356,Aux_HH!$A$4:$A$18,0)))</f>
        <v>0</v>
      </c>
      <c r="H1356" s="0" t="n">
        <f aca="false">IF($F1356=0,0,INDEX(Aux_HH!$E$4:$E$18,MATCH($B1356&amp;"|"&amp;$E1356,Aux_HH!$A$4:$A$18,0)))</f>
        <v>0</v>
      </c>
      <c r="I1356" s="0" t="n">
        <f aca="false">IF($F1356=0,0,INDEX(Aux_HH!$F$4:$F$18,MATCH($B1356&amp;"|"&amp;$E1356,Aux_HH!$A$4:$A$18,0)))</f>
        <v>0</v>
      </c>
      <c r="J1356" s="0" t="n">
        <f aca="false">IF($F1356=0,0,INDEX(Aux_HH!$G$4:$G$18,MATCH($B1356&amp;"|"&amp;$E1356,Aux_HH!$A$4:$A$18,0)))</f>
        <v>0</v>
      </c>
      <c r="K1356" s="0" t="n">
        <f aca="false">IF($F1356=0,0,INDEX(Aux_HH!$H$4:$H$18,MATCH($B1356&amp;"|"&amp;$E1356,Aux_HH!$A$4:$A$18,0)))</f>
        <v>0</v>
      </c>
      <c r="L1356" s="0" t="n">
        <f aca="false">IF($F1356=0,0,INDEX(Aux_HH!$I$4:$I$18,MATCH($B1356&amp;"|"&amp;$E1356,Aux_HH!$A$4:$A$18,0)))</f>
        <v>0</v>
      </c>
    </row>
    <row r="1357" customFormat="false" ht="15" hidden="false" customHeight="false" outlineLevel="0" collapsed="false">
      <c r="A1357" s="0" t="str">
        <f aca="false">IF(Frota!$A31="","",Frota!$A31)</f>
        <v/>
      </c>
      <c r="B1357" s="0" t="str">
        <f aca="false">IF(Frota!$A31="","",Frota!$B31)</f>
        <v/>
      </c>
      <c r="C1357" s="0" t="n">
        <v>2</v>
      </c>
      <c r="D1357" s="0" t="n">
        <f aca="false">INDEX(Semanas!$E$3:$E$54,2)</f>
        <v>4</v>
      </c>
      <c r="E1357" s="0" t="str">
        <f aca="false">IF(Frota!$A31="","",Cronograma!C31)</f>
        <v/>
      </c>
      <c r="F1357" s="0" t="n">
        <f aca="false">IF(OR($E1357="",$E1357=0),0,1)</f>
        <v>0</v>
      </c>
      <c r="G1357" s="0" t="n">
        <f aca="false">IF($F1357=0,0,INDEX(Aux_HH!$D$4:$D$18,MATCH($B1357&amp;"|"&amp;$E1357,Aux_HH!$A$4:$A$18,0)))</f>
        <v>0</v>
      </c>
      <c r="H1357" s="0" t="n">
        <f aca="false">IF($F1357=0,0,INDEX(Aux_HH!$E$4:$E$18,MATCH($B1357&amp;"|"&amp;$E1357,Aux_HH!$A$4:$A$18,0)))</f>
        <v>0</v>
      </c>
      <c r="I1357" s="0" t="n">
        <f aca="false">IF($F1357=0,0,INDEX(Aux_HH!$F$4:$F$18,MATCH($B1357&amp;"|"&amp;$E1357,Aux_HH!$A$4:$A$18,0)))</f>
        <v>0</v>
      </c>
      <c r="J1357" s="0" t="n">
        <f aca="false">IF($F1357=0,0,INDEX(Aux_HH!$G$4:$G$18,MATCH($B1357&amp;"|"&amp;$E1357,Aux_HH!$A$4:$A$18,0)))</f>
        <v>0</v>
      </c>
      <c r="K1357" s="0" t="n">
        <f aca="false">IF($F1357=0,0,INDEX(Aux_HH!$H$4:$H$18,MATCH($B1357&amp;"|"&amp;$E1357,Aux_HH!$A$4:$A$18,0)))</f>
        <v>0</v>
      </c>
      <c r="L1357" s="0" t="n">
        <f aca="false">IF($F1357=0,0,INDEX(Aux_HH!$I$4:$I$18,MATCH($B1357&amp;"|"&amp;$E1357,Aux_HH!$A$4:$A$18,0)))</f>
        <v>0</v>
      </c>
    </row>
    <row r="1358" customFormat="false" ht="15" hidden="false" customHeight="false" outlineLevel="0" collapsed="false">
      <c r="A1358" s="0" t="str">
        <f aca="false">IF(Frota!$A31="","",Frota!$A31)</f>
        <v/>
      </c>
      <c r="B1358" s="0" t="str">
        <f aca="false">IF(Frota!$A31="","",Frota!$B31)</f>
        <v/>
      </c>
      <c r="C1358" s="0" t="n">
        <v>3</v>
      </c>
      <c r="D1358" s="0" t="n">
        <f aca="false">INDEX(Semanas!$E$3:$E$54,3)</f>
        <v>4</v>
      </c>
      <c r="E1358" s="0" t="str">
        <f aca="false">IF(Frota!$A31="","",Cronograma!D31)</f>
        <v/>
      </c>
      <c r="F1358" s="0" t="n">
        <f aca="false">IF(OR($E1358="",$E1358=0),0,1)</f>
        <v>0</v>
      </c>
      <c r="G1358" s="0" t="n">
        <f aca="false">IF($F1358=0,0,INDEX(Aux_HH!$D$4:$D$18,MATCH($B1358&amp;"|"&amp;$E1358,Aux_HH!$A$4:$A$18,0)))</f>
        <v>0</v>
      </c>
      <c r="H1358" s="0" t="n">
        <f aca="false">IF($F1358=0,0,INDEX(Aux_HH!$E$4:$E$18,MATCH($B1358&amp;"|"&amp;$E1358,Aux_HH!$A$4:$A$18,0)))</f>
        <v>0</v>
      </c>
      <c r="I1358" s="0" t="n">
        <f aca="false">IF($F1358=0,0,INDEX(Aux_HH!$F$4:$F$18,MATCH($B1358&amp;"|"&amp;$E1358,Aux_HH!$A$4:$A$18,0)))</f>
        <v>0</v>
      </c>
      <c r="J1358" s="0" t="n">
        <f aca="false">IF($F1358=0,0,INDEX(Aux_HH!$G$4:$G$18,MATCH($B1358&amp;"|"&amp;$E1358,Aux_HH!$A$4:$A$18,0)))</f>
        <v>0</v>
      </c>
      <c r="K1358" s="0" t="n">
        <f aca="false">IF($F1358=0,0,INDEX(Aux_HH!$H$4:$H$18,MATCH($B1358&amp;"|"&amp;$E1358,Aux_HH!$A$4:$A$18,0)))</f>
        <v>0</v>
      </c>
      <c r="L1358" s="0" t="n">
        <f aca="false">IF($F1358=0,0,INDEX(Aux_HH!$I$4:$I$18,MATCH($B1358&amp;"|"&amp;$E1358,Aux_HH!$A$4:$A$18,0)))</f>
        <v>0</v>
      </c>
    </row>
    <row r="1359" customFormat="false" ht="15" hidden="false" customHeight="false" outlineLevel="0" collapsed="false">
      <c r="A1359" s="0" t="str">
        <f aca="false">IF(Frota!$A31="","",Frota!$A31)</f>
        <v/>
      </c>
      <c r="B1359" s="0" t="str">
        <f aca="false">IF(Frota!$A31="","",Frota!$B31)</f>
        <v/>
      </c>
      <c r="C1359" s="0" t="n">
        <v>4</v>
      </c>
      <c r="D1359" s="0" t="n">
        <f aca="false">INDEX(Semanas!$E$3:$E$54,4)</f>
        <v>4</v>
      </c>
      <c r="E1359" s="0" t="str">
        <f aca="false">IF(Frota!$A31="","",Cronograma!E31)</f>
        <v/>
      </c>
      <c r="F1359" s="0" t="n">
        <f aca="false">IF(OR($E1359="",$E1359=0),0,1)</f>
        <v>0</v>
      </c>
      <c r="G1359" s="0" t="n">
        <f aca="false">IF($F1359=0,0,INDEX(Aux_HH!$D$4:$D$18,MATCH($B1359&amp;"|"&amp;$E1359,Aux_HH!$A$4:$A$18,0)))</f>
        <v>0</v>
      </c>
      <c r="H1359" s="0" t="n">
        <f aca="false">IF($F1359=0,0,INDEX(Aux_HH!$E$4:$E$18,MATCH($B1359&amp;"|"&amp;$E1359,Aux_HH!$A$4:$A$18,0)))</f>
        <v>0</v>
      </c>
      <c r="I1359" s="0" t="n">
        <f aca="false">IF($F1359=0,0,INDEX(Aux_HH!$F$4:$F$18,MATCH($B1359&amp;"|"&amp;$E1359,Aux_HH!$A$4:$A$18,0)))</f>
        <v>0</v>
      </c>
      <c r="J1359" s="0" t="n">
        <f aca="false">IF($F1359=0,0,INDEX(Aux_HH!$G$4:$G$18,MATCH($B1359&amp;"|"&amp;$E1359,Aux_HH!$A$4:$A$18,0)))</f>
        <v>0</v>
      </c>
      <c r="K1359" s="0" t="n">
        <f aca="false">IF($F1359=0,0,INDEX(Aux_HH!$H$4:$H$18,MATCH($B1359&amp;"|"&amp;$E1359,Aux_HH!$A$4:$A$18,0)))</f>
        <v>0</v>
      </c>
      <c r="L1359" s="0" t="n">
        <f aca="false">IF($F1359=0,0,INDEX(Aux_HH!$I$4:$I$18,MATCH($B1359&amp;"|"&amp;$E1359,Aux_HH!$A$4:$A$18,0)))</f>
        <v>0</v>
      </c>
    </row>
    <row r="1360" customFormat="false" ht="15" hidden="false" customHeight="false" outlineLevel="0" collapsed="false">
      <c r="A1360" s="0" t="str">
        <f aca="false">IF(Frota!$A31="","",Frota!$A31)</f>
        <v/>
      </c>
      <c r="B1360" s="0" t="str">
        <f aca="false">IF(Frota!$A31="","",Frota!$B31)</f>
        <v/>
      </c>
      <c r="C1360" s="0" t="n">
        <v>5</v>
      </c>
      <c r="D1360" s="0" t="n">
        <f aca="false">INDEX(Semanas!$E$3:$E$54,5)</f>
        <v>4</v>
      </c>
      <c r="E1360" s="0" t="str">
        <f aca="false">IF(Frota!$A31="","",Cronograma!F31)</f>
        <v/>
      </c>
      <c r="F1360" s="0" t="n">
        <f aca="false">IF(OR($E1360="",$E1360=0),0,1)</f>
        <v>0</v>
      </c>
      <c r="G1360" s="0" t="n">
        <f aca="false">IF($F1360=0,0,INDEX(Aux_HH!$D$4:$D$18,MATCH($B1360&amp;"|"&amp;$E1360,Aux_HH!$A$4:$A$18,0)))</f>
        <v>0</v>
      </c>
      <c r="H1360" s="0" t="n">
        <f aca="false">IF($F1360=0,0,INDEX(Aux_HH!$E$4:$E$18,MATCH($B1360&amp;"|"&amp;$E1360,Aux_HH!$A$4:$A$18,0)))</f>
        <v>0</v>
      </c>
      <c r="I1360" s="0" t="n">
        <f aca="false">IF($F1360=0,0,INDEX(Aux_HH!$F$4:$F$18,MATCH($B1360&amp;"|"&amp;$E1360,Aux_HH!$A$4:$A$18,0)))</f>
        <v>0</v>
      </c>
      <c r="J1360" s="0" t="n">
        <f aca="false">IF($F1360=0,0,INDEX(Aux_HH!$G$4:$G$18,MATCH($B1360&amp;"|"&amp;$E1360,Aux_HH!$A$4:$A$18,0)))</f>
        <v>0</v>
      </c>
      <c r="K1360" s="0" t="n">
        <f aca="false">IF($F1360=0,0,INDEX(Aux_HH!$H$4:$H$18,MATCH($B1360&amp;"|"&amp;$E1360,Aux_HH!$A$4:$A$18,0)))</f>
        <v>0</v>
      </c>
      <c r="L1360" s="0" t="n">
        <f aca="false">IF($F1360=0,0,INDEX(Aux_HH!$I$4:$I$18,MATCH($B1360&amp;"|"&amp;$E1360,Aux_HH!$A$4:$A$18,0)))</f>
        <v>0</v>
      </c>
    </row>
    <row r="1361" customFormat="false" ht="15" hidden="false" customHeight="false" outlineLevel="0" collapsed="false">
      <c r="A1361" s="0" t="str">
        <f aca="false">IF(Frota!$A31="","",Frota!$A31)</f>
        <v/>
      </c>
      <c r="B1361" s="0" t="str">
        <f aca="false">IF(Frota!$A31="","",Frota!$B31)</f>
        <v/>
      </c>
      <c r="C1361" s="0" t="n">
        <v>6</v>
      </c>
      <c r="D1361" s="0" t="n">
        <f aca="false">INDEX(Semanas!$E$3:$E$54,6)</f>
        <v>5</v>
      </c>
      <c r="E1361" s="0" t="str">
        <f aca="false">IF(Frota!$A31="","",Cronograma!G31)</f>
        <v/>
      </c>
      <c r="F1361" s="0" t="n">
        <f aca="false">IF(OR($E1361="",$E1361=0),0,1)</f>
        <v>0</v>
      </c>
      <c r="G1361" s="0" t="n">
        <f aca="false">IF($F1361=0,0,INDEX(Aux_HH!$D$4:$D$18,MATCH($B1361&amp;"|"&amp;$E1361,Aux_HH!$A$4:$A$18,0)))</f>
        <v>0</v>
      </c>
      <c r="H1361" s="0" t="n">
        <f aca="false">IF($F1361=0,0,INDEX(Aux_HH!$E$4:$E$18,MATCH($B1361&amp;"|"&amp;$E1361,Aux_HH!$A$4:$A$18,0)))</f>
        <v>0</v>
      </c>
      <c r="I1361" s="0" t="n">
        <f aca="false">IF($F1361=0,0,INDEX(Aux_HH!$F$4:$F$18,MATCH($B1361&amp;"|"&amp;$E1361,Aux_HH!$A$4:$A$18,0)))</f>
        <v>0</v>
      </c>
      <c r="J1361" s="0" t="n">
        <f aca="false">IF($F1361=0,0,INDEX(Aux_HH!$G$4:$G$18,MATCH($B1361&amp;"|"&amp;$E1361,Aux_HH!$A$4:$A$18,0)))</f>
        <v>0</v>
      </c>
      <c r="K1361" s="0" t="n">
        <f aca="false">IF($F1361=0,0,INDEX(Aux_HH!$H$4:$H$18,MATCH($B1361&amp;"|"&amp;$E1361,Aux_HH!$A$4:$A$18,0)))</f>
        <v>0</v>
      </c>
      <c r="L1361" s="0" t="n">
        <f aca="false">IF($F1361=0,0,INDEX(Aux_HH!$I$4:$I$18,MATCH($B1361&amp;"|"&amp;$E1361,Aux_HH!$A$4:$A$18,0)))</f>
        <v>0</v>
      </c>
    </row>
    <row r="1362" customFormat="false" ht="15" hidden="false" customHeight="false" outlineLevel="0" collapsed="false">
      <c r="A1362" s="0" t="str">
        <f aca="false">IF(Frota!$A31="","",Frota!$A31)</f>
        <v/>
      </c>
      <c r="B1362" s="0" t="str">
        <f aca="false">IF(Frota!$A31="","",Frota!$B31)</f>
        <v/>
      </c>
      <c r="C1362" s="0" t="n">
        <v>7</v>
      </c>
      <c r="D1362" s="0" t="n">
        <f aca="false">INDEX(Semanas!$E$3:$E$54,7)</f>
        <v>5</v>
      </c>
      <c r="E1362" s="0" t="str">
        <f aca="false">IF(Frota!$A31="","",Cronograma!H31)</f>
        <v/>
      </c>
      <c r="F1362" s="0" t="n">
        <f aca="false">IF(OR($E1362="",$E1362=0),0,1)</f>
        <v>0</v>
      </c>
      <c r="G1362" s="0" t="n">
        <f aca="false">IF($F1362=0,0,INDEX(Aux_HH!$D$4:$D$18,MATCH($B1362&amp;"|"&amp;$E1362,Aux_HH!$A$4:$A$18,0)))</f>
        <v>0</v>
      </c>
      <c r="H1362" s="0" t="n">
        <f aca="false">IF($F1362=0,0,INDEX(Aux_HH!$E$4:$E$18,MATCH($B1362&amp;"|"&amp;$E1362,Aux_HH!$A$4:$A$18,0)))</f>
        <v>0</v>
      </c>
      <c r="I1362" s="0" t="n">
        <f aca="false">IF($F1362=0,0,INDEX(Aux_HH!$F$4:$F$18,MATCH($B1362&amp;"|"&amp;$E1362,Aux_HH!$A$4:$A$18,0)))</f>
        <v>0</v>
      </c>
      <c r="J1362" s="0" t="n">
        <f aca="false">IF($F1362=0,0,INDEX(Aux_HH!$G$4:$G$18,MATCH($B1362&amp;"|"&amp;$E1362,Aux_HH!$A$4:$A$18,0)))</f>
        <v>0</v>
      </c>
      <c r="K1362" s="0" t="n">
        <f aca="false">IF($F1362=0,0,INDEX(Aux_HH!$H$4:$H$18,MATCH($B1362&amp;"|"&amp;$E1362,Aux_HH!$A$4:$A$18,0)))</f>
        <v>0</v>
      </c>
      <c r="L1362" s="0" t="n">
        <f aca="false">IF($F1362=0,0,INDEX(Aux_HH!$I$4:$I$18,MATCH($B1362&amp;"|"&amp;$E1362,Aux_HH!$A$4:$A$18,0)))</f>
        <v>0</v>
      </c>
    </row>
    <row r="1363" customFormat="false" ht="15" hidden="false" customHeight="false" outlineLevel="0" collapsed="false">
      <c r="A1363" s="0" t="str">
        <f aca="false">IF(Frota!$A31="","",Frota!$A31)</f>
        <v/>
      </c>
      <c r="B1363" s="0" t="str">
        <f aca="false">IF(Frota!$A31="","",Frota!$B31)</f>
        <v/>
      </c>
      <c r="C1363" s="0" t="n">
        <v>8</v>
      </c>
      <c r="D1363" s="0" t="n">
        <f aca="false">INDEX(Semanas!$E$3:$E$54,8)</f>
        <v>5</v>
      </c>
      <c r="E1363" s="0" t="str">
        <f aca="false">IF(Frota!$A31="","",Cronograma!I31)</f>
        <v/>
      </c>
      <c r="F1363" s="0" t="n">
        <f aca="false">IF(OR($E1363="",$E1363=0),0,1)</f>
        <v>0</v>
      </c>
      <c r="G1363" s="0" t="n">
        <f aca="false">IF($F1363=0,0,INDEX(Aux_HH!$D$4:$D$18,MATCH($B1363&amp;"|"&amp;$E1363,Aux_HH!$A$4:$A$18,0)))</f>
        <v>0</v>
      </c>
      <c r="H1363" s="0" t="n">
        <f aca="false">IF($F1363=0,0,INDEX(Aux_HH!$E$4:$E$18,MATCH($B1363&amp;"|"&amp;$E1363,Aux_HH!$A$4:$A$18,0)))</f>
        <v>0</v>
      </c>
      <c r="I1363" s="0" t="n">
        <f aca="false">IF($F1363=0,0,INDEX(Aux_HH!$F$4:$F$18,MATCH($B1363&amp;"|"&amp;$E1363,Aux_HH!$A$4:$A$18,0)))</f>
        <v>0</v>
      </c>
      <c r="J1363" s="0" t="n">
        <f aca="false">IF($F1363=0,0,INDEX(Aux_HH!$G$4:$G$18,MATCH($B1363&amp;"|"&amp;$E1363,Aux_HH!$A$4:$A$18,0)))</f>
        <v>0</v>
      </c>
      <c r="K1363" s="0" t="n">
        <f aca="false">IF($F1363=0,0,INDEX(Aux_HH!$H$4:$H$18,MATCH($B1363&amp;"|"&amp;$E1363,Aux_HH!$A$4:$A$18,0)))</f>
        <v>0</v>
      </c>
      <c r="L1363" s="0" t="n">
        <f aca="false">IF($F1363=0,0,INDEX(Aux_HH!$I$4:$I$18,MATCH($B1363&amp;"|"&amp;$E1363,Aux_HH!$A$4:$A$18,0)))</f>
        <v>0</v>
      </c>
    </row>
    <row r="1364" customFormat="false" ht="15" hidden="false" customHeight="false" outlineLevel="0" collapsed="false">
      <c r="A1364" s="0" t="str">
        <f aca="false">IF(Frota!$A31="","",Frota!$A31)</f>
        <v/>
      </c>
      <c r="B1364" s="0" t="str">
        <f aca="false">IF(Frota!$A31="","",Frota!$B31)</f>
        <v/>
      </c>
      <c r="C1364" s="0" t="n">
        <v>9</v>
      </c>
      <c r="D1364" s="0" t="n">
        <f aca="false">INDEX(Semanas!$E$3:$E$54,9)</f>
        <v>5</v>
      </c>
      <c r="E1364" s="0" t="str">
        <f aca="false">IF(Frota!$A31="","",Cronograma!J31)</f>
        <v/>
      </c>
      <c r="F1364" s="0" t="n">
        <f aca="false">IF(OR($E1364="",$E1364=0),0,1)</f>
        <v>0</v>
      </c>
      <c r="G1364" s="0" t="n">
        <f aca="false">IF($F1364=0,0,INDEX(Aux_HH!$D$4:$D$18,MATCH($B1364&amp;"|"&amp;$E1364,Aux_HH!$A$4:$A$18,0)))</f>
        <v>0</v>
      </c>
      <c r="H1364" s="0" t="n">
        <f aca="false">IF($F1364=0,0,INDEX(Aux_HH!$E$4:$E$18,MATCH($B1364&amp;"|"&amp;$E1364,Aux_HH!$A$4:$A$18,0)))</f>
        <v>0</v>
      </c>
      <c r="I1364" s="0" t="n">
        <f aca="false">IF($F1364=0,0,INDEX(Aux_HH!$F$4:$F$18,MATCH($B1364&amp;"|"&amp;$E1364,Aux_HH!$A$4:$A$18,0)))</f>
        <v>0</v>
      </c>
      <c r="J1364" s="0" t="n">
        <f aca="false">IF($F1364=0,0,INDEX(Aux_HH!$G$4:$G$18,MATCH($B1364&amp;"|"&amp;$E1364,Aux_HH!$A$4:$A$18,0)))</f>
        <v>0</v>
      </c>
      <c r="K1364" s="0" t="n">
        <f aca="false">IF($F1364=0,0,INDEX(Aux_HH!$H$4:$H$18,MATCH($B1364&amp;"|"&amp;$E1364,Aux_HH!$A$4:$A$18,0)))</f>
        <v>0</v>
      </c>
      <c r="L1364" s="0" t="n">
        <f aca="false">IF($F1364=0,0,INDEX(Aux_HH!$I$4:$I$18,MATCH($B1364&amp;"|"&amp;$E1364,Aux_HH!$A$4:$A$18,0)))</f>
        <v>0</v>
      </c>
    </row>
    <row r="1365" customFormat="false" ht="15" hidden="false" customHeight="false" outlineLevel="0" collapsed="false">
      <c r="A1365" s="0" t="str">
        <f aca="false">IF(Frota!$A31="","",Frota!$A31)</f>
        <v/>
      </c>
      <c r="B1365" s="0" t="str">
        <f aca="false">IF(Frota!$A31="","",Frota!$B31)</f>
        <v/>
      </c>
      <c r="C1365" s="0" t="n">
        <v>10</v>
      </c>
      <c r="D1365" s="0" t="n">
        <f aca="false">INDEX(Semanas!$E$3:$E$54,10)</f>
        <v>6</v>
      </c>
      <c r="E1365" s="0" t="str">
        <f aca="false">IF(Frota!$A31="","",Cronograma!K31)</f>
        <v/>
      </c>
      <c r="F1365" s="0" t="n">
        <f aca="false">IF(OR($E1365="",$E1365=0),0,1)</f>
        <v>0</v>
      </c>
      <c r="G1365" s="0" t="n">
        <f aca="false">IF($F1365=0,0,INDEX(Aux_HH!$D$4:$D$18,MATCH($B1365&amp;"|"&amp;$E1365,Aux_HH!$A$4:$A$18,0)))</f>
        <v>0</v>
      </c>
      <c r="H1365" s="0" t="n">
        <f aca="false">IF($F1365=0,0,INDEX(Aux_HH!$E$4:$E$18,MATCH($B1365&amp;"|"&amp;$E1365,Aux_HH!$A$4:$A$18,0)))</f>
        <v>0</v>
      </c>
      <c r="I1365" s="0" t="n">
        <f aca="false">IF($F1365=0,0,INDEX(Aux_HH!$F$4:$F$18,MATCH($B1365&amp;"|"&amp;$E1365,Aux_HH!$A$4:$A$18,0)))</f>
        <v>0</v>
      </c>
      <c r="J1365" s="0" t="n">
        <f aca="false">IF($F1365=0,0,INDEX(Aux_HH!$G$4:$G$18,MATCH($B1365&amp;"|"&amp;$E1365,Aux_HH!$A$4:$A$18,0)))</f>
        <v>0</v>
      </c>
      <c r="K1365" s="0" t="n">
        <f aca="false">IF($F1365=0,0,INDEX(Aux_HH!$H$4:$H$18,MATCH($B1365&amp;"|"&amp;$E1365,Aux_HH!$A$4:$A$18,0)))</f>
        <v>0</v>
      </c>
      <c r="L1365" s="0" t="n">
        <f aca="false">IF($F1365=0,0,INDEX(Aux_HH!$I$4:$I$18,MATCH($B1365&amp;"|"&amp;$E1365,Aux_HH!$A$4:$A$18,0)))</f>
        <v>0</v>
      </c>
    </row>
    <row r="1366" customFormat="false" ht="15" hidden="false" customHeight="false" outlineLevel="0" collapsed="false">
      <c r="A1366" s="0" t="str">
        <f aca="false">IF(Frota!$A31="","",Frota!$A31)</f>
        <v/>
      </c>
      <c r="B1366" s="0" t="str">
        <f aca="false">IF(Frota!$A31="","",Frota!$B31)</f>
        <v/>
      </c>
      <c r="C1366" s="0" t="n">
        <v>11</v>
      </c>
      <c r="D1366" s="0" t="n">
        <f aca="false">INDEX(Semanas!$E$3:$E$54,11)</f>
        <v>6</v>
      </c>
      <c r="E1366" s="0" t="str">
        <f aca="false">IF(Frota!$A31="","",Cronograma!L31)</f>
        <v/>
      </c>
      <c r="F1366" s="0" t="n">
        <f aca="false">IF(OR($E1366="",$E1366=0),0,1)</f>
        <v>0</v>
      </c>
      <c r="G1366" s="0" t="n">
        <f aca="false">IF($F1366=0,0,INDEX(Aux_HH!$D$4:$D$18,MATCH($B1366&amp;"|"&amp;$E1366,Aux_HH!$A$4:$A$18,0)))</f>
        <v>0</v>
      </c>
      <c r="H1366" s="0" t="n">
        <f aca="false">IF($F1366=0,0,INDEX(Aux_HH!$E$4:$E$18,MATCH($B1366&amp;"|"&amp;$E1366,Aux_HH!$A$4:$A$18,0)))</f>
        <v>0</v>
      </c>
      <c r="I1366" s="0" t="n">
        <f aca="false">IF($F1366=0,0,INDEX(Aux_HH!$F$4:$F$18,MATCH($B1366&amp;"|"&amp;$E1366,Aux_HH!$A$4:$A$18,0)))</f>
        <v>0</v>
      </c>
      <c r="J1366" s="0" t="n">
        <f aca="false">IF($F1366=0,0,INDEX(Aux_HH!$G$4:$G$18,MATCH($B1366&amp;"|"&amp;$E1366,Aux_HH!$A$4:$A$18,0)))</f>
        <v>0</v>
      </c>
      <c r="K1366" s="0" t="n">
        <f aca="false">IF($F1366=0,0,INDEX(Aux_HH!$H$4:$H$18,MATCH($B1366&amp;"|"&amp;$E1366,Aux_HH!$A$4:$A$18,0)))</f>
        <v>0</v>
      </c>
      <c r="L1366" s="0" t="n">
        <f aca="false">IF($F1366=0,0,INDEX(Aux_HH!$I$4:$I$18,MATCH($B1366&amp;"|"&amp;$E1366,Aux_HH!$A$4:$A$18,0)))</f>
        <v>0</v>
      </c>
    </row>
    <row r="1367" customFormat="false" ht="15" hidden="false" customHeight="false" outlineLevel="0" collapsed="false">
      <c r="A1367" s="0" t="str">
        <f aca="false">IF(Frota!$A31="","",Frota!$A31)</f>
        <v/>
      </c>
      <c r="B1367" s="0" t="str">
        <f aca="false">IF(Frota!$A31="","",Frota!$B31)</f>
        <v/>
      </c>
      <c r="C1367" s="0" t="n">
        <v>12</v>
      </c>
      <c r="D1367" s="0" t="n">
        <f aca="false">INDEX(Semanas!$E$3:$E$54,12)</f>
        <v>6</v>
      </c>
      <c r="E1367" s="0" t="str">
        <f aca="false">IF(Frota!$A31="","",Cronograma!M31)</f>
        <v/>
      </c>
      <c r="F1367" s="0" t="n">
        <f aca="false">IF(OR($E1367="",$E1367=0),0,1)</f>
        <v>0</v>
      </c>
      <c r="G1367" s="0" t="n">
        <f aca="false">IF($F1367=0,0,INDEX(Aux_HH!$D$4:$D$18,MATCH($B1367&amp;"|"&amp;$E1367,Aux_HH!$A$4:$A$18,0)))</f>
        <v>0</v>
      </c>
      <c r="H1367" s="0" t="n">
        <f aca="false">IF($F1367=0,0,INDEX(Aux_HH!$E$4:$E$18,MATCH($B1367&amp;"|"&amp;$E1367,Aux_HH!$A$4:$A$18,0)))</f>
        <v>0</v>
      </c>
      <c r="I1367" s="0" t="n">
        <f aca="false">IF($F1367=0,0,INDEX(Aux_HH!$F$4:$F$18,MATCH($B1367&amp;"|"&amp;$E1367,Aux_HH!$A$4:$A$18,0)))</f>
        <v>0</v>
      </c>
      <c r="J1367" s="0" t="n">
        <f aca="false">IF($F1367=0,0,INDEX(Aux_HH!$G$4:$G$18,MATCH($B1367&amp;"|"&amp;$E1367,Aux_HH!$A$4:$A$18,0)))</f>
        <v>0</v>
      </c>
      <c r="K1367" s="0" t="n">
        <f aca="false">IF($F1367=0,0,INDEX(Aux_HH!$H$4:$H$18,MATCH($B1367&amp;"|"&amp;$E1367,Aux_HH!$A$4:$A$18,0)))</f>
        <v>0</v>
      </c>
      <c r="L1367" s="0" t="n">
        <f aca="false">IF($F1367=0,0,INDEX(Aux_HH!$I$4:$I$18,MATCH($B1367&amp;"|"&amp;$E1367,Aux_HH!$A$4:$A$18,0)))</f>
        <v>0</v>
      </c>
    </row>
    <row r="1368" customFormat="false" ht="15" hidden="false" customHeight="false" outlineLevel="0" collapsed="false">
      <c r="A1368" s="0" t="str">
        <f aca="false">IF(Frota!$A31="","",Frota!$A31)</f>
        <v/>
      </c>
      <c r="B1368" s="0" t="str">
        <f aca="false">IF(Frota!$A31="","",Frota!$B31)</f>
        <v/>
      </c>
      <c r="C1368" s="0" t="n">
        <v>13</v>
      </c>
      <c r="D1368" s="0" t="n">
        <f aca="false">INDEX(Semanas!$E$3:$E$54,13)</f>
        <v>6</v>
      </c>
      <c r="E1368" s="0" t="str">
        <f aca="false">IF(Frota!$A31="","",Cronograma!N31)</f>
        <v/>
      </c>
      <c r="F1368" s="0" t="n">
        <f aca="false">IF(OR($E1368="",$E1368=0),0,1)</f>
        <v>0</v>
      </c>
      <c r="G1368" s="0" t="n">
        <f aca="false">IF($F1368=0,0,INDEX(Aux_HH!$D$4:$D$18,MATCH($B1368&amp;"|"&amp;$E1368,Aux_HH!$A$4:$A$18,0)))</f>
        <v>0</v>
      </c>
      <c r="H1368" s="0" t="n">
        <f aca="false">IF($F1368=0,0,INDEX(Aux_HH!$E$4:$E$18,MATCH($B1368&amp;"|"&amp;$E1368,Aux_HH!$A$4:$A$18,0)))</f>
        <v>0</v>
      </c>
      <c r="I1368" s="0" t="n">
        <f aca="false">IF($F1368=0,0,INDEX(Aux_HH!$F$4:$F$18,MATCH($B1368&amp;"|"&amp;$E1368,Aux_HH!$A$4:$A$18,0)))</f>
        <v>0</v>
      </c>
      <c r="J1368" s="0" t="n">
        <f aca="false">IF($F1368=0,0,INDEX(Aux_HH!$G$4:$G$18,MATCH($B1368&amp;"|"&amp;$E1368,Aux_HH!$A$4:$A$18,0)))</f>
        <v>0</v>
      </c>
      <c r="K1368" s="0" t="n">
        <f aca="false">IF($F1368=0,0,INDEX(Aux_HH!$H$4:$H$18,MATCH($B1368&amp;"|"&amp;$E1368,Aux_HH!$A$4:$A$18,0)))</f>
        <v>0</v>
      </c>
      <c r="L1368" s="0" t="n">
        <f aca="false">IF($F1368=0,0,INDEX(Aux_HH!$I$4:$I$18,MATCH($B1368&amp;"|"&amp;$E1368,Aux_HH!$A$4:$A$18,0)))</f>
        <v>0</v>
      </c>
    </row>
    <row r="1369" customFormat="false" ht="15" hidden="false" customHeight="false" outlineLevel="0" collapsed="false">
      <c r="A1369" s="0" t="str">
        <f aca="false">IF(Frota!$A31="","",Frota!$A31)</f>
        <v/>
      </c>
      <c r="B1369" s="0" t="str">
        <f aca="false">IF(Frota!$A31="","",Frota!$B31)</f>
        <v/>
      </c>
      <c r="C1369" s="0" t="n">
        <v>14</v>
      </c>
      <c r="D1369" s="0" t="n">
        <f aca="false">INDEX(Semanas!$E$3:$E$54,14)</f>
        <v>7</v>
      </c>
      <c r="E1369" s="0" t="str">
        <f aca="false">IF(Frota!$A31="","",Cronograma!O31)</f>
        <v/>
      </c>
      <c r="F1369" s="0" t="n">
        <f aca="false">IF(OR($E1369="",$E1369=0),0,1)</f>
        <v>0</v>
      </c>
      <c r="G1369" s="0" t="n">
        <f aca="false">IF($F1369=0,0,INDEX(Aux_HH!$D$4:$D$18,MATCH($B1369&amp;"|"&amp;$E1369,Aux_HH!$A$4:$A$18,0)))</f>
        <v>0</v>
      </c>
      <c r="H1369" s="0" t="n">
        <f aca="false">IF($F1369=0,0,INDEX(Aux_HH!$E$4:$E$18,MATCH($B1369&amp;"|"&amp;$E1369,Aux_HH!$A$4:$A$18,0)))</f>
        <v>0</v>
      </c>
      <c r="I1369" s="0" t="n">
        <f aca="false">IF($F1369=0,0,INDEX(Aux_HH!$F$4:$F$18,MATCH($B1369&amp;"|"&amp;$E1369,Aux_HH!$A$4:$A$18,0)))</f>
        <v>0</v>
      </c>
      <c r="J1369" s="0" t="n">
        <f aca="false">IF($F1369=0,0,INDEX(Aux_HH!$G$4:$G$18,MATCH($B1369&amp;"|"&amp;$E1369,Aux_HH!$A$4:$A$18,0)))</f>
        <v>0</v>
      </c>
      <c r="K1369" s="0" t="n">
        <f aca="false">IF($F1369=0,0,INDEX(Aux_HH!$H$4:$H$18,MATCH($B1369&amp;"|"&amp;$E1369,Aux_HH!$A$4:$A$18,0)))</f>
        <v>0</v>
      </c>
      <c r="L1369" s="0" t="n">
        <f aca="false">IF($F1369=0,0,INDEX(Aux_HH!$I$4:$I$18,MATCH($B1369&amp;"|"&amp;$E1369,Aux_HH!$A$4:$A$18,0)))</f>
        <v>0</v>
      </c>
    </row>
    <row r="1370" customFormat="false" ht="15" hidden="false" customHeight="false" outlineLevel="0" collapsed="false">
      <c r="A1370" s="0" t="str">
        <f aca="false">IF(Frota!$A31="","",Frota!$A31)</f>
        <v/>
      </c>
      <c r="B1370" s="0" t="str">
        <f aca="false">IF(Frota!$A31="","",Frota!$B31)</f>
        <v/>
      </c>
      <c r="C1370" s="0" t="n">
        <v>15</v>
      </c>
      <c r="D1370" s="0" t="n">
        <f aca="false">INDEX(Semanas!$E$3:$E$54,15)</f>
        <v>7</v>
      </c>
      <c r="E1370" s="0" t="str">
        <f aca="false">IF(Frota!$A31="","",Cronograma!P31)</f>
        <v/>
      </c>
      <c r="F1370" s="0" t="n">
        <f aca="false">IF(OR($E1370="",$E1370=0),0,1)</f>
        <v>0</v>
      </c>
      <c r="G1370" s="0" t="n">
        <f aca="false">IF($F1370=0,0,INDEX(Aux_HH!$D$4:$D$18,MATCH($B1370&amp;"|"&amp;$E1370,Aux_HH!$A$4:$A$18,0)))</f>
        <v>0</v>
      </c>
      <c r="H1370" s="0" t="n">
        <f aca="false">IF($F1370=0,0,INDEX(Aux_HH!$E$4:$E$18,MATCH($B1370&amp;"|"&amp;$E1370,Aux_HH!$A$4:$A$18,0)))</f>
        <v>0</v>
      </c>
      <c r="I1370" s="0" t="n">
        <f aca="false">IF($F1370=0,0,INDEX(Aux_HH!$F$4:$F$18,MATCH($B1370&amp;"|"&amp;$E1370,Aux_HH!$A$4:$A$18,0)))</f>
        <v>0</v>
      </c>
      <c r="J1370" s="0" t="n">
        <f aca="false">IF($F1370=0,0,INDEX(Aux_HH!$G$4:$G$18,MATCH($B1370&amp;"|"&amp;$E1370,Aux_HH!$A$4:$A$18,0)))</f>
        <v>0</v>
      </c>
      <c r="K1370" s="0" t="n">
        <f aca="false">IF($F1370=0,0,INDEX(Aux_HH!$H$4:$H$18,MATCH($B1370&amp;"|"&amp;$E1370,Aux_HH!$A$4:$A$18,0)))</f>
        <v>0</v>
      </c>
      <c r="L1370" s="0" t="n">
        <f aca="false">IF($F1370=0,0,INDEX(Aux_HH!$I$4:$I$18,MATCH($B1370&amp;"|"&amp;$E1370,Aux_HH!$A$4:$A$18,0)))</f>
        <v>0</v>
      </c>
    </row>
    <row r="1371" customFormat="false" ht="15" hidden="false" customHeight="false" outlineLevel="0" collapsed="false">
      <c r="A1371" s="0" t="str">
        <f aca="false">IF(Frota!$A31="","",Frota!$A31)</f>
        <v/>
      </c>
      <c r="B1371" s="0" t="str">
        <f aca="false">IF(Frota!$A31="","",Frota!$B31)</f>
        <v/>
      </c>
      <c r="C1371" s="0" t="n">
        <v>16</v>
      </c>
      <c r="D1371" s="0" t="n">
        <f aca="false">INDEX(Semanas!$E$3:$E$54,16)</f>
        <v>7</v>
      </c>
      <c r="E1371" s="0" t="str">
        <f aca="false">IF(Frota!$A31="","",Cronograma!Q31)</f>
        <v/>
      </c>
      <c r="F1371" s="0" t="n">
        <f aca="false">IF(OR($E1371="",$E1371=0),0,1)</f>
        <v>0</v>
      </c>
      <c r="G1371" s="0" t="n">
        <f aca="false">IF($F1371=0,0,INDEX(Aux_HH!$D$4:$D$18,MATCH($B1371&amp;"|"&amp;$E1371,Aux_HH!$A$4:$A$18,0)))</f>
        <v>0</v>
      </c>
      <c r="H1371" s="0" t="n">
        <f aca="false">IF($F1371=0,0,INDEX(Aux_HH!$E$4:$E$18,MATCH($B1371&amp;"|"&amp;$E1371,Aux_HH!$A$4:$A$18,0)))</f>
        <v>0</v>
      </c>
      <c r="I1371" s="0" t="n">
        <f aca="false">IF($F1371=0,0,INDEX(Aux_HH!$F$4:$F$18,MATCH($B1371&amp;"|"&amp;$E1371,Aux_HH!$A$4:$A$18,0)))</f>
        <v>0</v>
      </c>
      <c r="J1371" s="0" t="n">
        <f aca="false">IF($F1371=0,0,INDEX(Aux_HH!$G$4:$G$18,MATCH($B1371&amp;"|"&amp;$E1371,Aux_HH!$A$4:$A$18,0)))</f>
        <v>0</v>
      </c>
      <c r="K1371" s="0" t="n">
        <f aca="false">IF($F1371=0,0,INDEX(Aux_HH!$H$4:$H$18,MATCH($B1371&amp;"|"&amp;$E1371,Aux_HH!$A$4:$A$18,0)))</f>
        <v>0</v>
      </c>
      <c r="L1371" s="0" t="n">
        <f aca="false">IF($F1371=0,0,INDEX(Aux_HH!$I$4:$I$18,MATCH($B1371&amp;"|"&amp;$E1371,Aux_HH!$A$4:$A$18,0)))</f>
        <v>0</v>
      </c>
    </row>
    <row r="1372" customFormat="false" ht="15" hidden="false" customHeight="false" outlineLevel="0" collapsed="false">
      <c r="A1372" s="0" t="str">
        <f aca="false">IF(Frota!$A31="","",Frota!$A31)</f>
        <v/>
      </c>
      <c r="B1372" s="0" t="str">
        <f aca="false">IF(Frota!$A31="","",Frota!$B31)</f>
        <v/>
      </c>
      <c r="C1372" s="0" t="n">
        <v>17</v>
      </c>
      <c r="D1372" s="0" t="n">
        <f aca="false">INDEX(Semanas!$E$3:$E$54,17)</f>
        <v>7</v>
      </c>
      <c r="E1372" s="0" t="str">
        <f aca="false">IF(Frota!$A31="","",Cronograma!R31)</f>
        <v/>
      </c>
      <c r="F1372" s="0" t="n">
        <f aca="false">IF(OR($E1372="",$E1372=0),0,1)</f>
        <v>0</v>
      </c>
      <c r="G1372" s="0" t="n">
        <f aca="false">IF($F1372=0,0,INDEX(Aux_HH!$D$4:$D$18,MATCH($B1372&amp;"|"&amp;$E1372,Aux_HH!$A$4:$A$18,0)))</f>
        <v>0</v>
      </c>
      <c r="H1372" s="0" t="n">
        <f aca="false">IF($F1372=0,0,INDEX(Aux_HH!$E$4:$E$18,MATCH($B1372&amp;"|"&amp;$E1372,Aux_HH!$A$4:$A$18,0)))</f>
        <v>0</v>
      </c>
      <c r="I1372" s="0" t="n">
        <f aca="false">IF($F1372=0,0,INDEX(Aux_HH!$F$4:$F$18,MATCH($B1372&amp;"|"&amp;$E1372,Aux_HH!$A$4:$A$18,0)))</f>
        <v>0</v>
      </c>
      <c r="J1372" s="0" t="n">
        <f aca="false">IF($F1372=0,0,INDEX(Aux_HH!$G$4:$G$18,MATCH($B1372&amp;"|"&amp;$E1372,Aux_HH!$A$4:$A$18,0)))</f>
        <v>0</v>
      </c>
      <c r="K1372" s="0" t="n">
        <f aca="false">IF($F1372=0,0,INDEX(Aux_HH!$H$4:$H$18,MATCH($B1372&amp;"|"&amp;$E1372,Aux_HH!$A$4:$A$18,0)))</f>
        <v>0</v>
      </c>
      <c r="L1372" s="0" t="n">
        <f aca="false">IF($F1372=0,0,INDEX(Aux_HH!$I$4:$I$18,MATCH($B1372&amp;"|"&amp;$E1372,Aux_HH!$A$4:$A$18,0)))</f>
        <v>0</v>
      </c>
    </row>
    <row r="1373" customFormat="false" ht="15" hidden="false" customHeight="false" outlineLevel="0" collapsed="false">
      <c r="A1373" s="0" t="str">
        <f aca="false">IF(Frota!$A31="","",Frota!$A31)</f>
        <v/>
      </c>
      <c r="B1373" s="0" t="str">
        <f aca="false">IF(Frota!$A31="","",Frota!$B31)</f>
        <v/>
      </c>
      <c r="C1373" s="0" t="n">
        <v>18</v>
      </c>
      <c r="D1373" s="0" t="n">
        <f aca="false">INDEX(Semanas!$E$3:$E$54,18)</f>
        <v>7</v>
      </c>
      <c r="E1373" s="0" t="str">
        <f aca="false">IF(Frota!$A31="","",Cronograma!S31)</f>
        <v/>
      </c>
      <c r="F1373" s="0" t="n">
        <f aca="false">IF(OR($E1373="",$E1373=0),0,1)</f>
        <v>0</v>
      </c>
      <c r="G1373" s="0" t="n">
        <f aca="false">IF($F1373=0,0,INDEX(Aux_HH!$D$4:$D$18,MATCH($B1373&amp;"|"&amp;$E1373,Aux_HH!$A$4:$A$18,0)))</f>
        <v>0</v>
      </c>
      <c r="H1373" s="0" t="n">
        <f aca="false">IF($F1373=0,0,INDEX(Aux_HH!$E$4:$E$18,MATCH($B1373&amp;"|"&amp;$E1373,Aux_HH!$A$4:$A$18,0)))</f>
        <v>0</v>
      </c>
      <c r="I1373" s="0" t="n">
        <f aca="false">IF($F1373=0,0,INDEX(Aux_HH!$F$4:$F$18,MATCH($B1373&amp;"|"&amp;$E1373,Aux_HH!$A$4:$A$18,0)))</f>
        <v>0</v>
      </c>
      <c r="J1373" s="0" t="n">
        <f aca="false">IF($F1373=0,0,INDEX(Aux_HH!$G$4:$G$18,MATCH($B1373&amp;"|"&amp;$E1373,Aux_HH!$A$4:$A$18,0)))</f>
        <v>0</v>
      </c>
      <c r="K1373" s="0" t="n">
        <f aca="false">IF($F1373=0,0,INDEX(Aux_HH!$H$4:$H$18,MATCH($B1373&amp;"|"&amp;$E1373,Aux_HH!$A$4:$A$18,0)))</f>
        <v>0</v>
      </c>
      <c r="L1373" s="0" t="n">
        <f aca="false">IF($F1373=0,0,INDEX(Aux_HH!$I$4:$I$18,MATCH($B1373&amp;"|"&amp;$E1373,Aux_HH!$A$4:$A$18,0)))</f>
        <v>0</v>
      </c>
    </row>
    <row r="1374" customFormat="false" ht="15" hidden="false" customHeight="false" outlineLevel="0" collapsed="false">
      <c r="A1374" s="0" t="str">
        <f aca="false">IF(Frota!$A31="","",Frota!$A31)</f>
        <v/>
      </c>
      <c r="B1374" s="0" t="str">
        <f aca="false">IF(Frota!$A31="","",Frota!$B31)</f>
        <v/>
      </c>
      <c r="C1374" s="0" t="n">
        <v>19</v>
      </c>
      <c r="D1374" s="0" t="n">
        <f aca="false">INDEX(Semanas!$E$3:$E$54,19)</f>
        <v>8</v>
      </c>
      <c r="E1374" s="0" t="str">
        <f aca="false">IF(Frota!$A31="","",Cronograma!T31)</f>
        <v/>
      </c>
      <c r="F1374" s="0" t="n">
        <f aca="false">IF(OR($E1374="",$E1374=0),0,1)</f>
        <v>0</v>
      </c>
      <c r="G1374" s="0" t="n">
        <f aca="false">IF($F1374=0,0,INDEX(Aux_HH!$D$4:$D$18,MATCH($B1374&amp;"|"&amp;$E1374,Aux_HH!$A$4:$A$18,0)))</f>
        <v>0</v>
      </c>
      <c r="H1374" s="0" t="n">
        <f aca="false">IF($F1374=0,0,INDEX(Aux_HH!$E$4:$E$18,MATCH($B1374&amp;"|"&amp;$E1374,Aux_HH!$A$4:$A$18,0)))</f>
        <v>0</v>
      </c>
      <c r="I1374" s="0" t="n">
        <f aca="false">IF($F1374=0,0,INDEX(Aux_HH!$F$4:$F$18,MATCH($B1374&amp;"|"&amp;$E1374,Aux_HH!$A$4:$A$18,0)))</f>
        <v>0</v>
      </c>
      <c r="J1374" s="0" t="n">
        <f aca="false">IF($F1374=0,0,INDEX(Aux_HH!$G$4:$G$18,MATCH($B1374&amp;"|"&amp;$E1374,Aux_HH!$A$4:$A$18,0)))</f>
        <v>0</v>
      </c>
      <c r="K1374" s="0" t="n">
        <f aca="false">IF($F1374=0,0,INDEX(Aux_HH!$H$4:$H$18,MATCH($B1374&amp;"|"&amp;$E1374,Aux_HH!$A$4:$A$18,0)))</f>
        <v>0</v>
      </c>
      <c r="L1374" s="0" t="n">
        <f aca="false">IF($F1374=0,0,INDEX(Aux_HH!$I$4:$I$18,MATCH($B1374&amp;"|"&amp;$E1374,Aux_HH!$A$4:$A$18,0)))</f>
        <v>0</v>
      </c>
    </row>
    <row r="1375" customFormat="false" ht="15" hidden="false" customHeight="false" outlineLevel="0" collapsed="false">
      <c r="A1375" s="0" t="str">
        <f aca="false">IF(Frota!$A31="","",Frota!$A31)</f>
        <v/>
      </c>
      <c r="B1375" s="0" t="str">
        <f aca="false">IF(Frota!$A31="","",Frota!$B31)</f>
        <v/>
      </c>
      <c r="C1375" s="0" t="n">
        <v>20</v>
      </c>
      <c r="D1375" s="0" t="n">
        <f aca="false">INDEX(Semanas!$E$3:$E$54,20)</f>
        <v>8</v>
      </c>
      <c r="E1375" s="0" t="str">
        <f aca="false">IF(Frota!$A31="","",Cronograma!U31)</f>
        <v/>
      </c>
      <c r="F1375" s="0" t="n">
        <f aca="false">IF(OR($E1375="",$E1375=0),0,1)</f>
        <v>0</v>
      </c>
      <c r="G1375" s="0" t="n">
        <f aca="false">IF($F1375=0,0,INDEX(Aux_HH!$D$4:$D$18,MATCH($B1375&amp;"|"&amp;$E1375,Aux_HH!$A$4:$A$18,0)))</f>
        <v>0</v>
      </c>
      <c r="H1375" s="0" t="n">
        <f aca="false">IF($F1375=0,0,INDEX(Aux_HH!$E$4:$E$18,MATCH($B1375&amp;"|"&amp;$E1375,Aux_HH!$A$4:$A$18,0)))</f>
        <v>0</v>
      </c>
      <c r="I1375" s="0" t="n">
        <f aca="false">IF($F1375=0,0,INDEX(Aux_HH!$F$4:$F$18,MATCH($B1375&amp;"|"&amp;$E1375,Aux_HH!$A$4:$A$18,0)))</f>
        <v>0</v>
      </c>
      <c r="J1375" s="0" t="n">
        <f aca="false">IF($F1375=0,0,INDEX(Aux_HH!$G$4:$G$18,MATCH($B1375&amp;"|"&amp;$E1375,Aux_HH!$A$4:$A$18,0)))</f>
        <v>0</v>
      </c>
      <c r="K1375" s="0" t="n">
        <f aca="false">IF($F1375=0,0,INDEX(Aux_HH!$H$4:$H$18,MATCH($B1375&amp;"|"&amp;$E1375,Aux_HH!$A$4:$A$18,0)))</f>
        <v>0</v>
      </c>
      <c r="L1375" s="0" t="n">
        <f aca="false">IF($F1375=0,0,INDEX(Aux_HH!$I$4:$I$18,MATCH($B1375&amp;"|"&amp;$E1375,Aux_HH!$A$4:$A$18,0)))</f>
        <v>0</v>
      </c>
    </row>
    <row r="1376" customFormat="false" ht="15" hidden="false" customHeight="false" outlineLevel="0" collapsed="false">
      <c r="A1376" s="0" t="str">
        <f aca="false">IF(Frota!$A31="","",Frota!$A31)</f>
        <v/>
      </c>
      <c r="B1376" s="0" t="str">
        <f aca="false">IF(Frota!$A31="","",Frota!$B31)</f>
        <v/>
      </c>
      <c r="C1376" s="0" t="n">
        <v>21</v>
      </c>
      <c r="D1376" s="0" t="n">
        <f aca="false">INDEX(Semanas!$E$3:$E$54,21)</f>
        <v>8</v>
      </c>
      <c r="E1376" s="0" t="str">
        <f aca="false">IF(Frota!$A31="","",Cronograma!V31)</f>
        <v/>
      </c>
      <c r="F1376" s="0" t="n">
        <f aca="false">IF(OR($E1376="",$E1376=0),0,1)</f>
        <v>0</v>
      </c>
      <c r="G1376" s="0" t="n">
        <f aca="false">IF($F1376=0,0,INDEX(Aux_HH!$D$4:$D$18,MATCH($B1376&amp;"|"&amp;$E1376,Aux_HH!$A$4:$A$18,0)))</f>
        <v>0</v>
      </c>
      <c r="H1376" s="0" t="n">
        <f aca="false">IF($F1376=0,0,INDEX(Aux_HH!$E$4:$E$18,MATCH($B1376&amp;"|"&amp;$E1376,Aux_HH!$A$4:$A$18,0)))</f>
        <v>0</v>
      </c>
      <c r="I1376" s="0" t="n">
        <f aca="false">IF($F1376=0,0,INDEX(Aux_HH!$F$4:$F$18,MATCH($B1376&amp;"|"&amp;$E1376,Aux_HH!$A$4:$A$18,0)))</f>
        <v>0</v>
      </c>
      <c r="J1376" s="0" t="n">
        <f aca="false">IF($F1376=0,0,INDEX(Aux_HH!$G$4:$G$18,MATCH($B1376&amp;"|"&amp;$E1376,Aux_HH!$A$4:$A$18,0)))</f>
        <v>0</v>
      </c>
      <c r="K1376" s="0" t="n">
        <f aca="false">IF($F1376=0,0,INDEX(Aux_HH!$H$4:$H$18,MATCH($B1376&amp;"|"&amp;$E1376,Aux_HH!$A$4:$A$18,0)))</f>
        <v>0</v>
      </c>
      <c r="L1376" s="0" t="n">
        <f aca="false">IF($F1376=0,0,INDEX(Aux_HH!$I$4:$I$18,MATCH($B1376&amp;"|"&amp;$E1376,Aux_HH!$A$4:$A$18,0)))</f>
        <v>0</v>
      </c>
    </row>
    <row r="1377" customFormat="false" ht="15" hidden="false" customHeight="false" outlineLevel="0" collapsed="false">
      <c r="A1377" s="0" t="str">
        <f aca="false">IF(Frota!$A31="","",Frota!$A31)</f>
        <v/>
      </c>
      <c r="B1377" s="0" t="str">
        <f aca="false">IF(Frota!$A31="","",Frota!$B31)</f>
        <v/>
      </c>
      <c r="C1377" s="0" t="n">
        <v>22</v>
      </c>
      <c r="D1377" s="0" t="n">
        <f aca="false">INDEX(Semanas!$E$3:$E$54,22)</f>
        <v>8</v>
      </c>
      <c r="E1377" s="0" t="str">
        <f aca="false">IF(Frota!$A31="","",Cronograma!W31)</f>
        <v/>
      </c>
      <c r="F1377" s="0" t="n">
        <f aca="false">IF(OR($E1377="",$E1377=0),0,1)</f>
        <v>0</v>
      </c>
      <c r="G1377" s="0" t="n">
        <f aca="false">IF($F1377=0,0,INDEX(Aux_HH!$D$4:$D$18,MATCH($B1377&amp;"|"&amp;$E1377,Aux_HH!$A$4:$A$18,0)))</f>
        <v>0</v>
      </c>
      <c r="H1377" s="0" t="n">
        <f aca="false">IF($F1377=0,0,INDEX(Aux_HH!$E$4:$E$18,MATCH($B1377&amp;"|"&amp;$E1377,Aux_HH!$A$4:$A$18,0)))</f>
        <v>0</v>
      </c>
      <c r="I1377" s="0" t="n">
        <f aca="false">IF($F1377=0,0,INDEX(Aux_HH!$F$4:$F$18,MATCH($B1377&amp;"|"&amp;$E1377,Aux_HH!$A$4:$A$18,0)))</f>
        <v>0</v>
      </c>
      <c r="J1377" s="0" t="n">
        <f aca="false">IF($F1377=0,0,INDEX(Aux_HH!$G$4:$G$18,MATCH($B1377&amp;"|"&amp;$E1377,Aux_HH!$A$4:$A$18,0)))</f>
        <v>0</v>
      </c>
      <c r="K1377" s="0" t="n">
        <f aca="false">IF($F1377=0,0,INDEX(Aux_HH!$H$4:$H$18,MATCH($B1377&amp;"|"&amp;$E1377,Aux_HH!$A$4:$A$18,0)))</f>
        <v>0</v>
      </c>
      <c r="L1377" s="0" t="n">
        <f aca="false">IF($F1377=0,0,INDEX(Aux_HH!$I$4:$I$18,MATCH($B1377&amp;"|"&amp;$E1377,Aux_HH!$A$4:$A$18,0)))</f>
        <v>0</v>
      </c>
    </row>
    <row r="1378" customFormat="false" ht="15" hidden="false" customHeight="false" outlineLevel="0" collapsed="false">
      <c r="A1378" s="0" t="str">
        <f aca="false">IF(Frota!$A31="","",Frota!$A31)</f>
        <v/>
      </c>
      <c r="B1378" s="0" t="str">
        <f aca="false">IF(Frota!$A31="","",Frota!$B31)</f>
        <v/>
      </c>
      <c r="C1378" s="0" t="n">
        <v>23</v>
      </c>
      <c r="D1378" s="0" t="n">
        <f aca="false">INDEX(Semanas!$E$3:$E$54,23)</f>
        <v>9</v>
      </c>
      <c r="E1378" s="0" t="str">
        <f aca="false">IF(Frota!$A31="","",Cronograma!X31)</f>
        <v/>
      </c>
      <c r="F1378" s="0" t="n">
        <f aca="false">IF(OR($E1378="",$E1378=0),0,1)</f>
        <v>0</v>
      </c>
      <c r="G1378" s="0" t="n">
        <f aca="false">IF($F1378=0,0,INDEX(Aux_HH!$D$4:$D$18,MATCH($B1378&amp;"|"&amp;$E1378,Aux_HH!$A$4:$A$18,0)))</f>
        <v>0</v>
      </c>
      <c r="H1378" s="0" t="n">
        <f aca="false">IF($F1378=0,0,INDEX(Aux_HH!$E$4:$E$18,MATCH($B1378&amp;"|"&amp;$E1378,Aux_HH!$A$4:$A$18,0)))</f>
        <v>0</v>
      </c>
      <c r="I1378" s="0" t="n">
        <f aca="false">IF($F1378=0,0,INDEX(Aux_HH!$F$4:$F$18,MATCH($B1378&amp;"|"&amp;$E1378,Aux_HH!$A$4:$A$18,0)))</f>
        <v>0</v>
      </c>
      <c r="J1378" s="0" t="n">
        <f aca="false">IF($F1378=0,0,INDEX(Aux_HH!$G$4:$G$18,MATCH($B1378&amp;"|"&amp;$E1378,Aux_HH!$A$4:$A$18,0)))</f>
        <v>0</v>
      </c>
      <c r="K1378" s="0" t="n">
        <f aca="false">IF($F1378=0,0,INDEX(Aux_HH!$H$4:$H$18,MATCH($B1378&amp;"|"&amp;$E1378,Aux_HH!$A$4:$A$18,0)))</f>
        <v>0</v>
      </c>
      <c r="L1378" s="0" t="n">
        <f aca="false">IF($F1378=0,0,INDEX(Aux_HH!$I$4:$I$18,MATCH($B1378&amp;"|"&amp;$E1378,Aux_HH!$A$4:$A$18,0)))</f>
        <v>0</v>
      </c>
    </row>
    <row r="1379" customFormat="false" ht="15" hidden="false" customHeight="false" outlineLevel="0" collapsed="false">
      <c r="A1379" s="0" t="str">
        <f aca="false">IF(Frota!$A31="","",Frota!$A31)</f>
        <v/>
      </c>
      <c r="B1379" s="0" t="str">
        <f aca="false">IF(Frota!$A31="","",Frota!$B31)</f>
        <v/>
      </c>
      <c r="C1379" s="0" t="n">
        <v>24</v>
      </c>
      <c r="D1379" s="0" t="n">
        <f aca="false">INDEX(Semanas!$E$3:$E$54,24)</f>
        <v>9</v>
      </c>
      <c r="E1379" s="0" t="str">
        <f aca="false">IF(Frota!$A31="","",Cronograma!Y31)</f>
        <v/>
      </c>
      <c r="F1379" s="0" t="n">
        <f aca="false">IF(OR($E1379="",$E1379=0),0,1)</f>
        <v>0</v>
      </c>
      <c r="G1379" s="0" t="n">
        <f aca="false">IF($F1379=0,0,INDEX(Aux_HH!$D$4:$D$18,MATCH($B1379&amp;"|"&amp;$E1379,Aux_HH!$A$4:$A$18,0)))</f>
        <v>0</v>
      </c>
      <c r="H1379" s="0" t="n">
        <f aca="false">IF($F1379=0,0,INDEX(Aux_HH!$E$4:$E$18,MATCH($B1379&amp;"|"&amp;$E1379,Aux_HH!$A$4:$A$18,0)))</f>
        <v>0</v>
      </c>
      <c r="I1379" s="0" t="n">
        <f aca="false">IF($F1379=0,0,INDEX(Aux_HH!$F$4:$F$18,MATCH($B1379&amp;"|"&amp;$E1379,Aux_HH!$A$4:$A$18,0)))</f>
        <v>0</v>
      </c>
      <c r="J1379" s="0" t="n">
        <f aca="false">IF($F1379=0,0,INDEX(Aux_HH!$G$4:$G$18,MATCH($B1379&amp;"|"&amp;$E1379,Aux_HH!$A$4:$A$18,0)))</f>
        <v>0</v>
      </c>
      <c r="K1379" s="0" t="n">
        <f aca="false">IF($F1379=0,0,INDEX(Aux_HH!$H$4:$H$18,MATCH($B1379&amp;"|"&amp;$E1379,Aux_HH!$A$4:$A$18,0)))</f>
        <v>0</v>
      </c>
      <c r="L1379" s="0" t="n">
        <f aca="false">IF($F1379=0,0,INDEX(Aux_HH!$I$4:$I$18,MATCH($B1379&amp;"|"&amp;$E1379,Aux_HH!$A$4:$A$18,0)))</f>
        <v>0</v>
      </c>
    </row>
    <row r="1380" customFormat="false" ht="15" hidden="false" customHeight="false" outlineLevel="0" collapsed="false">
      <c r="A1380" s="0" t="str">
        <f aca="false">IF(Frota!$A31="","",Frota!$A31)</f>
        <v/>
      </c>
      <c r="B1380" s="0" t="str">
        <f aca="false">IF(Frota!$A31="","",Frota!$B31)</f>
        <v/>
      </c>
      <c r="C1380" s="0" t="n">
        <v>25</v>
      </c>
      <c r="D1380" s="0" t="n">
        <f aca="false">INDEX(Semanas!$E$3:$E$54,25)</f>
        <v>9</v>
      </c>
      <c r="E1380" s="0" t="str">
        <f aca="false">IF(Frota!$A31="","",Cronograma!Z31)</f>
        <v/>
      </c>
      <c r="F1380" s="0" t="n">
        <f aca="false">IF(OR($E1380="",$E1380=0),0,1)</f>
        <v>0</v>
      </c>
      <c r="G1380" s="0" t="n">
        <f aca="false">IF($F1380=0,0,INDEX(Aux_HH!$D$4:$D$18,MATCH($B1380&amp;"|"&amp;$E1380,Aux_HH!$A$4:$A$18,0)))</f>
        <v>0</v>
      </c>
      <c r="H1380" s="0" t="n">
        <f aca="false">IF($F1380=0,0,INDEX(Aux_HH!$E$4:$E$18,MATCH($B1380&amp;"|"&amp;$E1380,Aux_HH!$A$4:$A$18,0)))</f>
        <v>0</v>
      </c>
      <c r="I1380" s="0" t="n">
        <f aca="false">IF($F1380=0,0,INDEX(Aux_HH!$F$4:$F$18,MATCH($B1380&amp;"|"&amp;$E1380,Aux_HH!$A$4:$A$18,0)))</f>
        <v>0</v>
      </c>
      <c r="J1380" s="0" t="n">
        <f aca="false">IF($F1380=0,0,INDEX(Aux_HH!$G$4:$G$18,MATCH($B1380&amp;"|"&amp;$E1380,Aux_HH!$A$4:$A$18,0)))</f>
        <v>0</v>
      </c>
      <c r="K1380" s="0" t="n">
        <f aca="false">IF($F1380=0,0,INDEX(Aux_HH!$H$4:$H$18,MATCH($B1380&amp;"|"&amp;$E1380,Aux_HH!$A$4:$A$18,0)))</f>
        <v>0</v>
      </c>
      <c r="L1380" s="0" t="n">
        <f aca="false">IF($F1380=0,0,INDEX(Aux_HH!$I$4:$I$18,MATCH($B1380&amp;"|"&amp;$E1380,Aux_HH!$A$4:$A$18,0)))</f>
        <v>0</v>
      </c>
    </row>
    <row r="1381" customFormat="false" ht="15" hidden="false" customHeight="false" outlineLevel="0" collapsed="false">
      <c r="A1381" s="0" t="str">
        <f aca="false">IF(Frota!$A31="","",Frota!$A31)</f>
        <v/>
      </c>
      <c r="B1381" s="0" t="str">
        <f aca="false">IF(Frota!$A31="","",Frota!$B31)</f>
        <v/>
      </c>
      <c r="C1381" s="0" t="n">
        <v>26</v>
      </c>
      <c r="D1381" s="0" t="n">
        <f aca="false">INDEX(Semanas!$E$3:$E$54,26)</f>
        <v>9</v>
      </c>
      <c r="E1381" s="0" t="str">
        <f aca="false">IF(Frota!$A31="","",Cronograma!AA31)</f>
        <v/>
      </c>
      <c r="F1381" s="0" t="n">
        <f aca="false">IF(OR($E1381="",$E1381=0),0,1)</f>
        <v>0</v>
      </c>
      <c r="G1381" s="0" t="n">
        <f aca="false">IF($F1381=0,0,INDEX(Aux_HH!$D$4:$D$18,MATCH($B1381&amp;"|"&amp;$E1381,Aux_HH!$A$4:$A$18,0)))</f>
        <v>0</v>
      </c>
      <c r="H1381" s="0" t="n">
        <f aca="false">IF($F1381=0,0,INDEX(Aux_HH!$E$4:$E$18,MATCH($B1381&amp;"|"&amp;$E1381,Aux_HH!$A$4:$A$18,0)))</f>
        <v>0</v>
      </c>
      <c r="I1381" s="0" t="n">
        <f aca="false">IF($F1381=0,0,INDEX(Aux_HH!$F$4:$F$18,MATCH($B1381&amp;"|"&amp;$E1381,Aux_HH!$A$4:$A$18,0)))</f>
        <v>0</v>
      </c>
      <c r="J1381" s="0" t="n">
        <f aca="false">IF($F1381=0,0,INDEX(Aux_HH!$G$4:$G$18,MATCH($B1381&amp;"|"&amp;$E1381,Aux_HH!$A$4:$A$18,0)))</f>
        <v>0</v>
      </c>
      <c r="K1381" s="0" t="n">
        <f aca="false">IF($F1381=0,0,INDEX(Aux_HH!$H$4:$H$18,MATCH($B1381&amp;"|"&amp;$E1381,Aux_HH!$A$4:$A$18,0)))</f>
        <v>0</v>
      </c>
      <c r="L1381" s="0" t="n">
        <f aca="false">IF($F1381=0,0,INDEX(Aux_HH!$I$4:$I$18,MATCH($B1381&amp;"|"&amp;$E1381,Aux_HH!$A$4:$A$18,0)))</f>
        <v>0</v>
      </c>
    </row>
    <row r="1382" customFormat="false" ht="15" hidden="false" customHeight="false" outlineLevel="0" collapsed="false">
      <c r="A1382" s="0" t="str">
        <f aca="false">IF(Frota!$A31="","",Frota!$A31)</f>
        <v/>
      </c>
      <c r="B1382" s="0" t="str">
        <f aca="false">IF(Frota!$A31="","",Frota!$B31)</f>
        <v/>
      </c>
      <c r="C1382" s="0" t="n">
        <v>27</v>
      </c>
      <c r="D1382" s="0" t="n">
        <f aca="false">INDEX(Semanas!$E$3:$E$54,27)</f>
        <v>9</v>
      </c>
      <c r="E1382" s="0" t="str">
        <f aca="false">IF(Frota!$A31="","",Cronograma!AB31)</f>
        <v/>
      </c>
      <c r="F1382" s="0" t="n">
        <f aca="false">IF(OR($E1382="",$E1382=0),0,1)</f>
        <v>0</v>
      </c>
      <c r="G1382" s="0" t="n">
        <f aca="false">IF($F1382=0,0,INDEX(Aux_HH!$D$4:$D$18,MATCH($B1382&amp;"|"&amp;$E1382,Aux_HH!$A$4:$A$18,0)))</f>
        <v>0</v>
      </c>
      <c r="H1382" s="0" t="n">
        <f aca="false">IF($F1382=0,0,INDEX(Aux_HH!$E$4:$E$18,MATCH($B1382&amp;"|"&amp;$E1382,Aux_HH!$A$4:$A$18,0)))</f>
        <v>0</v>
      </c>
      <c r="I1382" s="0" t="n">
        <f aca="false">IF($F1382=0,0,INDEX(Aux_HH!$F$4:$F$18,MATCH($B1382&amp;"|"&amp;$E1382,Aux_HH!$A$4:$A$18,0)))</f>
        <v>0</v>
      </c>
      <c r="J1382" s="0" t="n">
        <f aca="false">IF($F1382=0,0,INDEX(Aux_HH!$G$4:$G$18,MATCH($B1382&amp;"|"&amp;$E1382,Aux_HH!$A$4:$A$18,0)))</f>
        <v>0</v>
      </c>
      <c r="K1382" s="0" t="n">
        <f aca="false">IF($F1382=0,0,INDEX(Aux_HH!$H$4:$H$18,MATCH($B1382&amp;"|"&amp;$E1382,Aux_HH!$A$4:$A$18,0)))</f>
        <v>0</v>
      </c>
      <c r="L1382" s="0" t="n">
        <f aca="false">IF($F1382=0,0,INDEX(Aux_HH!$I$4:$I$18,MATCH($B1382&amp;"|"&amp;$E1382,Aux_HH!$A$4:$A$18,0)))</f>
        <v>0</v>
      </c>
    </row>
    <row r="1383" customFormat="false" ht="15" hidden="false" customHeight="false" outlineLevel="0" collapsed="false">
      <c r="A1383" s="0" t="str">
        <f aca="false">IF(Frota!$A31="","",Frota!$A31)</f>
        <v/>
      </c>
      <c r="B1383" s="0" t="str">
        <f aca="false">IF(Frota!$A31="","",Frota!$B31)</f>
        <v/>
      </c>
      <c r="C1383" s="0" t="n">
        <v>28</v>
      </c>
      <c r="D1383" s="0" t="n">
        <f aca="false">INDEX(Semanas!$E$3:$E$54,28)</f>
        <v>10</v>
      </c>
      <c r="E1383" s="0" t="str">
        <f aca="false">IF(Frota!$A31="","",Cronograma!AC31)</f>
        <v/>
      </c>
      <c r="F1383" s="0" t="n">
        <f aca="false">IF(OR($E1383="",$E1383=0),0,1)</f>
        <v>0</v>
      </c>
      <c r="G1383" s="0" t="n">
        <f aca="false">IF($F1383=0,0,INDEX(Aux_HH!$D$4:$D$18,MATCH($B1383&amp;"|"&amp;$E1383,Aux_HH!$A$4:$A$18,0)))</f>
        <v>0</v>
      </c>
      <c r="H1383" s="0" t="n">
        <f aca="false">IF($F1383=0,0,INDEX(Aux_HH!$E$4:$E$18,MATCH($B1383&amp;"|"&amp;$E1383,Aux_HH!$A$4:$A$18,0)))</f>
        <v>0</v>
      </c>
      <c r="I1383" s="0" t="n">
        <f aca="false">IF($F1383=0,0,INDEX(Aux_HH!$F$4:$F$18,MATCH($B1383&amp;"|"&amp;$E1383,Aux_HH!$A$4:$A$18,0)))</f>
        <v>0</v>
      </c>
      <c r="J1383" s="0" t="n">
        <f aca="false">IF($F1383=0,0,INDEX(Aux_HH!$G$4:$G$18,MATCH($B1383&amp;"|"&amp;$E1383,Aux_HH!$A$4:$A$18,0)))</f>
        <v>0</v>
      </c>
      <c r="K1383" s="0" t="n">
        <f aca="false">IF($F1383=0,0,INDEX(Aux_HH!$H$4:$H$18,MATCH($B1383&amp;"|"&amp;$E1383,Aux_HH!$A$4:$A$18,0)))</f>
        <v>0</v>
      </c>
      <c r="L1383" s="0" t="n">
        <f aca="false">IF($F1383=0,0,INDEX(Aux_HH!$I$4:$I$18,MATCH($B1383&amp;"|"&amp;$E1383,Aux_HH!$A$4:$A$18,0)))</f>
        <v>0</v>
      </c>
    </row>
    <row r="1384" customFormat="false" ht="15" hidden="false" customHeight="false" outlineLevel="0" collapsed="false">
      <c r="A1384" s="0" t="str">
        <f aca="false">IF(Frota!$A31="","",Frota!$A31)</f>
        <v/>
      </c>
      <c r="B1384" s="0" t="str">
        <f aca="false">IF(Frota!$A31="","",Frota!$B31)</f>
        <v/>
      </c>
      <c r="C1384" s="0" t="n">
        <v>29</v>
      </c>
      <c r="D1384" s="0" t="n">
        <f aca="false">INDEX(Semanas!$E$3:$E$54,29)</f>
        <v>10</v>
      </c>
      <c r="E1384" s="0" t="str">
        <f aca="false">IF(Frota!$A31="","",Cronograma!AD31)</f>
        <v/>
      </c>
      <c r="F1384" s="0" t="n">
        <f aca="false">IF(OR($E1384="",$E1384=0),0,1)</f>
        <v>0</v>
      </c>
      <c r="G1384" s="0" t="n">
        <f aca="false">IF($F1384=0,0,INDEX(Aux_HH!$D$4:$D$18,MATCH($B1384&amp;"|"&amp;$E1384,Aux_HH!$A$4:$A$18,0)))</f>
        <v>0</v>
      </c>
      <c r="H1384" s="0" t="n">
        <f aca="false">IF($F1384=0,0,INDEX(Aux_HH!$E$4:$E$18,MATCH($B1384&amp;"|"&amp;$E1384,Aux_HH!$A$4:$A$18,0)))</f>
        <v>0</v>
      </c>
      <c r="I1384" s="0" t="n">
        <f aca="false">IF($F1384=0,0,INDEX(Aux_HH!$F$4:$F$18,MATCH($B1384&amp;"|"&amp;$E1384,Aux_HH!$A$4:$A$18,0)))</f>
        <v>0</v>
      </c>
      <c r="J1384" s="0" t="n">
        <f aca="false">IF($F1384=0,0,INDEX(Aux_HH!$G$4:$G$18,MATCH($B1384&amp;"|"&amp;$E1384,Aux_HH!$A$4:$A$18,0)))</f>
        <v>0</v>
      </c>
      <c r="K1384" s="0" t="n">
        <f aca="false">IF($F1384=0,0,INDEX(Aux_HH!$H$4:$H$18,MATCH($B1384&amp;"|"&amp;$E1384,Aux_HH!$A$4:$A$18,0)))</f>
        <v>0</v>
      </c>
      <c r="L1384" s="0" t="n">
        <f aca="false">IF($F1384=0,0,INDEX(Aux_HH!$I$4:$I$18,MATCH($B1384&amp;"|"&amp;$E1384,Aux_HH!$A$4:$A$18,0)))</f>
        <v>0</v>
      </c>
    </row>
    <row r="1385" customFormat="false" ht="15" hidden="false" customHeight="false" outlineLevel="0" collapsed="false">
      <c r="A1385" s="0" t="str">
        <f aca="false">IF(Frota!$A31="","",Frota!$A31)</f>
        <v/>
      </c>
      <c r="B1385" s="0" t="str">
        <f aca="false">IF(Frota!$A31="","",Frota!$B31)</f>
        <v/>
      </c>
      <c r="C1385" s="0" t="n">
        <v>30</v>
      </c>
      <c r="D1385" s="0" t="n">
        <f aca="false">INDEX(Semanas!$E$3:$E$54,30)</f>
        <v>10</v>
      </c>
      <c r="E1385" s="0" t="str">
        <f aca="false">IF(Frota!$A31="","",Cronograma!AE31)</f>
        <v/>
      </c>
      <c r="F1385" s="0" t="n">
        <f aca="false">IF(OR($E1385="",$E1385=0),0,1)</f>
        <v>0</v>
      </c>
      <c r="G1385" s="0" t="n">
        <f aca="false">IF($F1385=0,0,INDEX(Aux_HH!$D$4:$D$18,MATCH($B1385&amp;"|"&amp;$E1385,Aux_HH!$A$4:$A$18,0)))</f>
        <v>0</v>
      </c>
      <c r="H1385" s="0" t="n">
        <f aca="false">IF($F1385=0,0,INDEX(Aux_HH!$E$4:$E$18,MATCH($B1385&amp;"|"&amp;$E1385,Aux_HH!$A$4:$A$18,0)))</f>
        <v>0</v>
      </c>
      <c r="I1385" s="0" t="n">
        <f aca="false">IF($F1385=0,0,INDEX(Aux_HH!$F$4:$F$18,MATCH($B1385&amp;"|"&amp;$E1385,Aux_HH!$A$4:$A$18,0)))</f>
        <v>0</v>
      </c>
      <c r="J1385" s="0" t="n">
        <f aca="false">IF($F1385=0,0,INDEX(Aux_HH!$G$4:$G$18,MATCH($B1385&amp;"|"&amp;$E1385,Aux_HH!$A$4:$A$18,0)))</f>
        <v>0</v>
      </c>
      <c r="K1385" s="0" t="n">
        <f aca="false">IF($F1385=0,0,INDEX(Aux_HH!$H$4:$H$18,MATCH($B1385&amp;"|"&amp;$E1385,Aux_HH!$A$4:$A$18,0)))</f>
        <v>0</v>
      </c>
      <c r="L1385" s="0" t="n">
        <f aca="false">IF($F1385=0,0,INDEX(Aux_HH!$I$4:$I$18,MATCH($B1385&amp;"|"&amp;$E1385,Aux_HH!$A$4:$A$18,0)))</f>
        <v>0</v>
      </c>
    </row>
    <row r="1386" customFormat="false" ht="15" hidden="false" customHeight="false" outlineLevel="0" collapsed="false">
      <c r="A1386" s="0" t="str">
        <f aca="false">IF(Frota!$A31="","",Frota!$A31)</f>
        <v/>
      </c>
      <c r="B1386" s="0" t="str">
        <f aca="false">IF(Frota!$A31="","",Frota!$B31)</f>
        <v/>
      </c>
      <c r="C1386" s="0" t="n">
        <v>31</v>
      </c>
      <c r="D1386" s="0" t="n">
        <f aca="false">INDEX(Semanas!$E$3:$E$54,31)</f>
        <v>10</v>
      </c>
      <c r="E1386" s="0" t="str">
        <f aca="false">IF(Frota!$A31="","",Cronograma!AF31)</f>
        <v/>
      </c>
      <c r="F1386" s="0" t="n">
        <f aca="false">IF(OR($E1386="",$E1386=0),0,1)</f>
        <v>0</v>
      </c>
      <c r="G1386" s="0" t="n">
        <f aca="false">IF($F1386=0,0,INDEX(Aux_HH!$D$4:$D$18,MATCH($B1386&amp;"|"&amp;$E1386,Aux_HH!$A$4:$A$18,0)))</f>
        <v>0</v>
      </c>
      <c r="H1386" s="0" t="n">
        <f aca="false">IF($F1386=0,0,INDEX(Aux_HH!$E$4:$E$18,MATCH($B1386&amp;"|"&amp;$E1386,Aux_HH!$A$4:$A$18,0)))</f>
        <v>0</v>
      </c>
      <c r="I1386" s="0" t="n">
        <f aca="false">IF($F1386=0,0,INDEX(Aux_HH!$F$4:$F$18,MATCH($B1386&amp;"|"&amp;$E1386,Aux_HH!$A$4:$A$18,0)))</f>
        <v>0</v>
      </c>
      <c r="J1386" s="0" t="n">
        <f aca="false">IF($F1386=0,0,INDEX(Aux_HH!$G$4:$G$18,MATCH($B1386&amp;"|"&amp;$E1386,Aux_HH!$A$4:$A$18,0)))</f>
        <v>0</v>
      </c>
      <c r="K1386" s="0" t="n">
        <f aca="false">IF($F1386=0,0,INDEX(Aux_HH!$H$4:$H$18,MATCH($B1386&amp;"|"&amp;$E1386,Aux_HH!$A$4:$A$18,0)))</f>
        <v>0</v>
      </c>
      <c r="L1386" s="0" t="n">
        <f aca="false">IF($F1386=0,0,INDEX(Aux_HH!$I$4:$I$18,MATCH($B1386&amp;"|"&amp;$E1386,Aux_HH!$A$4:$A$18,0)))</f>
        <v>0</v>
      </c>
    </row>
    <row r="1387" customFormat="false" ht="15" hidden="false" customHeight="false" outlineLevel="0" collapsed="false">
      <c r="A1387" s="0" t="str">
        <f aca="false">IF(Frota!$A31="","",Frota!$A31)</f>
        <v/>
      </c>
      <c r="B1387" s="0" t="str">
        <f aca="false">IF(Frota!$A31="","",Frota!$B31)</f>
        <v/>
      </c>
      <c r="C1387" s="0" t="n">
        <v>32</v>
      </c>
      <c r="D1387" s="0" t="n">
        <f aca="false">INDEX(Semanas!$E$3:$E$54,32)</f>
        <v>11</v>
      </c>
      <c r="E1387" s="0" t="str">
        <f aca="false">IF(Frota!$A31="","",Cronograma!AG31)</f>
        <v/>
      </c>
      <c r="F1387" s="0" t="n">
        <f aca="false">IF(OR($E1387="",$E1387=0),0,1)</f>
        <v>0</v>
      </c>
      <c r="G1387" s="0" t="n">
        <f aca="false">IF($F1387=0,0,INDEX(Aux_HH!$D$4:$D$18,MATCH($B1387&amp;"|"&amp;$E1387,Aux_HH!$A$4:$A$18,0)))</f>
        <v>0</v>
      </c>
      <c r="H1387" s="0" t="n">
        <f aca="false">IF($F1387=0,0,INDEX(Aux_HH!$E$4:$E$18,MATCH($B1387&amp;"|"&amp;$E1387,Aux_HH!$A$4:$A$18,0)))</f>
        <v>0</v>
      </c>
      <c r="I1387" s="0" t="n">
        <f aca="false">IF($F1387=0,0,INDEX(Aux_HH!$F$4:$F$18,MATCH($B1387&amp;"|"&amp;$E1387,Aux_HH!$A$4:$A$18,0)))</f>
        <v>0</v>
      </c>
      <c r="J1387" s="0" t="n">
        <f aca="false">IF($F1387=0,0,INDEX(Aux_HH!$G$4:$G$18,MATCH($B1387&amp;"|"&amp;$E1387,Aux_HH!$A$4:$A$18,0)))</f>
        <v>0</v>
      </c>
      <c r="K1387" s="0" t="n">
        <f aca="false">IF($F1387=0,0,INDEX(Aux_HH!$H$4:$H$18,MATCH($B1387&amp;"|"&amp;$E1387,Aux_HH!$A$4:$A$18,0)))</f>
        <v>0</v>
      </c>
      <c r="L1387" s="0" t="n">
        <f aca="false">IF($F1387=0,0,INDEX(Aux_HH!$I$4:$I$18,MATCH($B1387&amp;"|"&amp;$E1387,Aux_HH!$A$4:$A$18,0)))</f>
        <v>0</v>
      </c>
    </row>
    <row r="1388" customFormat="false" ht="15" hidden="false" customHeight="false" outlineLevel="0" collapsed="false">
      <c r="A1388" s="0" t="str">
        <f aca="false">IF(Frota!$A31="","",Frota!$A31)</f>
        <v/>
      </c>
      <c r="B1388" s="0" t="str">
        <f aca="false">IF(Frota!$A31="","",Frota!$B31)</f>
        <v/>
      </c>
      <c r="C1388" s="0" t="n">
        <v>33</v>
      </c>
      <c r="D1388" s="0" t="n">
        <f aca="false">INDEX(Semanas!$E$3:$E$54,33)</f>
        <v>11</v>
      </c>
      <c r="E1388" s="0" t="str">
        <f aca="false">IF(Frota!$A31="","",Cronograma!AH31)</f>
        <v/>
      </c>
      <c r="F1388" s="0" t="n">
        <f aca="false">IF(OR($E1388="",$E1388=0),0,1)</f>
        <v>0</v>
      </c>
      <c r="G1388" s="0" t="n">
        <f aca="false">IF($F1388=0,0,INDEX(Aux_HH!$D$4:$D$18,MATCH($B1388&amp;"|"&amp;$E1388,Aux_HH!$A$4:$A$18,0)))</f>
        <v>0</v>
      </c>
      <c r="H1388" s="0" t="n">
        <f aca="false">IF($F1388=0,0,INDEX(Aux_HH!$E$4:$E$18,MATCH($B1388&amp;"|"&amp;$E1388,Aux_HH!$A$4:$A$18,0)))</f>
        <v>0</v>
      </c>
      <c r="I1388" s="0" t="n">
        <f aca="false">IF($F1388=0,0,INDEX(Aux_HH!$F$4:$F$18,MATCH($B1388&amp;"|"&amp;$E1388,Aux_HH!$A$4:$A$18,0)))</f>
        <v>0</v>
      </c>
      <c r="J1388" s="0" t="n">
        <f aca="false">IF($F1388=0,0,INDEX(Aux_HH!$G$4:$G$18,MATCH($B1388&amp;"|"&amp;$E1388,Aux_HH!$A$4:$A$18,0)))</f>
        <v>0</v>
      </c>
      <c r="K1388" s="0" t="n">
        <f aca="false">IF($F1388=0,0,INDEX(Aux_HH!$H$4:$H$18,MATCH($B1388&amp;"|"&amp;$E1388,Aux_HH!$A$4:$A$18,0)))</f>
        <v>0</v>
      </c>
      <c r="L1388" s="0" t="n">
        <f aca="false">IF($F1388=0,0,INDEX(Aux_HH!$I$4:$I$18,MATCH($B1388&amp;"|"&amp;$E1388,Aux_HH!$A$4:$A$18,0)))</f>
        <v>0</v>
      </c>
    </row>
    <row r="1389" customFormat="false" ht="15" hidden="false" customHeight="false" outlineLevel="0" collapsed="false">
      <c r="A1389" s="0" t="str">
        <f aca="false">IF(Frota!$A31="","",Frota!$A31)</f>
        <v/>
      </c>
      <c r="B1389" s="0" t="str">
        <f aca="false">IF(Frota!$A31="","",Frota!$B31)</f>
        <v/>
      </c>
      <c r="C1389" s="0" t="n">
        <v>34</v>
      </c>
      <c r="D1389" s="0" t="n">
        <f aca="false">INDEX(Semanas!$E$3:$E$54,34)</f>
        <v>11</v>
      </c>
      <c r="E1389" s="0" t="str">
        <f aca="false">IF(Frota!$A31="","",Cronograma!AI31)</f>
        <v/>
      </c>
      <c r="F1389" s="0" t="n">
        <f aca="false">IF(OR($E1389="",$E1389=0),0,1)</f>
        <v>0</v>
      </c>
      <c r="G1389" s="0" t="n">
        <f aca="false">IF($F1389=0,0,INDEX(Aux_HH!$D$4:$D$18,MATCH($B1389&amp;"|"&amp;$E1389,Aux_HH!$A$4:$A$18,0)))</f>
        <v>0</v>
      </c>
      <c r="H1389" s="0" t="n">
        <f aca="false">IF($F1389=0,0,INDEX(Aux_HH!$E$4:$E$18,MATCH($B1389&amp;"|"&amp;$E1389,Aux_HH!$A$4:$A$18,0)))</f>
        <v>0</v>
      </c>
      <c r="I1389" s="0" t="n">
        <f aca="false">IF($F1389=0,0,INDEX(Aux_HH!$F$4:$F$18,MATCH($B1389&amp;"|"&amp;$E1389,Aux_HH!$A$4:$A$18,0)))</f>
        <v>0</v>
      </c>
      <c r="J1389" s="0" t="n">
        <f aca="false">IF($F1389=0,0,INDEX(Aux_HH!$G$4:$G$18,MATCH($B1389&amp;"|"&amp;$E1389,Aux_HH!$A$4:$A$18,0)))</f>
        <v>0</v>
      </c>
      <c r="K1389" s="0" t="n">
        <f aca="false">IF($F1389=0,0,INDEX(Aux_HH!$H$4:$H$18,MATCH($B1389&amp;"|"&amp;$E1389,Aux_HH!$A$4:$A$18,0)))</f>
        <v>0</v>
      </c>
      <c r="L1389" s="0" t="n">
        <f aca="false">IF($F1389=0,0,INDEX(Aux_HH!$I$4:$I$18,MATCH($B1389&amp;"|"&amp;$E1389,Aux_HH!$A$4:$A$18,0)))</f>
        <v>0</v>
      </c>
    </row>
    <row r="1390" customFormat="false" ht="15" hidden="false" customHeight="false" outlineLevel="0" collapsed="false">
      <c r="A1390" s="0" t="str">
        <f aca="false">IF(Frota!$A31="","",Frota!$A31)</f>
        <v/>
      </c>
      <c r="B1390" s="0" t="str">
        <f aca="false">IF(Frota!$A31="","",Frota!$B31)</f>
        <v/>
      </c>
      <c r="C1390" s="0" t="n">
        <v>35</v>
      </c>
      <c r="D1390" s="0" t="n">
        <f aca="false">INDEX(Semanas!$E$3:$E$54,35)</f>
        <v>11</v>
      </c>
      <c r="E1390" s="0" t="str">
        <f aca="false">IF(Frota!$A31="","",Cronograma!AJ31)</f>
        <v/>
      </c>
      <c r="F1390" s="0" t="n">
        <f aca="false">IF(OR($E1390="",$E1390=0),0,1)</f>
        <v>0</v>
      </c>
      <c r="G1390" s="0" t="n">
        <f aca="false">IF($F1390=0,0,INDEX(Aux_HH!$D$4:$D$18,MATCH($B1390&amp;"|"&amp;$E1390,Aux_HH!$A$4:$A$18,0)))</f>
        <v>0</v>
      </c>
      <c r="H1390" s="0" t="n">
        <f aca="false">IF($F1390=0,0,INDEX(Aux_HH!$E$4:$E$18,MATCH($B1390&amp;"|"&amp;$E1390,Aux_HH!$A$4:$A$18,0)))</f>
        <v>0</v>
      </c>
      <c r="I1390" s="0" t="n">
        <f aca="false">IF($F1390=0,0,INDEX(Aux_HH!$F$4:$F$18,MATCH($B1390&amp;"|"&amp;$E1390,Aux_HH!$A$4:$A$18,0)))</f>
        <v>0</v>
      </c>
      <c r="J1390" s="0" t="n">
        <f aca="false">IF($F1390=0,0,INDEX(Aux_HH!$G$4:$G$18,MATCH($B1390&amp;"|"&amp;$E1390,Aux_HH!$A$4:$A$18,0)))</f>
        <v>0</v>
      </c>
      <c r="K1390" s="0" t="n">
        <f aca="false">IF($F1390=0,0,INDEX(Aux_HH!$H$4:$H$18,MATCH($B1390&amp;"|"&amp;$E1390,Aux_HH!$A$4:$A$18,0)))</f>
        <v>0</v>
      </c>
      <c r="L1390" s="0" t="n">
        <f aca="false">IF($F1390=0,0,INDEX(Aux_HH!$I$4:$I$18,MATCH($B1390&amp;"|"&amp;$E1390,Aux_HH!$A$4:$A$18,0)))</f>
        <v>0</v>
      </c>
    </row>
    <row r="1391" customFormat="false" ht="15" hidden="false" customHeight="false" outlineLevel="0" collapsed="false">
      <c r="A1391" s="0" t="str">
        <f aca="false">IF(Frota!$A31="","",Frota!$A31)</f>
        <v/>
      </c>
      <c r="B1391" s="0" t="str">
        <f aca="false">IF(Frota!$A31="","",Frota!$B31)</f>
        <v/>
      </c>
      <c r="C1391" s="0" t="n">
        <v>36</v>
      </c>
      <c r="D1391" s="0" t="n">
        <f aca="false">INDEX(Semanas!$E$3:$E$54,36)</f>
        <v>12</v>
      </c>
      <c r="E1391" s="0" t="str">
        <f aca="false">IF(Frota!$A31="","",Cronograma!AK31)</f>
        <v/>
      </c>
      <c r="F1391" s="0" t="n">
        <f aca="false">IF(OR($E1391="",$E1391=0),0,1)</f>
        <v>0</v>
      </c>
      <c r="G1391" s="0" t="n">
        <f aca="false">IF($F1391=0,0,INDEX(Aux_HH!$D$4:$D$18,MATCH($B1391&amp;"|"&amp;$E1391,Aux_HH!$A$4:$A$18,0)))</f>
        <v>0</v>
      </c>
      <c r="H1391" s="0" t="n">
        <f aca="false">IF($F1391=0,0,INDEX(Aux_HH!$E$4:$E$18,MATCH($B1391&amp;"|"&amp;$E1391,Aux_HH!$A$4:$A$18,0)))</f>
        <v>0</v>
      </c>
      <c r="I1391" s="0" t="n">
        <f aca="false">IF($F1391=0,0,INDEX(Aux_HH!$F$4:$F$18,MATCH($B1391&amp;"|"&amp;$E1391,Aux_HH!$A$4:$A$18,0)))</f>
        <v>0</v>
      </c>
      <c r="J1391" s="0" t="n">
        <f aca="false">IF($F1391=0,0,INDEX(Aux_HH!$G$4:$G$18,MATCH($B1391&amp;"|"&amp;$E1391,Aux_HH!$A$4:$A$18,0)))</f>
        <v>0</v>
      </c>
      <c r="K1391" s="0" t="n">
        <f aca="false">IF($F1391=0,0,INDEX(Aux_HH!$H$4:$H$18,MATCH($B1391&amp;"|"&amp;$E1391,Aux_HH!$A$4:$A$18,0)))</f>
        <v>0</v>
      </c>
      <c r="L1391" s="0" t="n">
        <f aca="false">IF($F1391=0,0,INDEX(Aux_HH!$I$4:$I$18,MATCH($B1391&amp;"|"&amp;$E1391,Aux_HH!$A$4:$A$18,0)))</f>
        <v>0</v>
      </c>
    </row>
    <row r="1392" customFormat="false" ht="15" hidden="false" customHeight="false" outlineLevel="0" collapsed="false">
      <c r="A1392" s="0" t="str">
        <f aca="false">IF(Frota!$A31="","",Frota!$A31)</f>
        <v/>
      </c>
      <c r="B1392" s="0" t="str">
        <f aca="false">IF(Frota!$A31="","",Frota!$B31)</f>
        <v/>
      </c>
      <c r="C1392" s="0" t="n">
        <v>37</v>
      </c>
      <c r="D1392" s="0" t="n">
        <f aca="false">INDEX(Semanas!$E$3:$E$54,37)</f>
        <v>12</v>
      </c>
      <c r="E1392" s="0" t="str">
        <f aca="false">IF(Frota!$A31="","",Cronograma!AL31)</f>
        <v/>
      </c>
      <c r="F1392" s="0" t="n">
        <f aca="false">IF(OR($E1392="",$E1392=0),0,1)</f>
        <v>0</v>
      </c>
      <c r="G1392" s="0" t="n">
        <f aca="false">IF($F1392=0,0,INDEX(Aux_HH!$D$4:$D$18,MATCH($B1392&amp;"|"&amp;$E1392,Aux_HH!$A$4:$A$18,0)))</f>
        <v>0</v>
      </c>
      <c r="H1392" s="0" t="n">
        <f aca="false">IF($F1392=0,0,INDEX(Aux_HH!$E$4:$E$18,MATCH($B1392&amp;"|"&amp;$E1392,Aux_HH!$A$4:$A$18,0)))</f>
        <v>0</v>
      </c>
      <c r="I1392" s="0" t="n">
        <f aca="false">IF($F1392=0,0,INDEX(Aux_HH!$F$4:$F$18,MATCH($B1392&amp;"|"&amp;$E1392,Aux_HH!$A$4:$A$18,0)))</f>
        <v>0</v>
      </c>
      <c r="J1392" s="0" t="n">
        <f aca="false">IF($F1392=0,0,INDEX(Aux_HH!$G$4:$G$18,MATCH($B1392&amp;"|"&amp;$E1392,Aux_HH!$A$4:$A$18,0)))</f>
        <v>0</v>
      </c>
      <c r="K1392" s="0" t="n">
        <f aca="false">IF($F1392=0,0,INDEX(Aux_HH!$H$4:$H$18,MATCH($B1392&amp;"|"&amp;$E1392,Aux_HH!$A$4:$A$18,0)))</f>
        <v>0</v>
      </c>
      <c r="L1392" s="0" t="n">
        <f aca="false">IF($F1392=0,0,INDEX(Aux_HH!$I$4:$I$18,MATCH($B1392&amp;"|"&amp;$E1392,Aux_HH!$A$4:$A$18,0)))</f>
        <v>0</v>
      </c>
    </row>
    <row r="1393" customFormat="false" ht="15" hidden="false" customHeight="false" outlineLevel="0" collapsed="false">
      <c r="A1393" s="0" t="str">
        <f aca="false">IF(Frota!$A31="","",Frota!$A31)</f>
        <v/>
      </c>
      <c r="B1393" s="0" t="str">
        <f aca="false">IF(Frota!$A31="","",Frota!$B31)</f>
        <v/>
      </c>
      <c r="C1393" s="0" t="n">
        <v>38</v>
      </c>
      <c r="D1393" s="0" t="n">
        <f aca="false">INDEX(Semanas!$E$3:$E$54,38)</f>
        <v>12</v>
      </c>
      <c r="E1393" s="0" t="str">
        <f aca="false">IF(Frota!$A31="","",Cronograma!AM31)</f>
        <v/>
      </c>
      <c r="F1393" s="0" t="n">
        <f aca="false">IF(OR($E1393="",$E1393=0),0,1)</f>
        <v>0</v>
      </c>
      <c r="G1393" s="0" t="n">
        <f aca="false">IF($F1393=0,0,INDEX(Aux_HH!$D$4:$D$18,MATCH($B1393&amp;"|"&amp;$E1393,Aux_HH!$A$4:$A$18,0)))</f>
        <v>0</v>
      </c>
      <c r="H1393" s="0" t="n">
        <f aca="false">IF($F1393=0,0,INDEX(Aux_HH!$E$4:$E$18,MATCH($B1393&amp;"|"&amp;$E1393,Aux_HH!$A$4:$A$18,0)))</f>
        <v>0</v>
      </c>
      <c r="I1393" s="0" t="n">
        <f aca="false">IF($F1393=0,0,INDEX(Aux_HH!$F$4:$F$18,MATCH($B1393&amp;"|"&amp;$E1393,Aux_HH!$A$4:$A$18,0)))</f>
        <v>0</v>
      </c>
      <c r="J1393" s="0" t="n">
        <f aca="false">IF($F1393=0,0,INDEX(Aux_HH!$G$4:$G$18,MATCH($B1393&amp;"|"&amp;$E1393,Aux_HH!$A$4:$A$18,0)))</f>
        <v>0</v>
      </c>
      <c r="K1393" s="0" t="n">
        <f aca="false">IF($F1393=0,0,INDEX(Aux_HH!$H$4:$H$18,MATCH($B1393&amp;"|"&amp;$E1393,Aux_HH!$A$4:$A$18,0)))</f>
        <v>0</v>
      </c>
      <c r="L1393" s="0" t="n">
        <f aca="false">IF($F1393=0,0,INDEX(Aux_HH!$I$4:$I$18,MATCH($B1393&amp;"|"&amp;$E1393,Aux_HH!$A$4:$A$18,0)))</f>
        <v>0</v>
      </c>
    </row>
    <row r="1394" customFormat="false" ht="15" hidden="false" customHeight="false" outlineLevel="0" collapsed="false">
      <c r="A1394" s="0" t="str">
        <f aca="false">IF(Frota!$A31="","",Frota!$A31)</f>
        <v/>
      </c>
      <c r="B1394" s="0" t="str">
        <f aca="false">IF(Frota!$A31="","",Frota!$B31)</f>
        <v/>
      </c>
      <c r="C1394" s="0" t="n">
        <v>39</v>
      </c>
      <c r="D1394" s="0" t="n">
        <f aca="false">INDEX(Semanas!$E$3:$E$54,39)</f>
        <v>12</v>
      </c>
      <c r="E1394" s="0" t="str">
        <f aca="false">IF(Frota!$A31="","",Cronograma!AN31)</f>
        <v/>
      </c>
      <c r="F1394" s="0" t="n">
        <f aca="false">IF(OR($E1394="",$E1394=0),0,1)</f>
        <v>0</v>
      </c>
      <c r="G1394" s="0" t="n">
        <f aca="false">IF($F1394=0,0,INDEX(Aux_HH!$D$4:$D$18,MATCH($B1394&amp;"|"&amp;$E1394,Aux_HH!$A$4:$A$18,0)))</f>
        <v>0</v>
      </c>
      <c r="H1394" s="0" t="n">
        <f aca="false">IF($F1394=0,0,INDEX(Aux_HH!$E$4:$E$18,MATCH($B1394&amp;"|"&amp;$E1394,Aux_HH!$A$4:$A$18,0)))</f>
        <v>0</v>
      </c>
      <c r="I1394" s="0" t="n">
        <f aca="false">IF($F1394=0,0,INDEX(Aux_HH!$F$4:$F$18,MATCH($B1394&amp;"|"&amp;$E1394,Aux_HH!$A$4:$A$18,0)))</f>
        <v>0</v>
      </c>
      <c r="J1394" s="0" t="n">
        <f aca="false">IF($F1394=0,0,INDEX(Aux_HH!$G$4:$G$18,MATCH($B1394&amp;"|"&amp;$E1394,Aux_HH!$A$4:$A$18,0)))</f>
        <v>0</v>
      </c>
      <c r="K1394" s="0" t="n">
        <f aca="false">IF($F1394=0,0,INDEX(Aux_HH!$H$4:$H$18,MATCH($B1394&amp;"|"&amp;$E1394,Aux_HH!$A$4:$A$18,0)))</f>
        <v>0</v>
      </c>
      <c r="L1394" s="0" t="n">
        <f aca="false">IF($F1394=0,0,INDEX(Aux_HH!$I$4:$I$18,MATCH($B1394&amp;"|"&amp;$E1394,Aux_HH!$A$4:$A$18,0)))</f>
        <v>0</v>
      </c>
    </row>
    <row r="1395" customFormat="false" ht="15" hidden="false" customHeight="false" outlineLevel="0" collapsed="false">
      <c r="A1395" s="0" t="str">
        <f aca="false">IF(Frota!$A31="","",Frota!$A31)</f>
        <v/>
      </c>
      <c r="B1395" s="0" t="str">
        <f aca="false">IF(Frota!$A31="","",Frota!$B31)</f>
        <v/>
      </c>
      <c r="C1395" s="0" t="n">
        <v>40</v>
      </c>
      <c r="D1395" s="0" t="n">
        <f aca="false">INDEX(Semanas!$E$3:$E$54,40)</f>
        <v>12</v>
      </c>
      <c r="E1395" s="0" t="str">
        <f aca="false">IF(Frota!$A31="","",Cronograma!AO31)</f>
        <v/>
      </c>
      <c r="F1395" s="0" t="n">
        <f aca="false">IF(OR($E1395="",$E1395=0),0,1)</f>
        <v>0</v>
      </c>
      <c r="G1395" s="0" t="n">
        <f aca="false">IF($F1395=0,0,INDEX(Aux_HH!$D$4:$D$18,MATCH($B1395&amp;"|"&amp;$E1395,Aux_HH!$A$4:$A$18,0)))</f>
        <v>0</v>
      </c>
      <c r="H1395" s="0" t="n">
        <f aca="false">IF($F1395=0,0,INDEX(Aux_HH!$E$4:$E$18,MATCH($B1395&amp;"|"&amp;$E1395,Aux_HH!$A$4:$A$18,0)))</f>
        <v>0</v>
      </c>
      <c r="I1395" s="0" t="n">
        <f aca="false">IF($F1395=0,0,INDEX(Aux_HH!$F$4:$F$18,MATCH($B1395&amp;"|"&amp;$E1395,Aux_HH!$A$4:$A$18,0)))</f>
        <v>0</v>
      </c>
      <c r="J1395" s="0" t="n">
        <f aca="false">IF($F1395=0,0,INDEX(Aux_HH!$G$4:$G$18,MATCH($B1395&amp;"|"&amp;$E1395,Aux_HH!$A$4:$A$18,0)))</f>
        <v>0</v>
      </c>
      <c r="K1395" s="0" t="n">
        <f aca="false">IF($F1395=0,0,INDEX(Aux_HH!$H$4:$H$18,MATCH($B1395&amp;"|"&amp;$E1395,Aux_HH!$A$4:$A$18,0)))</f>
        <v>0</v>
      </c>
      <c r="L1395" s="0" t="n">
        <f aca="false">IF($F1395=0,0,INDEX(Aux_HH!$I$4:$I$18,MATCH($B1395&amp;"|"&amp;$E1395,Aux_HH!$A$4:$A$18,0)))</f>
        <v>0</v>
      </c>
    </row>
    <row r="1396" customFormat="false" ht="15" hidden="false" customHeight="false" outlineLevel="0" collapsed="false">
      <c r="A1396" s="0" t="str">
        <f aca="false">IF(Frota!$A31="","",Frota!$A31)</f>
        <v/>
      </c>
      <c r="B1396" s="0" t="str">
        <f aca="false">IF(Frota!$A31="","",Frota!$B31)</f>
        <v/>
      </c>
      <c r="C1396" s="0" t="n">
        <v>41</v>
      </c>
      <c r="D1396" s="0" t="n">
        <f aca="false">INDEX(Semanas!$E$3:$E$54,41)</f>
        <v>1</v>
      </c>
      <c r="E1396" s="0" t="str">
        <f aca="false">IF(Frota!$A31="","",Cronograma!AP31)</f>
        <v/>
      </c>
      <c r="F1396" s="0" t="n">
        <f aca="false">IF(OR($E1396="",$E1396=0),0,1)</f>
        <v>0</v>
      </c>
      <c r="G1396" s="0" t="n">
        <f aca="false">IF($F1396=0,0,INDEX(Aux_HH!$D$4:$D$18,MATCH($B1396&amp;"|"&amp;$E1396,Aux_HH!$A$4:$A$18,0)))</f>
        <v>0</v>
      </c>
      <c r="H1396" s="0" t="n">
        <f aca="false">IF($F1396=0,0,INDEX(Aux_HH!$E$4:$E$18,MATCH($B1396&amp;"|"&amp;$E1396,Aux_HH!$A$4:$A$18,0)))</f>
        <v>0</v>
      </c>
      <c r="I1396" s="0" t="n">
        <f aca="false">IF($F1396=0,0,INDEX(Aux_HH!$F$4:$F$18,MATCH($B1396&amp;"|"&amp;$E1396,Aux_HH!$A$4:$A$18,0)))</f>
        <v>0</v>
      </c>
      <c r="J1396" s="0" t="n">
        <f aca="false">IF($F1396=0,0,INDEX(Aux_HH!$G$4:$G$18,MATCH($B1396&amp;"|"&amp;$E1396,Aux_HH!$A$4:$A$18,0)))</f>
        <v>0</v>
      </c>
      <c r="K1396" s="0" t="n">
        <f aca="false">IF($F1396=0,0,INDEX(Aux_HH!$H$4:$H$18,MATCH($B1396&amp;"|"&amp;$E1396,Aux_HH!$A$4:$A$18,0)))</f>
        <v>0</v>
      </c>
      <c r="L1396" s="0" t="n">
        <f aca="false">IF($F1396=0,0,INDEX(Aux_HH!$I$4:$I$18,MATCH($B1396&amp;"|"&amp;$E1396,Aux_HH!$A$4:$A$18,0)))</f>
        <v>0</v>
      </c>
    </row>
    <row r="1397" customFormat="false" ht="15" hidden="false" customHeight="false" outlineLevel="0" collapsed="false">
      <c r="A1397" s="0" t="str">
        <f aca="false">IF(Frota!$A31="","",Frota!$A31)</f>
        <v/>
      </c>
      <c r="B1397" s="0" t="str">
        <f aca="false">IF(Frota!$A31="","",Frota!$B31)</f>
        <v/>
      </c>
      <c r="C1397" s="0" t="n">
        <v>42</v>
      </c>
      <c r="D1397" s="0" t="n">
        <f aca="false">INDEX(Semanas!$E$3:$E$54,42)</f>
        <v>1</v>
      </c>
      <c r="E1397" s="0" t="str">
        <f aca="false">IF(Frota!$A31="","",Cronograma!AQ31)</f>
        <v/>
      </c>
      <c r="F1397" s="0" t="n">
        <f aca="false">IF(OR($E1397="",$E1397=0),0,1)</f>
        <v>0</v>
      </c>
      <c r="G1397" s="0" t="n">
        <f aca="false">IF($F1397=0,0,INDEX(Aux_HH!$D$4:$D$18,MATCH($B1397&amp;"|"&amp;$E1397,Aux_HH!$A$4:$A$18,0)))</f>
        <v>0</v>
      </c>
      <c r="H1397" s="0" t="n">
        <f aca="false">IF($F1397=0,0,INDEX(Aux_HH!$E$4:$E$18,MATCH($B1397&amp;"|"&amp;$E1397,Aux_HH!$A$4:$A$18,0)))</f>
        <v>0</v>
      </c>
      <c r="I1397" s="0" t="n">
        <f aca="false">IF($F1397=0,0,INDEX(Aux_HH!$F$4:$F$18,MATCH($B1397&amp;"|"&amp;$E1397,Aux_HH!$A$4:$A$18,0)))</f>
        <v>0</v>
      </c>
      <c r="J1397" s="0" t="n">
        <f aca="false">IF($F1397=0,0,INDEX(Aux_HH!$G$4:$G$18,MATCH($B1397&amp;"|"&amp;$E1397,Aux_HH!$A$4:$A$18,0)))</f>
        <v>0</v>
      </c>
      <c r="K1397" s="0" t="n">
        <f aca="false">IF($F1397=0,0,INDEX(Aux_HH!$H$4:$H$18,MATCH($B1397&amp;"|"&amp;$E1397,Aux_HH!$A$4:$A$18,0)))</f>
        <v>0</v>
      </c>
      <c r="L1397" s="0" t="n">
        <f aca="false">IF($F1397=0,0,INDEX(Aux_HH!$I$4:$I$18,MATCH($B1397&amp;"|"&amp;$E1397,Aux_HH!$A$4:$A$18,0)))</f>
        <v>0</v>
      </c>
    </row>
    <row r="1398" customFormat="false" ht="15" hidden="false" customHeight="false" outlineLevel="0" collapsed="false">
      <c r="A1398" s="0" t="str">
        <f aca="false">IF(Frota!$A31="","",Frota!$A31)</f>
        <v/>
      </c>
      <c r="B1398" s="0" t="str">
        <f aca="false">IF(Frota!$A31="","",Frota!$B31)</f>
        <v/>
      </c>
      <c r="C1398" s="0" t="n">
        <v>43</v>
      </c>
      <c r="D1398" s="0" t="n">
        <f aca="false">INDEX(Semanas!$E$3:$E$54,43)</f>
        <v>1</v>
      </c>
      <c r="E1398" s="0" t="str">
        <f aca="false">IF(Frota!$A31="","",Cronograma!AR31)</f>
        <v/>
      </c>
      <c r="F1398" s="0" t="n">
        <f aca="false">IF(OR($E1398="",$E1398=0),0,1)</f>
        <v>0</v>
      </c>
      <c r="G1398" s="0" t="n">
        <f aca="false">IF($F1398=0,0,INDEX(Aux_HH!$D$4:$D$18,MATCH($B1398&amp;"|"&amp;$E1398,Aux_HH!$A$4:$A$18,0)))</f>
        <v>0</v>
      </c>
      <c r="H1398" s="0" t="n">
        <f aca="false">IF($F1398=0,0,INDEX(Aux_HH!$E$4:$E$18,MATCH($B1398&amp;"|"&amp;$E1398,Aux_HH!$A$4:$A$18,0)))</f>
        <v>0</v>
      </c>
      <c r="I1398" s="0" t="n">
        <f aca="false">IF($F1398=0,0,INDEX(Aux_HH!$F$4:$F$18,MATCH($B1398&amp;"|"&amp;$E1398,Aux_HH!$A$4:$A$18,0)))</f>
        <v>0</v>
      </c>
      <c r="J1398" s="0" t="n">
        <f aca="false">IF($F1398=0,0,INDEX(Aux_HH!$G$4:$G$18,MATCH($B1398&amp;"|"&amp;$E1398,Aux_HH!$A$4:$A$18,0)))</f>
        <v>0</v>
      </c>
      <c r="K1398" s="0" t="n">
        <f aca="false">IF($F1398=0,0,INDEX(Aux_HH!$H$4:$H$18,MATCH($B1398&amp;"|"&amp;$E1398,Aux_HH!$A$4:$A$18,0)))</f>
        <v>0</v>
      </c>
      <c r="L1398" s="0" t="n">
        <f aca="false">IF($F1398=0,0,INDEX(Aux_HH!$I$4:$I$18,MATCH($B1398&amp;"|"&amp;$E1398,Aux_HH!$A$4:$A$18,0)))</f>
        <v>0</v>
      </c>
    </row>
    <row r="1399" customFormat="false" ht="15" hidden="false" customHeight="false" outlineLevel="0" collapsed="false">
      <c r="A1399" s="0" t="str">
        <f aca="false">IF(Frota!$A31="","",Frota!$A31)</f>
        <v/>
      </c>
      <c r="B1399" s="0" t="str">
        <f aca="false">IF(Frota!$A31="","",Frota!$B31)</f>
        <v/>
      </c>
      <c r="C1399" s="0" t="n">
        <v>44</v>
      </c>
      <c r="D1399" s="0" t="n">
        <f aca="false">INDEX(Semanas!$E$3:$E$54,44)</f>
        <v>1</v>
      </c>
      <c r="E1399" s="0" t="str">
        <f aca="false">IF(Frota!$A31="","",Cronograma!AS31)</f>
        <v/>
      </c>
      <c r="F1399" s="0" t="n">
        <f aca="false">IF(OR($E1399="",$E1399=0),0,1)</f>
        <v>0</v>
      </c>
      <c r="G1399" s="0" t="n">
        <f aca="false">IF($F1399=0,0,INDEX(Aux_HH!$D$4:$D$18,MATCH($B1399&amp;"|"&amp;$E1399,Aux_HH!$A$4:$A$18,0)))</f>
        <v>0</v>
      </c>
      <c r="H1399" s="0" t="n">
        <f aca="false">IF($F1399=0,0,INDEX(Aux_HH!$E$4:$E$18,MATCH($B1399&amp;"|"&amp;$E1399,Aux_HH!$A$4:$A$18,0)))</f>
        <v>0</v>
      </c>
      <c r="I1399" s="0" t="n">
        <f aca="false">IF($F1399=0,0,INDEX(Aux_HH!$F$4:$F$18,MATCH($B1399&amp;"|"&amp;$E1399,Aux_HH!$A$4:$A$18,0)))</f>
        <v>0</v>
      </c>
      <c r="J1399" s="0" t="n">
        <f aca="false">IF($F1399=0,0,INDEX(Aux_HH!$G$4:$G$18,MATCH($B1399&amp;"|"&amp;$E1399,Aux_HH!$A$4:$A$18,0)))</f>
        <v>0</v>
      </c>
      <c r="K1399" s="0" t="n">
        <f aca="false">IF($F1399=0,0,INDEX(Aux_HH!$H$4:$H$18,MATCH($B1399&amp;"|"&amp;$E1399,Aux_HH!$A$4:$A$18,0)))</f>
        <v>0</v>
      </c>
      <c r="L1399" s="0" t="n">
        <f aca="false">IF($F1399=0,0,INDEX(Aux_HH!$I$4:$I$18,MATCH($B1399&amp;"|"&amp;$E1399,Aux_HH!$A$4:$A$18,0)))</f>
        <v>0</v>
      </c>
    </row>
    <row r="1400" customFormat="false" ht="15" hidden="false" customHeight="false" outlineLevel="0" collapsed="false">
      <c r="A1400" s="0" t="str">
        <f aca="false">IF(Frota!$A31="","",Frota!$A31)</f>
        <v/>
      </c>
      <c r="B1400" s="0" t="str">
        <f aca="false">IF(Frota!$A31="","",Frota!$B31)</f>
        <v/>
      </c>
      <c r="C1400" s="0" t="n">
        <v>45</v>
      </c>
      <c r="D1400" s="0" t="n">
        <f aca="false">INDEX(Semanas!$E$3:$E$54,45)</f>
        <v>2</v>
      </c>
      <c r="E1400" s="0" t="str">
        <f aca="false">IF(Frota!$A31="","",Cronograma!AT31)</f>
        <v/>
      </c>
      <c r="F1400" s="0" t="n">
        <f aca="false">IF(OR($E1400="",$E1400=0),0,1)</f>
        <v>0</v>
      </c>
      <c r="G1400" s="0" t="n">
        <f aca="false">IF($F1400=0,0,INDEX(Aux_HH!$D$4:$D$18,MATCH($B1400&amp;"|"&amp;$E1400,Aux_HH!$A$4:$A$18,0)))</f>
        <v>0</v>
      </c>
      <c r="H1400" s="0" t="n">
        <f aca="false">IF($F1400=0,0,INDEX(Aux_HH!$E$4:$E$18,MATCH($B1400&amp;"|"&amp;$E1400,Aux_HH!$A$4:$A$18,0)))</f>
        <v>0</v>
      </c>
      <c r="I1400" s="0" t="n">
        <f aca="false">IF($F1400=0,0,INDEX(Aux_HH!$F$4:$F$18,MATCH($B1400&amp;"|"&amp;$E1400,Aux_HH!$A$4:$A$18,0)))</f>
        <v>0</v>
      </c>
      <c r="J1400" s="0" t="n">
        <f aca="false">IF($F1400=0,0,INDEX(Aux_HH!$G$4:$G$18,MATCH($B1400&amp;"|"&amp;$E1400,Aux_HH!$A$4:$A$18,0)))</f>
        <v>0</v>
      </c>
      <c r="K1400" s="0" t="n">
        <f aca="false">IF($F1400=0,0,INDEX(Aux_HH!$H$4:$H$18,MATCH($B1400&amp;"|"&amp;$E1400,Aux_HH!$A$4:$A$18,0)))</f>
        <v>0</v>
      </c>
      <c r="L1400" s="0" t="n">
        <f aca="false">IF($F1400=0,0,INDEX(Aux_HH!$I$4:$I$18,MATCH($B1400&amp;"|"&amp;$E1400,Aux_HH!$A$4:$A$18,0)))</f>
        <v>0</v>
      </c>
    </row>
    <row r="1401" customFormat="false" ht="15" hidden="false" customHeight="false" outlineLevel="0" collapsed="false">
      <c r="A1401" s="0" t="str">
        <f aca="false">IF(Frota!$A31="","",Frota!$A31)</f>
        <v/>
      </c>
      <c r="B1401" s="0" t="str">
        <f aca="false">IF(Frota!$A31="","",Frota!$B31)</f>
        <v/>
      </c>
      <c r="C1401" s="0" t="n">
        <v>46</v>
      </c>
      <c r="D1401" s="0" t="n">
        <f aca="false">INDEX(Semanas!$E$3:$E$54,46)</f>
        <v>2</v>
      </c>
      <c r="E1401" s="0" t="str">
        <f aca="false">IF(Frota!$A31="","",Cronograma!AU31)</f>
        <v/>
      </c>
      <c r="F1401" s="0" t="n">
        <f aca="false">IF(OR($E1401="",$E1401=0),0,1)</f>
        <v>0</v>
      </c>
      <c r="G1401" s="0" t="n">
        <f aca="false">IF($F1401=0,0,INDEX(Aux_HH!$D$4:$D$18,MATCH($B1401&amp;"|"&amp;$E1401,Aux_HH!$A$4:$A$18,0)))</f>
        <v>0</v>
      </c>
      <c r="H1401" s="0" t="n">
        <f aca="false">IF($F1401=0,0,INDEX(Aux_HH!$E$4:$E$18,MATCH($B1401&amp;"|"&amp;$E1401,Aux_HH!$A$4:$A$18,0)))</f>
        <v>0</v>
      </c>
      <c r="I1401" s="0" t="n">
        <f aca="false">IF($F1401=0,0,INDEX(Aux_HH!$F$4:$F$18,MATCH($B1401&amp;"|"&amp;$E1401,Aux_HH!$A$4:$A$18,0)))</f>
        <v>0</v>
      </c>
      <c r="J1401" s="0" t="n">
        <f aca="false">IF($F1401=0,0,INDEX(Aux_HH!$G$4:$G$18,MATCH($B1401&amp;"|"&amp;$E1401,Aux_HH!$A$4:$A$18,0)))</f>
        <v>0</v>
      </c>
      <c r="K1401" s="0" t="n">
        <f aca="false">IF($F1401=0,0,INDEX(Aux_HH!$H$4:$H$18,MATCH($B1401&amp;"|"&amp;$E1401,Aux_HH!$A$4:$A$18,0)))</f>
        <v>0</v>
      </c>
      <c r="L1401" s="0" t="n">
        <f aca="false">IF($F1401=0,0,INDEX(Aux_HH!$I$4:$I$18,MATCH($B1401&amp;"|"&amp;$E1401,Aux_HH!$A$4:$A$18,0)))</f>
        <v>0</v>
      </c>
    </row>
    <row r="1402" customFormat="false" ht="15" hidden="false" customHeight="false" outlineLevel="0" collapsed="false">
      <c r="A1402" s="0" t="str">
        <f aca="false">IF(Frota!$A31="","",Frota!$A31)</f>
        <v/>
      </c>
      <c r="B1402" s="0" t="str">
        <f aca="false">IF(Frota!$A31="","",Frota!$B31)</f>
        <v/>
      </c>
      <c r="C1402" s="0" t="n">
        <v>47</v>
      </c>
      <c r="D1402" s="0" t="n">
        <f aca="false">INDEX(Semanas!$E$3:$E$54,47)</f>
        <v>2</v>
      </c>
      <c r="E1402" s="0" t="str">
        <f aca="false">IF(Frota!$A31="","",Cronograma!AV31)</f>
        <v/>
      </c>
      <c r="F1402" s="0" t="n">
        <f aca="false">IF(OR($E1402="",$E1402=0),0,1)</f>
        <v>0</v>
      </c>
      <c r="G1402" s="0" t="n">
        <f aca="false">IF($F1402=0,0,INDEX(Aux_HH!$D$4:$D$18,MATCH($B1402&amp;"|"&amp;$E1402,Aux_HH!$A$4:$A$18,0)))</f>
        <v>0</v>
      </c>
      <c r="H1402" s="0" t="n">
        <f aca="false">IF($F1402=0,0,INDEX(Aux_HH!$E$4:$E$18,MATCH($B1402&amp;"|"&amp;$E1402,Aux_HH!$A$4:$A$18,0)))</f>
        <v>0</v>
      </c>
      <c r="I1402" s="0" t="n">
        <f aca="false">IF($F1402=0,0,INDEX(Aux_HH!$F$4:$F$18,MATCH($B1402&amp;"|"&amp;$E1402,Aux_HH!$A$4:$A$18,0)))</f>
        <v>0</v>
      </c>
      <c r="J1402" s="0" t="n">
        <f aca="false">IF($F1402=0,0,INDEX(Aux_HH!$G$4:$G$18,MATCH($B1402&amp;"|"&amp;$E1402,Aux_HH!$A$4:$A$18,0)))</f>
        <v>0</v>
      </c>
      <c r="K1402" s="0" t="n">
        <f aca="false">IF($F1402=0,0,INDEX(Aux_HH!$H$4:$H$18,MATCH($B1402&amp;"|"&amp;$E1402,Aux_HH!$A$4:$A$18,0)))</f>
        <v>0</v>
      </c>
      <c r="L1402" s="0" t="n">
        <f aca="false">IF($F1402=0,0,INDEX(Aux_HH!$I$4:$I$18,MATCH($B1402&amp;"|"&amp;$E1402,Aux_HH!$A$4:$A$18,0)))</f>
        <v>0</v>
      </c>
    </row>
    <row r="1403" customFormat="false" ht="15" hidden="false" customHeight="false" outlineLevel="0" collapsed="false">
      <c r="A1403" s="0" t="str">
        <f aca="false">IF(Frota!$A31="","",Frota!$A31)</f>
        <v/>
      </c>
      <c r="B1403" s="0" t="str">
        <f aca="false">IF(Frota!$A31="","",Frota!$B31)</f>
        <v/>
      </c>
      <c r="C1403" s="0" t="n">
        <v>48</v>
      </c>
      <c r="D1403" s="0" t="n">
        <f aca="false">INDEX(Semanas!$E$3:$E$54,48)</f>
        <v>2</v>
      </c>
      <c r="E1403" s="0" t="str">
        <f aca="false">IF(Frota!$A31="","",Cronograma!AW31)</f>
        <v/>
      </c>
      <c r="F1403" s="0" t="n">
        <f aca="false">IF(OR($E1403="",$E1403=0),0,1)</f>
        <v>0</v>
      </c>
      <c r="G1403" s="0" t="n">
        <f aca="false">IF($F1403=0,0,INDEX(Aux_HH!$D$4:$D$18,MATCH($B1403&amp;"|"&amp;$E1403,Aux_HH!$A$4:$A$18,0)))</f>
        <v>0</v>
      </c>
      <c r="H1403" s="0" t="n">
        <f aca="false">IF($F1403=0,0,INDEX(Aux_HH!$E$4:$E$18,MATCH($B1403&amp;"|"&amp;$E1403,Aux_HH!$A$4:$A$18,0)))</f>
        <v>0</v>
      </c>
      <c r="I1403" s="0" t="n">
        <f aca="false">IF($F1403=0,0,INDEX(Aux_HH!$F$4:$F$18,MATCH($B1403&amp;"|"&amp;$E1403,Aux_HH!$A$4:$A$18,0)))</f>
        <v>0</v>
      </c>
      <c r="J1403" s="0" t="n">
        <f aca="false">IF($F1403=0,0,INDEX(Aux_HH!$G$4:$G$18,MATCH($B1403&amp;"|"&amp;$E1403,Aux_HH!$A$4:$A$18,0)))</f>
        <v>0</v>
      </c>
      <c r="K1403" s="0" t="n">
        <f aca="false">IF($F1403=0,0,INDEX(Aux_HH!$H$4:$H$18,MATCH($B1403&amp;"|"&amp;$E1403,Aux_HH!$A$4:$A$18,0)))</f>
        <v>0</v>
      </c>
      <c r="L1403" s="0" t="n">
        <f aca="false">IF($F1403=0,0,INDEX(Aux_HH!$I$4:$I$18,MATCH($B1403&amp;"|"&amp;$E1403,Aux_HH!$A$4:$A$18,0)))</f>
        <v>0</v>
      </c>
    </row>
    <row r="1404" customFormat="false" ht="15" hidden="false" customHeight="false" outlineLevel="0" collapsed="false">
      <c r="A1404" s="0" t="str">
        <f aca="false">IF(Frota!$A31="","",Frota!$A31)</f>
        <v/>
      </c>
      <c r="B1404" s="0" t="str">
        <f aca="false">IF(Frota!$A31="","",Frota!$B31)</f>
        <v/>
      </c>
      <c r="C1404" s="0" t="n">
        <v>49</v>
      </c>
      <c r="D1404" s="0" t="n">
        <f aca="false">INDEX(Semanas!$E$3:$E$54,49)</f>
        <v>3</v>
      </c>
      <c r="E1404" s="0" t="str">
        <f aca="false">IF(Frota!$A31="","",Cronograma!AX31)</f>
        <v/>
      </c>
      <c r="F1404" s="0" t="n">
        <f aca="false">IF(OR($E1404="",$E1404=0),0,1)</f>
        <v>0</v>
      </c>
      <c r="G1404" s="0" t="n">
        <f aca="false">IF($F1404=0,0,INDEX(Aux_HH!$D$4:$D$18,MATCH($B1404&amp;"|"&amp;$E1404,Aux_HH!$A$4:$A$18,0)))</f>
        <v>0</v>
      </c>
      <c r="H1404" s="0" t="n">
        <f aca="false">IF($F1404=0,0,INDEX(Aux_HH!$E$4:$E$18,MATCH($B1404&amp;"|"&amp;$E1404,Aux_HH!$A$4:$A$18,0)))</f>
        <v>0</v>
      </c>
      <c r="I1404" s="0" t="n">
        <f aca="false">IF($F1404=0,0,INDEX(Aux_HH!$F$4:$F$18,MATCH($B1404&amp;"|"&amp;$E1404,Aux_HH!$A$4:$A$18,0)))</f>
        <v>0</v>
      </c>
      <c r="J1404" s="0" t="n">
        <f aca="false">IF($F1404=0,0,INDEX(Aux_HH!$G$4:$G$18,MATCH($B1404&amp;"|"&amp;$E1404,Aux_HH!$A$4:$A$18,0)))</f>
        <v>0</v>
      </c>
      <c r="K1404" s="0" t="n">
        <f aca="false">IF($F1404=0,0,INDEX(Aux_HH!$H$4:$H$18,MATCH($B1404&amp;"|"&amp;$E1404,Aux_HH!$A$4:$A$18,0)))</f>
        <v>0</v>
      </c>
      <c r="L1404" s="0" t="n">
        <f aca="false">IF($F1404=0,0,INDEX(Aux_HH!$I$4:$I$18,MATCH($B1404&amp;"|"&amp;$E1404,Aux_HH!$A$4:$A$18,0)))</f>
        <v>0</v>
      </c>
    </row>
    <row r="1405" customFormat="false" ht="15" hidden="false" customHeight="false" outlineLevel="0" collapsed="false">
      <c r="A1405" s="0" t="str">
        <f aca="false">IF(Frota!$A31="","",Frota!$A31)</f>
        <v/>
      </c>
      <c r="B1405" s="0" t="str">
        <f aca="false">IF(Frota!$A31="","",Frota!$B31)</f>
        <v/>
      </c>
      <c r="C1405" s="0" t="n">
        <v>50</v>
      </c>
      <c r="D1405" s="0" t="n">
        <f aca="false">INDEX(Semanas!$E$3:$E$54,50)</f>
        <v>3</v>
      </c>
      <c r="E1405" s="0" t="str">
        <f aca="false">IF(Frota!$A31="","",Cronograma!AY31)</f>
        <v/>
      </c>
      <c r="F1405" s="0" t="n">
        <f aca="false">IF(OR($E1405="",$E1405=0),0,1)</f>
        <v>0</v>
      </c>
      <c r="G1405" s="0" t="n">
        <f aca="false">IF($F1405=0,0,INDEX(Aux_HH!$D$4:$D$18,MATCH($B1405&amp;"|"&amp;$E1405,Aux_HH!$A$4:$A$18,0)))</f>
        <v>0</v>
      </c>
      <c r="H1405" s="0" t="n">
        <f aca="false">IF($F1405=0,0,INDEX(Aux_HH!$E$4:$E$18,MATCH($B1405&amp;"|"&amp;$E1405,Aux_HH!$A$4:$A$18,0)))</f>
        <v>0</v>
      </c>
      <c r="I1405" s="0" t="n">
        <f aca="false">IF($F1405=0,0,INDEX(Aux_HH!$F$4:$F$18,MATCH($B1405&amp;"|"&amp;$E1405,Aux_HH!$A$4:$A$18,0)))</f>
        <v>0</v>
      </c>
      <c r="J1405" s="0" t="n">
        <f aca="false">IF($F1405=0,0,INDEX(Aux_HH!$G$4:$G$18,MATCH($B1405&amp;"|"&amp;$E1405,Aux_HH!$A$4:$A$18,0)))</f>
        <v>0</v>
      </c>
      <c r="K1405" s="0" t="n">
        <f aca="false">IF($F1405=0,0,INDEX(Aux_HH!$H$4:$H$18,MATCH($B1405&amp;"|"&amp;$E1405,Aux_HH!$A$4:$A$18,0)))</f>
        <v>0</v>
      </c>
      <c r="L1405" s="0" t="n">
        <f aca="false">IF($F1405=0,0,INDEX(Aux_HH!$I$4:$I$18,MATCH($B1405&amp;"|"&amp;$E1405,Aux_HH!$A$4:$A$18,0)))</f>
        <v>0</v>
      </c>
    </row>
    <row r="1406" customFormat="false" ht="15" hidden="false" customHeight="false" outlineLevel="0" collapsed="false">
      <c r="A1406" s="0" t="str">
        <f aca="false">IF(Frota!$A31="","",Frota!$A31)</f>
        <v/>
      </c>
      <c r="B1406" s="0" t="str">
        <f aca="false">IF(Frota!$A31="","",Frota!$B31)</f>
        <v/>
      </c>
      <c r="C1406" s="0" t="n">
        <v>51</v>
      </c>
      <c r="D1406" s="0" t="n">
        <f aca="false">INDEX(Semanas!$E$3:$E$54,51)</f>
        <v>3</v>
      </c>
      <c r="E1406" s="0" t="str">
        <f aca="false">IF(Frota!$A31="","",Cronograma!AZ31)</f>
        <v/>
      </c>
      <c r="F1406" s="0" t="n">
        <f aca="false">IF(OR($E1406="",$E1406=0),0,1)</f>
        <v>0</v>
      </c>
      <c r="G1406" s="0" t="n">
        <f aca="false">IF($F1406=0,0,INDEX(Aux_HH!$D$4:$D$18,MATCH($B1406&amp;"|"&amp;$E1406,Aux_HH!$A$4:$A$18,0)))</f>
        <v>0</v>
      </c>
      <c r="H1406" s="0" t="n">
        <f aca="false">IF($F1406=0,0,INDEX(Aux_HH!$E$4:$E$18,MATCH($B1406&amp;"|"&amp;$E1406,Aux_HH!$A$4:$A$18,0)))</f>
        <v>0</v>
      </c>
      <c r="I1406" s="0" t="n">
        <f aca="false">IF($F1406=0,0,INDEX(Aux_HH!$F$4:$F$18,MATCH($B1406&amp;"|"&amp;$E1406,Aux_HH!$A$4:$A$18,0)))</f>
        <v>0</v>
      </c>
      <c r="J1406" s="0" t="n">
        <f aca="false">IF($F1406=0,0,INDEX(Aux_HH!$G$4:$G$18,MATCH($B1406&amp;"|"&amp;$E1406,Aux_HH!$A$4:$A$18,0)))</f>
        <v>0</v>
      </c>
      <c r="K1406" s="0" t="n">
        <f aca="false">IF($F1406=0,0,INDEX(Aux_HH!$H$4:$H$18,MATCH($B1406&amp;"|"&amp;$E1406,Aux_HH!$A$4:$A$18,0)))</f>
        <v>0</v>
      </c>
      <c r="L1406" s="0" t="n">
        <f aca="false">IF($F1406=0,0,INDEX(Aux_HH!$I$4:$I$18,MATCH($B1406&amp;"|"&amp;$E1406,Aux_HH!$A$4:$A$18,0)))</f>
        <v>0</v>
      </c>
    </row>
    <row r="1407" customFormat="false" ht="15" hidden="false" customHeight="false" outlineLevel="0" collapsed="false">
      <c r="A1407" s="0" t="str">
        <f aca="false">IF(Frota!$A31="","",Frota!$A31)</f>
        <v/>
      </c>
      <c r="B1407" s="0" t="str">
        <f aca="false">IF(Frota!$A31="","",Frota!$B31)</f>
        <v/>
      </c>
      <c r="C1407" s="0" t="n">
        <v>52</v>
      </c>
      <c r="D1407" s="0" t="n">
        <f aca="false">INDEX(Semanas!$E$3:$E$54,52)</f>
        <v>3</v>
      </c>
      <c r="E1407" s="0" t="str">
        <f aca="false">IF(Frota!$A31="","",Cronograma!BA31)</f>
        <v/>
      </c>
      <c r="F1407" s="0" t="n">
        <f aca="false">IF(OR($E1407="",$E1407=0),0,1)</f>
        <v>0</v>
      </c>
      <c r="G1407" s="0" t="n">
        <f aca="false">IF($F1407=0,0,INDEX(Aux_HH!$D$4:$D$18,MATCH($B1407&amp;"|"&amp;$E1407,Aux_HH!$A$4:$A$18,0)))</f>
        <v>0</v>
      </c>
      <c r="H1407" s="0" t="n">
        <f aca="false">IF($F1407=0,0,INDEX(Aux_HH!$E$4:$E$18,MATCH($B1407&amp;"|"&amp;$E1407,Aux_HH!$A$4:$A$18,0)))</f>
        <v>0</v>
      </c>
      <c r="I1407" s="0" t="n">
        <f aca="false">IF($F1407=0,0,INDEX(Aux_HH!$F$4:$F$18,MATCH($B1407&amp;"|"&amp;$E1407,Aux_HH!$A$4:$A$18,0)))</f>
        <v>0</v>
      </c>
      <c r="J1407" s="0" t="n">
        <f aca="false">IF($F1407=0,0,INDEX(Aux_HH!$G$4:$G$18,MATCH($B1407&amp;"|"&amp;$E1407,Aux_HH!$A$4:$A$18,0)))</f>
        <v>0</v>
      </c>
      <c r="K1407" s="0" t="n">
        <f aca="false">IF($F1407=0,0,INDEX(Aux_HH!$H$4:$H$18,MATCH($B1407&amp;"|"&amp;$E1407,Aux_HH!$A$4:$A$18,0)))</f>
        <v>0</v>
      </c>
      <c r="L1407" s="0" t="n">
        <f aca="false">IF($F1407=0,0,INDEX(Aux_HH!$I$4:$I$18,MATCH($B1407&amp;"|"&amp;$E1407,Aux_HH!$A$4:$A$18,0)))</f>
        <v>0</v>
      </c>
    </row>
    <row r="1408" customFormat="false" ht="15" hidden="false" customHeight="false" outlineLevel="0" collapsed="false">
      <c r="A1408" s="0" t="str">
        <f aca="false">IF(Frota!$A32="","",Frota!$A32)</f>
        <v/>
      </c>
      <c r="B1408" s="0" t="str">
        <f aca="false">IF(Frota!$A32="","",Frota!$B32)</f>
        <v/>
      </c>
      <c r="C1408" s="0" t="n">
        <v>1</v>
      </c>
      <c r="D1408" s="0" t="n">
        <f aca="false">INDEX(Semanas!$E$3:$E$54,1)</f>
        <v>4</v>
      </c>
      <c r="E1408" s="0" t="str">
        <f aca="false">IF(Frota!$A32="","",Cronograma!B32)</f>
        <v/>
      </c>
      <c r="F1408" s="0" t="n">
        <f aca="false">IF(OR($E1408="",$E1408=0),0,1)</f>
        <v>0</v>
      </c>
      <c r="G1408" s="0" t="n">
        <f aca="false">IF($F1408=0,0,INDEX(Aux_HH!$D$4:$D$18,MATCH($B1408&amp;"|"&amp;$E1408,Aux_HH!$A$4:$A$18,0)))</f>
        <v>0</v>
      </c>
      <c r="H1408" s="0" t="n">
        <f aca="false">IF($F1408=0,0,INDEX(Aux_HH!$E$4:$E$18,MATCH($B1408&amp;"|"&amp;$E1408,Aux_HH!$A$4:$A$18,0)))</f>
        <v>0</v>
      </c>
      <c r="I1408" s="0" t="n">
        <f aca="false">IF($F1408=0,0,INDEX(Aux_HH!$F$4:$F$18,MATCH($B1408&amp;"|"&amp;$E1408,Aux_HH!$A$4:$A$18,0)))</f>
        <v>0</v>
      </c>
      <c r="J1408" s="0" t="n">
        <f aca="false">IF($F1408=0,0,INDEX(Aux_HH!$G$4:$G$18,MATCH($B1408&amp;"|"&amp;$E1408,Aux_HH!$A$4:$A$18,0)))</f>
        <v>0</v>
      </c>
      <c r="K1408" s="0" t="n">
        <f aca="false">IF($F1408=0,0,INDEX(Aux_HH!$H$4:$H$18,MATCH($B1408&amp;"|"&amp;$E1408,Aux_HH!$A$4:$A$18,0)))</f>
        <v>0</v>
      </c>
      <c r="L1408" s="0" t="n">
        <f aca="false">IF($F1408=0,0,INDEX(Aux_HH!$I$4:$I$18,MATCH($B1408&amp;"|"&amp;$E1408,Aux_HH!$A$4:$A$18,0)))</f>
        <v>0</v>
      </c>
    </row>
    <row r="1409" customFormat="false" ht="15" hidden="false" customHeight="false" outlineLevel="0" collapsed="false">
      <c r="A1409" s="0" t="str">
        <f aca="false">IF(Frota!$A32="","",Frota!$A32)</f>
        <v/>
      </c>
      <c r="B1409" s="0" t="str">
        <f aca="false">IF(Frota!$A32="","",Frota!$B32)</f>
        <v/>
      </c>
      <c r="C1409" s="0" t="n">
        <v>2</v>
      </c>
      <c r="D1409" s="0" t="n">
        <f aca="false">INDEX(Semanas!$E$3:$E$54,2)</f>
        <v>4</v>
      </c>
      <c r="E1409" s="0" t="str">
        <f aca="false">IF(Frota!$A32="","",Cronograma!C32)</f>
        <v/>
      </c>
      <c r="F1409" s="0" t="n">
        <f aca="false">IF(OR($E1409="",$E1409=0),0,1)</f>
        <v>0</v>
      </c>
      <c r="G1409" s="0" t="n">
        <f aca="false">IF($F1409=0,0,INDEX(Aux_HH!$D$4:$D$18,MATCH($B1409&amp;"|"&amp;$E1409,Aux_HH!$A$4:$A$18,0)))</f>
        <v>0</v>
      </c>
      <c r="H1409" s="0" t="n">
        <f aca="false">IF($F1409=0,0,INDEX(Aux_HH!$E$4:$E$18,MATCH($B1409&amp;"|"&amp;$E1409,Aux_HH!$A$4:$A$18,0)))</f>
        <v>0</v>
      </c>
      <c r="I1409" s="0" t="n">
        <f aca="false">IF($F1409=0,0,INDEX(Aux_HH!$F$4:$F$18,MATCH($B1409&amp;"|"&amp;$E1409,Aux_HH!$A$4:$A$18,0)))</f>
        <v>0</v>
      </c>
      <c r="J1409" s="0" t="n">
        <f aca="false">IF($F1409=0,0,INDEX(Aux_HH!$G$4:$G$18,MATCH($B1409&amp;"|"&amp;$E1409,Aux_HH!$A$4:$A$18,0)))</f>
        <v>0</v>
      </c>
      <c r="K1409" s="0" t="n">
        <f aca="false">IF($F1409=0,0,INDEX(Aux_HH!$H$4:$H$18,MATCH($B1409&amp;"|"&amp;$E1409,Aux_HH!$A$4:$A$18,0)))</f>
        <v>0</v>
      </c>
      <c r="L1409" s="0" t="n">
        <f aca="false">IF($F1409=0,0,INDEX(Aux_HH!$I$4:$I$18,MATCH($B1409&amp;"|"&amp;$E1409,Aux_HH!$A$4:$A$18,0)))</f>
        <v>0</v>
      </c>
    </row>
    <row r="1410" customFormat="false" ht="15" hidden="false" customHeight="false" outlineLevel="0" collapsed="false">
      <c r="A1410" s="0" t="str">
        <f aca="false">IF(Frota!$A32="","",Frota!$A32)</f>
        <v/>
      </c>
      <c r="B1410" s="0" t="str">
        <f aca="false">IF(Frota!$A32="","",Frota!$B32)</f>
        <v/>
      </c>
      <c r="C1410" s="0" t="n">
        <v>3</v>
      </c>
      <c r="D1410" s="0" t="n">
        <f aca="false">INDEX(Semanas!$E$3:$E$54,3)</f>
        <v>4</v>
      </c>
      <c r="E1410" s="0" t="str">
        <f aca="false">IF(Frota!$A32="","",Cronograma!D32)</f>
        <v/>
      </c>
      <c r="F1410" s="0" t="n">
        <f aca="false">IF(OR($E1410="",$E1410=0),0,1)</f>
        <v>0</v>
      </c>
      <c r="G1410" s="0" t="n">
        <f aca="false">IF($F1410=0,0,INDEX(Aux_HH!$D$4:$D$18,MATCH($B1410&amp;"|"&amp;$E1410,Aux_HH!$A$4:$A$18,0)))</f>
        <v>0</v>
      </c>
      <c r="H1410" s="0" t="n">
        <f aca="false">IF($F1410=0,0,INDEX(Aux_HH!$E$4:$E$18,MATCH($B1410&amp;"|"&amp;$E1410,Aux_HH!$A$4:$A$18,0)))</f>
        <v>0</v>
      </c>
      <c r="I1410" s="0" t="n">
        <f aca="false">IF($F1410=0,0,INDEX(Aux_HH!$F$4:$F$18,MATCH($B1410&amp;"|"&amp;$E1410,Aux_HH!$A$4:$A$18,0)))</f>
        <v>0</v>
      </c>
      <c r="J1410" s="0" t="n">
        <f aca="false">IF($F1410=0,0,INDEX(Aux_HH!$G$4:$G$18,MATCH($B1410&amp;"|"&amp;$E1410,Aux_HH!$A$4:$A$18,0)))</f>
        <v>0</v>
      </c>
      <c r="K1410" s="0" t="n">
        <f aca="false">IF($F1410=0,0,INDEX(Aux_HH!$H$4:$H$18,MATCH($B1410&amp;"|"&amp;$E1410,Aux_HH!$A$4:$A$18,0)))</f>
        <v>0</v>
      </c>
      <c r="L1410" s="0" t="n">
        <f aca="false">IF($F1410=0,0,INDEX(Aux_HH!$I$4:$I$18,MATCH($B1410&amp;"|"&amp;$E1410,Aux_HH!$A$4:$A$18,0)))</f>
        <v>0</v>
      </c>
    </row>
    <row r="1411" customFormat="false" ht="15" hidden="false" customHeight="false" outlineLevel="0" collapsed="false">
      <c r="A1411" s="0" t="str">
        <f aca="false">IF(Frota!$A32="","",Frota!$A32)</f>
        <v/>
      </c>
      <c r="B1411" s="0" t="str">
        <f aca="false">IF(Frota!$A32="","",Frota!$B32)</f>
        <v/>
      </c>
      <c r="C1411" s="0" t="n">
        <v>4</v>
      </c>
      <c r="D1411" s="0" t="n">
        <f aca="false">INDEX(Semanas!$E$3:$E$54,4)</f>
        <v>4</v>
      </c>
      <c r="E1411" s="0" t="str">
        <f aca="false">IF(Frota!$A32="","",Cronograma!E32)</f>
        <v/>
      </c>
      <c r="F1411" s="0" t="n">
        <f aca="false">IF(OR($E1411="",$E1411=0),0,1)</f>
        <v>0</v>
      </c>
      <c r="G1411" s="0" t="n">
        <f aca="false">IF($F1411=0,0,INDEX(Aux_HH!$D$4:$D$18,MATCH($B1411&amp;"|"&amp;$E1411,Aux_HH!$A$4:$A$18,0)))</f>
        <v>0</v>
      </c>
      <c r="H1411" s="0" t="n">
        <f aca="false">IF($F1411=0,0,INDEX(Aux_HH!$E$4:$E$18,MATCH($B1411&amp;"|"&amp;$E1411,Aux_HH!$A$4:$A$18,0)))</f>
        <v>0</v>
      </c>
      <c r="I1411" s="0" t="n">
        <f aca="false">IF($F1411=0,0,INDEX(Aux_HH!$F$4:$F$18,MATCH($B1411&amp;"|"&amp;$E1411,Aux_HH!$A$4:$A$18,0)))</f>
        <v>0</v>
      </c>
      <c r="J1411" s="0" t="n">
        <f aca="false">IF($F1411=0,0,INDEX(Aux_HH!$G$4:$G$18,MATCH($B1411&amp;"|"&amp;$E1411,Aux_HH!$A$4:$A$18,0)))</f>
        <v>0</v>
      </c>
      <c r="K1411" s="0" t="n">
        <f aca="false">IF($F1411=0,0,INDEX(Aux_HH!$H$4:$H$18,MATCH($B1411&amp;"|"&amp;$E1411,Aux_HH!$A$4:$A$18,0)))</f>
        <v>0</v>
      </c>
      <c r="L1411" s="0" t="n">
        <f aca="false">IF($F1411=0,0,INDEX(Aux_HH!$I$4:$I$18,MATCH($B1411&amp;"|"&amp;$E1411,Aux_HH!$A$4:$A$18,0)))</f>
        <v>0</v>
      </c>
    </row>
    <row r="1412" customFormat="false" ht="15" hidden="false" customHeight="false" outlineLevel="0" collapsed="false">
      <c r="A1412" s="0" t="str">
        <f aca="false">IF(Frota!$A32="","",Frota!$A32)</f>
        <v/>
      </c>
      <c r="B1412" s="0" t="str">
        <f aca="false">IF(Frota!$A32="","",Frota!$B32)</f>
        <v/>
      </c>
      <c r="C1412" s="0" t="n">
        <v>5</v>
      </c>
      <c r="D1412" s="0" t="n">
        <f aca="false">INDEX(Semanas!$E$3:$E$54,5)</f>
        <v>4</v>
      </c>
      <c r="E1412" s="0" t="str">
        <f aca="false">IF(Frota!$A32="","",Cronograma!F32)</f>
        <v/>
      </c>
      <c r="F1412" s="0" t="n">
        <f aca="false">IF(OR($E1412="",$E1412=0),0,1)</f>
        <v>0</v>
      </c>
      <c r="G1412" s="0" t="n">
        <f aca="false">IF($F1412=0,0,INDEX(Aux_HH!$D$4:$D$18,MATCH($B1412&amp;"|"&amp;$E1412,Aux_HH!$A$4:$A$18,0)))</f>
        <v>0</v>
      </c>
      <c r="H1412" s="0" t="n">
        <f aca="false">IF($F1412=0,0,INDEX(Aux_HH!$E$4:$E$18,MATCH($B1412&amp;"|"&amp;$E1412,Aux_HH!$A$4:$A$18,0)))</f>
        <v>0</v>
      </c>
      <c r="I1412" s="0" t="n">
        <f aca="false">IF($F1412=0,0,INDEX(Aux_HH!$F$4:$F$18,MATCH($B1412&amp;"|"&amp;$E1412,Aux_HH!$A$4:$A$18,0)))</f>
        <v>0</v>
      </c>
      <c r="J1412" s="0" t="n">
        <f aca="false">IF($F1412=0,0,INDEX(Aux_HH!$G$4:$G$18,MATCH($B1412&amp;"|"&amp;$E1412,Aux_HH!$A$4:$A$18,0)))</f>
        <v>0</v>
      </c>
      <c r="K1412" s="0" t="n">
        <f aca="false">IF($F1412=0,0,INDEX(Aux_HH!$H$4:$H$18,MATCH($B1412&amp;"|"&amp;$E1412,Aux_HH!$A$4:$A$18,0)))</f>
        <v>0</v>
      </c>
      <c r="L1412" s="0" t="n">
        <f aca="false">IF($F1412=0,0,INDEX(Aux_HH!$I$4:$I$18,MATCH($B1412&amp;"|"&amp;$E1412,Aux_HH!$A$4:$A$18,0)))</f>
        <v>0</v>
      </c>
    </row>
    <row r="1413" customFormat="false" ht="15" hidden="false" customHeight="false" outlineLevel="0" collapsed="false">
      <c r="A1413" s="0" t="str">
        <f aca="false">IF(Frota!$A32="","",Frota!$A32)</f>
        <v/>
      </c>
      <c r="B1413" s="0" t="str">
        <f aca="false">IF(Frota!$A32="","",Frota!$B32)</f>
        <v/>
      </c>
      <c r="C1413" s="0" t="n">
        <v>6</v>
      </c>
      <c r="D1413" s="0" t="n">
        <f aca="false">INDEX(Semanas!$E$3:$E$54,6)</f>
        <v>5</v>
      </c>
      <c r="E1413" s="0" t="str">
        <f aca="false">IF(Frota!$A32="","",Cronograma!G32)</f>
        <v/>
      </c>
      <c r="F1413" s="0" t="n">
        <f aca="false">IF(OR($E1413="",$E1413=0),0,1)</f>
        <v>0</v>
      </c>
      <c r="G1413" s="0" t="n">
        <f aca="false">IF($F1413=0,0,INDEX(Aux_HH!$D$4:$D$18,MATCH($B1413&amp;"|"&amp;$E1413,Aux_HH!$A$4:$A$18,0)))</f>
        <v>0</v>
      </c>
      <c r="H1413" s="0" t="n">
        <f aca="false">IF($F1413=0,0,INDEX(Aux_HH!$E$4:$E$18,MATCH($B1413&amp;"|"&amp;$E1413,Aux_HH!$A$4:$A$18,0)))</f>
        <v>0</v>
      </c>
      <c r="I1413" s="0" t="n">
        <f aca="false">IF($F1413=0,0,INDEX(Aux_HH!$F$4:$F$18,MATCH($B1413&amp;"|"&amp;$E1413,Aux_HH!$A$4:$A$18,0)))</f>
        <v>0</v>
      </c>
      <c r="J1413" s="0" t="n">
        <f aca="false">IF($F1413=0,0,INDEX(Aux_HH!$G$4:$G$18,MATCH($B1413&amp;"|"&amp;$E1413,Aux_HH!$A$4:$A$18,0)))</f>
        <v>0</v>
      </c>
      <c r="K1413" s="0" t="n">
        <f aca="false">IF($F1413=0,0,INDEX(Aux_HH!$H$4:$H$18,MATCH($B1413&amp;"|"&amp;$E1413,Aux_HH!$A$4:$A$18,0)))</f>
        <v>0</v>
      </c>
      <c r="L1413" s="0" t="n">
        <f aca="false">IF($F1413=0,0,INDEX(Aux_HH!$I$4:$I$18,MATCH($B1413&amp;"|"&amp;$E1413,Aux_HH!$A$4:$A$18,0)))</f>
        <v>0</v>
      </c>
    </row>
    <row r="1414" customFormat="false" ht="15" hidden="false" customHeight="false" outlineLevel="0" collapsed="false">
      <c r="A1414" s="0" t="str">
        <f aca="false">IF(Frota!$A32="","",Frota!$A32)</f>
        <v/>
      </c>
      <c r="B1414" s="0" t="str">
        <f aca="false">IF(Frota!$A32="","",Frota!$B32)</f>
        <v/>
      </c>
      <c r="C1414" s="0" t="n">
        <v>7</v>
      </c>
      <c r="D1414" s="0" t="n">
        <f aca="false">INDEX(Semanas!$E$3:$E$54,7)</f>
        <v>5</v>
      </c>
      <c r="E1414" s="0" t="str">
        <f aca="false">IF(Frota!$A32="","",Cronograma!H32)</f>
        <v/>
      </c>
      <c r="F1414" s="0" t="n">
        <f aca="false">IF(OR($E1414="",$E1414=0),0,1)</f>
        <v>0</v>
      </c>
      <c r="G1414" s="0" t="n">
        <f aca="false">IF($F1414=0,0,INDEX(Aux_HH!$D$4:$D$18,MATCH($B1414&amp;"|"&amp;$E1414,Aux_HH!$A$4:$A$18,0)))</f>
        <v>0</v>
      </c>
      <c r="H1414" s="0" t="n">
        <f aca="false">IF($F1414=0,0,INDEX(Aux_HH!$E$4:$E$18,MATCH($B1414&amp;"|"&amp;$E1414,Aux_HH!$A$4:$A$18,0)))</f>
        <v>0</v>
      </c>
      <c r="I1414" s="0" t="n">
        <f aca="false">IF($F1414=0,0,INDEX(Aux_HH!$F$4:$F$18,MATCH($B1414&amp;"|"&amp;$E1414,Aux_HH!$A$4:$A$18,0)))</f>
        <v>0</v>
      </c>
      <c r="J1414" s="0" t="n">
        <f aca="false">IF($F1414=0,0,INDEX(Aux_HH!$G$4:$G$18,MATCH($B1414&amp;"|"&amp;$E1414,Aux_HH!$A$4:$A$18,0)))</f>
        <v>0</v>
      </c>
      <c r="K1414" s="0" t="n">
        <f aca="false">IF($F1414=0,0,INDEX(Aux_HH!$H$4:$H$18,MATCH($B1414&amp;"|"&amp;$E1414,Aux_HH!$A$4:$A$18,0)))</f>
        <v>0</v>
      </c>
      <c r="L1414" s="0" t="n">
        <f aca="false">IF($F1414=0,0,INDEX(Aux_HH!$I$4:$I$18,MATCH($B1414&amp;"|"&amp;$E1414,Aux_HH!$A$4:$A$18,0)))</f>
        <v>0</v>
      </c>
    </row>
    <row r="1415" customFormat="false" ht="15" hidden="false" customHeight="false" outlineLevel="0" collapsed="false">
      <c r="A1415" s="0" t="str">
        <f aca="false">IF(Frota!$A32="","",Frota!$A32)</f>
        <v/>
      </c>
      <c r="B1415" s="0" t="str">
        <f aca="false">IF(Frota!$A32="","",Frota!$B32)</f>
        <v/>
      </c>
      <c r="C1415" s="0" t="n">
        <v>8</v>
      </c>
      <c r="D1415" s="0" t="n">
        <f aca="false">INDEX(Semanas!$E$3:$E$54,8)</f>
        <v>5</v>
      </c>
      <c r="E1415" s="0" t="str">
        <f aca="false">IF(Frota!$A32="","",Cronograma!I32)</f>
        <v/>
      </c>
      <c r="F1415" s="0" t="n">
        <f aca="false">IF(OR($E1415="",$E1415=0),0,1)</f>
        <v>0</v>
      </c>
      <c r="G1415" s="0" t="n">
        <f aca="false">IF($F1415=0,0,INDEX(Aux_HH!$D$4:$D$18,MATCH($B1415&amp;"|"&amp;$E1415,Aux_HH!$A$4:$A$18,0)))</f>
        <v>0</v>
      </c>
      <c r="H1415" s="0" t="n">
        <f aca="false">IF($F1415=0,0,INDEX(Aux_HH!$E$4:$E$18,MATCH($B1415&amp;"|"&amp;$E1415,Aux_HH!$A$4:$A$18,0)))</f>
        <v>0</v>
      </c>
      <c r="I1415" s="0" t="n">
        <f aca="false">IF($F1415=0,0,INDEX(Aux_HH!$F$4:$F$18,MATCH($B1415&amp;"|"&amp;$E1415,Aux_HH!$A$4:$A$18,0)))</f>
        <v>0</v>
      </c>
      <c r="J1415" s="0" t="n">
        <f aca="false">IF($F1415=0,0,INDEX(Aux_HH!$G$4:$G$18,MATCH($B1415&amp;"|"&amp;$E1415,Aux_HH!$A$4:$A$18,0)))</f>
        <v>0</v>
      </c>
      <c r="K1415" s="0" t="n">
        <f aca="false">IF($F1415=0,0,INDEX(Aux_HH!$H$4:$H$18,MATCH($B1415&amp;"|"&amp;$E1415,Aux_HH!$A$4:$A$18,0)))</f>
        <v>0</v>
      </c>
      <c r="L1415" s="0" t="n">
        <f aca="false">IF($F1415=0,0,INDEX(Aux_HH!$I$4:$I$18,MATCH($B1415&amp;"|"&amp;$E1415,Aux_HH!$A$4:$A$18,0)))</f>
        <v>0</v>
      </c>
    </row>
    <row r="1416" customFormat="false" ht="15" hidden="false" customHeight="false" outlineLevel="0" collapsed="false">
      <c r="A1416" s="0" t="str">
        <f aca="false">IF(Frota!$A32="","",Frota!$A32)</f>
        <v/>
      </c>
      <c r="B1416" s="0" t="str">
        <f aca="false">IF(Frota!$A32="","",Frota!$B32)</f>
        <v/>
      </c>
      <c r="C1416" s="0" t="n">
        <v>9</v>
      </c>
      <c r="D1416" s="0" t="n">
        <f aca="false">INDEX(Semanas!$E$3:$E$54,9)</f>
        <v>5</v>
      </c>
      <c r="E1416" s="0" t="str">
        <f aca="false">IF(Frota!$A32="","",Cronograma!J32)</f>
        <v/>
      </c>
      <c r="F1416" s="0" t="n">
        <f aca="false">IF(OR($E1416="",$E1416=0),0,1)</f>
        <v>0</v>
      </c>
      <c r="G1416" s="0" t="n">
        <f aca="false">IF($F1416=0,0,INDEX(Aux_HH!$D$4:$D$18,MATCH($B1416&amp;"|"&amp;$E1416,Aux_HH!$A$4:$A$18,0)))</f>
        <v>0</v>
      </c>
      <c r="H1416" s="0" t="n">
        <f aca="false">IF($F1416=0,0,INDEX(Aux_HH!$E$4:$E$18,MATCH($B1416&amp;"|"&amp;$E1416,Aux_HH!$A$4:$A$18,0)))</f>
        <v>0</v>
      </c>
      <c r="I1416" s="0" t="n">
        <f aca="false">IF($F1416=0,0,INDEX(Aux_HH!$F$4:$F$18,MATCH($B1416&amp;"|"&amp;$E1416,Aux_HH!$A$4:$A$18,0)))</f>
        <v>0</v>
      </c>
      <c r="J1416" s="0" t="n">
        <f aca="false">IF($F1416=0,0,INDEX(Aux_HH!$G$4:$G$18,MATCH($B1416&amp;"|"&amp;$E1416,Aux_HH!$A$4:$A$18,0)))</f>
        <v>0</v>
      </c>
      <c r="K1416" s="0" t="n">
        <f aca="false">IF($F1416=0,0,INDEX(Aux_HH!$H$4:$H$18,MATCH($B1416&amp;"|"&amp;$E1416,Aux_HH!$A$4:$A$18,0)))</f>
        <v>0</v>
      </c>
      <c r="L1416" s="0" t="n">
        <f aca="false">IF($F1416=0,0,INDEX(Aux_HH!$I$4:$I$18,MATCH($B1416&amp;"|"&amp;$E1416,Aux_HH!$A$4:$A$18,0)))</f>
        <v>0</v>
      </c>
    </row>
    <row r="1417" customFormat="false" ht="15" hidden="false" customHeight="false" outlineLevel="0" collapsed="false">
      <c r="A1417" s="0" t="str">
        <f aca="false">IF(Frota!$A32="","",Frota!$A32)</f>
        <v/>
      </c>
      <c r="B1417" s="0" t="str">
        <f aca="false">IF(Frota!$A32="","",Frota!$B32)</f>
        <v/>
      </c>
      <c r="C1417" s="0" t="n">
        <v>10</v>
      </c>
      <c r="D1417" s="0" t="n">
        <f aca="false">INDEX(Semanas!$E$3:$E$54,10)</f>
        <v>6</v>
      </c>
      <c r="E1417" s="0" t="str">
        <f aca="false">IF(Frota!$A32="","",Cronograma!K32)</f>
        <v/>
      </c>
      <c r="F1417" s="0" t="n">
        <f aca="false">IF(OR($E1417="",$E1417=0),0,1)</f>
        <v>0</v>
      </c>
      <c r="G1417" s="0" t="n">
        <f aca="false">IF($F1417=0,0,INDEX(Aux_HH!$D$4:$D$18,MATCH($B1417&amp;"|"&amp;$E1417,Aux_HH!$A$4:$A$18,0)))</f>
        <v>0</v>
      </c>
      <c r="H1417" s="0" t="n">
        <f aca="false">IF($F1417=0,0,INDEX(Aux_HH!$E$4:$E$18,MATCH($B1417&amp;"|"&amp;$E1417,Aux_HH!$A$4:$A$18,0)))</f>
        <v>0</v>
      </c>
      <c r="I1417" s="0" t="n">
        <f aca="false">IF($F1417=0,0,INDEX(Aux_HH!$F$4:$F$18,MATCH($B1417&amp;"|"&amp;$E1417,Aux_HH!$A$4:$A$18,0)))</f>
        <v>0</v>
      </c>
      <c r="J1417" s="0" t="n">
        <f aca="false">IF($F1417=0,0,INDEX(Aux_HH!$G$4:$G$18,MATCH($B1417&amp;"|"&amp;$E1417,Aux_HH!$A$4:$A$18,0)))</f>
        <v>0</v>
      </c>
      <c r="K1417" s="0" t="n">
        <f aca="false">IF($F1417=0,0,INDEX(Aux_HH!$H$4:$H$18,MATCH($B1417&amp;"|"&amp;$E1417,Aux_HH!$A$4:$A$18,0)))</f>
        <v>0</v>
      </c>
      <c r="L1417" s="0" t="n">
        <f aca="false">IF($F1417=0,0,INDEX(Aux_HH!$I$4:$I$18,MATCH($B1417&amp;"|"&amp;$E1417,Aux_HH!$A$4:$A$18,0)))</f>
        <v>0</v>
      </c>
    </row>
    <row r="1418" customFormat="false" ht="15" hidden="false" customHeight="false" outlineLevel="0" collapsed="false">
      <c r="A1418" s="0" t="str">
        <f aca="false">IF(Frota!$A32="","",Frota!$A32)</f>
        <v/>
      </c>
      <c r="B1418" s="0" t="str">
        <f aca="false">IF(Frota!$A32="","",Frota!$B32)</f>
        <v/>
      </c>
      <c r="C1418" s="0" t="n">
        <v>11</v>
      </c>
      <c r="D1418" s="0" t="n">
        <f aca="false">INDEX(Semanas!$E$3:$E$54,11)</f>
        <v>6</v>
      </c>
      <c r="E1418" s="0" t="str">
        <f aca="false">IF(Frota!$A32="","",Cronograma!L32)</f>
        <v/>
      </c>
      <c r="F1418" s="0" t="n">
        <f aca="false">IF(OR($E1418="",$E1418=0),0,1)</f>
        <v>0</v>
      </c>
      <c r="G1418" s="0" t="n">
        <f aca="false">IF($F1418=0,0,INDEX(Aux_HH!$D$4:$D$18,MATCH($B1418&amp;"|"&amp;$E1418,Aux_HH!$A$4:$A$18,0)))</f>
        <v>0</v>
      </c>
      <c r="H1418" s="0" t="n">
        <f aca="false">IF($F1418=0,0,INDEX(Aux_HH!$E$4:$E$18,MATCH($B1418&amp;"|"&amp;$E1418,Aux_HH!$A$4:$A$18,0)))</f>
        <v>0</v>
      </c>
      <c r="I1418" s="0" t="n">
        <f aca="false">IF($F1418=0,0,INDEX(Aux_HH!$F$4:$F$18,MATCH($B1418&amp;"|"&amp;$E1418,Aux_HH!$A$4:$A$18,0)))</f>
        <v>0</v>
      </c>
      <c r="J1418" s="0" t="n">
        <f aca="false">IF($F1418=0,0,INDEX(Aux_HH!$G$4:$G$18,MATCH($B1418&amp;"|"&amp;$E1418,Aux_HH!$A$4:$A$18,0)))</f>
        <v>0</v>
      </c>
      <c r="K1418" s="0" t="n">
        <f aca="false">IF($F1418=0,0,INDEX(Aux_HH!$H$4:$H$18,MATCH($B1418&amp;"|"&amp;$E1418,Aux_HH!$A$4:$A$18,0)))</f>
        <v>0</v>
      </c>
      <c r="L1418" s="0" t="n">
        <f aca="false">IF($F1418=0,0,INDEX(Aux_HH!$I$4:$I$18,MATCH($B1418&amp;"|"&amp;$E1418,Aux_HH!$A$4:$A$18,0)))</f>
        <v>0</v>
      </c>
    </row>
    <row r="1419" customFormat="false" ht="15" hidden="false" customHeight="false" outlineLevel="0" collapsed="false">
      <c r="A1419" s="0" t="str">
        <f aca="false">IF(Frota!$A32="","",Frota!$A32)</f>
        <v/>
      </c>
      <c r="B1419" s="0" t="str">
        <f aca="false">IF(Frota!$A32="","",Frota!$B32)</f>
        <v/>
      </c>
      <c r="C1419" s="0" t="n">
        <v>12</v>
      </c>
      <c r="D1419" s="0" t="n">
        <f aca="false">INDEX(Semanas!$E$3:$E$54,12)</f>
        <v>6</v>
      </c>
      <c r="E1419" s="0" t="str">
        <f aca="false">IF(Frota!$A32="","",Cronograma!M32)</f>
        <v/>
      </c>
      <c r="F1419" s="0" t="n">
        <f aca="false">IF(OR($E1419="",$E1419=0),0,1)</f>
        <v>0</v>
      </c>
      <c r="G1419" s="0" t="n">
        <f aca="false">IF($F1419=0,0,INDEX(Aux_HH!$D$4:$D$18,MATCH($B1419&amp;"|"&amp;$E1419,Aux_HH!$A$4:$A$18,0)))</f>
        <v>0</v>
      </c>
      <c r="H1419" s="0" t="n">
        <f aca="false">IF($F1419=0,0,INDEX(Aux_HH!$E$4:$E$18,MATCH($B1419&amp;"|"&amp;$E1419,Aux_HH!$A$4:$A$18,0)))</f>
        <v>0</v>
      </c>
      <c r="I1419" s="0" t="n">
        <f aca="false">IF($F1419=0,0,INDEX(Aux_HH!$F$4:$F$18,MATCH($B1419&amp;"|"&amp;$E1419,Aux_HH!$A$4:$A$18,0)))</f>
        <v>0</v>
      </c>
      <c r="J1419" s="0" t="n">
        <f aca="false">IF($F1419=0,0,INDEX(Aux_HH!$G$4:$G$18,MATCH($B1419&amp;"|"&amp;$E1419,Aux_HH!$A$4:$A$18,0)))</f>
        <v>0</v>
      </c>
      <c r="K1419" s="0" t="n">
        <f aca="false">IF($F1419=0,0,INDEX(Aux_HH!$H$4:$H$18,MATCH($B1419&amp;"|"&amp;$E1419,Aux_HH!$A$4:$A$18,0)))</f>
        <v>0</v>
      </c>
      <c r="L1419" s="0" t="n">
        <f aca="false">IF($F1419=0,0,INDEX(Aux_HH!$I$4:$I$18,MATCH($B1419&amp;"|"&amp;$E1419,Aux_HH!$A$4:$A$18,0)))</f>
        <v>0</v>
      </c>
    </row>
    <row r="1420" customFormat="false" ht="15" hidden="false" customHeight="false" outlineLevel="0" collapsed="false">
      <c r="A1420" s="0" t="str">
        <f aca="false">IF(Frota!$A32="","",Frota!$A32)</f>
        <v/>
      </c>
      <c r="B1420" s="0" t="str">
        <f aca="false">IF(Frota!$A32="","",Frota!$B32)</f>
        <v/>
      </c>
      <c r="C1420" s="0" t="n">
        <v>13</v>
      </c>
      <c r="D1420" s="0" t="n">
        <f aca="false">INDEX(Semanas!$E$3:$E$54,13)</f>
        <v>6</v>
      </c>
      <c r="E1420" s="0" t="str">
        <f aca="false">IF(Frota!$A32="","",Cronograma!N32)</f>
        <v/>
      </c>
      <c r="F1420" s="0" t="n">
        <f aca="false">IF(OR($E1420="",$E1420=0),0,1)</f>
        <v>0</v>
      </c>
      <c r="G1420" s="0" t="n">
        <f aca="false">IF($F1420=0,0,INDEX(Aux_HH!$D$4:$D$18,MATCH($B1420&amp;"|"&amp;$E1420,Aux_HH!$A$4:$A$18,0)))</f>
        <v>0</v>
      </c>
      <c r="H1420" s="0" t="n">
        <f aca="false">IF($F1420=0,0,INDEX(Aux_HH!$E$4:$E$18,MATCH($B1420&amp;"|"&amp;$E1420,Aux_HH!$A$4:$A$18,0)))</f>
        <v>0</v>
      </c>
      <c r="I1420" s="0" t="n">
        <f aca="false">IF($F1420=0,0,INDEX(Aux_HH!$F$4:$F$18,MATCH($B1420&amp;"|"&amp;$E1420,Aux_HH!$A$4:$A$18,0)))</f>
        <v>0</v>
      </c>
      <c r="J1420" s="0" t="n">
        <f aca="false">IF($F1420=0,0,INDEX(Aux_HH!$G$4:$G$18,MATCH($B1420&amp;"|"&amp;$E1420,Aux_HH!$A$4:$A$18,0)))</f>
        <v>0</v>
      </c>
      <c r="K1420" s="0" t="n">
        <f aca="false">IF($F1420=0,0,INDEX(Aux_HH!$H$4:$H$18,MATCH($B1420&amp;"|"&amp;$E1420,Aux_HH!$A$4:$A$18,0)))</f>
        <v>0</v>
      </c>
      <c r="L1420" s="0" t="n">
        <f aca="false">IF($F1420=0,0,INDEX(Aux_HH!$I$4:$I$18,MATCH($B1420&amp;"|"&amp;$E1420,Aux_HH!$A$4:$A$18,0)))</f>
        <v>0</v>
      </c>
    </row>
    <row r="1421" customFormat="false" ht="15" hidden="false" customHeight="false" outlineLevel="0" collapsed="false">
      <c r="A1421" s="0" t="str">
        <f aca="false">IF(Frota!$A32="","",Frota!$A32)</f>
        <v/>
      </c>
      <c r="B1421" s="0" t="str">
        <f aca="false">IF(Frota!$A32="","",Frota!$B32)</f>
        <v/>
      </c>
      <c r="C1421" s="0" t="n">
        <v>14</v>
      </c>
      <c r="D1421" s="0" t="n">
        <f aca="false">INDEX(Semanas!$E$3:$E$54,14)</f>
        <v>7</v>
      </c>
      <c r="E1421" s="0" t="str">
        <f aca="false">IF(Frota!$A32="","",Cronograma!O32)</f>
        <v/>
      </c>
      <c r="F1421" s="0" t="n">
        <f aca="false">IF(OR($E1421="",$E1421=0),0,1)</f>
        <v>0</v>
      </c>
      <c r="G1421" s="0" t="n">
        <f aca="false">IF($F1421=0,0,INDEX(Aux_HH!$D$4:$D$18,MATCH($B1421&amp;"|"&amp;$E1421,Aux_HH!$A$4:$A$18,0)))</f>
        <v>0</v>
      </c>
      <c r="H1421" s="0" t="n">
        <f aca="false">IF($F1421=0,0,INDEX(Aux_HH!$E$4:$E$18,MATCH($B1421&amp;"|"&amp;$E1421,Aux_HH!$A$4:$A$18,0)))</f>
        <v>0</v>
      </c>
      <c r="I1421" s="0" t="n">
        <f aca="false">IF($F1421=0,0,INDEX(Aux_HH!$F$4:$F$18,MATCH($B1421&amp;"|"&amp;$E1421,Aux_HH!$A$4:$A$18,0)))</f>
        <v>0</v>
      </c>
      <c r="J1421" s="0" t="n">
        <f aca="false">IF($F1421=0,0,INDEX(Aux_HH!$G$4:$G$18,MATCH($B1421&amp;"|"&amp;$E1421,Aux_HH!$A$4:$A$18,0)))</f>
        <v>0</v>
      </c>
      <c r="K1421" s="0" t="n">
        <f aca="false">IF($F1421=0,0,INDEX(Aux_HH!$H$4:$H$18,MATCH($B1421&amp;"|"&amp;$E1421,Aux_HH!$A$4:$A$18,0)))</f>
        <v>0</v>
      </c>
      <c r="L1421" s="0" t="n">
        <f aca="false">IF($F1421=0,0,INDEX(Aux_HH!$I$4:$I$18,MATCH($B1421&amp;"|"&amp;$E1421,Aux_HH!$A$4:$A$18,0)))</f>
        <v>0</v>
      </c>
    </row>
    <row r="1422" customFormat="false" ht="15" hidden="false" customHeight="false" outlineLevel="0" collapsed="false">
      <c r="A1422" s="0" t="str">
        <f aca="false">IF(Frota!$A32="","",Frota!$A32)</f>
        <v/>
      </c>
      <c r="B1422" s="0" t="str">
        <f aca="false">IF(Frota!$A32="","",Frota!$B32)</f>
        <v/>
      </c>
      <c r="C1422" s="0" t="n">
        <v>15</v>
      </c>
      <c r="D1422" s="0" t="n">
        <f aca="false">INDEX(Semanas!$E$3:$E$54,15)</f>
        <v>7</v>
      </c>
      <c r="E1422" s="0" t="str">
        <f aca="false">IF(Frota!$A32="","",Cronograma!P32)</f>
        <v/>
      </c>
      <c r="F1422" s="0" t="n">
        <f aca="false">IF(OR($E1422="",$E1422=0),0,1)</f>
        <v>0</v>
      </c>
      <c r="G1422" s="0" t="n">
        <f aca="false">IF($F1422=0,0,INDEX(Aux_HH!$D$4:$D$18,MATCH($B1422&amp;"|"&amp;$E1422,Aux_HH!$A$4:$A$18,0)))</f>
        <v>0</v>
      </c>
      <c r="H1422" s="0" t="n">
        <f aca="false">IF($F1422=0,0,INDEX(Aux_HH!$E$4:$E$18,MATCH($B1422&amp;"|"&amp;$E1422,Aux_HH!$A$4:$A$18,0)))</f>
        <v>0</v>
      </c>
      <c r="I1422" s="0" t="n">
        <f aca="false">IF($F1422=0,0,INDEX(Aux_HH!$F$4:$F$18,MATCH($B1422&amp;"|"&amp;$E1422,Aux_HH!$A$4:$A$18,0)))</f>
        <v>0</v>
      </c>
      <c r="J1422" s="0" t="n">
        <f aca="false">IF($F1422=0,0,INDEX(Aux_HH!$G$4:$G$18,MATCH($B1422&amp;"|"&amp;$E1422,Aux_HH!$A$4:$A$18,0)))</f>
        <v>0</v>
      </c>
      <c r="K1422" s="0" t="n">
        <f aca="false">IF($F1422=0,0,INDEX(Aux_HH!$H$4:$H$18,MATCH($B1422&amp;"|"&amp;$E1422,Aux_HH!$A$4:$A$18,0)))</f>
        <v>0</v>
      </c>
      <c r="L1422" s="0" t="n">
        <f aca="false">IF($F1422=0,0,INDEX(Aux_HH!$I$4:$I$18,MATCH($B1422&amp;"|"&amp;$E1422,Aux_HH!$A$4:$A$18,0)))</f>
        <v>0</v>
      </c>
    </row>
    <row r="1423" customFormat="false" ht="15" hidden="false" customHeight="false" outlineLevel="0" collapsed="false">
      <c r="A1423" s="0" t="str">
        <f aca="false">IF(Frota!$A32="","",Frota!$A32)</f>
        <v/>
      </c>
      <c r="B1423" s="0" t="str">
        <f aca="false">IF(Frota!$A32="","",Frota!$B32)</f>
        <v/>
      </c>
      <c r="C1423" s="0" t="n">
        <v>16</v>
      </c>
      <c r="D1423" s="0" t="n">
        <f aca="false">INDEX(Semanas!$E$3:$E$54,16)</f>
        <v>7</v>
      </c>
      <c r="E1423" s="0" t="str">
        <f aca="false">IF(Frota!$A32="","",Cronograma!Q32)</f>
        <v/>
      </c>
      <c r="F1423" s="0" t="n">
        <f aca="false">IF(OR($E1423="",$E1423=0),0,1)</f>
        <v>0</v>
      </c>
      <c r="G1423" s="0" t="n">
        <f aca="false">IF($F1423=0,0,INDEX(Aux_HH!$D$4:$D$18,MATCH($B1423&amp;"|"&amp;$E1423,Aux_HH!$A$4:$A$18,0)))</f>
        <v>0</v>
      </c>
      <c r="H1423" s="0" t="n">
        <f aca="false">IF($F1423=0,0,INDEX(Aux_HH!$E$4:$E$18,MATCH($B1423&amp;"|"&amp;$E1423,Aux_HH!$A$4:$A$18,0)))</f>
        <v>0</v>
      </c>
      <c r="I1423" s="0" t="n">
        <f aca="false">IF($F1423=0,0,INDEX(Aux_HH!$F$4:$F$18,MATCH($B1423&amp;"|"&amp;$E1423,Aux_HH!$A$4:$A$18,0)))</f>
        <v>0</v>
      </c>
      <c r="J1423" s="0" t="n">
        <f aca="false">IF($F1423=0,0,INDEX(Aux_HH!$G$4:$G$18,MATCH($B1423&amp;"|"&amp;$E1423,Aux_HH!$A$4:$A$18,0)))</f>
        <v>0</v>
      </c>
      <c r="K1423" s="0" t="n">
        <f aca="false">IF($F1423=0,0,INDEX(Aux_HH!$H$4:$H$18,MATCH($B1423&amp;"|"&amp;$E1423,Aux_HH!$A$4:$A$18,0)))</f>
        <v>0</v>
      </c>
      <c r="L1423" s="0" t="n">
        <f aca="false">IF($F1423=0,0,INDEX(Aux_HH!$I$4:$I$18,MATCH($B1423&amp;"|"&amp;$E1423,Aux_HH!$A$4:$A$18,0)))</f>
        <v>0</v>
      </c>
    </row>
    <row r="1424" customFormat="false" ht="15" hidden="false" customHeight="false" outlineLevel="0" collapsed="false">
      <c r="A1424" s="0" t="str">
        <f aca="false">IF(Frota!$A32="","",Frota!$A32)</f>
        <v/>
      </c>
      <c r="B1424" s="0" t="str">
        <f aca="false">IF(Frota!$A32="","",Frota!$B32)</f>
        <v/>
      </c>
      <c r="C1424" s="0" t="n">
        <v>17</v>
      </c>
      <c r="D1424" s="0" t="n">
        <f aca="false">INDEX(Semanas!$E$3:$E$54,17)</f>
        <v>7</v>
      </c>
      <c r="E1424" s="0" t="str">
        <f aca="false">IF(Frota!$A32="","",Cronograma!R32)</f>
        <v/>
      </c>
      <c r="F1424" s="0" t="n">
        <f aca="false">IF(OR($E1424="",$E1424=0),0,1)</f>
        <v>0</v>
      </c>
      <c r="G1424" s="0" t="n">
        <f aca="false">IF($F1424=0,0,INDEX(Aux_HH!$D$4:$D$18,MATCH($B1424&amp;"|"&amp;$E1424,Aux_HH!$A$4:$A$18,0)))</f>
        <v>0</v>
      </c>
      <c r="H1424" s="0" t="n">
        <f aca="false">IF($F1424=0,0,INDEX(Aux_HH!$E$4:$E$18,MATCH($B1424&amp;"|"&amp;$E1424,Aux_HH!$A$4:$A$18,0)))</f>
        <v>0</v>
      </c>
      <c r="I1424" s="0" t="n">
        <f aca="false">IF($F1424=0,0,INDEX(Aux_HH!$F$4:$F$18,MATCH($B1424&amp;"|"&amp;$E1424,Aux_HH!$A$4:$A$18,0)))</f>
        <v>0</v>
      </c>
      <c r="J1424" s="0" t="n">
        <f aca="false">IF($F1424=0,0,INDEX(Aux_HH!$G$4:$G$18,MATCH($B1424&amp;"|"&amp;$E1424,Aux_HH!$A$4:$A$18,0)))</f>
        <v>0</v>
      </c>
      <c r="K1424" s="0" t="n">
        <f aca="false">IF($F1424=0,0,INDEX(Aux_HH!$H$4:$H$18,MATCH($B1424&amp;"|"&amp;$E1424,Aux_HH!$A$4:$A$18,0)))</f>
        <v>0</v>
      </c>
      <c r="L1424" s="0" t="n">
        <f aca="false">IF($F1424=0,0,INDEX(Aux_HH!$I$4:$I$18,MATCH($B1424&amp;"|"&amp;$E1424,Aux_HH!$A$4:$A$18,0)))</f>
        <v>0</v>
      </c>
    </row>
    <row r="1425" customFormat="false" ht="15" hidden="false" customHeight="false" outlineLevel="0" collapsed="false">
      <c r="A1425" s="0" t="str">
        <f aca="false">IF(Frota!$A32="","",Frota!$A32)</f>
        <v/>
      </c>
      <c r="B1425" s="0" t="str">
        <f aca="false">IF(Frota!$A32="","",Frota!$B32)</f>
        <v/>
      </c>
      <c r="C1425" s="0" t="n">
        <v>18</v>
      </c>
      <c r="D1425" s="0" t="n">
        <f aca="false">INDEX(Semanas!$E$3:$E$54,18)</f>
        <v>7</v>
      </c>
      <c r="E1425" s="0" t="str">
        <f aca="false">IF(Frota!$A32="","",Cronograma!S32)</f>
        <v/>
      </c>
      <c r="F1425" s="0" t="n">
        <f aca="false">IF(OR($E1425="",$E1425=0),0,1)</f>
        <v>0</v>
      </c>
      <c r="G1425" s="0" t="n">
        <f aca="false">IF($F1425=0,0,INDEX(Aux_HH!$D$4:$D$18,MATCH($B1425&amp;"|"&amp;$E1425,Aux_HH!$A$4:$A$18,0)))</f>
        <v>0</v>
      </c>
      <c r="H1425" s="0" t="n">
        <f aca="false">IF($F1425=0,0,INDEX(Aux_HH!$E$4:$E$18,MATCH($B1425&amp;"|"&amp;$E1425,Aux_HH!$A$4:$A$18,0)))</f>
        <v>0</v>
      </c>
      <c r="I1425" s="0" t="n">
        <f aca="false">IF($F1425=0,0,INDEX(Aux_HH!$F$4:$F$18,MATCH($B1425&amp;"|"&amp;$E1425,Aux_HH!$A$4:$A$18,0)))</f>
        <v>0</v>
      </c>
      <c r="J1425" s="0" t="n">
        <f aca="false">IF($F1425=0,0,INDEX(Aux_HH!$G$4:$G$18,MATCH($B1425&amp;"|"&amp;$E1425,Aux_HH!$A$4:$A$18,0)))</f>
        <v>0</v>
      </c>
      <c r="K1425" s="0" t="n">
        <f aca="false">IF($F1425=0,0,INDEX(Aux_HH!$H$4:$H$18,MATCH($B1425&amp;"|"&amp;$E1425,Aux_HH!$A$4:$A$18,0)))</f>
        <v>0</v>
      </c>
      <c r="L1425" s="0" t="n">
        <f aca="false">IF($F1425=0,0,INDEX(Aux_HH!$I$4:$I$18,MATCH($B1425&amp;"|"&amp;$E1425,Aux_HH!$A$4:$A$18,0)))</f>
        <v>0</v>
      </c>
    </row>
    <row r="1426" customFormat="false" ht="15" hidden="false" customHeight="false" outlineLevel="0" collapsed="false">
      <c r="A1426" s="0" t="str">
        <f aca="false">IF(Frota!$A32="","",Frota!$A32)</f>
        <v/>
      </c>
      <c r="B1426" s="0" t="str">
        <f aca="false">IF(Frota!$A32="","",Frota!$B32)</f>
        <v/>
      </c>
      <c r="C1426" s="0" t="n">
        <v>19</v>
      </c>
      <c r="D1426" s="0" t="n">
        <f aca="false">INDEX(Semanas!$E$3:$E$54,19)</f>
        <v>8</v>
      </c>
      <c r="E1426" s="0" t="str">
        <f aca="false">IF(Frota!$A32="","",Cronograma!T32)</f>
        <v/>
      </c>
      <c r="F1426" s="0" t="n">
        <f aca="false">IF(OR($E1426="",$E1426=0),0,1)</f>
        <v>0</v>
      </c>
      <c r="G1426" s="0" t="n">
        <f aca="false">IF($F1426=0,0,INDEX(Aux_HH!$D$4:$D$18,MATCH($B1426&amp;"|"&amp;$E1426,Aux_HH!$A$4:$A$18,0)))</f>
        <v>0</v>
      </c>
      <c r="H1426" s="0" t="n">
        <f aca="false">IF($F1426=0,0,INDEX(Aux_HH!$E$4:$E$18,MATCH($B1426&amp;"|"&amp;$E1426,Aux_HH!$A$4:$A$18,0)))</f>
        <v>0</v>
      </c>
      <c r="I1426" s="0" t="n">
        <f aca="false">IF($F1426=0,0,INDEX(Aux_HH!$F$4:$F$18,MATCH($B1426&amp;"|"&amp;$E1426,Aux_HH!$A$4:$A$18,0)))</f>
        <v>0</v>
      </c>
      <c r="J1426" s="0" t="n">
        <f aca="false">IF($F1426=0,0,INDEX(Aux_HH!$G$4:$G$18,MATCH($B1426&amp;"|"&amp;$E1426,Aux_HH!$A$4:$A$18,0)))</f>
        <v>0</v>
      </c>
      <c r="K1426" s="0" t="n">
        <f aca="false">IF($F1426=0,0,INDEX(Aux_HH!$H$4:$H$18,MATCH($B1426&amp;"|"&amp;$E1426,Aux_HH!$A$4:$A$18,0)))</f>
        <v>0</v>
      </c>
      <c r="L1426" s="0" t="n">
        <f aca="false">IF($F1426=0,0,INDEX(Aux_HH!$I$4:$I$18,MATCH($B1426&amp;"|"&amp;$E1426,Aux_HH!$A$4:$A$18,0)))</f>
        <v>0</v>
      </c>
    </row>
    <row r="1427" customFormat="false" ht="15" hidden="false" customHeight="false" outlineLevel="0" collapsed="false">
      <c r="A1427" s="0" t="str">
        <f aca="false">IF(Frota!$A32="","",Frota!$A32)</f>
        <v/>
      </c>
      <c r="B1427" s="0" t="str">
        <f aca="false">IF(Frota!$A32="","",Frota!$B32)</f>
        <v/>
      </c>
      <c r="C1427" s="0" t="n">
        <v>20</v>
      </c>
      <c r="D1427" s="0" t="n">
        <f aca="false">INDEX(Semanas!$E$3:$E$54,20)</f>
        <v>8</v>
      </c>
      <c r="E1427" s="0" t="str">
        <f aca="false">IF(Frota!$A32="","",Cronograma!U32)</f>
        <v/>
      </c>
      <c r="F1427" s="0" t="n">
        <f aca="false">IF(OR($E1427="",$E1427=0),0,1)</f>
        <v>0</v>
      </c>
      <c r="G1427" s="0" t="n">
        <f aca="false">IF($F1427=0,0,INDEX(Aux_HH!$D$4:$D$18,MATCH($B1427&amp;"|"&amp;$E1427,Aux_HH!$A$4:$A$18,0)))</f>
        <v>0</v>
      </c>
      <c r="H1427" s="0" t="n">
        <f aca="false">IF($F1427=0,0,INDEX(Aux_HH!$E$4:$E$18,MATCH($B1427&amp;"|"&amp;$E1427,Aux_HH!$A$4:$A$18,0)))</f>
        <v>0</v>
      </c>
      <c r="I1427" s="0" t="n">
        <f aca="false">IF($F1427=0,0,INDEX(Aux_HH!$F$4:$F$18,MATCH($B1427&amp;"|"&amp;$E1427,Aux_HH!$A$4:$A$18,0)))</f>
        <v>0</v>
      </c>
      <c r="J1427" s="0" t="n">
        <f aca="false">IF($F1427=0,0,INDEX(Aux_HH!$G$4:$G$18,MATCH($B1427&amp;"|"&amp;$E1427,Aux_HH!$A$4:$A$18,0)))</f>
        <v>0</v>
      </c>
      <c r="K1427" s="0" t="n">
        <f aca="false">IF($F1427=0,0,INDEX(Aux_HH!$H$4:$H$18,MATCH($B1427&amp;"|"&amp;$E1427,Aux_HH!$A$4:$A$18,0)))</f>
        <v>0</v>
      </c>
      <c r="L1427" s="0" t="n">
        <f aca="false">IF($F1427=0,0,INDEX(Aux_HH!$I$4:$I$18,MATCH($B1427&amp;"|"&amp;$E1427,Aux_HH!$A$4:$A$18,0)))</f>
        <v>0</v>
      </c>
    </row>
    <row r="1428" customFormat="false" ht="15" hidden="false" customHeight="false" outlineLevel="0" collapsed="false">
      <c r="A1428" s="0" t="str">
        <f aca="false">IF(Frota!$A32="","",Frota!$A32)</f>
        <v/>
      </c>
      <c r="B1428" s="0" t="str">
        <f aca="false">IF(Frota!$A32="","",Frota!$B32)</f>
        <v/>
      </c>
      <c r="C1428" s="0" t="n">
        <v>21</v>
      </c>
      <c r="D1428" s="0" t="n">
        <f aca="false">INDEX(Semanas!$E$3:$E$54,21)</f>
        <v>8</v>
      </c>
      <c r="E1428" s="0" t="str">
        <f aca="false">IF(Frota!$A32="","",Cronograma!V32)</f>
        <v/>
      </c>
      <c r="F1428" s="0" t="n">
        <f aca="false">IF(OR($E1428="",$E1428=0),0,1)</f>
        <v>0</v>
      </c>
      <c r="G1428" s="0" t="n">
        <f aca="false">IF($F1428=0,0,INDEX(Aux_HH!$D$4:$D$18,MATCH($B1428&amp;"|"&amp;$E1428,Aux_HH!$A$4:$A$18,0)))</f>
        <v>0</v>
      </c>
      <c r="H1428" s="0" t="n">
        <f aca="false">IF($F1428=0,0,INDEX(Aux_HH!$E$4:$E$18,MATCH($B1428&amp;"|"&amp;$E1428,Aux_HH!$A$4:$A$18,0)))</f>
        <v>0</v>
      </c>
      <c r="I1428" s="0" t="n">
        <f aca="false">IF($F1428=0,0,INDEX(Aux_HH!$F$4:$F$18,MATCH($B1428&amp;"|"&amp;$E1428,Aux_HH!$A$4:$A$18,0)))</f>
        <v>0</v>
      </c>
      <c r="J1428" s="0" t="n">
        <f aca="false">IF($F1428=0,0,INDEX(Aux_HH!$G$4:$G$18,MATCH($B1428&amp;"|"&amp;$E1428,Aux_HH!$A$4:$A$18,0)))</f>
        <v>0</v>
      </c>
      <c r="K1428" s="0" t="n">
        <f aca="false">IF($F1428=0,0,INDEX(Aux_HH!$H$4:$H$18,MATCH($B1428&amp;"|"&amp;$E1428,Aux_HH!$A$4:$A$18,0)))</f>
        <v>0</v>
      </c>
      <c r="L1428" s="0" t="n">
        <f aca="false">IF($F1428=0,0,INDEX(Aux_HH!$I$4:$I$18,MATCH($B1428&amp;"|"&amp;$E1428,Aux_HH!$A$4:$A$18,0)))</f>
        <v>0</v>
      </c>
    </row>
    <row r="1429" customFormat="false" ht="15" hidden="false" customHeight="false" outlineLevel="0" collapsed="false">
      <c r="A1429" s="0" t="str">
        <f aca="false">IF(Frota!$A32="","",Frota!$A32)</f>
        <v/>
      </c>
      <c r="B1429" s="0" t="str">
        <f aca="false">IF(Frota!$A32="","",Frota!$B32)</f>
        <v/>
      </c>
      <c r="C1429" s="0" t="n">
        <v>22</v>
      </c>
      <c r="D1429" s="0" t="n">
        <f aca="false">INDEX(Semanas!$E$3:$E$54,22)</f>
        <v>8</v>
      </c>
      <c r="E1429" s="0" t="str">
        <f aca="false">IF(Frota!$A32="","",Cronograma!W32)</f>
        <v/>
      </c>
      <c r="F1429" s="0" t="n">
        <f aca="false">IF(OR($E1429="",$E1429=0),0,1)</f>
        <v>0</v>
      </c>
      <c r="G1429" s="0" t="n">
        <f aca="false">IF($F1429=0,0,INDEX(Aux_HH!$D$4:$D$18,MATCH($B1429&amp;"|"&amp;$E1429,Aux_HH!$A$4:$A$18,0)))</f>
        <v>0</v>
      </c>
      <c r="H1429" s="0" t="n">
        <f aca="false">IF($F1429=0,0,INDEX(Aux_HH!$E$4:$E$18,MATCH($B1429&amp;"|"&amp;$E1429,Aux_HH!$A$4:$A$18,0)))</f>
        <v>0</v>
      </c>
      <c r="I1429" s="0" t="n">
        <f aca="false">IF($F1429=0,0,INDEX(Aux_HH!$F$4:$F$18,MATCH($B1429&amp;"|"&amp;$E1429,Aux_HH!$A$4:$A$18,0)))</f>
        <v>0</v>
      </c>
      <c r="J1429" s="0" t="n">
        <f aca="false">IF($F1429=0,0,INDEX(Aux_HH!$G$4:$G$18,MATCH($B1429&amp;"|"&amp;$E1429,Aux_HH!$A$4:$A$18,0)))</f>
        <v>0</v>
      </c>
      <c r="K1429" s="0" t="n">
        <f aca="false">IF($F1429=0,0,INDEX(Aux_HH!$H$4:$H$18,MATCH($B1429&amp;"|"&amp;$E1429,Aux_HH!$A$4:$A$18,0)))</f>
        <v>0</v>
      </c>
      <c r="L1429" s="0" t="n">
        <f aca="false">IF($F1429=0,0,INDEX(Aux_HH!$I$4:$I$18,MATCH($B1429&amp;"|"&amp;$E1429,Aux_HH!$A$4:$A$18,0)))</f>
        <v>0</v>
      </c>
    </row>
    <row r="1430" customFormat="false" ht="15" hidden="false" customHeight="false" outlineLevel="0" collapsed="false">
      <c r="A1430" s="0" t="str">
        <f aca="false">IF(Frota!$A32="","",Frota!$A32)</f>
        <v/>
      </c>
      <c r="B1430" s="0" t="str">
        <f aca="false">IF(Frota!$A32="","",Frota!$B32)</f>
        <v/>
      </c>
      <c r="C1430" s="0" t="n">
        <v>23</v>
      </c>
      <c r="D1430" s="0" t="n">
        <f aca="false">INDEX(Semanas!$E$3:$E$54,23)</f>
        <v>9</v>
      </c>
      <c r="E1430" s="0" t="str">
        <f aca="false">IF(Frota!$A32="","",Cronograma!X32)</f>
        <v/>
      </c>
      <c r="F1430" s="0" t="n">
        <f aca="false">IF(OR($E1430="",$E1430=0),0,1)</f>
        <v>0</v>
      </c>
      <c r="G1430" s="0" t="n">
        <f aca="false">IF($F1430=0,0,INDEX(Aux_HH!$D$4:$D$18,MATCH($B1430&amp;"|"&amp;$E1430,Aux_HH!$A$4:$A$18,0)))</f>
        <v>0</v>
      </c>
      <c r="H1430" s="0" t="n">
        <f aca="false">IF($F1430=0,0,INDEX(Aux_HH!$E$4:$E$18,MATCH($B1430&amp;"|"&amp;$E1430,Aux_HH!$A$4:$A$18,0)))</f>
        <v>0</v>
      </c>
      <c r="I1430" s="0" t="n">
        <f aca="false">IF($F1430=0,0,INDEX(Aux_HH!$F$4:$F$18,MATCH($B1430&amp;"|"&amp;$E1430,Aux_HH!$A$4:$A$18,0)))</f>
        <v>0</v>
      </c>
      <c r="J1430" s="0" t="n">
        <f aca="false">IF($F1430=0,0,INDEX(Aux_HH!$G$4:$G$18,MATCH($B1430&amp;"|"&amp;$E1430,Aux_HH!$A$4:$A$18,0)))</f>
        <v>0</v>
      </c>
      <c r="K1430" s="0" t="n">
        <f aca="false">IF($F1430=0,0,INDEX(Aux_HH!$H$4:$H$18,MATCH($B1430&amp;"|"&amp;$E1430,Aux_HH!$A$4:$A$18,0)))</f>
        <v>0</v>
      </c>
      <c r="L1430" s="0" t="n">
        <f aca="false">IF($F1430=0,0,INDEX(Aux_HH!$I$4:$I$18,MATCH($B1430&amp;"|"&amp;$E1430,Aux_HH!$A$4:$A$18,0)))</f>
        <v>0</v>
      </c>
    </row>
    <row r="1431" customFormat="false" ht="15" hidden="false" customHeight="false" outlineLevel="0" collapsed="false">
      <c r="A1431" s="0" t="str">
        <f aca="false">IF(Frota!$A32="","",Frota!$A32)</f>
        <v/>
      </c>
      <c r="B1431" s="0" t="str">
        <f aca="false">IF(Frota!$A32="","",Frota!$B32)</f>
        <v/>
      </c>
      <c r="C1431" s="0" t="n">
        <v>24</v>
      </c>
      <c r="D1431" s="0" t="n">
        <f aca="false">INDEX(Semanas!$E$3:$E$54,24)</f>
        <v>9</v>
      </c>
      <c r="E1431" s="0" t="str">
        <f aca="false">IF(Frota!$A32="","",Cronograma!Y32)</f>
        <v/>
      </c>
      <c r="F1431" s="0" t="n">
        <f aca="false">IF(OR($E1431="",$E1431=0),0,1)</f>
        <v>0</v>
      </c>
      <c r="G1431" s="0" t="n">
        <f aca="false">IF($F1431=0,0,INDEX(Aux_HH!$D$4:$D$18,MATCH($B1431&amp;"|"&amp;$E1431,Aux_HH!$A$4:$A$18,0)))</f>
        <v>0</v>
      </c>
      <c r="H1431" s="0" t="n">
        <f aca="false">IF($F1431=0,0,INDEX(Aux_HH!$E$4:$E$18,MATCH($B1431&amp;"|"&amp;$E1431,Aux_HH!$A$4:$A$18,0)))</f>
        <v>0</v>
      </c>
      <c r="I1431" s="0" t="n">
        <f aca="false">IF($F1431=0,0,INDEX(Aux_HH!$F$4:$F$18,MATCH($B1431&amp;"|"&amp;$E1431,Aux_HH!$A$4:$A$18,0)))</f>
        <v>0</v>
      </c>
      <c r="J1431" s="0" t="n">
        <f aca="false">IF($F1431=0,0,INDEX(Aux_HH!$G$4:$G$18,MATCH($B1431&amp;"|"&amp;$E1431,Aux_HH!$A$4:$A$18,0)))</f>
        <v>0</v>
      </c>
      <c r="K1431" s="0" t="n">
        <f aca="false">IF($F1431=0,0,INDEX(Aux_HH!$H$4:$H$18,MATCH($B1431&amp;"|"&amp;$E1431,Aux_HH!$A$4:$A$18,0)))</f>
        <v>0</v>
      </c>
      <c r="L1431" s="0" t="n">
        <f aca="false">IF($F1431=0,0,INDEX(Aux_HH!$I$4:$I$18,MATCH($B1431&amp;"|"&amp;$E1431,Aux_HH!$A$4:$A$18,0)))</f>
        <v>0</v>
      </c>
    </row>
    <row r="1432" customFormat="false" ht="15" hidden="false" customHeight="false" outlineLevel="0" collapsed="false">
      <c r="A1432" s="0" t="str">
        <f aca="false">IF(Frota!$A32="","",Frota!$A32)</f>
        <v/>
      </c>
      <c r="B1432" s="0" t="str">
        <f aca="false">IF(Frota!$A32="","",Frota!$B32)</f>
        <v/>
      </c>
      <c r="C1432" s="0" t="n">
        <v>25</v>
      </c>
      <c r="D1432" s="0" t="n">
        <f aca="false">INDEX(Semanas!$E$3:$E$54,25)</f>
        <v>9</v>
      </c>
      <c r="E1432" s="0" t="str">
        <f aca="false">IF(Frota!$A32="","",Cronograma!Z32)</f>
        <v/>
      </c>
      <c r="F1432" s="0" t="n">
        <f aca="false">IF(OR($E1432="",$E1432=0),0,1)</f>
        <v>0</v>
      </c>
      <c r="G1432" s="0" t="n">
        <f aca="false">IF($F1432=0,0,INDEX(Aux_HH!$D$4:$D$18,MATCH($B1432&amp;"|"&amp;$E1432,Aux_HH!$A$4:$A$18,0)))</f>
        <v>0</v>
      </c>
      <c r="H1432" s="0" t="n">
        <f aca="false">IF($F1432=0,0,INDEX(Aux_HH!$E$4:$E$18,MATCH($B1432&amp;"|"&amp;$E1432,Aux_HH!$A$4:$A$18,0)))</f>
        <v>0</v>
      </c>
      <c r="I1432" s="0" t="n">
        <f aca="false">IF($F1432=0,0,INDEX(Aux_HH!$F$4:$F$18,MATCH($B1432&amp;"|"&amp;$E1432,Aux_HH!$A$4:$A$18,0)))</f>
        <v>0</v>
      </c>
      <c r="J1432" s="0" t="n">
        <f aca="false">IF($F1432=0,0,INDEX(Aux_HH!$G$4:$G$18,MATCH($B1432&amp;"|"&amp;$E1432,Aux_HH!$A$4:$A$18,0)))</f>
        <v>0</v>
      </c>
      <c r="K1432" s="0" t="n">
        <f aca="false">IF($F1432=0,0,INDEX(Aux_HH!$H$4:$H$18,MATCH($B1432&amp;"|"&amp;$E1432,Aux_HH!$A$4:$A$18,0)))</f>
        <v>0</v>
      </c>
      <c r="L1432" s="0" t="n">
        <f aca="false">IF($F1432=0,0,INDEX(Aux_HH!$I$4:$I$18,MATCH($B1432&amp;"|"&amp;$E1432,Aux_HH!$A$4:$A$18,0)))</f>
        <v>0</v>
      </c>
    </row>
    <row r="1433" customFormat="false" ht="15" hidden="false" customHeight="false" outlineLevel="0" collapsed="false">
      <c r="A1433" s="0" t="str">
        <f aca="false">IF(Frota!$A32="","",Frota!$A32)</f>
        <v/>
      </c>
      <c r="B1433" s="0" t="str">
        <f aca="false">IF(Frota!$A32="","",Frota!$B32)</f>
        <v/>
      </c>
      <c r="C1433" s="0" t="n">
        <v>26</v>
      </c>
      <c r="D1433" s="0" t="n">
        <f aca="false">INDEX(Semanas!$E$3:$E$54,26)</f>
        <v>9</v>
      </c>
      <c r="E1433" s="0" t="str">
        <f aca="false">IF(Frota!$A32="","",Cronograma!AA32)</f>
        <v/>
      </c>
      <c r="F1433" s="0" t="n">
        <f aca="false">IF(OR($E1433="",$E1433=0),0,1)</f>
        <v>0</v>
      </c>
      <c r="G1433" s="0" t="n">
        <f aca="false">IF($F1433=0,0,INDEX(Aux_HH!$D$4:$D$18,MATCH($B1433&amp;"|"&amp;$E1433,Aux_HH!$A$4:$A$18,0)))</f>
        <v>0</v>
      </c>
      <c r="H1433" s="0" t="n">
        <f aca="false">IF($F1433=0,0,INDEX(Aux_HH!$E$4:$E$18,MATCH($B1433&amp;"|"&amp;$E1433,Aux_HH!$A$4:$A$18,0)))</f>
        <v>0</v>
      </c>
      <c r="I1433" s="0" t="n">
        <f aca="false">IF($F1433=0,0,INDEX(Aux_HH!$F$4:$F$18,MATCH($B1433&amp;"|"&amp;$E1433,Aux_HH!$A$4:$A$18,0)))</f>
        <v>0</v>
      </c>
      <c r="J1433" s="0" t="n">
        <f aca="false">IF($F1433=0,0,INDEX(Aux_HH!$G$4:$G$18,MATCH($B1433&amp;"|"&amp;$E1433,Aux_HH!$A$4:$A$18,0)))</f>
        <v>0</v>
      </c>
      <c r="K1433" s="0" t="n">
        <f aca="false">IF($F1433=0,0,INDEX(Aux_HH!$H$4:$H$18,MATCH($B1433&amp;"|"&amp;$E1433,Aux_HH!$A$4:$A$18,0)))</f>
        <v>0</v>
      </c>
      <c r="L1433" s="0" t="n">
        <f aca="false">IF($F1433=0,0,INDEX(Aux_HH!$I$4:$I$18,MATCH($B1433&amp;"|"&amp;$E1433,Aux_HH!$A$4:$A$18,0)))</f>
        <v>0</v>
      </c>
    </row>
    <row r="1434" customFormat="false" ht="15" hidden="false" customHeight="false" outlineLevel="0" collapsed="false">
      <c r="A1434" s="0" t="str">
        <f aca="false">IF(Frota!$A32="","",Frota!$A32)</f>
        <v/>
      </c>
      <c r="B1434" s="0" t="str">
        <f aca="false">IF(Frota!$A32="","",Frota!$B32)</f>
        <v/>
      </c>
      <c r="C1434" s="0" t="n">
        <v>27</v>
      </c>
      <c r="D1434" s="0" t="n">
        <f aca="false">INDEX(Semanas!$E$3:$E$54,27)</f>
        <v>9</v>
      </c>
      <c r="E1434" s="0" t="str">
        <f aca="false">IF(Frota!$A32="","",Cronograma!AB32)</f>
        <v/>
      </c>
      <c r="F1434" s="0" t="n">
        <f aca="false">IF(OR($E1434="",$E1434=0),0,1)</f>
        <v>0</v>
      </c>
      <c r="G1434" s="0" t="n">
        <f aca="false">IF($F1434=0,0,INDEX(Aux_HH!$D$4:$D$18,MATCH($B1434&amp;"|"&amp;$E1434,Aux_HH!$A$4:$A$18,0)))</f>
        <v>0</v>
      </c>
      <c r="H1434" s="0" t="n">
        <f aca="false">IF($F1434=0,0,INDEX(Aux_HH!$E$4:$E$18,MATCH($B1434&amp;"|"&amp;$E1434,Aux_HH!$A$4:$A$18,0)))</f>
        <v>0</v>
      </c>
      <c r="I1434" s="0" t="n">
        <f aca="false">IF($F1434=0,0,INDEX(Aux_HH!$F$4:$F$18,MATCH($B1434&amp;"|"&amp;$E1434,Aux_HH!$A$4:$A$18,0)))</f>
        <v>0</v>
      </c>
      <c r="J1434" s="0" t="n">
        <f aca="false">IF($F1434=0,0,INDEX(Aux_HH!$G$4:$G$18,MATCH($B1434&amp;"|"&amp;$E1434,Aux_HH!$A$4:$A$18,0)))</f>
        <v>0</v>
      </c>
      <c r="K1434" s="0" t="n">
        <f aca="false">IF($F1434=0,0,INDEX(Aux_HH!$H$4:$H$18,MATCH($B1434&amp;"|"&amp;$E1434,Aux_HH!$A$4:$A$18,0)))</f>
        <v>0</v>
      </c>
      <c r="L1434" s="0" t="n">
        <f aca="false">IF($F1434=0,0,INDEX(Aux_HH!$I$4:$I$18,MATCH($B1434&amp;"|"&amp;$E1434,Aux_HH!$A$4:$A$18,0)))</f>
        <v>0</v>
      </c>
    </row>
    <row r="1435" customFormat="false" ht="15" hidden="false" customHeight="false" outlineLevel="0" collapsed="false">
      <c r="A1435" s="0" t="str">
        <f aca="false">IF(Frota!$A32="","",Frota!$A32)</f>
        <v/>
      </c>
      <c r="B1435" s="0" t="str">
        <f aca="false">IF(Frota!$A32="","",Frota!$B32)</f>
        <v/>
      </c>
      <c r="C1435" s="0" t="n">
        <v>28</v>
      </c>
      <c r="D1435" s="0" t="n">
        <f aca="false">INDEX(Semanas!$E$3:$E$54,28)</f>
        <v>10</v>
      </c>
      <c r="E1435" s="0" t="str">
        <f aca="false">IF(Frota!$A32="","",Cronograma!AC32)</f>
        <v/>
      </c>
      <c r="F1435" s="0" t="n">
        <f aca="false">IF(OR($E1435="",$E1435=0),0,1)</f>
        <v>0</v>
      </c>
      <c r="G1435" s="0" t="n">
        <f aca="false">IF($F1435=0,0,INDEX(Aux_HH!$D$4:$D$18,MATCH($B1435&amp;"|"&amp;$E1435,Aux_HH!$A$4:$A$18,0)))</f>
        <v>0</v>
      </c>
      <c r="H1435" s="0" t="n">
        <f aca="false">IF($F1435=0,0,INDEX(Aux_HH!$E$4:$E$18,MATCH($B1435&amp;"|"&amp;$E1435,Aux_HH!$A$4:$A$18,0)))</f>
        <v>0</v>
      </c>
      <c r="I1435" s="0" t="n">
        <f aca="false">IF($F1435=0,0,INDEX(Aux_HH!$F$4:$F$18,MATCH($B1435&amp;"|"&amp;$E1435,Aux_HH!$A$4:$A$18,0)))</f>
        <v>0</v>
      </c>
      <c r="J1435" s="0" t="n">
        <f aca="false">IF($F1435=0,0,INDEX(Aux_HH!$G$4:$G$18,MATCH($B1435&amp;"|"&amp;$E1435,Aux_HH!$A$4:$A$18,0)))</f>
        <v>0</v>
      </c>
      <c r="K1435" s="0" t="n">
        <f aca="false">IF($F1435=0,0,INDEX(Aux_HH!$H$4:$H$18,MATCH($B1435&amp;"|"&amp;$E1435,Aux_HH!$A$4:$A$18,0)))</f>
        <v>0</v>
      </c>
      <c r="L1435" s="0" t="n">
        <f aca="false">IF($F1435=0,0,INDEX(Aux_HH!$I$4:$I$18,MATCH($B1435&amp;"|"&amp;$E1435,Aux_HH!$A$4:$A$18,0)))</f>
        <v>0</v>
      </c>
    </row>
    <row r="1436" customFormat="false" ht="15" hidden="false" customHeight="false" outlineLevel="0" collapsed="false">
      <c r="A1436" s="0" t="str">
        <f aca="false">IF(Frota!$A32="","",Frota!$A32)</f>
        <v/>
      </c>
      <c r="B1436" s="0" t="str">
        <f aca="false">IF(Frota!$A32="","",Frota!$B32)</f>
        <v/>
      </c>
      <c r="C1436" s="0" t="n">
        <v>29</v>
      </c>
      <c r="D1436" s="0" t="n">
        <f aca="false">INDEX(Semanas!$E$3:$E$54,29)</f>
        <v>10</v>
      </c>
      <c r="E1436" s="0" t="str">
        <f aca="false">IF(Frota!$A32="","",Cronograma!AD32)</f>
        <v/>
      </c>
      <c r="F1436" s="0" t="n">
        <f aca="false">IF(OR($E1436="",$E1436=0),0,1)</f>
        <v>0</v>
      </c>
      <c r="G1436" s="0" t="n">
        <f aca="false">IF($F1436=0,0,INDEX(Aux_HH!$D$4:$D$18,MATCH($B1436&amp;"|"&amp;$E1436,Aux_HH!$A$4:$A$18,0)))</f>
        <v>0</v>
      </c>
      <c r="H1436" s="0" t="n">
        <f aca="false">IF($F1436=0,0,INDEX(Aux_HH!$E$4:$E$18,MATCH($B1436&amp;"|"&amp;$E1436,Aux_HH!$A$4:$A$18,0)))</f>
        <v>0</v>
      </c>
      <c r="I1436" s="0" t="n">
        <f aca="false">IF($F1436=0,0,INDEX(Aux_HH!$F$4:$F$18,MATCH($B1436&amp;"|"&amp;$E1436,Aux_HH!$A$4:$A$18,0)))</f>
        <v>0</v>
      </c>
      <c r="J1436" s="0" t="n">
        <f aca="false">IF($F1436=0,0,INDEX(Aux_HH!$G$4:$G$18,MATCH($B1436&amp;"|"&amp;$E1436,Aux_HH!$A$4:$A$18,0)))</f>
        <v>0</v>
      </c>
      <c r="K1436" s="0" t="n">
        <f aca="false">IF($F1436=0,0,INDEX(Aux_HH!$H$4:$H$18,MATCH($B1436&amp;"|"&amp;$E1436,Aux_HH!$A$4:$A$18,0)))</f>
        <v>0</v>
      </c>
      <c r="L1436" s="0" t="n">
        <f aca="false">IF($F1436=0,0,INDEX(Aux_HH!$I$4:$I$18,MATCH($B1436&amp;"|"&amp;$E1436,Aux_HH!$A$4:$A$18,0)))</f>
        <v>0</v>
      </c>
    </row>
    <row r="1437" customFormat="false" ht="15" hidden="false" customHeight="false" outlineLevel="0" collapsed="false">
      <c r="A1437" s="0" t="str">
        <f aca="false">IF(Frota!$A32="","",Frota!$A32)</f>
        <v/>
      </c>
      <c r="B1437" s="0" t="str">
        <f aca="false">IF(Frota!$A32="","",Frota!$B32)</f>
        <v/>
      </c>
      <c r="C1437" s="0" t="n">
        <v>30</v>
      </c>
      <c r="D1437" s="0" t="n">
        <f aca="false">INDEX(Semanas!$E$3:$E$54,30)</f>
        <v>10</v>
      </c>
      <c r="E1437" s="0" t="str">
        <f aca="false">IF(Frota!$A32="","",Cronograma!AE32)</f>
        <v/>
      </c>
      <c r="F1437" s="0" t="n">
        <f aca="false">IF(OR($E1437="",$E1437=0),0,1)</f>
        <v>0</v>
      </c>
      <c r="G1437" s="0" t="n">
        <f aca="false">IF($F1437=0,0,INDEX(Aux_HH!$D$4:$D$18,MATCH($B1437&amp;"|"&amp;$E1437,Aux_HH!$A$4:$A$18,0)))</f>
        <v>0</v>
      </c>
      <c r="H1437" s="0" t="n">
        <f aca="false">IF($F1437=0,0,INDEX(Aux_HH!$E$4:$E$18,MATCH($B1437&amp;"|"&amp;$E1437,Aux_HH!$A$4:$A$18,0)))</f>
        <v>0</v>
      </c>
      <c r="I1437" s="0" t="n">
        <f aca="false">IF($F1437=0,0,INDEX(Aux_HH!$F$4:$F$18,MATCH($B1437&amp;"|"&amp;$E1437,Aux_HH!$A$4:$A$18,0)))</f>
        <v>0</v>
      </c>
      <c r="J1437" s="0" t="n">
        <f aca="false">IF($F1437=0,0,INDEX(Aux_HH!$G$4:$G$18,MATCH($B1437&amp;"|"&amp;$E1437,Aux_HH!$A$4:$A$18,0)))</f>
        <v>0</v>
      </c>
      <c r="K1437" s="0" t="n">
        <f aca="false">IF($F1437=0,0,INDEX(Aux_HH!$H$4:$H$18,MATCH($B1437&amp;"|"&amp;$E1437,Aux_HH!$A$4:$A$18,0)))</f>
        <v>0</v>
      </c>
      <c r="L1437" s="0" t="n">
        <f aca="false">IF($F1437=0,0,INDEX(Aux_HH!$I$4:$I$18,MATCH($B1437&amp;"|"&amp;$E1437,Aux_HH!$A$4:$A$18,0)))</f>
        <v>0</v>
      </c>
    </row>
    <row r="1438" customFormat="false" ht="15" hidden="false" customHeight="false" outlineLevel="0" collapsed="false">
      <c r="A1438" s="0" t="str">
        <f aca="false">IF(Frota!$A32="","",Frota!$A32)</f>
        <v/>
      </c>
      <c r="B1438" s="0" t="str">
        <f aca="false">IF(Frota!$A32="","",Frota!$B32)</f>
        <v/>
      </c>
      <c r="C1438" s="0" t="n">
        <v>31</v>
      </c>
      <c r="D1438" s="0" t="n">
        <f aca="false">INDEX(Semanas!$E$3:$E$54,31)</f>
        <v>10</v>
      </c>
      <c r="E1438" s="0" t="str">
        <f aca="false">IF(Frota!$A32="","",Cronograma!AF32)</f>
        <v/>
      </c>
      <c r="F1438" s="0" t="n">
        <f aca="false">IF(OR($E1438="",$E1438=0),0,1)</f>
        <v>0</v>
      </c>
      <c r="G1438" s="0" t="n">
        <f aca="false">IF($F1438=0,0,INDEX(Aux_HH!$D$4:$D$18,MATCH($B1438&amp;"|"&amp;$E1438,Aux_HH!$A$4:$A$18,0)))</f>
        <v>0</v>
      </c>
      <c r="H1438" s="0" t="n">
        <f aca="false">IF($F1438=0,0,INDEX(Aux_HH!$E$4:$E$18,MATCH($B1438&amp;"|"&amp;$E1438,Aux_HH!$A$4:$A$18,0)))</f>
        <v>0</v>
      </c>
      <c r="I1438" s="0" t="n">
        <f aca="false">IF($F1438=0,0,INDEX(Aux_HH!$F$4:$F$18,MATCH($B1438&amp;"|"&amp;$E1438,Aux_HH!$A$4:$A$18,0)))</f>
        <v>0</v>
      </c>
      <c r="J1438" s="0" t="n">
        <f aca="false">IF($F1438=0,0,INDEX(Aux_HH!$G$4:$G$18,MATCH($B1438&amp;"|"&amp;$E1438,Aux_HH!$A$4:$A$18,0)))</f>
        <v>0</v>
      </c>
      <c r="K1438" s="0" t="n">
        <f aca="false">IF($F1438=0,0,INDEX(Aux_HH!$H$4:$H$18,MATCH($B1438&amp;"|"&amp;$E1438,Aux_HH!$A$4:$A$18,0)))</f>
        <v>0</v>
      </c>
      <c r="L1438" s="0" t="n">
        <f aca="false">IF($F1438=0,0,INDEX(Aux_HH!$I$4:$I$18,MATCH($B1438&amp;"|"&amp;$E1438,Aux_HH!$A$4:$A$18,0)))</f>
        <v>0</v>
      </c>
    </row>
    <row r="1439" customFormat="false" ht="15" hidden="false" customHeight="false" outlineLevel="0" collapsed="false">
      <c r="A1439" s="0" t="str">
        <f aca="false">IF(Frota!$A32="","",Frota!$A32)</f>
        <v/>
      </c>
      <c r="B1439" s="0" t="str">
        <f aca="false">IF(Frota!$A32="","",Frota!$B32)</f>
        <v/>
      </c>
      <c r="C1439" s="0" t="n">
        <v>32</v>
      </c>
      <c r="D1439" s="0" t="n">
        <f aca="false">INDEX(Semanas!$E$3:$E$54,32)</f>
        <v>11</v>
      </c>
      <c r="E1439" s="0" t="str">
        <f aca="false">IF(Frota!$A32="","",Cronograma!AG32)</f>
        <v/>
      </c>
      <c r="F1439" s="0" t="n">
        <f aca="false">IF(OR($E1439="",$E1439=0),0,1)</f>
        <v>0</v>
      </c>
      <c r="G1439" s="0" t="n">
        <f aca="false">IF($F1439=0,0,INDEX(Aux_HH!$D$4:$D$18,MATCH($B1439&amp;"|"&amp;$E1439,Aux_HH!$A$4:$A$18,0)))</f>
        <v>0</v>
      </c>
      <c r="H1439" s="0" t="n">
        <f aca="false">IF($F1439=0,0,INDEX(Aux_HH!$E$4:$E$18,MATCH($B1439&amp;"|"&amp;$E1439,Aux_HH!$A$4:$A$18,0)))</f>
        <v>0</v>
      </c>
      <c r="I1439" s="0" t="n">
        <f aca="false">IF($F1439=0,0,INDEX(Aux_HH!$F$4:$F$18,MATCH($B1439&amp;"|"&amp;$E1439,Aux_HH!$A$4:$A$18,0)))</f>
        <v>0</v>
      </c>
      <c r="J1439" s="0" t="n">
        <f aca="false">IF($F1439=0,0,INDEX(Aux_HH!$G$4:$G$18,MATCH($B1439&amp;"|"&amp;$E1439,Aux_HH!$A$4:$A$18,0)))</f>
        <v>0</v>
      </c>
      <c r="K1439" s="0" t="n">
        <f aca="false">IF($F1439=0,0,INDEX(Aux_HH!$H$4:$H$18,MATCH($B1439&amp;"|"&amp;$E1439,Aux_HH!$A$4:$A$18,0)))</f>
        <v>0</v>
      </c>
      <c r="L1439" s="0" t="n">
        <f aca="false">IF($F1439=0,0,INDEX(Aux_HH!$I$4:$I$18,MATCH($B1439&amp;"|"&amp;$E1439,Aux_HH!$A$4:$A$18,0)))</f>
        <v>0</v>
      </c>
    </row>
    <row r="1440" customFormat="false" ht="15" hidden="false" customHeight="false" outlineLevel="0" collapsed="false">
      <c r="A1440" s="0" t="str">
        <f aca="false">IF(Frota!$A32="","",Frota!$A32)</f>
        <v/>
      </c>
      <c r="B1440" s="0" t="str">
        <f aca="false">IF(Frota!$A32="","",Frota!$B32)</f>
        <v/>
      </c>
      <c r="C1440" s="0" t="n">
        <v>33</v>
      </c>
      <c r="D1440" s="0" t="n">
        <f aca="false">INDEX(Semanas!$E$3:$E$54,33)</f>
        <v>11</v>
      </c>
      <c r="E1440" s="0" t="str">
        <f aca="false">IF(Frota!$A32="","",Cronograma!AH32)</f>
        <v/>
      </c>
      <c r="F1440" s="0" t="n">
        <f aca="false">IF(OR($E1440="",$E1440=0),0,1)</f>
        <v>0</v>
      </c>
      <c r="G1440" s="0" t="n">
        <f aca="false">IF($F1440=0,0,INDEX(Aux_HH!$D$4:$D$18,MATCH($B1440&amp;"|"&amp;$E1440,Aux_HH!$A$4:$A$18,0)))</f>
        <v>0</v>
      </c>
      <c r="H1440" s="0" t="n">
        <f aca="false">IF($F1440=0,0,INDEX(Aux_HH!$E$4:$E$18,MATCH($B1440&amp;"|"&amp;$E1440,Aux_HH!$A$4:$A$18,0)))</f>
        <v>0</v>
      </c>
      <c r="I1440" s="0" t="n">
        <f aca="false">IF($F1440=0,0,INDEX(Aux_HH!$F$4:$F$18,MATCH($B1440&amp;"|"&amp;$E1440,Aux_HH!$A$4:$A$18,0)))</f>
        <v>0</v>
      </c>
      <c r="J1440" s="0" t="n">
        <f aca="false">IF($F1440=0,0,INDEX(Aux_HH!$G$4:$G$18,MATCH($B1440&amp;"|"&amp;$E1440,Aux_HH!$A$4:$A$18,0)))</f>
        <v>0</v>
      </c>
      <c r="K1440" s="0" t="n">
        <f aca="false">IF($F1440=0,0,INDEX(Aux_HH!$H$4:$H$18,MATCH($B1440&amp;"|"&amp;$E1440,Aux_HH!$A$4:$A$18,0)))</f>
        <v>0</v>
      </c>
      <c r="L1440" s="0" t="n">
        <f aca="false">IF($F1440=0,0,INDEX(Aux_HH!$I$4:$I$18,MATCH($B1440&amp;"|"&amp;$E1440,Aux_HH!$A$4:$A$18,0)))</f>
        <v>0</v>
      </c>
    </row>
    <row r="1441" customFormat="false" ht="15" hidden="false" customHeight="false" outlineLevel="0" collapsed="false">
      <c r="A1441" s="0" t="str">
        <f aca="false">IF(Frota!$A32="","",Frota!$A32)</f>
        <v/>
      </c>
      <c r="B1441" s="0" t="str">
        <f aca="false">IF(Frota!$A32="","",Frota!$B32)</f>
        <v/>
      </c>
      <c r="C1441" s="0" t="n">
        <v>34</v>
      </c>
      <c r="D1441" s="0" t="n">
        <f aca="false">INDEX(Semanas!$E$3:$E$54,34)</f>
        <v>11</v>
      </c>
      <c r="E1441" s="0" t="str">
        <f aca="false">IF(Frota!$A32="","",Cronograma!AI32)</f>
        <v/>
      </c>
      <c r="F1441" s="0" t="n">
        <f aca="false">IF(OR($E1441="",$E1441=0),0,1)</f>
        <v>0</v>
      </c>
      <c r="G1441" s="0" t="n">
        <f aca="false">IF($F1441=0,0,INDEX(Aux_HH!$D$4:$D$18,MATCH($B1441&amp;"|"&amp;$E1441,Aux_HH!$A$4:$A$18,0)))</f>
        <v>0</v>
      </c>
      <c r="H1441" s="0" t="n">
        <f aca="false">IF($F1441=0,0,INDEX(Aux_HH!$E$4:$E$18,MATCH($B1441&amp;"|"&amp;$E1441,Aux_HH!$A$4:$A$18,0)))</f>
        <v>0</v>
      </c>
      <c r="I1441" s="0" t="n">
        <f aca="false">IF($F1441=0,0,INDEX(Aux_HH!$F$4:$F$18,MATCH($B1441&amp;"|"&amp;$E1441,Aux_HH!$A$4:$A$18,0)))</f>
        <v>0</v>
      </c>
      <c r="J1441" s="0" t="n">
        <f aca="false">IF($F1441=0,0,INDEX(Aux_HH!$G$4:$G$18,MATCH($B1441&amp;"|"&amp;$E1441,Aux_HH!$A$4:$A$18,0)))</f>
        <v>0</v>
      </c>
      <c r="K1441" s="0" t="n">
        <f aca="false">IF($F1441=0,0,INDEX(Aux_HH!$H$4:$H$18,MATCH($B1441&amp;"|"&amp;$E1441,Aux_HH!$A$4:$A$18,0)))</f>
        <v>0</v>
      </c>
      <c r="L1441" s="0" t="n">
        <f aca="false">IF($F1441=0,0,INDEX(Aux_HH!$I$4:$I$18,MATCH($B1441&amp;"|"&amp;$E1441,Aux_HH!$A$4:$A$18,0)))</f>
        <v>0</v>
      </c>
    </row>
    <row r="1442" customFormat="false" ht="15" hidden="false" customHeight="false" outlineLevel="0" collapsed="false">
      <c r="A1442" s="0" t="str">
        <f aca="false">IF(Frota!$A32="","",Frota!$A32)</f>
        <v/>
      </c>
      <c r="B1442" s="0" t="str">
        <f aca="false">IF(Frota!$A32="","",Frota!$B32)</f>
        <v/>
      </c>
      <c r="C1442" s="0" t="n">
        <v>35</v>
      </c>
      <c r="D1442" s="0" t="n">
        <f aca="false">INDEX(Semanas!$E$3:$E$54,35)</f>
        <v>11</v>
      </c>
      <c r="E1442" s="0" t="str">
        <f aca="false">IF(Frota!$A32="","",Cronograma!AJ32)</f>
        <v/>
      </c>
      <c r="F1442" s="0" t="n">
        <f aca="false">IF(OR($E1442="",$E1442=0),0,1)</f>
        <v>0</v>
      </c>
      <c r="G1442" s="0" t="n">
        <f aca="false">IF($F1442=0,0,INDEX(Aux_HH!$D$4:$D$18,MATCH($B1442&amp;"|"&amp;$E1442,Aux_HH!$A$4:$A$18,0)))</f>
        <v>0</v>
      </c>
      <c r="H1442" s="0" t="n">
        <f aca="false">IF($F1442=0,0,INDEX(Aux_HH!$E$4:$E$18,MATCH($B1442&amp;"|"&amp;$E1442,Aux_HH!$A$4:$A$18,0)))</f>
        <v>0</v>
      </c>
      <c r="I1442" s="0" t="n">
        <f aca="false">IF($F1442=0,0,INDEX(Aux_HH!$F$4:$F$18,MATCH($B1442&amp;"|"&amp;$E1442,Aux_HH!$A$4:$A$18,0)))</f>
        <v>0</v>
      </c>
      <c r="J1442" s="0" t="n">
        <f aca="false">IF($F1442=0,0,INDEX(Aux_HH!$G$4:$G$18,MATCH($B1442&amp;"|"&amp;$E1442,Aux_HH!$A$4:$A$18,0)))</f>
        <v>0</v>
      </c>
      <c r="K1442" s="0" t="n">
        <f aca="false">IF($F1442=0,0,INDEX(Aux_HH!$H$4:$H$18,MATCH($B1442&amp;"|"&amp;$E1442,Aux_HH!$A$4:$A$18,0)))</f>
        <v>0</v>
      </c>
      <c r="L1442" s="0" t="n">
        <f aca="false">IF($F1442=0,0,INDEX(Aux_HH!$I$4:$I$18,MATCH($B1442&amp;"|"&amp;$E1442,Aux_HH!$A$4:$A$18,0)))</f>
        <v>0</v>
      </c>
    </row>
    <row r="1443" customFormat="false" ht="15" hidden="false" customHeight="false" outlineLevel="0" collapsed="false">
      <c r="A1443" s="0" t="str">
        <f aca="false">IF(Frota!$A32="","",Frota!$A32)</f>
        <v/>
      </c>
      <c r="B1443" s="0" t="str">
        <f aca="false">IF(Frota!$A32="","",Frota!$B32)</f>
        <v/>
      </c>
      <c r="C1443" s="0" t="n">
        <v>36</v>
      </c>
      <c r="D1443" s="0" t="n">
        <f aca="false">INDEX(Semanas!$E$3:$E$54,36)</f>
        <v>12</v>
      </c>
      <c r="E1443" s="0" t="str">
        <f aca="false">IF(Frota!$A32="","",Cronograma!AK32)</f>
        <v/>
      </c>
      <c r="F1443" s="0" t="n">
        <f aca="false">IF(OR($E1443="",$E1443=0),0,1)</f>
        <v>0</v>
      </c>
      <c r="G1443" s="0" t="n">
        <f aca="false">IF($F1443=0,0,INDEX(Aux_HH!$D$4:$D$18,MATCH($B1443&amp;"|"&amp;$E1443,Aux_HH!$A$4:$A$18,0)))</f>
        <v>0</v>
      </c>
      <c r="H1443" s="0" t="n">
        <f aca="false">IF($F1443=0,0,INDEX(Aux_HH!$E$4:$E$18,MATCH($B1443&amp;"|"&amp;$E1443,Aux_HH!$A$4:$A$18,0)))</f>
        <v>0</v>
      </c>
      <c r="I1443" s="0" t="n">
        <f aca="false">IF($F1443=0,0,INDEX(Aux_HH!$F$4:$F$18,MATCH($B1443&amp;"|"&amp;$E1443,Aux_HH!$A$4:$A$18,0)))</f>
        <v>0</v>
      </c>
      <c r="J1443" s="0" t="n">
        <f aca="false">IF($F1443=0,0,INDEX(Aux_HH!$G$4:$G$18,MATCH($B1443&amp;"|"&amp;$E1443,Aux_HH!$A$4:$A$18,0)))</f>
        <v>0</v>
      </c>
      <c r="K1443" s="0" t="n">
        <f aca="false">IF($F1443=0,0,INDEX(Aux_HH!$H$4:$H$18,MATCH($B1443&amp;"|"&amp;$E1443,Aux_HH!$A$4:$A$18,0)))</f>
        <v>0</v>
      </c>
      <c r="L1443" s="0" t="n">
        <f aca="false">IF($F1443=0,0,INDEX(Aux_HH!$I$4:$I$18,MATCH($B1443&amp;"|"&amp;$E1443,Aux_HH!$A$4:$A$18,0)))</f>
        <v>0</v>
      </c>
    </row>
    <row r="1444" customFormat="false" ht="15" hidden="false" customHeight="false" outlineLevel="0" collapsed="false">
      <c r="A1444" s="0" t="str">
        <f aca="false">IF(Frota!$A32="","",Frota!$A32)</f>
        <v/>
      </c>
      <c r="B1444" s="0" t="str">
        <f aca="false">IF(Frota!$A32="","",Frota!$B32)</f>
        <v/>
      </c>
      <c r="C1444" s="0" t="n">
        <v>37</v>
      </c>
      <c r="D1444" s="0" t="n">
        <f aca="false">INDEX(Semanas!$E$3:$E$54,37)</f>
        <v>12</v>
      </c>
      <c r="E1444" s="0" t="str">
        <f aca="false">IF(Frota!$A32="","",Cronograma!AL32)</f>
        <v/>
      </c>
      <c r="F1444" s="0" t="n">
        <f aca="false">IF(OR($E1444="",$E1444=0),0,1)</f>
        <v>0</v>
      </c>
      <c r="G1444" s="0" t="n">
        <f aca="false">IF($F1444=0,0,INDEX(Aux_HH!$D$4:$D$18,MATCH($B1444&amp;"|"&amp;$E1444,Aux_HH!$A$4:$A$18,0)))</f>
        <v>0</v>
      </c>
      <c r="H1444" s="0" t="n">
        <f aca="false">IF($F1444=0,0,INDEX(Aux_HH!$E$4:$E$18,MATCH($B1444&amp;"|"&amp;$E1444,Aux_HH!$A$4:$A$18,0)))</f>
        <v>0</v>
      </c>
      <c r="I1444" s="0" t="n">
        <f aca="false">IF($F1444=0,0,INDEX(Aux_HH!$F$4:$F$18,MATCH($B1444&amp;"|"&amp;$E1444,Aux_HH!$A$4:$A$18,0)))</f>
        <v>0</v>
      </c>
      <c r="J1444" s="0" t="n">
        <f aca="false">IF($F1444=0,0,INDEX(Aux_HH!$G$4:$G$18,MATCH($B1444&amp;"|"&amp;$E1444,Aux_HH!$A$4:$A$18,0)))</f>
        <v>0</v>
      </c>
      <c r="K1444" s="0" t="n">
        <f aca="false">IF($F1444=0,0,INDEX(Aux_HH!$H$4:$H$18,MATCH($B1444&amp;"|"&amp;$E1444,Aux_HH!$A$4:$A$18,0)))</f>
        <v>0</v>
      </c>
      <c r="L1444" s="0" t="n">
        <f aca="false">IF($F1444=0,0,INDEX(Aux_HH!$I$4:$I$18,MATCH($B1444&amp;"|"&amp;$E1444,Aux_HH!$A$4:$A$18,0)))</f>
        <v>0</v>
      </c>
    </row>
    <row r="1445" customFormat="false" ht="15" hidden="false" customHeight="false" outlineLevel="0" collapsed="false">
      <c r="A1445" s="0" t="str">
        <f aca="false">IF(Frota!$A32="","",Frota!$A32)</f>
        <v/>
      </c>
      <c r="B1445" s="0" t="str">
        <f aca="false">IF(Frota!$A32="","",Frota!$B32)</f>
        <v/>
      </c>
      <c r="C1445" s="0" t="n">
        <v>38</v>
      </c>
      <c r="D1445" s="0" t="n">
        <f aca="false">INDEX(Semanas!$E$3:$E$54,38)</f>
        <v>12</v>
      </c>
      <c r="E1445" s="0" t="str">
        <f aca="false">IF(Frota!$A32="","",Cronograma!AM32)</f>
        <v/>
      </c>
      <c r="F1445" s="0" t="n">
        <f aca="false">IF(OR($E1445="",$E1445=0),0,1)</f>
        <v>0</v>
      </c>
      <c r="G1445" s="0" t="n">
        <f aca="false">IF($F1445=0,0,INDEX(Aux_HH!$D$4:$D$18,MATCH($B1445&amp;"|"&amp;$E1445,Aux_HH!$A$4:$A$18,0)))</f>
        <v>0</v>
      </c>
      <c r="H1445" s="0" t="n">
        <f aca="false">IF($F1445=0,0,INDEX(Aux_HH!$E$4:$E$18,MATCH($B1445&amp;"|"&amp;$E1445,Aux_HH!$A$4:$A$18,0)))</f>
        <v>0</v>
      </c>
      <c r="I1445" s="0" t="n">
        <f aca="false">IF($F1445=0,0,INDEX(Aux_HH!$F$4:$F$18,MATCH($B1445&amp;"|"&amp;$E1445,Aux_HH!$A$4:$A$18,0)))</f>
        <v>0</v>
      </c>
      <c r="J1445" s="0" t="n">
        <f aca="false">IF($F1445=0,0,INDEX(Aux_HH!$G$4:$G$18,MATCH($B1445&amp;"|"&amp;$E1445,Aux_HH!$A$4:$A$18,0)))</f>
        <v>0</v>
      </c>
      <c r="K1445" s="0" t="n">
        <f aca="false">IF($F1445=0,0,INDEX(Aux_HH!$H$4:$H$18,MATCH($B1445&amp;"|"&amp;$E1445,Aux_HH!$A$4:$A$18,0)))</f>
        <v>0</v>
      </c>
      <c r="L1445" s="0" t="n">
        <f aca="false">IF($F1445=0,0,INDEX(Aux_HH!$I$4:$I$18,MATCH($B1445&amp;"|"&amp;$E1445,Aux_HH!$A$4:$A$18,0)))</f>
        <v>0</v>
      </c>
    </row>
    <row r="1446" customFormat="false" ht="15" hidden="false" customHeight="false" outlineLevel="0" collapsed="false">
      <c r="A1446" s="0" t="str">
        <f aca="false">IF(Frota!$A32="","",Frota!$A32)</f>
        <v/>
      </c>
      <c r="B1446" s="0" t="str">
        <f aca="false">IF(Frota!$A32="","",Frota!$B32)</f>
        <v/>
      </c>
      <c r="C1446" s="0" t="n">
        <v>39</v>
      </c>
      <c r="D1446" s="0" t="n">
        <f aca="false">INDEX(Semanas!$E$3:$E$54,39)</f>
        <v>12</v>
      </c>
      <c r="E1446" s="0" t="str">
        <f aca="false">IF(Frota!$A32="","",Cronograma!AN32)</f>
        <v/>
      </c>
      <c r="F1446" s="0" t="n">
        <f aca="false">IF(OR($E1446="",$E1446=0),0,1)</f>
        <v>0</v>
      </c>
      <c r="G1446" s="0" t="n">
        <f aca="false">IF($F1446=0,0,INDEX(Aux_HH!$D$4:$D$18,MATCH($B1446&amp;"|"&amp;$E1446,Aux_HH!$A$4:$A$18,0)))</f>
        <v>0</v>
      </c>
      <c r="H1446" s="0" t="n">
        <f aca="false">IF($F1446=0,0,INDEX(Aux_HH!$E$4:$E$18,MATCH($B1446&amp;"|"&amp;$E1446,Aux_HH!$A$4:$A$18,0)))</f>
        <v>0</v>
      </c>
      <c r="I1446" s="0" t="n">
        <f aca="false">IF($F1446=0,0,INDEX(Aux_HH!$F$4:$F$18,MATCH($B1446&amp;"|"&amp;$E1446,Aux_HH!$A$4:$A$18,0)))</f>
        <v>0</v>
      </c>
      <c r="J1446" s="0" t="n">
        <f aca="false">IF($F1446=0,0,INDEX(Aux_HH!$G$4:$G$18,MATCH($B1446&amp;"|"&amp;$E1446,Aux_HH!$A$4:$A$18,0)))</f>
        <v>0</v>
      </c>
      <c r="K1446" s="0" t="n">
        <f aca="false">IF($F1446=0,0,INDEX(Aux_HH!$H$4:$H$18,MATCH($B1446&amp;"|"&amp;$E1446,Aux_HH!$A$4:$A$18,0)))</f>
        <v>0</v>
      </c>
      <c r="L1446" s="0" t="n">
        <f aca="false">IF($F1446=0,0,INDEX(Aux_HH!$I$4:$I$18,MATCH($B1446&amp;"|"&amp;$E1446,Aux_HH!$A$4:$A$18,0)))</f>
        <v>0</v>
      </c>
    </row>
    <row r="1447" customFormat="false" ht="15" hidden="false" customHeight="false" outlineLevel="0" collapsed="false">
      <c r="A1447" s="0" t="str">
        <f aca="false">IF(Frota!$A32="","",Frota!$A32)</f>
        <v/>
      </c>
      <c r="B1447" s="0" t="str">
        <f aca="false">IF(Frota!$A32="","",Frota!$B32)</f>
        <v/>
      </c>
      <c r="C1447" s="0" t="n">
        <v>40</v>
      </c>
      <c r="D1447" s="0" t="n">
        <f aca="false">INDEX(Semanas!$E$3:$E$54,40)</f>
        <v>12</v>
      </c>
      <c r="E1447" s="0" t="str">
        <f aca="false">IF(Frota!$A32="","",Cronograma!AO32)</f>
        <v/>
      </c>
      <c r="F1447" s="0" t="n">
        <f aca="false">IF(OR($E1447="",$E1447=0),0,1)</f>
        <v>0</v>
      </c>
      <c r="G1447" s="0" t="n">
        <f aca="false">IF($F1447=0,0,INDEX(Aux_HH!$D$4:$D$18,MATCH($B1447&amp;"|"&amp;$E1447,Aux_HH!$A$4:$A$18,0)))</f>
        <v>0</v>
      </c>
      <c r="H1447" s="0" t="n">
        <f aca="false">IF($F1447=0,0,INDEX(Aux_HH!$E$4:$E$18,MATCH($B1447&amp;"|"&amp;$E1447,Aux_HH!$A$4:$A$18,0)))</f>
        <v>0</v>
      </c>
      <c r="I1447" s="0" t="n">
        <f aca="false">IF($F1447=0,0,INDEX(Aux_HH!$F$4:$F$18,MATCH($B1447&amp;"|"&amp;$E1447,Aux_HH!$A$4:$A$18,0)))</f>
        <v>0</v>
      </c>
      <c r="J1447" s="0" t="n">
        <f aca="false">IF($F1447=0,0,INDEX(Aux_HH!$G$4:$G$18,MATCH($B1447&amp;"|"&amp;$E1447,Aux_HH!$A$4:$A$18,0)))</f>
        <v>0</v>
      </c>
      <c r="K1447" s="0" t="n">
        <f aca="false">IF($F1447=0,0,INDEX(Aux_HH!$H$4:$H$18,MATCH($B1447&amp;"|"&amp;$E1447,Aux_HH!$A$4:$A$18,0)))</f>
        <v>0</v>
      </c>
      <c r="L1447" s="0" t="n">
        <f aca="false">IF($F1447=0,0,INDEX(Aux_HH!$I$4:$I$18,MATCH($B1447&amp;"|"&amp;$E1447,Aux_HH!$A$4:$A$18,0)))</f>
        <v>0</v>
      </c>
    </row>
    <row r="1448" customFormat="false" ht="15" hidden="false" customHeight="false" outlineLevel="0" collapsed="false">
      <c r="A1448" s="0" t="str">
        <f aca="false">IF(Frota!$A32="","",Frota!$A32)</f>
        <v/>
      </c>
      <c r="B1448" s="0" t="str">
        <f aca="false">IF(Frota!$A32="","",Frota!$B32)</f>
        <v/>
      </c>
      <c r="C1448" s="0" t="n">
        <v>41</v>
      </c>
      <c r="D1448" s="0" t="n">
        <f aca="false">INDEX(Semanas!$E$3:$E$54,41)</f>
        <v>1</v>
      </c>
      <c r="E1448" s="0" t="str">
        <f aca="false">IF(Frota!$A32="","",Cronograma!AP32)</f>
        <v/>
      </c>
      <c r="F1448" s="0" t="n">
        <f aca="false">IF(OR($E1448="",$E1448=0),0,1)</f>
        <v>0</v>
      </c>
      <c r="G1448" s="0" t="n">
        <f aca="false">IF($F1448=0,0,INDEX(Aux_HH!$D$4:$D$18,MATCH($B1448&amp;"|"&amp;$E1448,Aux_HH!$A$4:$A$18,0)))</f>
        <v>0</v>
      </c>
      <c r="H1448" s="0" t="n">
        <f aca="false">IF($F1448=0,0,INDEX(Aux_HH!$E$4:$E$18,MATCH($B1448&amp;"|"&amp;$E1448,Aux_HH!$A$4:$A$18,0)))</f>
        <v>0</v>
      </c>
      <c r="I1448" s="0" t="n">
        <f aca="false">IF($F1448=0,0,INDEX(Aux_HH!$F$4:$F$18,MATCH($B1448&amp;"|"&amp;$E1448,Aux_HH!$A$4:$A$18,0)))</f>
        <v>0</v>
      </c>
      <c r="J1448" s="0" t="n">
        <f aca="false">IF($F1448=0,0,INDEX(Aux_HH!$G$4:$G$18,MATCH($B1448&amp;"|"&amp;$E1448,Aux_HH!$A$4:$A$18,0)))</f>
        <v>0</v>
      </c>
      <c r="K1448" s="0" t="n">
        <f aca="false">IF($F1448=0,0,INDEX(Aux_HH!$H$4:$H$18,MATCH($B1448&amp;"|"&amp;$E1448,Aux_HH!$A$4:$A$18,0)))</f>
        <v>0</v>
      </c>
      <c r="L1448" s="0" t="n">
        <f aca="false">IF($F1448=0,0,INDEX(Aux_HH!$I$4:$I$18,MATCH($B1448&amp;"|"&amp;$E1448,Aux_HH!$A$4:$A$18,0)))</f>
        <v>0</v>
      </c>
    </row>
    <row r="1449" customFormat="false" ht="15" hidden="false" customHeight="false" outlineLevel="0" collapsed="false">
      <c r="A1449" s="0" t="str">
        <f aca="false">IF(Frota!$A32="","",Frota!$A32)</f>
        <v/>
      </c>
      <c r="B1449" s="0" t="str">
        <f aca="false">IF(Frota!$A32="","",Frota!$B32)</f>
        <v/>
      </c>
      <c r="C1449" s="0" t="n">
        <v>42</v>
      </c>
      <c r="D1449" s="0" t="n">
        <f aca="false">INDEX(Semanas!$E$3:$E$54,42)</f>
        <v>1</v>
      </c>
      <c r="E1449" s="0" t="str">
        <f aca="false">IF(Frota!$A32="","",Cronograma!AQ32)</f>
        <v/>
      </c>
      <c r="F1449" s="0" t="n">
        <f aca="false">IF(OR($E1449="",$E1449=0),0,1)</f>
        <v>0</v>
      </c>
      <c r="G1449" s="0" t="n">
        <f aca="false">IF($F1449=0,0,INDEX(Aux_HH!$D$4:$D$18,MATCH($B1449&amp;"|"&amp;$E1449,Aux_HH!$A$4:$A$18,0)))</f>
        <v>0</v>
      </c>
      <c r="H1449" s="0" t="n">
        <f aca="false">IF($F1449=0,0,INDEX(Aux_HH!$E$4:$E$18,MATCH($B1449&amp;"|"&amp;$E1449,Aux_HH!$A$4:$A$18,0)))</f>
        <v>0</v>
      </c>
      <c r="I1449" s="0" t="n">
        <f aca="false">IF($F1449=0,0,INDEX(Aux_HH!$F$4:$F$18,MATCH($B1449&amp;"|"&amp;$E1449,Aux_HH!$A$4:$A$18,0)))</f>
        <v>0</v>
      </c>
      <c r="J1449" s="0" t="n">
        <f aca="false">IF($F1449=0,0,INDEX(Aux_HH!$G$4:$G$18,MATCH($B1449&amp;"|"&amp;$E1449,Aux_HH!$A$4:$A$18,0)))</f>
        <v>0</v>
      </c>
      <c r="K1449" s="0" t="n">
        <f aca="false">IF($F1449=0,0,INDEX(Aux_HH!$H$4:$H$18,MATCH($B1449&amp;"|"&amp;$E1449,Aux_HH!$A$4:$A$18,0)))</f>
        <v>0</v>
      </c>
      <c r="L1449" s="0" t="n">
        <f aca="false">IF($F1449=0,0,INDEX(Aux_HH!$I$4:$I$18,MATCH($B1449&amp;"|"&amp;$E1449,Aux_HH!$A$4:$A$18,0)))</f>
        <v>0</v>
      </c>
    </row>
    <row r="1450" customFormat="false" ht="15" hidden="false" customHeight="false" outlineLevel="0" collapsed="false">
      <c r="A1450" s="0" t="str">
        <f aca="false">IF(Frota!$A32="","",Frota!$A32)</f>
        <v/>
      </c>
      <c r="B1450" s="0" t="str">
        <f aca="false">IF(Frota!$A32="","",Frota!$B32)</f>
        <v/>
      </c>
      <c r="C1450" s="0" t="n">
        <v>43</v>
      </c>
      <c r="D1450" s="0" t="n">
        <f aca="false">INDEX(Semanas!$E$3:$E$54,43)</f>
        <v>1</v>
      </c>
      <c r="E1450" s="0" t="str">
        <f aca="false">IF(Frota!$A32="","",Cronograma!AR32)</f>
        <v/>
      </c>
      <c r="F1450" s="0" t="n">
        <f aca="false">IF(OR($E1450="",$E1450=0),0,1)</f>
        <v>0</v>
      </c>
      <c r="G1450" s="0" t="n">
        <f aca="false">IF($F1450=0,0,INDEX(Aux_HH!$D$4:$D$18,MATCH($B1450&amp;"|"&amp;$E1450,Aux_HH!$A$4:$A$18,0)))</f>
        <v>0</v>
      </c>
      <c r="H1450" s="0" t="n">
        <f aca="false">IF($F1450=0,0,INDEX(Aux_HH!$E$4:$E$18,MATCH($B1450&amp;"|"&amp;$E1450,Aux_HH!$A$4:$A$18,0)))</f>
        <v>0</v>
      </c>
      <c r="I1450" s="0" t="n">
        <f aca="false">IF($F1450=0,0,INDEX(Aux_HH!$F$4:$F$18,MATCH($B1450&amp;"|"&amp;$E1450,Aux_HH!$A$4:$A$18,0)))</f>
        <v>0</v>
      </c>
      <c r="J1450" s="0" t="n">
        <f aca="false">IF($F1450=0,0,INDEX(Aux_HH!$G$4:$G$18,MATCH($B1450&amp;"|"&amp;$E1450,Aux_HH!$A$4:$A$18,0)))</f>
        <v>0</v>
      </c>
      <c r="K1450" s="0" t="n">
        <f aca="false">IF($F1450=0,0,INDEX(Aux_HH!$H$4:$H$18,MATCH($B1450&amp;"|"&amp;$E1450,Aux_HH!$A$4:$A$18,0)))</f>
        <v>0</v>
      </c>
      <c r="L1450" s="0" t="n">
        <f aca="false">IF($F1450=0,0,INDEX(Aux_HH!$I$4:$I$18,MATCH($B1450&amp;"|"&amp;$E1450,Aux_HH!$A$4:$A$18,0)))</f>
        <v>0</v>
      </c>
    </row>
    <row r="1451" customFormat="false" ht="15" hidden="false" customHeight="false" outlineLevel="0" collapsed="false">
      <c r="A1451" s="0" t="str">
        <f aca="false">IF(Frota!$A32="","",Frota!$A32)</f>
        <v/>
      </c>
      <c r="B1451" s="0" t="str">
        <f aca="false">IF(Frota!$A32="","",Frota!$B32)</f>
        <v/>
      </c>
      <c r="C1451" s="0" t="n">
        <v>44</v>
      </c>
      <c r="D1451" s="0" t="n">
        <f aca="false">INDEX(Semanas!$E$3:$E$54,44)</f>
        <v>1</v>
      </c>
      <c r="E1451" s="0" t="str">
        <f aca="false">IF(Frota!$A32="","",Cronograma!AS32)</f>
        <v/>
      </c>
      <c r="F1451" s="0" t="n">
        <f aca="false">IF(OR($E1451="",$E1451=0),0,1)</f>
        <v>0</v>
      </c>
      <c r="G1451" s="0" t="n">
        <f aca="false">IF($F1451=0,0,INDEX(Aux_HH!$D$4:$D$18,MATCH($B1451&amp;"|"&amp;$E1451,Aux_HH!$A$4:$A$18,0)))</f>
        <v>0</v>
      </c>
      <c r="H1451" s="0" t="n">
        <f aca="false">IF($F1451=0,0,INDEX(Aux_HH!$E$4:$E$18,MATCH($B1451&amp;"|"&amp;$E1451,Aux_HH!$A$4:$A$18,0)))</f>
        <v>0</v>
      </c>
      <c r="I1451" s="0" t="n">
        <f aca="false">IF($F1451=0,0,INDEX(Aux_HH!$F$4:$F$18,MATCH($B1451&amp;"|"&amp;$E1451,Aux_HH!$A$4:$A$18,0)))</f>
        <v>0</v>
      </c>
      <c r="J1451" s="0" t="n">
        <f aca="false">IF($F1451=0,0,INDEX(Aux_HH!$G$4:$G$18,MATCH($B1451&amp;"|"&amp;$E1451,Aux_HH!$A$4:$A$18,0)))</f>
        <v>0</v>
      </c>
      <c r="K1451" s="0" t="n">
        <f aca="false">IF($F1451=0,0,INDEX(Aux_HH!$H$4:$H$18,MATCH($B1451&amp;"|"&amp;$E1451,Aux_HH!$A$4:$A$18,0)))</f>
        <v>0</v>
      </c>
      <c r="L1451" s="0" t="n">
        <f aca="false">IF($F1451=0,0,INDEX(Aux_HH!$I$4:$I$18,MATCH($B1451&amp;"|"&amp;$E1451,Aux_HH!$A$4:$A$18,0)))</f>
        <v>0</v>
      </c>
    </row>
    <row r="1452" customFormat="false" ht="15" hidden="false" customHeight="false" outlineLevel="0" collapsed="false">
      <c r="A1452" s="0" t="str">
        <f aca="false">IF(Frota!$A32="","",Frota!$A32)</f>
        <v/>
      </c>
      <c r="B1452" s="0" t="str">
        <f aca="false">IF(Frota!$A32="","",Frota!$B32)</f>
        <v/>
      </c>
      <c r="C1452" s="0" t="n">
        <v>45</v>
      </c>
      <c r="D1452" s="0" t="n">
        <f aca="false">INDEX(Semanas!$E$3:$E$54,45)</f>
        <v>2</v>
      </c>
      <c r="E1452" s="0" t="str">
        <f aca="false">IF(Frota!$A32="","",Cronograma!AT32)</f>
        <v/>
      </c>
      <c r="F1452" s="0" t="n">
        <f aca="false">IF(OR($E1452="",$E1452=0),0,1)</f>
        <v>0</v>
      </c>
      <c r="G1452" s="0" t="n">
        <f aca="false">IF($F1452=0,0,INDEX(Aux_HH!$D$4:$D$18,MATCH($B1452&amp;"|"&amp;$E1452,Aux_HH!$A$4:$A$18,0)))</f>
        <v>0</v>
      </c>
      <c r="H1452" s="0" t="n">
        <f aca="false">IF($F1452=0,0,INDEX(Aux_HH!$E$4:$E$18,MATCH($B1452&amp;"|"&amp;$E1452,Aux_HH!$A$4:$A$18,0)))</f>
        <v>0</v>
      </c>
      <c r="I1452" s="0" t="n">
        <f aca="false">IF($F1452=0,0,INDEX(Aux_HH!$F$4:$F$18,MATCH($B1452&amp;"|"&amp;$E1452,Aux_HH!$A$4:$A$18,0)))</f>
        <v>0</v>
      </c>
      <c r="J1452" s="0" t="n">
        <f aca="false">IF($F1452=0,0,INDEX(Aux_HH!$G$4:$G$18,MATCH($B1452&amp;"|"&amp;$E1452,Aux_HH!$A$4:$A$18,0)))</f>
        <v>0</v>
      </c>
      <c r="K1452" s="0" t="n">
        <f aca="false">IF($F1452=0,0,INDEX(Aux_HH!$H$4:$H$18,MATCH($B1452&amp;"|"&amp;$E1452,Aux_HH!$A$4:$A$18,0)))</f>
        <v>0</v>
      </c>
      <c r="L1452" s="0" t="n">
        <f aca="false">IF($F1452=0,0,INDEX(Aux_HH!$I$4:$I$18,MATCH($B1452&amp;"|"&amp;$E1452,Aux_HH!$A$4:$A$18,0)))</f>
        <v>0</v>
      </c>
    </row>
    <row r="1453" customFormat="false" ht="15" hidden="false" customHeight="false" outlineLevel="0" collapsed="false">
      <c r="A1453" s="0" t="str">
        <f aca="false">IF(Frota!$A32="","",Frota!$A32)</f>
        <v/>
      </c>
      <c r="B1453" s="0" t="str">
        <f aca="false">IF(Frota!$A32="","",Frota!$B32)</f>
        <v/>
      </c>
      <c r="C1453" s="0" t="n">
        <v>46</v>
      </c>
      <c r="D1453" s="0" t="n">
        <f aca="false">INDEX(Semanas!$E$3:$E$54,46)</f>
        <v>2</v>
      </c>
      <c r="E1453" s="0" t="str">
        <f aca="false">IF(Frota!$A32="","",Cronograma!AU32)</f>
        <v/>
      </c>
      <c r="F1453" s="0" t="n">
        <f aca="false">IF(OR($E1453="",$E1453=0),0,1)</f>
        <v>0</v>
      </c>
      <c r="G1453" s="0" t="n">
        <f aca="false">IF($F1453=0,0,INDEX(Aux_HH!$D$4:$D$18,MATCH($B1453&amp;"|"&amp;$E1453,Aux_HH!$A$4:$A$18,0)))</f>
        <v>0</v>
      </c>
      <c r="H1453" s="0" t="n">
        <f aca="false">IF($F1453=0,0,INDEX(Aux_HH!$E$4:$E$18,MATCH($B1453&amp;"|"&amp;$E1453,Aux_HH!$A$4:$A$18,0)))</f>
        <v>0</v>
      </c>
      <c r="I1453" s="0" t="n">
        <f aca="false">IF($F1453=0,0,INDEX(Aux_HH!$F$4:$F$18,MATCH($B1453&amp;"|"&amp;$E1453,Aux_HH!$A$4:$A$18,0)))</f>
        <v>0</v>
      </c>
      <c r="J1453" s="0" t="n">
        <f aca="false">IF($F1453=0,0,INDEX(Aux_HH!$G$4:$G$18,MATCH($B1453&amp;"|"&amp;$E1453,Aux_HH!$A$4:$A$18,0)))</f>
        <v>0</v>
      </c>
      <c r="K1453" s="0" t="n">
        <f aca="false">IF($F1453=0,0,INDEX(Aux_HH!$H$4:$H$18,MATCH($B1453&amp;"|"&amp;$E1453,Aux_HH!$A$4:$A$18,0)))</f>
        <v>0</v>
      </c>
      <c r="L1453" s="0" t="n">
        <f aca="false">IF($F1453=0,0,INDEX(Aux_HH!$I$4:$I$18,MATCH($B1453&amp;"|"&amp;$E1453,Aux_HH!$A$4:$A$18,0)))</f>
        <v>0</v>
      </c>
    </row>
    <row r="1454" customFormat="false" ht="15" hidden="false" customHeight="false" outlineLevel="0" collapsed="false">
      <c r="A1454" s="0" t="str">
        <f aca="false">IF(Frota!$A32="","",Frota!$A32)</f>
        <v/>
      </c>
      <c r="B1454" s="0" t="str">
        <f aca="false">IF(Frota!$A32="","",Frota!$B32)</f>
        <v/>
      </c>
      <c r="C1454" s="0" t="n">
        <v>47</v>
      </c>
      <c r="D1454" s="0" t="n">
        <f aca="false">INDEX(Semanas!$E$3:$E$54,47)</f>
        <v>2</v>
      </c>
      <c r="E1454" s="0" t="str">
        <f aca="false">IF(Frota!$A32="","",Cronograma!AV32)</f>
        <v/>
      </c>
      <c r="F1454" s="0" t="n">
        <f aca="false">IF(OR($E1454="",$E1454=0),0,1)</f>
        <v>0</v>
      </c>
      <c r="G1454" s="0" t="n">
        <f aca="false">IF($F1454=0,0,INDEX(Aux_HH!$D$4:$D$18,MATCH($B1454&amp;"|"&amp;$E1454,Aux_HH!$A$4:$A$18,0)))</f>
        <v>0</v>
      </c>
      <c r="H1454" s="0" t="n">
        <f aca="false">IF($F1454=0,0,INDEX(Aux_HH!$E$4:$E$18,MATCH($B1454&amp;"|"&amp;$E1454,Aux_HH!$A$4:$A$18,0)))</f>
        <v>0</v>
      </c>
      <c r="I1454" s="0" t="n">
        <f aca="false">IF($F1454=0,0,INDEX(Aux_HH!$F$4:$F$18,MATCH($B1454&amp;"|"&amp;$E1454,Aux_HH!$A$4:$A$18,0)))</f>
        <v>0</v>
      </c>
      <c r="J1454" s="0" t="n">
        <f aca="false">IF($F1454=0,0,INDEX(Aux_HH!$G$4:$G$18,MATCH($B1454&amp;"|"&amp;$E1454,Aux_HH!$A$4:$A$18,0)))</f>
        <v>0</v>
      </c>
      <c r="K1454" s="0" t="n">
        <f aca="false">IF($F1454=0,0,INDEX(Aux_HH!$H$4:$H$18,MATCH($B1454&amp;"|"&amp;$E1454,Aux_HH!$A$4:$A$18,0)))</f>
        <v>0</v>
      </c>
      <c r="L1454" s="0" t="n">
        <f aca="false">IF($F1454=0,0,INDEX(Aux_HH!$I$4:$I$18,MATCH($B1454&amp;"|"&amp;$E1454,Aux_HH!$A$4:$A$18,0)))</f>
        <v>0</v>
      </c>
    </row>
    <row r="1455" customFormat="false" ht="15" hidden="false" customHeight="false" outlineLevel="0" collapsed="false">
      <c r="A1455" s="0" t="str">
        <f aca="false">IF(Frota!$A32="","",Frota!$A32)</f>
        <v/>
      </c>
      <c r="B1455" s="0" t="str">
        <f aca="false">IF(Frota!$A32="","",Frota!$B32)</f>
        <v/>
      </c>
      <c r="C1455" s="0" t="n">
        <v>48</v>
      </c>
      <c r="D1455" s="0" t="n">
        <f aca="false">INDEX(Semanas!$E$3:$E$54,48)</f>
        <v>2</v>
      </c>
      <c r="E1455" s="0" t="str">
        <f aca="false">IF(Frota!$A32="","",Cronograma!AW32)</f>
        <v/>
      </c>
      <c r="F1455" s="0" t="n">
        <f aca="false">IF(OR($E1455="",$E1455=0),0,1)</f>
        <v>0</v>
      </c>
      <c r="G1455" s="0" t="n">
        <f aca="false">IF($F1455=0,0,INDEX(Aux_HH!$D$4:$D$18,MATCH($B1455&amp;"|"&amp;$E1455,Aux_HH!$A$4:$A$18,0)))</f>
        <v>0</v>
      </c>
      <c r="H1455" s="0" t="n">
        <f aca="false">IF($F1455=0,0,INDEX(Aux_HH!$E$4:$E$18,MATCH($B1455&amp;"|"&amp;$E1455,Aux_HH!$A$4:$A$18,0)))</f>
        <v>0</v>
      </c>
      <c r="I1455" s="0" t="n">
        <f aca="false">IF($F1455=0,0,INDEX(Aux_HH!$F$4:$F$18,MATCH($B1455&amp;"|"&amp;$E1455,Aux_HH!$A$4:$A$18,0)))</f>
        <v>0</v>
      </c>
      <c r="J1455" s="0" t="n">
        <f aca="false">IF($F1455=0,0,INDEX(Aux_HH!$G$4:$G$18,MATCH($B1455&amp;"|"&amp;$E1455,Aux_HH!$A$4:$A$18,0)))</f>
        <v>0</v>
      </c>
      <c r="K1455" s="0" t="n">
        <f aca="false">IF($F1455=0,0,INDEX(Aux_HH!$H$4:$H$18,MATCH($B1455&amp;"|"&amp;$E1455,Aux_HH!$A$4:$A$18,0)))</f>
        <v>0</v>
      </c>
      <c r="L1455" s="0" t="n">
        <f aca="false">IF($F1455=0,0,INDEX(Aux_HH!$I$4:$I$18,MATCH($B1455&amp;"|"&amp;$E1455,Aux_HH!$A$4:$A$18,0)))</f>
        <v>0</v>
      </c>
    </row>
    <row r="1456" customFormat="false" ht="15" hidden="false" customHeight="false" outlineLevel="0" collapsed="false">
      <c r="A1456" s="0" t="str">
        <f aca="false">IF(Frota!$A32="","",Frota!$A32)</f>
        <v/>
      </c>
      <c r="B1456" s="0" t="str">
        <f aca="false">IF(Frota!$A32="","",Frota!$B32)</f>
        <v/>
      </c>
      <c r="C1456" s="0" t="n">
        <v>49</v>
      </c>
      <c r="D1456" s="0" t="n">
        <f aca="false">INDEX(Semanas!$E$3:$E$54,49)</f>
        <v>3</v>
      </c>
      <c r="E1456" s="0" t="str">
        <f aca="false">IF(Frota!$A32="","",Cronograma!AX32)</f>
        <v/>
      </c>
      <c r="F1456" s="0" t="n">
        <f aca="false">IF(OR($E1456="",$E1456=0),0,1)</f>
        <v>0</v>
      </c>
      <c r="G1456" s="0" t="n">
        <f aca="false">IF($F1456=0,0,INDEX(Aux_HH!$D$4:$D$18,MATCH($B1456&amp;"|"&amp;$E1456,Aux_HH!$A$4:$A$18,0)))</f>
        <v>0</v>
      </c>
      <c r="H1456" s="0" t="n">
        <f aca="false">IF($F1456=0,0,INDEX(Aux_HH!$E$4:$E$18,MATCH($B1456&amp;"|"&amp;$E1456,Aux_HH!$A$4:$A$18,0)))</f>
        <v>0</v>
      </c>
      <c r="I1456" s="0" t="n">
        <f aca="false">IF($F1456=0,0,INDEX(Aux_HH!$F$4:$F$18,MATCH($B1456&amp;"|"&amp;$E1456,Aux_HH!$A$4:$A$18,0)))</f>
        <v>0</v>
      </c>
      <c r="J1456" s="0" t="n">
        <f aca="false">IF($F1456=0,0,INDEX(Aux_HH!$G$4:$G$18,MATCH($B1456&amp;"|"&amp;$E1456,Aux_HH!$A$4:$A$18,0)))</f>
        <v>0</v>
      </c>
      <c r="K1456" s="0" t="n">
        <f aca="false">IF($F1456=0,0,INDEX(Aux_HH!$H$4:$H$18,MATCH($B1456&amp;"|"&amp;$E1456,Aux_HH!$A$4:$A$18,0)))</f>
        <v>0</v>
      </c>
      <c r="L1456" s="0" t="n">
        <f aca="false">IF($F1456=0,0,INDEX(Aux_HH!$I$4:$I$18,MATCH($B1456&amp;"|"&amp;$E1456,Aux_HH!$A$4:$A$18,0)))</f>
        <v>0</v>
      </c>
    </row>
    <row r="1457" customFormat="false" ht="15" hidden="false" customHeight="false" outlineLevel="0" collapsed="false">
      <c r="A1457" s="0" t="str">
        <f aca="false">IF(Frota!$A32="","",Frota!$A32)</f>
        <v/>
      </c>
      <c r="B1457" s="0" t="str">
        <f aca="false">IF(Frota!$A32="","",Frota!$B32)</f>
        <v/>
      </c>
      <c r="C1457" s="0" t="n">
        <v>50</v>
      </c>
      <c r="D1457" s="0" t="n">
        <f aca="false">INDEX(Semanas!$E$3:$E$54,50)</f>
        <v>3</v>
      </c>
      <c r="E1457" s="0" t="str">
        <f aca="false">IF(Frota!$A32="","",Cronograma!AY32)</f>
        <v/>
      </c>
      <c r="F1457" s="0" t="n">
        <f aca="false">IF(OR($E1457="",$E1457=0),0,1)</f>
        <v>0</v>
      </c>
      <c r="G1457" s="0" t="n">
        <f aca="false">IF($F1457=0,0,INDEX(Aux_HH!$D$4:$D$18,MATCH($B1457&amp;"|"&amp;$E1457,Aux_HH!$A$4:$A$18,0)))</f>
        <v>0</v>
      </c>
      <c r="H1457" s="0" t="n">
        <f aca="false">IF($F1457=0,0,INDEX(Aux_HH!$E$4:$E$18,MATCH($B1457&amp;"|"&amp;$E1457,Aux_HH!$A$4:$A$18,0)))</f>
        <v>0</v>
      </c>
      <c r="I1457" s="0" t="n">
        <f aca="false">IF($F1457=0,0,INDEX(Aux_HH!$F$4:$F$18,MATCH($B1457&amp;"|"&amp;$E1457,Aux_HH!$A$4:$A$18,0)))</f>
        <v>0</v>
      </c>
      <c r="J1457" s="0" t="n">
        <f aca="false">IF($F1457=0,0,INDEX(Aux_HH!$G$4:$G$18,MATCH($B1457&amp;"|"&amp;$E1457,Aux_HH!$A$4:$A$18,0)))</f>
        <v>0</v>
      </c>
      <c r="K1457" s="0" t="n">
        <f aca="false">IF($F1457=0,0,INDEX(Aux_HH!$H$4:$H$18,MATCH($B1457&amp;"|"&amp;$E1457,Aux_HH!$A$4:$A$18,0)))</f>
        <v>0</v>
      </c>
      <c r="L1457" s="0" t="n">
        <f aca="false">IF($F1457=0,0,INDEX(Aux_HH!$I$4:$I$18,MATCH($B1457&amp;"|"&amp;$E1457,Aux_HH!$A$4:$A$18,0)))</f>
        <v>0</v>
      </c>
    </row>
    <row r="1458" customFormat="false" ht="15" hidden="false" customHeight="false" outlineLevel="0" collapsed="false">
      <c r="A1458" s="0" t="str">
        <f aca="false">IF(Frota!$A32="","",Frota!$A32)</f>
        <v/>
      </c>
      <c r="B1458" s="0" t="str">
        <f aca="false">IF(Frota!$A32="","",Frota!$B32)</f>
        <v/>
      </c>
      <c r="C1458" s="0" t="n">
        <v>51</v>
      </c>
      <c r="D1458" s="0" t="n">
        <f aca="false">INDEX(Semanas!$E$3:$E$54,51)</f>
        <v>3</v>
      </c>
      <c r="E1458" s="0" t="str">
        <f aca="false">IF(Frota!$A32="","",Cronograma!AZ32)</f>
        <v/>
      </c>
      <c r="F1458" s="0" t="n">
        <f aca="false">IF(OR($E1458="",$E1458=0),0,1)</f>
        <v>0</v>
      </c>
      <c r="G1458" s="0" t="n">
        <f aca="false">IF($F1458=0,0,INDEX(Aux_HH!$D$4:$D$18,MATCH($B1458&amp;"|"&amp;$E1458,Aux_HH!$A$4:$A$18,0)))</f>
        <v>0</v>
      </c>
      <c r="H1458" s="0" t="n">
        <f aca="false">IF($F1458=0,0,INDEX(Aux_HH!$E$4:$E$18,MATCH($B1458&amp;"|"&amp;$E1458,Aux_HH!$A$4:$A$18,0)))</f>
        <v>0</v>
      </c>
      <c r="I1458" s="0" t="n">
        <f aca="false">IF($F1458=0,0,INDEX(Aux_HH!$F$4:$F$18,MATCH($B1458&amp;"|"&amp;$E1458,Aux_HH!$A$4:$A$18,0)))</f>
        <v>0</v>
      </c>
      <c r="J1458" s="0" t="n">
        <f aca="false">IF($F1458=0,0,INDEX(Aux_HH!$G$4:$G$18,MATCH($B1458&amp;"|"&amp;$E1458,Aux_HH!$A$4:$A$18,0)))</f>
        <v>0</v>
      </c>
      <c r="K1458" s="0" t="n">
        <f aca="false">IF($F1458=0,0,INDEX(Aux_HH!$H$4:$H$18,MATCH($B1458&amp;"|"&amp;$E1458,Aux_HH!$A$4:$A$18,0)))</f>
        <v>0</v>
      </c>
      <c r="L1458" s="0" t="n">
        <f aca="false">IF($F1458=0,0,INDEX(Aux_HH!$I$4:$I$18,MATCH($B1458&amp;"|"&amp;$E1458,Aux_HH!$A$4:$A$18,0)))</f>
        <v>0</v>
      </c>
    </row>
    <row r="1459" customFormat="false" ht="15" hidden="false" customHeight="false" outlineLevel="0" collapsed="false">
      <c r="A1459" s="0" t="str">
        <f aca="false">IF(Frota!$A32="","",Frota!$A32)</f>
        <v/>
      </c>
      <c r="B1459" s="0" t="str">
        <f aca="false">IF(Frota!$A32="","",Frota!$B32)</f>
        <v/>
      </c>
      <c r="C1459" s="0" t="n">
        <v>52</v>
      </c>
      <c r="D1459" s="0" t="n">
        <f aca="false">INDEX(Semanas!$E$3:$E$54,52)</f>
        <v>3</v>
      </c>
      <c r="E1459" s="0" t="str">
        <f aca="false">IF(Frota!$A32="","",Cronograma!BA32)</f>
        <v/>
      </c>
      <c r="F1459" s="0" t="n">
        <f aca="false">IF(OR($E1459="",$E1459=0),0,1)</f>
        <v>0</v>
      </c>
      <c r="G1459" s="0" t="n">
        <f aca="false">IF($F1459=0,0,INDEX(Aux_HH!$D$4:$D$18,MATCH($B1459&amp;"|"&amp;$E1459,Aux_HH!$A$4:$A$18,0)))</f>
        <v>0</v>
      </c>
      <c r="H1459" s="0" t="n">
        <f aca="false">IF($F1459=0,0,INDEX(Aux_HH!$E$4:$E$18,MATCH($B1459&amp;"|"&amp;$E1459,Aux_HH!$A$4:$A$18,0)))</f>
        <v>0</v>
      </c>
      <c r="I1459" s="0" t="n">
        <f aca="false">IF($F1459=0,0,INDEX(Aux_HH!$F$4:$F$18,MATCH($B1459&amp;"|"&amp;$E1459,Aux_HH!$A$4:$A$18,0)))</f>
        <v>0</v>
      </c>
      <c r="J1459" s="0" t="n">
        <f aca="false">IF($F1459=0,0,INDEX(Aux_HH!$G$4:$G$18,MATCH($B1459&amp;"|"&amp;$E1459,Aux_HH!$A$4:$A$18,0)))</f>
        <v>0</v>
      </c>
      <c r="K1459" s="0" t="n">
        <f aca="false">IF($F1459=0,0,INDEX(Aux_HH!$H$4:$H$18,MATCH($B1459&amp;"|"&amp;$E1459,Aux_HH!$A$4:$A$18,0)))</f>
        <v>0</v>
      </c>
      <c r="L1459" s="0" t="n">
        <f aca="false">IF($F1459=0,0,INDEX(Aux_HH!$I$4:$I$18,MATCH($B1459&amp;"|"&amp;$E1459,Aux_HH!$A$4:$A$18,0)))</f>
        <v>0</v>
      </c>
    </row>
    <row r="1460" customFormat="false" ht="15" hidden="false" customHeight="false" outlineLevel="0" collapsed="false">
      <c r="A1460" s="0" t="str">
        <f aca="false">IF(Frota!$A33="","",Frota!$A33)</f>
        <v/>
      </c>
      <c r="B1460" s="0" t="str">
        <f aca="false">IF(Frota!$A33="","",Frota!$B33)</f>
        <v/>
      </c>
      <c r="C1460" s="0" t="n">
        <v>1</v>
      </c>
      <c r="D1460" s="0" t="n">
        <f aca="false">INDEX(Semanas!$E$3:$E$54,1)</f>
        <v>4</v>
      </c>
      <c r="E1460" s="0" t="str">
        <f aca="false">IF(Frota!$A33="","",Cronograma!B33)</f>
        <v/>
      </c>
      <c r="F1460" s="0" t="n">
        <f aca="false">IF(OR($E1460="",$E1460=0),0,1)</f>
        <v>0</v>
      </c>
      <c r="G1460" s="0" t="n">
        <f aca="false">IF($F1460=0,0,INDEX(Aux_HH!$D$4:$D$18,MATCH($B1460&amp;"|"&amp;$E1460,Aux_HH!$A$4:$A$18,0)))</f>
        <v>0</v>
      </c>
      <c r="H1460" s="0" t="n">
        <f aca="false">IF($F1460=0,0,INDEX(Aux_HH!$E$4:$E$18,MATCH($B1460&amp;"|"&amp;$E1460,Aux_HH!$A$4:$A$18,0)))</f>
        <v>0</v>
      </c>
      <c r="I1460" s="0" t="n">
        <f aca="false">IF($F1460=0,0,INDEX(Aux_HH!$F$4:$F$18,MATCH($B1460&amp;"|"&amp;$E1460,Aux_HH!$A$4:$A$18,0)))</f>
        <v>0</v>
      </c>
      <c r="J1460" s="0" t="n">
        <f aca="false">IF($F1460=0,0,INDEX(Aux_HH!$G$4:$G$18,MATCH($B1460&amp;"|"&amp;$E1460,Aux_HH!$A$4:$A$18,0)))</f>
        <v>0</v>
      </c>
      <c r="K1460" s="0" t="n">
        <f aca="false">IF($F1460=0,0,INDEX(Aux_HH!$H$4:$H$18,MATCH($B1460&amp;"|"&amp;$E1460,Aux_HH!$A$4:$A$18,0)))</f>
        <v>0</v>
      </c>
      <c r="L1460" s="0" t="n">
        <f aca="false">IF($F1460=0,0,INDEX(Aux_HH!$I$4:$I$18,MATCH($B1460&amp;"|"&amp;$E1460,Aux_HH!$A$4:$A$18,0)))</f>
        <v>0</v>
      </c>
    </row>
    <row r="1461" customFormat="false" ht="15" hidden="false" customHeight="false" outlineLevel="0" collapsed="false">
      <c r="A1461" s="0" t="str">
        <f aca="false">IF(Frota!$A33="","",Frota!$A33)</f>
        <v/>
      </c>
      <c r="B1461" s="0" t="str">
        <f aca="false">IF(Frota!$A33="","",Frota!$B33)</f>
        <v/>
      </c>
      <c r="C1461" s="0" t="n">
        <v>2</v>
      </c>
      <c r="D1461" s="0" t="n">
        <f aca="false">INDEX(Semanas!$E$3:$E$54,2)</f>
        <v>4</v>
      </c>
      <c r="E1461" s="0" t="str">
        <f aca="false">IF(Frota!$A33="","",Cronograma!C33)</f>
        <v/>
      </c>
      <c r="F1461" s="0" t="n">
        <f aca="false">IF(OR($E1461="",$E1461=0),0,1)</f>
        <v>0</v>
      </c>
      <c r="G1461" s="0" t="n">
        <f aca="false">IF($F1461=0,0,INDEX(Aux_HH!$D$4:$D$18,MATCH($B1461&amp;"|"&amp;$E1461,Aux_HH!$A$4:$A$18,0)))</f>
        <v>0</v>
      </c>
      <c r="H1461" s="0" t="n">
        <f aca="false">IF($F1461=0,0,INDEX(Aux_HH!$E$4:$E$18,MATCH($B1461&amp;"|"&amp;$E1461,Aux_HH!$A$4:$A$18,0)))</f>
        <v>0</v>
      </c>
      <c r="I1461" s="0" t="n">
        <f aca="false">IF($F1461=0,0,INDEX(Aux_HH!$F$4:$F$18,MATCH($B1461&amp;"|"&amp;$E1461,Aux_HH!$A$4:$A$18,0)))</f>
        <v>0</v>
      </c>
      <c r="J1461" s="0" t="n">
        <f aca="false">IF($F1461=0,0,INDEX(Aux_HH!$G$4:$G$18,MATCH($B1461&amp;"|"&amp;$E1461,Aux_HH!$A$4:$A$18,0)))</f>
        <v>0</v>
      </c>
      <c r="K1461" s="0" t="n">
        <f aca="false">IF($F1461=0,0,INDEX(Aux_HH!$H$4:$H$18,MATCH($B1461&amp;"|"&amp;$E1461,Aux_HH!$A$4:$A$18,0)))</f>
        <v>0</v>
      </c>
      <c r="L1461" s="0" t="n">
        <f aca="false">IF($F1461=0,0,INDEX(Aux_HH!$I$4:$I$18,MATCH($B1461&amp;"|"&amp;$E1461,Aux_HH!$A$4:$A$18,0)))</f>
        <v>0</v>
      </c>
    </row>
    <row r="1462" customFormat="false" ht="15" hidden="false" customHeight="false" outlineLevel="0" collapsed="false">
      <c r="A1462" s="0" t="str">
        <f aca="false">IF(Frota!$A33="","",Frota!$A33)</f>
        <v/>
      </c>
      <c r="B1462" s="0" t="str">
        <f aca="false">IF(Frota!$A33="","",Frota!$B33)</f>
        <v/>
      </c>
      <c r="C1462" s="0" t="n">
        <v>3</v>
      </c>
      <c r="D1462" s="0" t="n">
        <f aca="false">INDEX(Semanas!$E$3:$E$54,3)</f>
        <v>4</v>
      </c>
      <c r="E1462" s="0" t="str">
        <f aca="false">IF(Frota!$A33="","",Cronograma!D33)</f>
        <v/>
      </c>
      <c r="F1462" s="0" t="n">
        <f aca="false">IF(OR($E1462="",$E1462=0),0,1)</f>
        <v>0</v>
      </c>
      <c r="G1462" s="0" t="n">
        <f aca="false">IF($F1462=0,0,INDEX(Aux_HH!$D$4:$D$18,MATCH($B1462&amp;"|"&amp;$E1462,Aux_HH!$A$4:$A$18,0)))</f>
        <v>0</v>
      </c>
      <c r="H1462" s="0" t="n">
        <f aca="false">IF($F1462=0,0,INDEX(Aux_HH!$E$4:$E$18,MATCH($B1462&amp;"|"&amp;$E1462,Aux_HH!$A$4:$A$18,0)))</f>
        <v>0</v>
      </c>
      <c r="I1462" s="0" t="n">
        <f aca="false">IF($F1462=0,0,INDEX(Aux_HH!$F$4:$F$18,MATCH($B1462&amp;"|"&amp;$E1462,Aux_HH!$A$4:$A$18,0)))</f>
        <v>0</v>
      </c>
      <c r="J1462" s="0" t="n">
        <f aca="false">IF($F1462=0,0,INDEX(Aux_HH!$G$4:$G$18,MATCH($B1462&amp;"|"&amp;$E1462,Aux_HH!$A$4:$A$18,0)))</f>
        <v>0</v>
      </c>
      <c r="K1462" s="0" t="n">
        <f aca="false">IF($F1462=0,0,INDEX(Aux_HH!$H$4:$H$18,MATCH($B1462&amp;"|"&amp;$E1462,Aux_HH!$A$4:$A$18,0)))</f>
        <v>0</v>
      </c>
      <c r="L1462" s="0" t="n">
        <f aca="false">IF($F1462=0,0,INDEX(Aux_HH!$I$4:$I$18,MATCH($B1462&amp;"|"&amp;$E1462,Aux_HH!$A$4:$A$18,0)))</f>
        <v>0</v>
      </c>
    </row>
    <row r="1463" customFormat="false" ht="15" hidden="false" customHeight="false" outlineLevel="0" collapsed="false">
      <c r="A1463" s="0" t="str">
        <f aca="false">IF(Frota!$A33="","",Frota!$A33)</f>
        <v/>
      </c>
      <c r="B1463" s="0" t="str">
        <f aca="false">IF(Frota!$A33="","",Frota!$B33)</f>
        <v/>
      </c>
      <c r="C1463" s="0" t="n">
        <v>4</v>
      </c>
      <c r="D1463" s="0" t="n">
        <f aca="false">INDEX(Semanas!$E$3:$E$54,4)</f>
        <v>4</v>
      </c>
      <c r="E1463" s="0" t="str">
        <f aca="false">IF(Frota!$A33="","",Cronograma!E33)</f>
        <v/>
      </c>
      <c r="F1463" s="0" t="n">
        <f aca="false">IF(OR($E1463="",$E1463=0),0,1)</f>
        <v>0</v>
      </c>
      <c r="G1463" s="0" t="n">
        <f aca="false">IF($F1463=0,0,INDEX(Aux_HH!$D$4:$D$18,MATCH($B1463&amp;"|"&amp;$E1463,Aux_HH!$A$4:$A$18,0)))</f>
        <v>0</v>
      </c>
      <c r="H1463" s="0" t="n">
        <f aca="false">IF($F1463=0,0,INDEX(Aux_HH!$E$4:$E$18,MATCH($B1463&amp;"|"&amp;$E1463,Aux_HH!$A$4:$A$18,0)))</f>
        <v>0</v>
      </c>
      <c r="I1463" s="0" t="n">
        <f aca="false">IF($F1463=0,0,INDEX(Aux_HH!$F$4:$F$18,MATCH($B1463&amp;"|"&amp;$E1463,Aux_HH!$A$4:$A$18,0)))</f>
        <v>0</v>
      </c>
      <c r="J1463" s="0" t="n">
        <f aca="false">IF($F1463=0,0,INDEX(Aux_HH!$G$4:$G$18,MATCH($B1463&amp;"|"&amp;$E1463,Aux_HH!$A$4:$A$18,0)))</f>
        <v>0</v>
      </c>
      <c r="K1463" s="0" t="n">
        <f aca="false">IF($F1463=0,0,INDEX(Aux_HH!$H$4:$H$18,MATCH($B1463&amp;"|"&amp;$E1463,Aux_HH!$A$4:$A$18,0)))</f>
        <v>0</v>
      </c>
      <c r="L1463" s="0" t="n">
        <f aca="false">IF($F1463=0,0,INDEX(Aux_HH!$I$4:$I$18,MATCH($B1463&amp;"|"&amp;$E1463,Aux_HH!$A$4:$A$18,0)))</f>
        <v>0</v>
      </c>
    </row>
    <row r="1464" customFormat="false" ht="15" hidden="false" customHeight="false" outlineLevel="0" collapsed="false">
      <c r="A1464" s="0" t="str">
        <f aca="false">IF(Frota!$A33="","",Frota!$A33)</f>
        <v/>
      </c>
      <c r="B1464" s="0" t="str">
        <f aca="false">IF(Frota!$A33="","",Frota!$B33)</f>
        <v/>
      </c>
      <c r="C1464" s="0" t="n">
        <v>5</v>
      </c>
      <c r="D1464" s="0" t="n">
        <f aca="false">INDEX(Semanas!$E$3:$E$54,5)</f>
        <v>4</v>
      </c>
      <c r="E1464" s="0" t="str">
        <f aca="false">IF(Frota!$A33="","",Cronograma!F33)</f>
        <v/>
      </c>
      <c r="F1464" s="0" t="n">
        <f aca="false">IF(OR($E1464="",$E1464=0),0,1)</f>
        <v>0</v>
      </c>
      <c r="G1464" s="0" t="n">
        <f aca="false">IF($F1464=0,0,INDEX(Aux_HH!$D$4:$D$18,MATCH($B1464&amp;"|"&amp;$E1464,Aux_HH!$A$4:$A$18,0)))</f>
        <v>0</v>
      </c>
      <c r="H1464" s="0" t="n">
        <f aca="false">IF($F1464=0,0,INDEX(Aux_HH!$E$4:$E$18,MATCH($B1464&amp;"|"&amp;$E1464,Aux_HH!$A$4:$A$18,0)))</f>
        <v>0</v>
      </c>
      <c r="I1464" s="0" t="n">
        <f aca="false">IF($F1464=0,0,INDEX(Aux_HH!$F$4:$F$18,MATCH($B1464&amp;"|"&amp;$E1464,Aux_HH!$A$4:$A$18,0)))</f>
        <v>0</v>
      </c>
      <c r="J1464" s="0" t="n">
        <f aca="false">IF($F1464=0,0,INDEX(Aux_HH!$G$4:$G$18,MATCH($B1464&amp;"|"&amp;$E1464,Aux_HH!$A$4:$A$18,0)))</f>
        <v>0</v>
      </c>
      <c r="K1464" s="0" t="n">
        <f aca="false">IF($F1464=0,0,INDEX(Aux_HH!$H$4:$H$18,MATCH($B1464&amp;"|"&amp;$E1464,Aux_HH!$A$4:$A$18,0)))</f>
        <v>0</v>
      </c>
      <c r="L1464" s="0" t="n">
        <f aca="false">IF($F1464=0,0,INDEX(Aux_HH!$I$4:$I$18,MATCH($B1464&amp;"|"&amp;$E1464,Aux_HH!$A$4:$A$18,0)))</f>
        <v>0</v>
      </c>
    </row>
    <row r="1465" customFormat="false" ht="15" hidden="false" customHeight="false" outlineLevel="0" collapsed="false">
      <c r="A1465" s="0" t="str">
        <f aca="false">IF(Frota!$A33="","",Frota!$A33)</f>
        <v/>
      </c>
      <c r="B1465" s="0" t="str">
        <f aca="false">IF(Frota!$A33="","",Frota!$B33)</f>
        <v/>
      </c>
      <c r="C1465" s="0" t="n">
        <v>6</v>
      </c>
      <c r="D1465" s="0" t="n">
        <f aca="false">INDEX(Semanas!$E$3:$E$54,6)</f>
        <v>5</v>
      </c>
      <c r="E1465" s="0" t="str">
        <f aca="false">IF(Frota!$A33="","",Cronograma!G33)</f>
        <v/>
      </c>
      <c r="F1465" s="0" t="n">
        <f aca="false">IF(OR($E1465="",$E1465=0),0,1)</f>
        <v>0</v>
      </c>
      <c r="G1465" s="0" t="n">
        <f aca="false">IF($F1465=0,0,INDEX(Aux_HH!$D$4:$D$18,MATCH($B1465&amp;"|"&amp;$E1465,Aux_HH!$A$4:$A$18,0)))</f>
        <v>0</v>
      </c>
      <c r="H1465" s="0" t="n">
        <f aca="false">IF($F1465=0,0,INDEX(Aux_HH!$E$4:$E$18,MATCH($B1465&amp;"|"&amp;$E1465,Aux_HH!$A$4:$A$18,0)))</f>
        <v>0</v>
      </c>
      <c r="I1465" s="0" t="n">
        <f aca="false">IF($F1465=0,0,INDEX(Aux_HH!$F$4:$F$18,MATCH($B1465&amp;"|"&amp;$E1465,Aux_HH!$A$4:$A$18,0)))</f>
        <v>0</v>
      </c>
      <c r="J1465" s="0" t="n">
        <f aca="false">IF($F1465=0,0,INDEX(Aux_HH!$G$4:$G$18,MATCH($B1465&amp;"|"&amp;$E1465,Aux_HH!$A$4:$A$18,0)))</f>
        <v>0</v>
      </c>
      <c r="K1465" s="0" t="n">
        <f aca="false">IF($F1465=0,0,INDEX(Aux_HH!$H$4:$H$18,MATCH($B1465&amp;"|"&amp;$E1465,Aux_HH!$A$4:$A$18,0)))</f>
        <v>0</v>
      </c>
      <c r="L1465" s="0" t="n">
        <f aca="false">IF($F1465=0,0,INDEX(Aux_HH!$I$4:$I$18,MATCH($B1465&amp;"|"&amp;$E1465,Aux_HH!$A$4:$A$18,0)))</f>
        <v>0</v>
      </c>
    </row>
    <row r="1466" customFormat="false" ht="15" hidden="false" customHeight="false" outlineLevel="0" collapsed="false">
      <c r="A1466" s="0" t="str">
        <f aca="false">IF(Frota!$A33="","",Frota!$A33)</f>
        <v/>
      </c>
      <c r="B1466" s="0" t="str">
        <f aca="false">IF(Frota!$A33="","",Frota!$B33)</f>
        <v/>
      </c>
      <c r="C1466" s="0" t="n">
        <v>7</v>
      </c>
      <c r="D1466" s="0" t="n">
        <f aca="false">INDEX(Semanas!$E$3:$E$54,7)</f>
        <v>5</v>
      </c>
      <c r="E1466" s="0" t="str">
        <f aca="false">IF(Frota!$A33="","",Cronograma!H33)</f>
        <v/>
      </c>
      <c r="F1466" s="0" t="n">
        <f aca="false">IF(OR($E1466="",$E1466=0),0,1)</f>
        <v>0</v>
      </c>
      <c r="G1466" s="0" t="n">
        <f aca="false">IF($F1466=0,0,INDEX(Aux_HH!$D$4:$D$18,MATCH($B1466&amp;"|"&amp;$E1466,Aux_HH!$A$4:$A$18,0)))</f>
        <v>0</v>
      </c>
      <c r="H1466" s="0" t="n">
        <f aca="false">IF($F1466=0,0,INDEX(Aux_HH!$E$4:$E$18,MATCH($B1466&amp;"|"&amp;$E1466,Aux_HH!$A$4:$A$18,0)))</f>
        <v>0</v>
      </c>
      <c r="I1466" s="0" t="n">
        <f aca="false">IF($F1466=0,0,INDEX(Aux_HH!$F$4:$F$18,MATCH($B1466&amp;"|"&amp;$E1466,Aux_HH!$A$4:$A$18,0)))</f>
        <v>0</v>
      </c>
      <c r="J1466" s="0" t="n">
        <f aca="false">IF($F1466=0,0,INDEX(Aux_HH!$G$4:$G$18,MATCH($B1466&amp;"|"&amp;$E1466,Aux_HH!$A$4:$A$18,0)))</f>
        <v>0</v>
      </c>
      <c r="K1466" s="0" t="n">
        <f aca="false">IF($F1466=0,0,INDEX(Aux_HH!$H$4:$H$18,MATCH($B1466&amp;"|"&amp;$E1466,Aux_HH!$A$4:$A$18,0)))</f>
        <v>0</v>
      </c>
      <c r="L1466" s="0" t="n">
        <f aca="false">IF($F1466=0,0,INDEX(Aux_HH!$I$4:$I$18,MATCH($B1466&amp;"|"&amp;$E1466,Aux_HH!$A$4:$A$18,0)))</f>
        <v>0</v>
      </c>
    </row>
    <row r="1467" customFormat="false" ht="15" hidden="false" customHeight="false" outlineLevel="0" collapsed="false">
      <c r="A1467" s="0" t="str">
        <f aca="false">IF(Frota!$A33="","",Frota!$A33)</f>
        <v/>
      </c>
      <c r="B1467" s="0" t="str">
        <f aca="false">IF(Frota!$A33="","",Frota!$B33)</f>
        <v/>
      </c>
      <c r="C1467" s="0" t="n">
        <v>8</v>
      </c>
      <c r="D1467" s="0" t="n">
        <f aca="false">INDEX(Semanas!$E$3:$E$54,8)</f>
        <v>5</v>
      </c>
      <c r="E1467" s="0" t="str">
        <f aca="false">IF(Frota!$A33="","",Cronograma!I33)</f>
        <v/>
      </c>
      <c r="F1467" s="0" t="n">
        <f aca="false">IF(OR($E1467="",$E1467=0),0,1)</f>
        <v>0</v>
      </c>
      <c r="G1467" s="0" t="n">
        <f aca="false">IF($F1467=0,0,INDEX(Aux_HH!$D$4:$D$18,MATCH($B1467&amp;"|"&amp;$E1467,Aux_HH!$A$4:$A$18,0)))</f>
        <v>0</v>
      </c>
      <c r="H1467" s="0" t="n">
        <f aca="false">IF($F1467=0,0,INDEX(Aux_HH!$E$4:$E$18,MATCH($B1467&amp;"|"&amp;$E1467,Aux_HH!$A$4:$A$18,0)))</f>
        <v>0</v>
      </c>
      <c r="I1467" s="0" t="n">
        <f aca="false">IF($F1467=0,0,INDEX(Aux_HH!$F$4:$F$18,MATCH($B1467&amp;"|"&amp;$E1467,Aux_HH!$A$4:$A$18,0)))</f>
        <v>0</v>
      </c>
      <c r="J1467" s="0" t="n">
        <f aca="false">IF($F1467=0,0,INDEX(Aux_HH!$G$4:$G$18,MATCH($B1467&amp;"|"&amp;$E1467,Aux_HH!$A$4:$A$18,0)))</f>
        <v>0</v>
      </c>
      <c r="K1467" s="0" t="n">
        <f aca="false">IF($F1467=0,0,INDEX(Aux_HH!$H$4:$H$18,MATCH($B1467&amp;"|"&amp;$E1467,Aux_HH!$A$4:$A$18,0)))</f>
        <v>0</v>
      </c>
      <c r="L1467" s="0" t="n">
        <f aca="false">IF($F1467=0,0,INDEX(Aux_HH!$I$4:$I$18,MATCH($B1467&amp;"|"&amp;$E1467,Aux_HH!$A$4:$A$18,0)))</f>
        <v>0</v>
      </c>
    </row>
    <row r="1468" customFormat="false" ht="15" hidden="false" customHeight="false" outlineLevel="0" collapsed="false">
      <c r="A1468" s="0" t="str">
        <f aca="false">IF(Frota!$A33="","",Frota!$A33)</f>
        <v/>
      </c>
      <c r="B1468" s="0" t="str">
        <f aca="false">IF(Frota!$A33="","",Frota!$B33)</f>
        <v/>
      </c>
      <c r="C1468" s="0" t="n">
        <v>9</v>
      </c>
      <c r="D1468" s="0" t="n">
        <f aca="false">INDEX(Semanas!$E$3:$E$54,9)</f>
        <v>5</v>
      </c>
      <c r="E1468" s="0" t="str">
        <f aca="false">IF(Frota!$A33="","",Cronograma!J33)</f>
        <v/>
      </c>
      <c r="F1468" s="0" t="n">
        <f aca="false">IF(OR($E1468="",$E1468=0),0,1)</f>
        <v>0</v>
      </c>
      <c r="G1468" s="0" t="n">
        <f aca="false">IF($F1468=0,0,INDEX(Aux_HH!$D$4:$D$18,MATCH($B1468&amp;"|"&amp;$E1468,Aux_HH!$A$4:$A$18,0)))</f>
        <v>0</v>
      </c>
      <c r="H1468" s="0" t="n">
        <f aca="false">IF($F1468=0,0,INDEX(Aux_HH!$E$4:$E$18,MATCH($B1468&amp;"|"&amp;$E1468,Aux_HH!$A$4:$A$18,0)))</f>
        <v>0</v>
      </c>
      <c r="I1468" s="0" t="n">
        <f aca="false">IF($F1468=0,0,INDEX(Aux_HH!$F$4:$F$18,MATCH($B1468&amp;"|"&amp;$E1468,Aux_HH!$A$4:$A$18,0)))</f>
        <v>0</v>
      </c>
      <c r="J1468" s="0" t="n">
        <f aca="false">IF($F1468=0,0,INDEX(Aux_HH!$G$4:$G$18,MATCH($B1468&amp;"|"&amp;$E1468,Aux_HH!$A$4:$A$18,0)))</f>
        <v>0</v>
      </c>
      <c r="K1468" s="0" t="n">
        <f aca="false">IF($F1468=0,0,INDEX(Aux_HH!$H$4:$H$18,MATCH($B1468&amp;"|"&amp;$E1468,Aux_HH!$A$4:$A$18,0)))</f>
        <v>0</v>
      </c>
      <c r="L1468" s="0" t="n">
        <f aca="false">IF($F1468=0,0,INDEX(Aux_HH!$I$4:$I$18,MATCH($B1468&amp;"|"&amp;$E1468,Aux_HH!$A$4:$A$18,0)))</f>
        <v>0</v>
      </c>
    </row>
    <row r="1469" customFormat="false" ht="15" hidden="false" customHeight="false" outlineLevel="0" collapsed="false">
      <c r="A1469" s="0" t="str">
        <f aca="false">IF(Frota!$A33="","",Frota!$A33)</f>
        <v/>
      </c>
      <c r="B1469" s="0" t="str">
        <f aca="false">IF(Frota!$A33="","",Frota!$B33)</f>
        <v/>
      </c>
      <c r="C1469" s="0" t="n">
        <v>10</v>
      </c>
      <c r="D1469" s="0" t="n">
        <f aca="false">INDEX(Semanas!$E$3:$E$54,10)</f>
        <v>6</v>
      </c>
      <c r="E1469" s="0" t="str">
        <f aca="false">IF(Frota!$A33="","",Cronograma!K33)</f>
        <v/>
      </c>
      <c r="F1469" s="0" t="n">
        <f aca="false">IF(OR($E1469="",$E1469=0),0,1)</f>
        <v>0</v>
      </c>
      <c r="G1469" s="0" t="n">
        <f aca="false">IF($F1469=0,0,INDEX(Aux_HH!$D$4:$D$18,MATCH($B1469&amp;"|"&amp;$E1469,Aux_HH!$A$4:$A$18,0)))</f>
        <v>0</v>
      </c>
      <c r="H1469" s="0" t="n">
        <f aca="false">IF($F1469=0,0,INDEX(Aux_HH!$E$4:$E$18,MATCH($B1469&amp;"|"&amp;$E1469,Aux_HH!$A$4:$A$18,0)))</f>
        <v>0</v>
      </c>
      <c r="I1469" s="0" t="n">
        <f aca="false">IF($F1469=0,0,INDEX(Aux_HH!$F$4:$F$18,MATCH($B1469&amp;"|"&amp;$E1469,Aux_HH!$A$4:$A$18,0)))</f>
        <v>0</v>
      </c>
      <c r="J1469" s="0" t="n">
        <f aca="false">IF($F1469=0,0,INDEX(Aux_HH!$G$4:$G$18,MATCH($B1469&amp;"|"&amp;$E1469,Aux_HH!$A$4:$A$18,0)))</f>
        <v>0</v>
      </c>
      <c r="K1469" s="0" t="n">
        <f aca="false">IF($F1469=0,0,INDEX(Aux_HH!$H$4:$H$18,MATCH($B1469&amp;"|"&amp;$E1469,Aux_HH!$A$4:$A$18,0)))</f>
        <v>0</v>
      </c>
      <c r="L1469" s="0" t="n">
        <f aca="false">IF($F1469=0,0,INDEX(Aux_HH!$I$4:$I$18,MATCH($B1469&amp;"|"&amp;$E1469,Aux_HH!$A$4:$A$18,0)))</f>
        <v>0</v>
      </c>
    </row>
    <row r="1470" customFormat="false" ht="15" hidden="false" customHeight="false" outlineLevel="0" collapsed="false">
      <c r="A1470" s="0" t="str">
        <f aca="false">IF(Frota!$A33="","",Frota!$A33)</f>
        <v/>
      </c>
      <c r="B1470" s="0" t="str">
        <f aca="false">IF(Frota!$A33="","",Frota!$B33)</f>
        <v/>
      </c>
      <c r="C1470" s="0" t="n">
        <v>11</v>
      </c>
      <c r="D1470" s="0" t="n">
        <f aca="false">INDEX(Semanas!$E$3:$E$54,11)</f>
        <v>6</v>
      </c>
      <c r="E1470" s="0" t="str">
        <f aca="false">IF(Frota!$A33="","",Cronograma!L33)</f>
        <v/>
      </c>
      <c r="F1470" s="0" t="n">
        <f aca="false">IF(OR($E1470="",$E1470=0),0,1)</f>
        <v>0</v>
      </c>
      <c r="G1470" s="0" t="n">
        <f aca="false">IF($F1470=0,0,INDEX(Aux_HH!$D$4:$D$18,MATCH($B1470&amp;"|"&amp;$E1470,Aux_HH!$A$4:$A$18,0)))</f>
        <v>0</v>
      </c>
      <c r="H1470" s="0" t="n">
        <f aca="false">IF($F1470=0,0,INDEX(Aux_HH!$E$4:$E$18,MATCH($B1470&amp;"|"&amp;$E1470,Aux_HH!$A$4:$A$18,0)))</f>
        <v>0</v>
      </c>
      <c r="I1470" s="0" t="n">
        <f aca="false">IF($F1470=0,0,INDEX(Aux_HH!$F$4:$F$18,MATCH($B1470&amp;"|"&amp;$E1470,Aux_HH!$A$4:$A$18,0)))</f>
        <v>0</v>
      </c>
      <c r="J1470" s="0" t="n">
        <f aca="false">IF($F1470=0,0,INDEX(Aux_HH!$G$4:$G$18,MATCH($B1470&amp;"|"&amp;$E1470,Aux_HH!$A$4:$A$18,0)))</f>
        <v>0</v>
      </c>
      <c r="K1470" s="0" t="n">
        <f aca="false">IF($F1470=0,0,INDEX(Aux_HH!$H$4:$H$18,MATCH($B1470&amp;"|"&amp;$E1470,Aux_HH!$A$4:$A$18,0)))</f>
        <v>0</v>
      </c>
      <c r="L1470" s="0" t="n">
        <f aca="false">IF($F1470=0,0,INDEX(Aux_HH!$I$4:$I$18,MATCH($B1470&amp;"|"&amp;$E1470,Aux_HH!$A$4:$A$18,0)))</f>
        <v>0</v>
      </c>
    </row>
    <row r="1471" customFormat="false" ht="15" hidden="false" customHeight="false" outlineLevel="0" collapsed="false">
      <c r="A1471" s="0" t="str">
        <f aca="false">IF(Frota!$A33="","",Frota!$A33)</f>
        <v/>
      </c>
      <c r="B1471" s="0" t="str">
        <f aca="false">IF(Frota!$A33="","",Frota!$B33)</f>
        <v/>
      </c>
      <c r="C1471" s="0" t="n">
        <v>12</v>
      </c>
      <c r="D1471" s="0" t="n">
        <f aca="false">INDEX(Semanas!$E$3:$E$54,12)</f>
        <v>6</v>
      </c>
      <c r="E1471" s="0" t="str">
        <f aca="false">IF(Frota!$A33="","",Cronograma!M33)</f>
        <v/>
      </c>
      <c r="F1471" s="0" t="n">
        <f aca="false">IF(OR($E1471="",$E1471=0),0,1)</f>
        <v>0</v>
      </c>
      <c r="G1471" s="0" t="n">
        <f aca="false">IF($F1471=0,0,INDEX(Aux_HH!$D$4:$D$18,MATCH($B1471&amp;"|"&amp;$E1471,Aux_HH!$A$4:$A$18,0)))</f>
        <v>0</v>
      </c>
      <c r="H1471" s="0" t="n">
        <f aca="false">IF($F1471=0,0,INDEX(Aux_HH!$E$4:$E$18,MATCH($B1471&amp;"|"&amp;$E1471,Aux_HH!$A$4:$A$18,0)))</f>
        <v>0</v>
      </c>
      <c r="I1471" s="0" t="n">
        <f aca="false">IF($F1471=0,0,INDEX(Aux_HH!$F$4:$F$18,MATCH($B1471&amp;"|"&amp;$E1471,Aux_HH!$A$4:$A$18,0)))</f>
        <v>0</v>
      </c>
      <c r="J1471" s="0" t="n">
        <f aca="false">IF($F1471=0,0,INDEX(Aux_HH!$G$4:$G$18,MATCH($B1471&amp;"|"&amp;$E1471,Aux_HH!$A$4:$A$18,0)))</f>
        <v>0</v>
      </c>
      <c r="K1471" s="0" t="n">
        <f aca="false">IF($F1471=0,0,INDEX(Aux_HH!$H$4:$H$18,MATCH($B1471&amp;"|"&amp;$E1471,Aux_HH!$A$4:$A$18,0)))</f>
        <v>0</v>
      </c>
      <c r="L1471" s="0" t="n">
        <f aca="false">IF($F1471=0,0,INDEX(Aux_HH!$I$4:$I$18,MATCH($B1471&amp;"|"&amp;$E1471,Aux_HH!$A$4:$A$18,0)))</f>
        <v>0</v>
      </c>
    </row>
    <row r="1472" customFormat="false" ht="15" hidden="false" customHeight="false" outlineLevel="0" collapsed="false">
      <c r="A1472" s="0" t="str">
        <f aca="false">IF(Frota!$A33="","",Frota!$A33)</f>
        <v/>
      </c>
      <c r="B1472" s="0" t="str">
        <f aca="false">IF(Frota!$A33="","",Frota!$B33)</f>
        <v/>
      </c>
      <c r="C1472" s="0" t="n">
        <v>13</v>
      </c>
      <c r="D1472" s="0" t="n">
        <f aca="false">INDEX(Semanas!$E$3:$E$54,13)</f>
        <v>6</v>
      </c>
      <c r="E1472" s="0" t="str">
        <f aca="false">IF(Frota!$A33="","",Cronograma!N33)</f>
        <v/>
      </c>
      <c r="F1472" s="0" t="n">
        <f aca="false">IF(OR($E1472="",$E1472=0),0,1)</f>
        <v>0</v>
      </c>
      <c r="G1472" s="0" t="n">
        <f aca="false">IF($F1472=0,0,INDEX(Aux_HH!$D$4:$D$18,MATCH($B1472&amp;"|"&amp;$E1472,Aux_HH!$A$4:$A$18,0)))</f>
        <v>0</v>
      </c>
      <c r="H1472" s="0" t="n">
        <f aca="false">IF($F1472=0,0,INDEX(Aux_HH!$E$4:$E$18,MATCH($B1472&amp;"|"&amp;$E1472,Aux_HH!$A$4:$A$18,0)))</f>
        <v>0</v>
      </c>
      <c r="I1472" s="0" t="n">
        <f aca="false">IF($F1472=0,0,INDEX(Aux_HH!$F$4:$F$18,MATCH($B1472&amp;"|"&amp;$E1472,Aux_HH!$A$4:$A$18,0)))</f>
        <v>0</v>
      </c>
      <c r="J1472" s="0" t="n">
        <f aca="false">IF($F1472=0,0,INDEX(Aux_HH!$G$4:$G$18,MATCH($B1472&amp;"|"&amp;$E1472,Aux_HH!$A$4:$A$18,0)))</f>
        <v>0</v>
      </c>
      <c r="K1472" s="0" t="n">
        <f aca="false">IF($F1472=0,0,INDEX(Aux_HH!$H$4:$H$18,MATCH($B1472&amp;"|"&amp;$E1472,Aux_HH!$A$4:$A$18,0)))</f>
        <v>0</v>
      </c>
      <c r="L1472" s="0" t="n">
        <f aca="false">IF($F1472=0,0,INDEX(Aux_HH!$I$4:$I$18,MATCH($B1472&amp;"|"&amp;$E1472,Aux_HH!$A$4:$A$18,0)))</f>
        <v>0</v>
      </c>
    </row>
    <row r="1473" customFormat="false" ht="15" hidden="false" customHeight="false" outlineLevel="0" collapsed="false">
      <c r="A1473" s="0" t="str">
        <f aca="false">IF(Frota!$A33="","",Frota!$A33)</f>
        <v/>
      </c>
      <c r="B1473" s="0" t="str">
        <f aca="false">IF(Frota!$A33="","",Frota!$B33)</f>
        <v/>
      </c>
      <c r="C1473" s="0" t="n">
        <v>14</v>
      </c>
      <c r="D1473" s="0" t="n">
        <f aca="false">INDEX(Semanas!$E$3:$E$54,14)</f>
        <v>7</v>
      </c>
      <c r="E1473" s="0" t="str">
        <f aca="false">IF(Frota!$A33="","",Cronograma!O33)</f>
        <v/>
      </c>
      <c r="F1473" s="0" t="n">
        <f aca="false">IF(OR($E1473="",$E1473=0),0,1)</f>
        <v>0</v>
      </c>
      <c r="G1473" s="0" t="n">
        <f aca="false">IF($F1473=0,0,INDEX(Aux_HH!$D$4:$D$18,MATCH($B1473&amp;"|"&amp;$E1473,Aux_HH!$A$4:$A$18,0)))</f>
        <v>0</v>
      </c>
      <c r="H1473" s="0" t="n">
        <f aca="false">IF($F1473=0,0,INDEX(Aux_HH!$E$4:$E$18,MATCH($B1473&amp;"|"&amp;$E1473,Aux_HH!$A$4:$A$18,0)))</f>
        <v>0</v>
      </c>
      <c r="I1473" s="0" t="n">
        <f aca="false">IF($F1473=0,0,INDEX(Aux_HH!$F$4:$F$18,MATCH($B1473&amp;"|"&amp;$E1473,Aux_HH!$A$4:$A$18,0)))</f>
        <v>0</v>
      </c>
      <c r="J1473" s="0" t="n">
        <f aca="false">IF($F1473=0,0,INDEX(Aux_HH!$G$4:$G$18,MATCH($B1473&amp;"|"&amp;$E1473,Aux_HH!$A$4:$A$18,0)))</f>
        <v>0</v>
      </c>
      <c r="K1473" s="0" t="n">
        <f aca="false">IF($F1473=0,0,INDEX(Aux_HH!$H$4:$H$18,MATCH($B1473&amp;"|"&amp;$E1473,Aux_HH!$A$4:$A$18,0)))</f>
        <v>0</v>
      </c>
      <c r="L1473" s="0" t="n">
        <f aca="false">IF($F1473=0,0,INDEX(Aux_HH!$I$4:$I$18,MATCH($B1473&amp;"|"&amp;$E1473,Aux_HH!$A$4:$A$18,0)))</f>
        <v>0</v>
      </c>
    </row>
    <row r="1474" customFormat="false" ht="15" hidden="false" customHeight="false" outlineLevel="0" collapsed="false">
      <c r="A1474" s="0" t="str">
        <f aca="false">IF(Frota!$A33="","",Frota!$A33)</f>
        <v/>
      </c>
      <c r="B1474" s="0" t="str">
        <f aca="false">IF(Frota!$A33="","",Frota!$B33)</f>
        <v/>
      </c>
      <c r="C1474" s="0" t="n">
        <v>15</v>
      </c>
      <c r="D1474" s="0" t="n">
        <f aca="false">INDEX(Semanas!$E$3:$E$54,15)</f>
        <v>7</v>
      </c>
      <c r="E1474" s="0" t="str">
        <f aca="false">IF(Frota!$A33="","",Cronograma!P33)</f>
        <v/>
      </c>
      <c r="F1474" s="0" t="n">
        <f aca="false">IF(OR($E1474="",$E1474=0),0,1)</f>
        <v>0</v>
      </c>
      <c r="G1474" s="0" t="n">
        <f aca="false">IF($F1474=0,0,INDEX(Aux_HH!$D$4:$D$18,MATCH($B1474&amp;"|"&amp;$E1474,Aux_HH!$A$4:$A$18,0)))</f>
        <v>0</v>
      </c>
      <c r="H1474" s="0" t="n">
        <f aca="false">IF($F1474=0,0,INDEX(Aux_HH!$E$4:$E$18,MATCH($B1474&amp;"|"&amp;$E1474,Aux_HH!$A$4:$A$18,0)))</f>
        <v>0</v>
      </c>
      <c r="I1474" s="0" t="n">
        <f aca="false">IF($F1474=0,0,INDEX(Aux_HH!$F$4:$F$18,MATCH($B1474&amp;"|"&amp;$E1474,Aux_HH!$A$4:$A$18,0)))</f>
        <v>0</v>
      </c>
      <c r="J1474" s="0" t="n">
        <f aca="false">IF($F1474=0,0,INDEX(Aux_HH!$G$4:$G$18,MATCH($B1474&amp;"|"&amp;$E1474,Aux_HH!$A$4:$A$18,0)))</f>
        <v>0</v>
      </c>
      <c r="K1474" s="0" t="n">
        <f aca="false">IF($F1474=0,0,INDEX(Aux_HH!$H$4:$H$18,MATCH($B1474&amp;"|"&amp;$E1474,Aux_HH!$A$4:$A$18,0)))</f>
        <v>0</v>
      </c>
      <c r="L1474" s="0" t="n">
        <f aca="false">IF($F1474=0,0,INDEX(Aux_HH!$I$4:$I$18,MATCH($B1474&amp;"|"&amp;$E1474,Aux_HH!$A$4:$A$18,0)))</f>
        <v>0</v>
      </c>
    </row>
    <row r="1475" customFormat="false" ht="15" hidden="false" customHeight="false" outlineLevel="0" collapsed="false">
      <c r="A1475" s="0" t="str">
        <f aca="false">IF(Frota!$A33="","",Frota!$A33)</f>
        <v/>
      </c>
      <c r="B1475" s="0" t="str">
        <f aca="false">IF(Frota!$A33="","",Frota!$B33)</f>
        <v/>
      </c>
      <c r="C1475" s="0" t="n">
        <v>16</v>
      </c>
      <c r="D1475" s="0" t="n">
        <f aca="false">INDEX(Semanas!$E$3:$E$54,16)</f>
        <v>7</v>
      </c>
      <c r="E1475" s="0" t="str">
        <f aca="false">IF(Frota!$A33="","",Cronograma!Q33)</f>
        <v/>
      </c>
      <c r="F1475" s="0" t="n">
        <f aca="false">IF(OR($E1475="",$E1475=0),0,1)</f>
        <v>0</v>
      </c>
      <c r="G1475" s="0" t="n">
        <f aca="false">IF($F1475=0,0,INDEX(Aux_HH!$D$4:$D$18,MATCH($B1475&amp;"|"&amp;$E1475,Aux_HH!$A$4:$A$18,0)))</f>
        <v>0</v>
      </c>
      <c r="H1475" s="0" t="n">
        <f aca="false">IF($F1475=0,0,INDEX(Aux_HH!$E$4:$E$18,MATCH($B1475&amp;"|"&amp;$E1475,Aux_HH!$A$4:$A$18,0)))</f>
        <v>0</v>
      </c>
      <c r="I1475" s="0" t="n">
        <f aca="false">IF($F1475=0,0,INDEX(Aux_HH!$F$4:$F$18,MATCH($B1475&amp;"|"&amp;$E1475,Aux_HH!$A$4:$A$18,0)))</f>
        <v>0</v>
      </c>
      <c r="J1475" s="0" t="n">
        <f aca="false">IF($F1475=0,0,INDEX(Aux_HH!$G$4:$G$18,MATCH($B1475&amp;"|"&amp;$E1475,Aux_HH!$A$4:$A$18,0)))</f>
        <v>0</v>
      </c>
      <c r="K1475" s="0" t="n">
        <f aca="false">IF($F1475=0,0,INDEX(Aux_HH!$H$4:$H$18,MATCH($B1475&amp;"|"&amp;$E1475,Aux_HH!$A$4:$A$18,0)))</f>
        <v>0</v>
      </c>
      <c r="L1475" s="0" t="n">
        <f aca="false">IF($F1475=0,0,INDEX(Aux_HH!$I$4:$I$18,MATCH($B1475&amp;"|"&amp;$E1475,Aux_HH!$A$4:$A$18,0)))</f>
        <v>0</v>
      </c>
    </row>
    <row r="1476" customFormat="false" ht="15" hidden="false" customHeight="false" outlineLevel="0" collapsed="false">
      <c r="A1476" s="0" t="str">
        <f aca="false">IF(Frota!$A33="","",Frota!$A33)</f>
        <v/>
      </c>
      <c r="B1476" s="0" t="str">
        <f aca="false">IF(Frota!$A33="","",Frota!$B33)</f>
        <v/>
      </c>
      <c r="C1476" s="0" t="n">
        <v>17</v>
      </c>
      <c r="D1476" s="0" t="n">
        <f aca="false">INDEX(Semanas!$E$3:$E$54,17)</f>
        <v>7</v>
      </c>
      <c r="E1476" s="0" t="str">
        <f aca="false">IF(Frota!$A33="","",Cronograma!R33)</f>
        <v/>
      </c>
      <c r="F1476" s="0" t="n">
        <f aca="false">IF(OR($E1476="",$E1476=0),0,1)</f>
        <v>0</v>
      </c>
      <c r="G1476" s="0" t="n">
        <f aca="false">IF($F1476=0,0,INDEX(Aux_HH!$D$4:$D$18,MATCH($B1476&amp;"|"&amp;$E1476,Aux_HH!$A$4:$A$18,0)))</f>
        <v>0</v>
      </c>
      <c r="H1476" s="0" t="n">
        <f aca="false">IF($F1476=0,0,INDEX(Aux_HH!$E$4:$E$18,MATCH($B1476&amp;"|"&amp;$E1476,Aux_HH!$A$4:$A$18,0)))</f>
        <v>0</v>
      </c>
      <c r="I1476" s="0" t="n">
        <f aca="false">IF($F1476=0,0,INDEX(Aux_HH!$F$4:$F$18,MATCH($B1476&amp;"|"&amp;$E1476,Aux_HH!$A$4:$A$18,0)))</f>
        <v>0</v>
      </c>
      <c r="J1476" s="0" t="n">
        <f aca="false">IF($F1476=0,0,INDEX(Aux_HH!$G$4:$G$18,MATCH($B1476&amp;"|"&amp;$E1476,Aux_HH!$A$4:$A$18,0)))</f>
        <v>0</v>
      </c>
      <c r="K1476" s="0" t="n">
        <f aca="false">IF($F1476=0,0,INDEX(Aux_HH!$H$4:$H$18,MATCH($B1476&amp;"|"&amp;$E1476,Aux_HH!$A$4:$A$18,0)))</f>
        <v>0</v>
      </c>
      <c r="L1476" s="0" t="n">
        <f aca="false">IF($F1476=0,0,INDEX(Aux_HH!$I$4:$I$18,MATCH($B1476&amp;"|"&amp;$E1476,Aux_HH!$A$4:$A$18,0)))</f>
        <v>0</v>
      </c>
    </row>
    <row r="1477" customFormat="false" ht="15" hidden="false" customHeight="false" outlineLevel="0" collapsed="false">
      <c r="A1477" s="0" t="str">
        <f aca="false">IF(Frota!$A33="","",Frota!$A33)</f>
        <v/>
      </c>
      <c r="B1477" s="0" t="str">
        <f aca="false">IF(Frota!$A33="","",Frota!$B33)</f>
        <v/>
      </c>
      <c r="C1477" s="0" t="n">
        <v>18</v>
      </c>
      <c r="D1477" s="0" t="n">
        <f aca="false">INDEX(Semanas!$E$3:$E$54,18)</f>
        <v>7</v>
      </c>
      <c r="E1477" s="0" t="str">
        <f aca="false">IF(Frota!$A33="","",Cronograma!S33)</f>
        <v/>
      </c>
      <c r="F1477" s="0" t="n">
        <f aca="false">IF(OR($E1477="",$E1477=0),0,1)</f>
        <v>0</v>
      </c>
      <c r="G1477" s="0" t="n">
        <f aca="false">IF($F1477=0,0,INDEX(Aux_HH!$D$4:$D$18,MATCH($B1477&amp;"|"&amp;$E1477,Aux_HH!$A$4:$A$18,0)))</f>
        <v>0</v>
      </c>
      <c r="H1477" s="0" t="n">
        <f aca="false">IF($F1477=0,0,INDEX(Aux_HH!$E$4:$E$18,MATCH($B1477&amp;"|"&amp;$E1477,Aux_HH!$A$4:$A$18,0)))</f>
        <v>0</v>
      </c>
      <c r="I1477" s="0" t="n">
        <f aca="false">IF($F1477=0,0,INDEX(Aux_HH!$F$4:$F$18,MATCH($B1477&amp;"|"&amp;$E1477,Aux_HH!$A$4:$A$18,0)))</f>
        <v>0</v>
      </c>
      <c r="J1477" s="0" t="n">
        <f aca="false">IF($F1477=0,0,INDEX(Aux_HH!$G$4:$G$18,MATCH($B1477&amp;"|"&amp;$E1477,Aux_HH!$A$4:$A$18,0)))</f>
        <v>0</v>
      </c>
      <c r="K1477" s="0" t="n">
        <f aca="false">IF($F1477=0,0,INDEX(Aux_HH!$H$4:$H$18,MATCH($B1477&amp;"|"&amp;$E1477,Aux_HH!$A$4:$A$18,0)))</f>
        <v>0</v>
      </c>
      <c r="L1477" s="0" t="n">
        <f aca="false">IF($F1477=0,0,INDEX(Aux_HH!$I$4:$I$18,MATCH($B1477&amp;"|"&amp;$E1477,Aux_HH!$A$4:$A$18,0)))</f>
        <v>0</v>
      </c>
    </row>
    <row r="1478" customFormat="false" ht="15" hidden="false" customHeight="false" outlineLevel="0" collapsed="false">
      <c r="A1478" s="0" t="str">
        <f aca="false">IF(Frota!$A33="","",Frota!$A33)</f>
        <v/>
      </c>
      <c r="B1478" s="0" t="str">
        <f aca="false">IF(Frota!$A33="","",Frota!$B33)</f>
        <v/>
      </c>
      <c r="C1478" s="0" t="n">
        <v>19</v>
      </c>
      <c r="D1478" s="0" t="n">
        <f aca="false">INDEX(Semanas!$E$3:$E$54,19)</f>
        <v>8</v>
      </c>
      <c r="E1478" s="0" t="str">
        <f aca="false">IF(Frota!$A33="","",Cronograma!T33)</f>
        <v/>
      </c>
      <c r="F1478" s="0" t="n">
        <f aca="false">IF(OR($E1478="",$E1478=0),0,1)</f>
        <v>0</v>
      </c>
      <c r="G1478" s="0" t="n">
        <f aca="false">IF($F1478=0,0,INDEX(Aux_HH!$D$4:$D$18,MATCH($B1478&amp;"|"&amp;$E1478,Aux_HH!$A$4:$A$18,0)))</f>
        <v>0</v>
      </c>
      <c r="H1478" s="0" t="n">
        <f aca="false">IF($F1478=0,0,INDEX(Aux_HH!$E$4:$E$18,MATCH($B1478&amp;"|"&amp;$E1478,Aux_HH!$A$4:$A$18,0)))</f>
        <v>0</v>
      </c>
      <c r="I1478" s="0" t="n">
        <f aca="false">IF($F1478=0,0,INDEX(Aux_HH!$F$4:$F$18,MATCH($B1478&amp;"|"&amp;$E1478,Aux_HH!$A$4:$A$18,0)))</f>
        <v>0</v>
      </c>
      <c r="J1478" s="0" t="n">
        <f aca="false">IF($F1478=0,0,INDEX(Aux_HH!$G$4:$G$18,MATCH($B1478&amp;"|"&amp;$E1478,Aux_HH!$A$4:$A$18,0)))</f>
        <v>0</v>
      </c>
      <c r="K1478" s="0" t="n">
        <f aca="false">IF($F1478=0,0,INDEX(Aux_HH!$H$4:$H$18,MATCH($B1478&amp;"|"&amp;$E1478,Aux_HH!$A$4:$A$18,0)))</f>
        <v>0</v>
      </c>
      <c r="L1478" s="0" t="n">
        <f aca="false">IF($F1478=0,0,INDEX(Aux_HH!$I$4:$I$18,MATCH($B1478&amp;"|"&amp;$E1478,Aux_HH!$A$4:$A$18,0)))</f>
        <v>0</v>
      </c>
    </row>
    <row r="1479" customFormat="false" ht="15" hidden="false" customHeight="false" outlineLevel="0" collapsed="false">
      <c r="A1479" s="0" t="str">
        <f aca="false">IF(Frota!$A33="","",Frota!$A33)</f>
        <v/>
      </c>
      <c r="B1479" s="0" t="str">
        <f aca="false">IF(Frota!$A33="","",Frota!$B33)</f>
        <v/>
      </c>
      <c r="C1479" s="0" t="n">
        <v>20</v>
      </c>
      <c r="D1479" s="0" t="n">
        <f aca="false">INDEX(Semanas!$E$3:$E$54,20)</f>
        <v>8</v>
      </c>
      <c r="E1479" s="0" t="str">
        <f aca="false">IF(Frota!$A33="","",Cronograma!U33)</f>
        <v/>
      </c>
      <c r="F1479" s="0" t="n">
        <f aca="false">IF(OR($E1479="",$E1479=0),0,1)</f>
        <v>0</v>
      </c>
      <c r="G1479" s="0" t="n">
        <f aca="false">IF($F1479=0,0,INDEX(Aux_HH!$D$4:$D$18,MATCH($B1479&amp;"|"&amp;$E1479,Aux_HH!$A$4:$A$18,0)))</f>
        <v>0</v>
      </c>
      <c r="H1479" s="0" t="n">
        <f aca="false">IF($F1479=0,0,INDEX(Aux_HH!$E$4:$E$18,MATCH($B1479&amp;"|"&amp;$E1479,Aux_HH!$A$4:$A$18,0)))</f>
        <v>0</v>
      </c>
      <c r="I1479" s="0" t="n">
        <f aca="false">IF($F1479=0,0,INDEX(Aux_HH!$F$4:$F$18,MATCH($B1479&amp;"|"&amp;$E1479,Aux_HH!$A$4:$A$18,0)))</f>
        <v>0</v>
      </c>
      <c r="J1479" s="0" t="n">
        <f aca="false">IF($F1479=0,0,INDEX(Aux_HH!$G$4:$G$18,MATCH($B1479&amp;"|"&amp;$E1479,Aux_HH!$A$4:$A$18,0)))</f>
        <v>0</v>
      </c>
      <c r="K1479" s="0" t="n">
        <f aca="false">IF($F1479=0,0,INDEX(Aux_HH!$H$4:$H$18,MATCH($B1479&amp;"|"&amp;$E1479,Aux_HH!$A$4:$A$18,0)))</f>
        <v>0</v>
      </c>
      <c r="L1479" s="0" t="n">
        <f aca="false">IF($F1479=0,0,INDEX(Aux_HH!$I$4:$I$18,MATCH($B1479&amp;"|"&amp;$E1479,Aux_HH!$A$4:$A$18,0)))</f>
        <v>0</v>
      </c>
    </row>
    <row r="1480" customFormat="false" ht="15" hidden="false" customHeight="false" outlineLevel="0" collapsed="false">
      <c r="A1480" s="0" t="str">
        <f aca="false">IF(Frota!$A33="","",Frota!$A33)</f>
        <v/>
      </c>
      <c r="B1480" s="0" t="str">
        <f aca="false">IF(Frota!$A33="","",Frota!$B33)</f>
        <v/>
      </c>
      <c r="C1480" s="0" t="n">
        <v>21</v>
      </c>
      <c r="D1480" s="0" t="n">
        <f aca="false">INDEX(Semanas!$E$3:$E$54,21)</f>
        <v>8</v>
      </c>
      <c r="E1480" s="0" t="str">
        <f aca="false">IF(Frota!$A33="","",Cronograma!V33)</f>
        <v/>
      </c>
      <c r="F1480" s="0" t="n">
        <f aca="false">IF(OR($E1480="",$E1480=0),0,1)</f>
        <v>0</v>
      </c>
      <c r="G1480" s="0" t="n">
        <f aca="false">IF($F1480=0,0,INDEX(Aux_HH!$D$4:$D$18,MATCH($B1480&amp;"|"&amp;$E1480,Aux_HH!$A$4:$A$18,0)))</f>
        <v>0</v>
      </c>
      <c r="H1480" s="0" t="n">
        <f aca="false">IF($F1480=0,0,INDEX(Aux_HH!$E$4:$E$18,MATCH($B1480&amp;"|"&amp;$E1480,Aux_HH!$A$4:$A$18,0)))</f>
        <v>0</v>
      </c>
      <c r="I1480" s="0" t="n">
        <f aca="false">IF($F1480=0,0,INDEX(Aux_HH!$F$4:$F$18,MATCH($B1480&amp;"|"&amp;$E1480,Aux_HH!$A$4:$A$18,0)))</f>
        <v>0</v>
      </c>
      <c r="J1480" s="0" t="n">
        <f aca="false">IF($F1480=0,0,INDEX(Aux_HH!$G$4:$G$18,MATCH($B1480&amp;"|"&amp;$E1480,Aux_HH!$A$4:$A$18,0)))</f>
        <v>0</v>
      </c>
      <c r="K1480" s="0" t="n">
        <f aca="false">IF($F1480=0,0,INDEX(Aux_HH!$H$4:$H$18,MATCH($B1480&amp;"|"&amp;$E1480,Aux_HH!$A$4:$A$18,0)))</f>
        <v>0</v>
      </c>
      <c r="L1480" s="0" t="n">
        <f aca="false">IF($F1480=0,0,INDEX(Aux_HH!$I$4:$I$18,MATCH($B1480&amp;"|"&amp;$E1480,Aux_HH!$A$4:$A$18,0)))</f>
        <v>0</v>
      </c>
    </row>
    <row r="1481" customFormat="false" ht="15" hidden="false" customHeight="false" outlineLevel="0" collapsed="false">
      <c r="A1481" s="0" t="str">
        <f aca="false">IF(Frota!$A33="","",Frota!$A33)</f>
        <v/>
      </c>
      <c r="B1481" s="0" t="str">
        <f aca="false">IF(Frota!$A33="","",Frota!$B33)</f>
        <v/>
      </c>
      <c r="C1481" s="0" t="n">
        <v>22</v>
      </c>
      <c r="D1481" s="0" t="n">
        <f aca="false">INDEX(Semanas!$E$3:$E$54,22)</f>
        <v>8</v>
      </c>
      <c r="E1481" s="0" t="str">
        <f aca="false">IF(Frota!$A33="","",Cronograma!W33)</f>
        <v/>
      </c>
      <c r="F1481" s="0" t="n">
        <f aca="false">IF(OR($E1481="",$E1481=0),0,1)</f>
        <v>0</v>
      </c>
      <c r="G1481" s="0" t="n">
        <f aca="false">IF($F1481=0,0,INDEX(Aux_HH!$D$4:$D$18,MATCH($B1481&amp;"|"&amp;$E1481,Aux_HH!$A$4:$A$18,0)))</f>
        <v>0</v>
      </c>
      <c r="H1481" s="0" t="n">
        <f aca="false">IF($F1481=0,0,INDEX(Aux_HH!$E$4:$E$18,MATCH($B1481&amp;"|"&amp;$E1481,Aux_HH!$A$4:$A$18,0)))</f>
        <v>0</v>
      </c>
      <c r="I1481" s="0" t="n">
        <f aca="false">IF($F1481=0,0,INDEX(Aux_HH!$F$4:$F$18,MATCH($B1481&amp;"|"&amp;$E1481,Aux_HH!$A$4:$A$18,0)))</f>
        <v>0</v>
      </c>
      <c r="J1481" s="0" t="n">
        <f aca="false">IF($F1481=0,0,INDEX(Aux_HH!$G$4:$G$18,MATCH($B1481&amp;"|"&amp;$E1481,Aux_HH!$A$4:$A$18,0)))</f>
        <v>0</v>
      </c>
      <c r="K1481" s="0" t="n">
        <f aca="false">IF($F1481=0,0,INDEX(Aux_HH!$H$4:$H$18,MATCH($B1481&amp;"|"&amp;$E1481,Aux_HH!$A$4:$A$18,0)))</f>
        <v>0</v>
      </c>
      <c r="L1481" s="0" t="n">
        <f aca="false">IF($F1481=0,0,INDEX(Aux_HH!$I$4:$I$18,MATCH($B1481&amp;"|"&amp;$E1481,Aux_HH!$A$4:$A$18,0)))</f>
        <v>0</v>
      </c>
    </row>
    <row r="1482" customFormat="false" ht="15" hidden="false" customHeight="false" outlineLevel="0" collapsed="false">
      <c r="A1482" s="0" t="str">
        <f aca="false">IF(Frota!$A33="","",Frota!$A33)</f>
        <v/>
      </c>
      <c r="B1482" s="0" t="str">
        <f aca="false">IF(Frota!$A33="","",Frota!$B33)</f>
        <v/>
      </c>
      <c r="C1482" s="0" t="n">
        <v>23</v>
      </c>
      <c r="D1482" s="0" t="n">
        <f aca="false">INDEX(Semanas!$E$3:$E$54,23)</f>
        <v>9</v>
      </c>
      <c r="E1482" s="0" t="str">
        <f aca="false">IF(Frota!$A33="","",Cronograma!X33)</f>
        <v/>
      </c>
      <c r="F1482" s="0" t="n">
        <f aca="false">IF(OR($E1482="",$E1482=0),0,1)</f>
        <v>0</v>
      </c>
      <c r="G1482" s="0" t="n">
        <f aca="false">IF($F1482=0,0,INDEX(Aux_HH!$D$4:$D$18,MATCH($B1482&amp;"|"&amp;$E1482,Aux_HH!$A$4:$A$18,0)))</f>
        <v>0</v>
      </c>
      <c r="H1482" s="0" t="n">
        <f aca="false">IF($F1482=0,0,INDEX(Aux_HH!$E$4:$E$18,MATCH($B1482&amp;"|"&amp;$E1482,Aux_HH!$A$4:$A$18,0)))</f>
        <v>0</v>
      </c>
      <c r="I1482" s="0" t="n">
        <f aca="false">IF($F1482=0,0,INDEX(Aux_HH!$F$4:$F$18,MATCH($B1482&amp;"|"&amp;$E1482,Aux_HH!$A$4:$A$18,0)))</f>
        <v>0</v>
      </c>
      <c r="J1482" s="0" t="n">
        <f aca="false">IF($F1482=0,0,INDEX(Aux_HH!$G$4:$G$18,MATCH($B1482&amp;"|"&amp;$E1482,Aux_HH!$A$4:$A$18,0)))</f>
        <v>0</v>
      </c>
      <c r="K1482" s="0" t="n">
        <f aca="false">IF($F1482=0,0,INDEX(Aux_HH!$H$4:$H$18,MATCH($B1482&amp;"|"&amp;$E1482,Aux_HH!$A$4:$A$18,0)))</f>
        <v>0</v>
      </c>
      <c r="L1482" s="0" t="n">
        <f aca="false">IF($F1482=0,0,INDEX(Aux_HH!$I$4:$I$18,MATCH($B1482&amp;"|"&amp;$E1482,Aux_HH!$A$4:$A$18,0)))</f>
        <v>0</v>
      </c>
    </row>
    <row r="1483" customFormat="false" ht="15" hidden="false" customHeight="false" outlineLevel="0" collapsed="false">
      <c r="A1483" s="0" t="str">
        <f aca="false">IF(Frota!$A33="","",Frota!$A33)</f>
        <v/>
      </c>
      <c r="B1483" s="0" t="str">
        <f aca="false">IF(Frota!$A33="","",Frota!$B33)</f>
        <v/>
      </c>
      <c r="C1483" s="0" t="n">
        <v>24</v>
      </c>
      <c r="D1483" s="0" t="n">
        <f aca="false">INDEX(Semanas!$E$3:$E$54,24)</f>
        <v>9</v>
      </c>
      <c r="E1483" s="0" t="str">
        <f aca="false">IF(Frota!$A33="","",Cronograma!Y33)</f>
        <v/>
      </c>
      <c r="F1483" s="0" t="n">
        <f aca="false">IF(OR($E1483="",$E1483=0),0,1)</f>
        <v>0</v>
      </c>
      <c r="G1483" s="0" t="n">
        <f aca="false">IF($F1483=0,0,INDEX(Aux_HH!$D$4:$D$18,MATCH($B1483&amp;"|"&amp;$E1483,Aux_HH!$A$4:$A$18,0)))</f>
        <v>0</v>
      </c>
      <c r="H1483" s="0" t="n">
        <f aca="false">IF($F1483=0,0,INDEX(Aux_HH!$E$4:$E$18,MATCH($B1483&amp;"|"&amp;$E1483,Aux_HH!$A$4:$A$18,0)))</f>
        <v>0</v>
      </c>
      <c r="I1483" s="0" t="n">
        <f aca="false">IF($F1483=0,0,INDEX(Aux_HH!$F$4:$F$18,MATCH($B1483&amp;"|"&amp;$E1483,Aux_HH!$A$4:$A$18,0)))</f>
        <v>0</v>
      </c>
      <c r="J1483" s="0" t="n">
        <f aca="false">IF($F1483=0,0,INDEX(Aux_HH!$G$4:$G$18,MATCH($B1483&amp;"|"&amp;$E1483,Aux_HH!$A$4:$A$18,0)))</f>
        <v>0</v>
      </c>
      <c r="K1483" s="0" t="n">
        <f aca="false">IF($F1483=0,0,INDEX(Aux_HH!$H$4:$H$18,MATCH($B1483&amp;"|"&amp;$E1483,Aux_HH!$A$4:$A$18,0)))</f>
        <v>0</v>
      </c>
      <c r="L1483" s="0" t="n">
        <f aca="false">IF($F1483=0,0,INDEX(Aux_HH!$I$4:$I$18,MATCH($B1483&amp;"|"&amp;$E1483,Aux_HH!$A$4:$A$18,0)))</f>
        <v>0</v>
      </c>
    </row>
    <row r="1484" customFormat="false" ht="15" hidden="false" customHeight="false" outlineLevel="0" collapsed="false">
      <c r="A1484" s="0" t="str">
        <f aca="false">IF(Frota!$A33="","",Frota!$A33)</f>
        <v/>
      </c>
      <c r="B1484" s="0" t="str">
        <f aca="false">IF(Frota!$A33="","",Frota!$B33)</f>
        <v/>
      </c>
      <c r="C1484" s="0" t="n">
        <v>25</v>
      </c>
      <c r="D1484" s="0" t="n">
        <f aca="false">INDEX(Semanas!$E$3:$E$54,25)</f>
        <v>9</v>
      </c>
      <c r="E1484" s="0" t="str">
        <f aca="false">IF(Frota!$A33="","",Cronograma!Z33)</f>
        <v/>
      </c>
      <c r="F1484" s="0" t="n">
        <f aca="false">IF(OR($E1484="",$E1484=0),0,1)</f>
        <v>0</v>
      </c>
      <c r="G1484" s="0" t="n">
        <f aca="false">IF($F1484=0,0,INDEX(Aux_HH!$D$4:$D$18,MATCH($B1484&amp;"|"&amp;$E1484,Aux_HH!$A$4:$A$18,0)))</f>
        <v>0</v>
      </c>
      <c r="H1484" s="0" t="n">
        <f aca="false">IF($F1484=0,0,INDEX(Aux_HH!$E$4:$E$18,MATCH($B1484&amp;"|"&amp;$E1484,Aux_HH!$A$4:$A$18,0)))</f>
        <v>0</v>
      </c>
      <c r="I1484" s="0" t="n">
        <f aca="false">IF($F1484=0,0,INDEX(Aux_HH!$F$4:$F$18,MATCH($B1484&amp;"|"&amp;$E1484,Aux_HH!$A$4:$A$18,0)))</f>
        <v>0</v>
      </c>
      <c r="J1484" s="0" t="n">
        <f aca="false">IF($F1484=0,0,INDEX(Aux_HH!$G$4:$G$18,MATCH($B1484&amp;"|"&amp;$E1484,Aux_HH!$A$4:$A$18,0)))</f>
        <v>0</v>
      </c>
      <c r="K1484" s="0" t="n">
        <f aca="false">IF($F1484=0,0,INDEX(Aux_HH!$H$4:$H$18,MATCH($B1484&amp;"|"&amp;$E1484,Aux_HH!$A$4:$A$18,0)))</f>
        <v>0</v>
      </c>
      <c r="L1484" s="0" t="n">
        <f aca="false">IF($F1484=0,0,INDEX(Aux_HH!$I$4:$I$18,MATCH($B1484&amp;"|"&amp;$E1484,Aux_HH!$A$4:$A$18,0)))</f>
        <v>0</v>
      </c>
    </row>
    <row r="1485" customFormat="false" ht="15" hidden="false" customHeight="false" outlineLevel="0" collapsed="false">
      <c r="A1485" s="0" t="str">
        <f aca="false">IF(Frota!$A33="","",Frota!$A33)</f>
        <v/>
      </c>
      <c r="B1485" s="0" t="str">
        <f aca="false">IF(Frota!$A33="","",Frota!$B33)</f>
        <v/>
      </c>
      <c r="C1485" s="0" t="n">
        <v>26</v>
      </c>
      <c r="D1485" s="0" t="n">
        <f aca="false">INDEX(Semanas!$E$3:$E$54,26)</f>
        <v>9</v>
      </c>
      <c r="E1485" s="0" t="str">
        <f aca="false">IF(Frota!$A33="","",Cronograma!AA33)</f>
        <v/>
      </c>
      <c r="F1485" s="0" t="n">
        <f aca="false">IF(OR($E1485="",$E1485=0),0,1)</f>
        <v>0</v>
      </c>
      <c r="G1485" s="0" t="n">
        <f aca="false">IF($F1485=0,0,INDEX(Aux_HH!$D$4:$D$18,MATCH($B1485&amp;"|"&amp;$E1485,Aux_HH!$A$4:$A$18,0)))</f>
        <v>0</v>
      </c>
      <c r="H1485" s="0" t="n">
        <f aca="false">IF($F1485=0,0,INDEX(Aux_HH!$E$4:$E$18,MATCH($B1485&amp;"|"&amp;$E1485,Aux_HH!$A$4:$A$18,0)))</f>
        <v>0</v>
      </c>
      <c r="I1485" s="0" t="n">
        <f aca="false">IF($F1485=0,0,INDEX(Aux_HH!$F$4:$F$18,MATCH($B1485&amp;"|"&amp;$E1485,Aux_HH!$A$4:$A$18,0)))</f>
        <v>0</v>
      </c>
      <c r="J1485" s="0" t="n">
        <f aca="false">IF($F1485=0,0,INDEX(Aux_HH!$G$4:$G$18,MATCH($B1485&amp;"|"&amp;$E1485,Aux_HH!$A$4:$A$18,0)))</f>
        <v>0</v>
      </c>
      <c r="K1485" s="0" t="n">
        <f aca="false">IF($F1485=0,0,INDEX(Aux_HH!$H$4:$H$18,MATCH($B1485&amp;"|"&amp;$E1485,Aux_HH!$A$4:$A$18,0)))</f>
        <v>0</v>
      </c>
      <c r="L1485" s="0" t="n">
        <f aca="false">IF($F1485=0,0,INDEX(Aux_HH!$I$4:$I$18,MATCH($B1485&amp;"|"&amp;$E1485,Aux_HH!$A$4:$A$18,0)))</f>
        <v>0</v>
      </c>
    </row>
    <row r="1486" customFormat="false" ht="15" hidden="false" customHeight="false" outlineLevel="0" collapsed="false">
      <c r="A1486" s="0" t="str">
        <f aca="false">IF(Frota!$A33="","",Frota!$A33)</f>
        <v/>
      </c>
      <c r="B1486" s="0" t="str">
        <f aca="false">IF(Frota!$A33="","",Frota!$B33)</f>
        <v/>
      </c>
      <c r="C1486" s="0" t="n">
        <v>27</v>
      </c>
      <c r="D1486" s="0" t="n">
        <f aca="false">INDEX(Semanas!$E$3:$E$54,27)</f>
        <v>9</v>
      </c>
      <c r="E1486" s="0" t="str">
        <f aca="false">IF(Frota!$A33="","",Cronograma!AB33)</f>
        <v/>
      </c>
      <c r="F1486" s="0" t="n">
        <f aca="false">IF(OR($E1486="",$E1486=0),0,1)</f>
        <v>0</v>
      </c>
      <c r="G1486" s="0" t="n">
        <f aca="false">IF($F1486=0,0,INDEX(Aux_HH!$D$4:$D$18,MATCH($B1486&amp;"|"&amp;$E1486,Aux_HH!$A$4:$A$18,0)))</f>
        <v>0</v>
      </c>
      <c r="H1486" s="0" t="n">
        <f aca="false">IF($F1486=0,0,INDEX(Aux_HH!$E$4:$E$18,MATCH($B1486&amp;"|"&amp;$E1486,Aux_HH!$A$4:$A$18,0)))</f>
        <v>0</v>
      </c>
      <c r="I1486" s="0" t="n">
        <f aca="false">IF($F1486=0,0,INDEX(Aux_HH!$F$4:$F$18,MATCH($B1486&amp;"|"&amp;$E1486,Aux_HH!$A$4:$A$18,0)))</f>
        <v>0</v>
      </c>
      <c r="J1486" s="0" t="n">
        <f aca="false">IF($F1486=0,0,INDEX(Aux_HH!$G$4:$G$18,MATCH($B1486&amp;"|"&amp;$E1486,Aux_HH!$A$4:$A$18,0)))</f>
        <v>0</v>
      </c>
      <c r="K1486" s="0" t="n">
        <f aca="false">IF($F1486=0,0,INDEX(Aux_HH!$H$4:$H$18,MATCH($B1486&amp;"|"&amp;$E1486,Aux_HH!$A$4:$A$18,0)))</f>
        <v>0</v>
      </c>
      <c r="L1486" s="0" t="n">
        <f aca="false">IF($F1486=0,0,INDEX(Aux_HH!$I$4:$I$18,MATCH($B1486&amp;"|"&amp;$E1486,Aux_HH!$A$4:$A$18,0)))</f>
        <v>0</v>
      </c>
    </row>
    <row r="1487" customFormat="false" ht="15" hidden="false" customHeight="false" outlineLevel="0" collapsed="false">
      <c r="A1487" s="0" t="str">
        <f aca="false">IF(Frota!$A33="","",Frota!$A33)</f>
        <v/>
      </c>
      <c r="B1487" s="0" t="str">
        <f aca="false">IF(Frota!$A33="","",Frota!$B33)</f>
        <v/>
      </c>
      <c r="C1487" s="0" t="n">
        <v>28</v>
      </c>
      <c r="D1487" s="0" t="n">
        <f aca="false">INDEX(Semanas!$E$3:$E$54,28)</f>
        <v>10</v>
      </c>
      <c r="E1487" s="0" t="str">
        <f aca="false">IF(Frota!$A33="","",Cronograma!AC33)</f>
        <v/>
      </c>
      <c r="F1487" s="0" t="n">
        <f aca="false">IF(OR($E1487="",$E1487=0),0,1)</f>
        <v>0</v>
      </c>
      <c r="G1487" s="0" t="n">
        <f aca="false">IF($F1487=0,0,INDEX(Aux_HH!$D$4:$D$18,MATCH($B1487&amp;"|"&amp;$E1487,Aux_HH!$A$4:$A$18,0)))</f>
        <v>0</v>
      </c>
      <c r="H1487" s="0" t="n">
        <f aca="false">IF($F1487=0,0,INDEX(Aux_HH!$E$4:$E$18,MATCH($B1487&amp;"|"&amp;$E1487,Aux_HH!$A$4:$A$18,0)))</f>
        <v>0</v>
      </c>
      <c r="I1487" s="0" t="n">
        <f aca="false">IF($F1487=0,0,INDEX(Aux_HH!$F$4:$F$18,MATCH($B1487&amp;"|"&amp;$E1487,Aux_HH!$A$4:$A$18,0)))</f>
        <v>0</v>
      </c>
      <c r="J1487" s="0" t="n">
        <f aca="false">IF($F1487=0,0,INDEX(Aux_HH!$G$4:$G$18,MATCH($B1487&amp;"|"&amp;$E1487,Aux_HH!$A$4:$A$18,0)))</f>
        <v>0</v>
      </c>
      <c r="K1487" s="0" t="n">
        <f aca="false">IF($F1487=0,0,INDEX(Aux_HH!$H$4:$H$18,MATCH($B1487&amp;"|"&amp;$E1487,Aux_HH!$A$4:$A$18,0)))</f>
        <v>0</v>
      </c>
      <c r="L1487" s="0" t="n">
        <f aca="false">IF($F1487=0,0,INDEX(Aux_HH!$I$4:$I$18,MATCH($B1487&amp;"|"&amp;$E1487,Aux_HH!$A$4:$A$18,0)))</f>
        <v>0</v>
      </c>
    </row>
    <row r="1488" customFormat="false" ht="15" hidden="false" customHeight="false" outlineLevel="0" collapsed="false">
      <c r="A1488" s="0" t="str">
        <f aca="false">IF(Frota!$A33="","",Frota!$A33)</f>
        <v/>
      </c>
      <c r="B1488" s="0" t="str">
        <f aca="false">IF(Frota!$A33="","",Frota!$B33)</f>
        <v/>
      </c>
      <c r="C1488" s="0" t="n">
        <v>29</v>
      </c>
      <c r="D1488" s="0" t="n">
        <f aca="false">INDEX(Semanas!$E$3:$E$54,29)</f>
        <v>10</v>
      </c>
      <c r="E1488" s="0" t="str">
        <f aca="false">IF(Frota!$A33="","",Cronograma!AD33)</f>
        <v/>
      </c>
      <c r="F1488" s="0" t="n">
        <f aca="false">IF(OR($E1488="",$E1488=0),0,1)</f>
        <v>0</v>
      </c>
      <c r="G1488" s="0" t="n">
        <f aca="false">IF($F1488=0,0,INDEX(Aux_HH!$D$4:$D$18,MATCH($B1488&amp;"|"&amp;$E1488,Aux_HH!$A$4:$A$18,0)))</f>
        <v>0</v>
      </c>
      <c r="H1488" s="0" t="n">
        <f aca="false">IF($F1488=0,0,INDEX(Aux_HH!$E$4:$E$18,MATCH($B1488&amp;"|"&amp;$E1488,Aux_HH!$A$4:$A$18,0)))</f>
        <v>0</v>
      </c>
      <c r="I1488" s="0" t="n">
        <f aca="false">IF($F1488=0,0,INDEX(Aux_HH!$F$4:$F$18,MATCH($B1488&amp;"|"&amp;$E1488,Aux_HH!$A$4:$A$18,0)))</f>
        <v>0</v>
      </c>
      <c r="J1488" s="0" t="n">
        <f aca="false">IF($F1488=0,0,INDEX(Aux_HH!$G$4:$G$18,MATCH($B1488&amp;"|"&amp;$E1488,Aux_HH!$A$4:$A$18,0)))</f>
        <v>0</v>
      </c>
      <c r="K1488" s="0" t="n">
        <f aca="false">IF($F1488=0,0,INDEX(Aux_HH!$H$4:$H$18,MATCH($B1488&amp;"|"&amp;$E1488,Aux_HH!$A$4:$A$18,0)))</f>
        <v>0</v>
      </c>
      <c r="L1488" s="0" t="n">
        <f aca="false">IF($F1488=0,0,INDEX(Aux_HH!$I$4:$I$18,MATCH($B1488&amp;"|"&amp;$E1488,Aux_HH!$A$4:$A$18,0)))</f>
        <v>0</v>
      </c>
    </row>
    <row r="1489" customFormat="false" ht="15" hidden="false" customHeight="false" outlineLevel="0" collapsed="false">
      <c r="A1489" s="0" t="str">
        <f aca="false">IF(Frota!$A33="","",Frota!$A33)</f>
        <v/>
      </c>
      <c r="B1489" s="0" t="str">
        <f aca="false">IF(Frota!$A33="","",Frota!$B33)</f>
        <v/>
      </c>
      <c r="C1489" s="0" t="n">
        <v>30</v>
      </c>
      <c r="D1489" s="0" t="n">
        <f aca="false">INDEX(Semanas!$E$3:$E$54,30)</f>
        <v>10</v>
      </c>
      <c r="E1489" s="0" t="str">
        <f aca="false">IF(Frota!$A33="","",Cronograma!AE33)</f>
        <v/>
      </c>
      <c r="F1489" s="0" t="n">
        <f aca="false">IF(OR($E1489="",$E1489=0),0,1)</f>
        <v>0</v>
      </c>
      <c r="G1489" s="0" t="n">
        <f aca="false">IF($F1489=0,0,INDEX(Aux_HH!$D$4:$D$18,MATCH($B1489&amp;"|"&amp;$E1489,Aux_HH!$A$4:$A$18,0)))</f>
        <v>0</v>
      </c>
      <c r="H1489" s="0" t="n">
        <f aca="false">IF($F1489=0,0,INDEX(Aux_HH!$E$4:$E$18,MATCH($B1489&amp;"|"&amp;$E1489,Aux_HH!$A$4:$A$18,0)))</f>
        <v>0</v>
      </c>
      <c r="I1489" s="0" t="n">
        <f aca="false">IF($F1489=0,0,INDEX(Aux_HH!$F$4:$F$18,MATCH($B1489&amp;"|"&amp;$E1489,Aux_HH!$A$4:$A$18,0)))</f>
        <v>0</v>
      </c>
      <c r="J1489" s="0" t="n">
        <f aca="false">IF($F1489=0,0,INDEX(Aux_HH!$G$4:$G$18,MATCH($B1489&amp;"|"&amp;$E1489,Aux_HH!$A$4:$A$18,0)))</f>
        <v>0</v>
      </c>
      <c r="K1489" s="0" t="n">
        <f aca="false">IF($F1489=0,0,INDEX(Aux_HH!$H$4:$H$18,MATCH($B1489&amp;"|"&amp;$E1489,Aux_HH!$A$4:$A$18,0)))</f>
        <v>0</v>
      </c>
      <c r="L1489" s="0" t="n">
        <f aca="false">IF($F1489=0,0,INDEX(Aux_HH!$I$4:$I$18,MATCH($B1489&amp;"|"&amp;$E1489,Aux_HH!$A$4:$A$18,0)))</f>
        <v>0</v>
      </c>
    </row>
    <row r="1490" customFormat="false" ht="15" hidden="false" customHeight="false" outlineLevel="0" collapsed="false">
      <c r="A1490" s="0" t="str">
        <f aca="false">IF(Frota!$A33="","",Frota!$A33)</f>
        <v/>
      </c>
      <c r="B1490" s="0" t="str">
        <f aca="false">IF(Frota!$A33="","",Frota!$B33)</f>
        <v/>
      </c>
      <c r="C1490" s="0" t="n">
        <v>31</v>
      </c>
      <c r="D1490" s="0" t="n">
        <f aca="false">INDEX(Semanas!$E$3:$E$54,31)</f>
        <v>10</v>
      </c>
      <c r="E1490" s="0" t="str">
        <f aca="false">IF(Frota!$A33="","",Cronograma!AF33)</f>
        <v/>
      </c>
      <c r="F1490" s="0" t="n">
        <f aca="false">IF(OR($E1490="",$E1490=0),0,1)</f>
        <v>0</v>
      </c>
      <c r="G1490" s="0" t="n">
        <f aca="false">IF($F1490=0,0,INDEX(Aux_HH!$D$4:$D$18,MATCH($B1490&amp;"|"&amp;$E1490,Aux_HH!$A$4:$A$18,0)))</f>
        <v>0</v>
      </c>
      <c r="H1490" s="0" t="n">
        <f aca="false">IF($F1490=0,0,INDEX(Aux_HH!$E$4:$E$18,MATCH($B1490&amp;"|"&amp;$E1490,Aux_HH!$A$4:$A$18,0)))</f>
        <v>0</v>
      </c>
      <c r="I1490" s="0" t="n">
        <f aca="false">IF($F1490=0,0,INDEX(Aux_HH!$F$4:$F$18,MATCH($B1490&amp;"|"&amp;$E1490,Aux_HH!$A$4:$A$18,0)))</f>
        <v>0</v>
      </c>
      <c r="J1490" s="0" t="n">
        <f aca="false">IF($F1490=0,0,INDEX(Aux_HH!$G$4:$G$18,MATCH($B1490&amp;"|"&amp;$E1490,Aux_HH!$A$4:$A$18,0)))</f>
        <v>0</v>
      </c>
      <c r="K1490" s="0" t="n">
        <f aca="false">IF($F1490=0,0,INDEX(Aux_HH!$H$4:$H$18,MATCH($B1490&amp;"|"&amp;$E1490,Aux_HH!$A$4:$A$18,0)))</f>
        <v>0</v>
      </c>
      <c r="L1490" s="0" t="n">
        <f aca="false">IF($F1490=0,0,INDEX(Aux_HH!$I$4:$I$18,MATCH($B1490&amp;"|"&amp;$E1490,Aux_HH!$A$4:$A$18,0)))</f>
        <v>0</v>
      </c>
    </row>
    <row r="1491" customFormat="false" ht="15" hidden="false" customHeight="false" outlineLevel="0" collapsed="false">
      <c r="A1491" s="0" t="str">
        <f aca="false">IF(Frota!$A33="","",Frota!$A33)</f>
        <v/>
      </c>
      <c r="B1491" s="0" t="str">
        <f aca="false">IF(Frota!$A33="","",Frota!$B33)</f>
        <v/>
      </c>
      <c r="C1491" s="0" t="n">
        <v>32</v>
      </c>
      <c r="D1491" s="0" t="n">
        <f aca="false">INDEX(Semanas!$E$3:$E$54,32)</f>
        <v>11</v>
      </c>
      <c r="E1491" s="0" t="str">
        <f aca="false">IF(Frota!$A33="","",Cronograma!AG33)</f>
        <v/>
      </c>
      <c r="F1491" s="0" t="n">
        <f aca="false">IF(OR($E1491="",$E1491=0),0,1)</f>
        <v>0</v>
      </c>
      <c r="G1491" s="0" t="n">
        <f aca="false">IF($F1491=0,0,INDEX(Aux_HH!$D$4:$D$18,MATCH($B1491&amp;"|"&amp;$E1491,Aux_HH!$A$4:$A$18,0)))</f>
        <v>0</v>
      </c>
      <c r="H1491" s="0" t="n">
        <f aca="false">IF($F1491=0,0,INDEX(Aux_HH!$E$4:$E$18,MATCH($B1491&amp;"|"&amp;$E1491,Aux_HH!$A$4:$A$18,0)))</f>
        <v>0</v>
      </c>
      <c r="I1491" s="0" t="n">
        <f aca="false">IF($F1491=0,0,INDEX(Aux_HH!$F$4:$F$18,MATCH($B1491&amp;"|"&amp;$E1491,Aux_HH!$A$4:$A$18,0)))</f>
        <v>0</v>
      </c>
      <c r="J1491" s="0" t="n">
        <f aca="false">IF($F1491=0,0,INDEX(Aux_HH!$G$4:$G$18,MATCH($B1491&amp;"|"&amp;$E1491,Aux_HH!$A$4:$A$18,0)))</f>
        <v>0</v>
      </c>
      <c r="K1491" s="0" t="n">
        <f aca="false">IF($F1491=0,0,INDEX(Aux_HH!$H$4:$H$18,MATCH($B1491&amp;"|"&amp;$E1491,Aux_HH!$A$4:$A$18,0)))</f>
        <v>0</v>
      </c>
      <c r="L1491" s="0" t="n">
        <f aca="false">IF($F1491=0,0,INDEX(Aux_HH!$I$4:$I$18,MATCH($B1491&amp;"|"&amp;$E1491,Aux_HH!$A$4:$A$18,0)))</f>
        <v>0</v>
      </c>
    </row>
    <row r="1492" customFormat="false" ht="15" hidden="false" customHeight="false" outlineLevel="0" collapsed="false">
      <c r="A1492" s="0" t="str">
        <f aca="false">IF(Frota!$A33="","",Frota!$A33)</f>
        <v/>
      </c>
      <c r="B1492" s="0" t="str">
        <f aca="false">IF(Frota!$A33="","",Frota!$B33)</f>
        <v/>
      </c>
      <c r="C1492" s="0" t="n">
        <v>33</v>
      </c>
      <c r="D1492" s="0" t="n">
        <f aca="false">INDEX(Semanas!$E$3:$E$54,33)</f>
        <v>11</v>
      </c>
      <c r="E1492" s="0" t="str">
        <f aca="false">IF(Frota!$A33="","",Cronograma!AH33)</f>
        <v/>
      </c>
      <c r="F1492" s="0" t="n">
        <f aca="false">IF(OR($E1492="",$E1492=0),0,1)</f>
        <v>0</v>
      </c>
      <c r="G1492" s="0" t="n">
        <f aca="false">IF($F1492=0,0,INDEX(Aux_HH!$D$4:$D$18,MATCH($B1492&amp;"|"&amp;$E1492,Aux_HH!$A$4:$A$18,0)))</f>
        <v>0</v>
      </c>
      <c r="H1492" s="0" t="n">
        <f aca="false">IF($F1492=0,0,INDEX(Aux_HH!$E$4:$E$18,MATCH($B1492&amp;"|"&amp;$E1492,Aux_HH!$A$4:$A$18,0)))</f>
        <v>0</v>
      </c>
      <c r="I1492" s="0" t="n">
        <f aca="false">IF($F1492=0,0,INDEX(Aux_HH!$F$4:$F$18,MATCH($B1492&amp;"|"&amp;$E1492,Aux_HH!$A$4:$A$18,0)))</f>
        <v>0</v>
      </c>
      <c r="J1492" s="0" t="n">
        <f aca="false">IF($F1492=0,0,INDEX(Aux_HH!$G$4:$G$18,MATCH($B1492&amp;"|"&amp;$E1492,Aux_HH!$A$4:$A$18,0)))</f>
        <v>0</v>
      </c>
      <c r="K1492" s="0" t="n">
        <f aca="false">IF($F1492=0,0,INDEX(Aux_HH!$H$4:$H$18,MATCH($B1492&amp;"|"&amp;$E1492,Aux_HH!$A$4:$A$18,0)))</f>
        <v>0</v>
      </c>
      <c r="L1492" s="0" t="n">
        <f aca="false">IF($F1492=0,0,INDEX(Aux_HH!$I$4:$I$18,MATCH($B1492&amp;"|"&amp;$E1492,Aux_HH!$A$4:$A$18,0)))</f>
        <v>0</v>
      </c>
    </row>
    <row r="1493" customFormat="false" ht="15" hidden="false" customHeight="false" outlineLevel="0" collapsed="false">
      <c r="A1493" s="0" t="str">
        <f aca="false">IF(Frota!$A33="","",Frota!$A33)</f>
        <v/>
      </c>
      <c r="B1493" s="0" t="str">
        <f aca="false">IF(Frota!$A33="","",Frota!$B33)</f>
        <v/>
      </c>
      <c r="C1493" s="0" t="n">
        <v>34</v>
      </c>
      <c r="D1493" s="0" t="n">
        <f aca="false">INDEX(Semanas!$E$3:$E$54,34)</f>
        <v>11</v>
      </c>
      <c r="E1493" s="0" t="str">
        <f aca="false">IF(Frota!$A33="","",Cronograma!AI33)</f>
        <v/>
      </c>
      <c r="F1493" s="0" t="n">
        <f aca="false">IF(OR($E1493="",$E1493=0),0,1)</f>
        <v>0</v>
      </c>
      <c r="G1493" s="0" t="n">
        <f aca="false">IF($F1493=0,0,INDEX(Aux_HH!$D$4:$D$18,MATCH($B1493&amp;"|"&amp;$E1493,Aux_HH!$A$4:$A$18,0)))</f>
        <v>0</v>
      </c>
      <c r="H1493" s="0" t="n">
        <f aca="false">IF($F1493=0,0,INDEX(Aux_HH!$E$4:$E$18,MATCH($B1493&amp;"|"&amp;$E1493,Aux_HH!$A$4:$A$18,0)))</f>
        <v>0</v>
      </c>
      <c r="I1493" s="0" t="n">
        <f aca="false">IF($F1493=0,0,INDEX(Aux_HH!$F$4:$F$18,MATCH($B1493&amp;"|"&amp;$E1493,Aux_HH!$A$4:$A$18,0)))</f>
        <v>0</v>
      </c>
      <c r="J1493" s="0" t="n">
        <f aca="false">IF($F1493=0,0,INDEX(Aux_HH!$G$4:$G$18,MATCH($B1493&amp;"|"&amp;$E1493,Aux_HH!$A$4:$A$18,0)))</f>
        <v>0</v>
      </c>
      <c r="K1493" s="0" t="n">
        <f aca="false">IF($F1493=0,0,INDEX(Aux_HH!$H$4:$H$18,MATCH($B1493&amp;"|"&amp;$E1493,Aux_HH!$A$4:$A$18,0)))</f>
        <v>0</v>
      </c>
      <c r="L1493" s="0" t="n">
        <f aca="false">IF($F1493=0,0,INDEX(Aux_HH!$I$4:$I$18,MATCH($B1493&amp;"|"&amp;$E1493,Aux_HH!$A$4:$A$18,0)))</f>
        <v>0</v>
      </c>
    </row>
    <row r="1494" customFormat="false" ht="15" hidden="false" customHeight="false" outlineLevel="0" collapsed="false">
      <c r="A1494" s="0" t="str">
        <f aca="false">IF(Frota!$A33="","",Frota!$A33)</f>
        <v/>
      </c>
      <c r="B1494" s="0" t="str">
        <f aca="false">IF(Frota!$A33="","",Frota!$B33)</f>
        <v/>
      </c>
      <c r="C1494" s="0" t="n">
        <v>35</v>
      </c>
      <c r="D1494" s="0" t="n">
        <f aca="false">INDEX(Semanas!$E$3:$E$54,35)</f>
        <v>11</v>
      </c>
      <c r="E1494" s="0" t="str">
        <f aca="false">IF(Frota!$A33="","",Cronograma!AJ33)</f>
        <v/>
      </c>
      <c r="F1494" s="0" t="n">
        <f aca="false">IF(OR($E1494="",$E1494=0),0,1)</f>
        <v>0</v>
      </c>
      <c r="G1494" s="0" t="n">
        <f aca="false">IF($F1494=0,0,INDEX(Aux_HH!$D$4:$D$18,MATCH($B1494&amp;"|"&amp;$E1494,Aux_HH!$A$4:$A$18,0)))</f>
        <v>0</v>
      </c>
      <c r="H1494" s="0" t="n">
        <f aca="false">IF($F1494=0,0,INDEX(Aux_HH!$E$4:$E$18,MATCH($B1494&amp;"|"&amp;$E1494,Aux_HH!$A$4:$A$18,0)))</f>
        <v>0</v>
      </c>
      <c r="I1494" s="0" t="n">
        <f aca="false">IF($F1494=0,0,INDEX(Aux_HH!$F$4:$F$18,MATCH($B1494&amp;"|"&amp;$E1494,Aux_HH!$A$4:$A$18,0)))</f>
        <v>0</v>
      </c>
      <c r="J1494" s="0" t="n">
        <f aca="false">IF($F1494=0,0,INDEX(Aux_HH!$G$4:$G$18,MATCH($B1494&amp;"|"&amp;$E1494,Aux_HH!$A$4:$A$18,0)))</f>
        <v>0</v>
      </c>
      <c r="K1494" s="0" t="n">
        <f aca="false">IF($F1494=0,0,INDEX(Aux_HH!$H$4:$H$18,MATCH($B1494&amp;"|"&amp;$E1494,Aux_HH!$A$4:$A$18,0)))</f>
        <v>0</v>
      </c>
      <c r="L1494" s="0" t="n">
        <f aca="false">IF($F1494=0,0,INDEX(Aux_HH!$I$4:$I$18,MATCH($B1494&amp;"|"&amp;$E1494,Aux_HH!$A$4:$A$18,0)))</f>
        <v>0</v>
      </c>
    </row>
    <row r="1495" customFormat="false" ht="15" hidden="false" customHeight="false" outlineLevel="0" collapsed="false">
      <c r="A1495" s="0" t="str">
        <f aca="false">IF(Frota!$A33="","",Frota!$A33)</f>
        <v/>
      </c>
      <c r="B1495" s="0" t="str">
        <f aca="false">IF(Frota!$A33="","",Frota!$B33)</f>
        <v/>
      </c>
      <c r="C1495" s="0" t="n">
        <v>36</v>
      </c>
      <c r="D1495" s="0" t="n">
        <f aca="false">INDEX(Semanas!$E$3:$E$54,36)</f>
        <v>12</v>
      </c>
      <c r="E1495" s="0" t="str">
        <f aca="false">IF(Frota!$A33="","",Cronograma!AK33)</f>
        <v/>
      </c>
      <c r="F1495" s="0" t="n">
        <f aca="false">IF(OR($E1495="",$E1495=0),0,1)</f>
        <v>0</v>
      </c>
      <c r="G1495" s="0" t="n">
        <f aca="false">IF($F1495=0,0,INDEX(Aux_HH!$D$4:$D$18,MATCH($B1495&amp;"|"&amp;$E1495,Aux_HH!$A$4:$A$18,0)))</f>
        <v>0</v>
      </c>
      <c r="H1495" s="0" t="n">
        <f aca="false">IF($F1495=0,0,INDEX(Aux_HH!$E$4:$E$18,MATCH($B1495&amp;"|"&amp;$E1495,Aux_HH!$A$4:$A$18,0)))</f>
        <v>0</v>
      </c>
      <c r="I1495" s="0" t="n">
        <f aca="false">IF($F1495=0,0,INDEX(Aux_HH!$F$4:$F$18,MATCH($B1495&amp;"|"&amp;$E1495,Aux_HH!$A$4:$A$18,0)))</f>
        <v>0</v>
      </c>
      <c r="J1495" s="0" t="n">
        <f aca="false">IF($F1495=0,0,INDEX(Aux_HH!$G$4:$G$18,MATCH($B1495&amp;"|"&amp;$E1495,Aux_HH!$A$4:$A$18,0)))</f>
        <v>0</v>
      </c>
      <c r="K1495" s="0" t="n">
        <f aca="false">IF($F1495=0,0,INDEX(Aux_HH!$H$4:$H$18,MATCH($B1495&amp;"|"&amp;$E1495,Aux_HH!$A$4:$A$18,0)))</f>
        <v>0</v>
      </c>
      <c r="L1495" s="0" t="n">
        <f aca="false">IF($F1495=0,0,INDEX(Aux_HH!$I$4:$I$18,MATCH($B1495&amp;"|"&amp;$E1495,Aux_HH!$A$4:$A$18,0)))</f>
        <v>0</v>
      </c>
    </row>
    <row r="1496" customFormat="false" ht="15" hidden="false" customHeight="false" outlineLevel="0" collapsed="false">
      <c r="A1496" s="0" t="str">
        <f aca="false">IF(Frota!$A33="","",Frota!$A33)</f>
        <v/>
      </c>
      <c r="B1496" s="0" t="str">
        <f aca="false">IF(Frota!$A33="","",Frota!$B33)</f>
        <v/>
      </c>
      <c r="C1496" s="0" t="n">
        <v>37</v>
      </c>
      <c r="D1496" s="0" t="n">
        <f aca="false">INDEX(Semanas!$E$3:$E$54,37)</f>
        <v>12</v>
      </c>
      <c r="E1496" s="0" t="str">
        <f aca="false">IF(Frota!$A33="","",Cronograma!AL33)</f>
        <v/>
      </c>
      <c r="F1496" s="0" t="n">
        <f aca="false">IF(OR($E1496="",$E1496=0),0,1)</f>
        <v>0</v>
      </c>
      <c r="G1496" s="0" t="n">
        <f aca="false">IF($F1496=0,0,INDEX(Aux_HH!$D$4:$D$18,MATCH($B1496&amp;"|"&amp;$E1496,Aux_HH!$A$4:$A$18,0)))</f>
        <v>0</v>
      </c>
      <c r="H1496" s="0" t="n">
        <f aca="false">IF($F1496=0,0,INDEX(Aux_HH!$E$4:$E$18,MATCH($B1496&amp;"|"&amp;$E1496,Aux_HH!$A$4:$A$18,0)))</f>
        <v>0</v>
      </c>
      <c r="I1496" s="0" t="n">
        <f aca="false">IF($F1496=0,0,INDEX(Aux_HH!$F$4:$F$18,MATCH($B1496&amp;"|"&amp;$E1496,Aux_HH!$A$4:$A$18,0)))</f>
        <v>0</v>
      </c>
      <c r="J1496" s="0" t="n">
        <f aca="false">IF($F1496=0,0,INDEX(Aux_HH!$G$4:$G$18,MATCH($B1496&amp;"|"&amp;$E1496,Aux_HH!$A$4:$A$18,0)))</f>
        <v>0</v>
      </c>
      <c r="K1496" s="0" t="n">
        <f aca="false">IF($F1496=0,0,INDEX(Aux_HH!$H$4:$H$18,MATCH($B1496&amp;"|"&amp;$E1496,Aux_HH!$A$4:$A$18,0)))</f>
        <v>0</v>
      </c>
      <c r="L1496" s="0" t="n">
        <f aca="false">IF($F1496=0,0,INDEX(Aux_HH!$I$4:$I$18,MATCH($B1496&amp;"|"&amp;$E1496,Aux_HH!$A$4:$A$18,0)))</f>
        <v>0</v>
      </c>
    </row>
    <row r="1497" customFormat="false" ht="15" hidden="false" customHeight="false" outlineLevel="0" collapsed="false">
      <c r="A1497" s="0" t="str">
        <f aca="false">IF(Frota!$A33="","",Frota!$A33)</f>
        <v/>
      </c>
      <c r="B1497" s="0" t="str">
        <f aca="false">IF(Frota!$A33="","",Frota!$B33)</f>
        <v/>
      </c>
      <c r="C1497" s="0" t="n">
        <v>38</v>
      </c>
      <c r="D1497" s="0" t="n">
        <f aca="false">INDEX(Semanas!$E$3:$E$54,38)</f>
        <v>12</v>
      </c>
      <c r="E1497" s="0" t="str">
        <f aca="false">IF(Frota!$A33="","",Cronograma!AM33)</f>
        <v/>
      </c>
      <c r="F1497" s="0" t="n">
        <f aca="false">IF(OR($E1497="",$E1497=0),0,1)</f>
        <v>0</v>
      </c>
      <c r="G1497" s="0" t="n">
        <f aca="false">IF($F1497=0,0,INDEX(Aux_HH!$D$4:$D$18,MATCH($B1497&amp;"|"&amp;$E1497,Aux_HH!$A$4:$A$18,0)))</f>
        <v>0</v>
      </c>
      <c r="H1497" s="0" t="n">
        <f aca="false">IF($F1497=0,0,INDEX(Aux_HH!$E$4:$E$18,MATCH($B1497&amp;"|"&amp;$E1497,Aux_HH!$A$4:$A$18,0)))</f>
        <v>0</v>
      </c>
      <c r="I1497" s="0" t="n">
        <f aca="false">IF($F1497=0,0,INDEX(Aux_HH!$F$4:$F$18,MATCH($B1497&amp;"|"&amp;$E1497,Aux_HH!$A$4:$A$18,0)))</f>
        <v>0</v>
      </c>
      <c r="J1497" s="0" t="n">
        <f aca="false">IF($F1497=0,0,INDEX(Aux_HH!$G$4:$G$18,MATCH($B1497&amp;"|"&amp;$E1497,Aux_HH!$A$4:$A$18,0)))</f>
        <v>0</v>
      </c>
      <c r="K1497" s="0" t="n">
        <f aca="false">IF($F1497=0,0,INDEX(Aux_HH!$H$4:$H$18,MATCH($B1497&amp;"|"&amp;$E1497,Aux_HH!$A$4:$A$18,0)))</f>
        <v>0</v>
      </c>
      <c r="L1497" s="0" t="n">
        <f aca="false">IF($F1497=0,0,INDEX(Aux_HH!$I$4:$I$18,MATCH($B1497&amp;"|"&amp;$E1497,Aux_HH!$A$4:$A$18,0)))</f>
        <v>0</v>
      </c>
    </row>
    <row r="1498" customFormat="false" ht="15" hidden="false" customHeight="false" outlineLevel="0" collapsed="false">
      <c r="A1498" s="0" t="str">
        <f aca="false">IF(Frota!$A33="","",Frota!$A33)</f>
        <v/>
      </c>
      <c r="B1498" s="0" t="str">
        <f aca="false">IF(Frota!$A33="","",Frota!$B33)</f>
        <v/>
      </c>
      <c r="C1498" s="0" t="n">
        <v>39</v>
      </c>
      <c r="D1498" s="0" t="n">
        <f aca="false">INDEX(Semanas!$E$3:$E$54,39)</f>
        <v>12</v>
      </c>
      <c r="E1498" s="0" t="str">
        <f aca="false">IF(Frota!$A33="","",Cronograma!AN33)</f>
        <v/>
      </c>
      <c r="F1498" s="0" t="n">
        <f aca="false">IF(OR($E1498="",$E1498=0),0,1)</f>
        <v>0</v>
      </c>
      <c r="G1498" s="0" t="n">
        <f aca="false">IF($F1498=0,0,INDEX(Aux_HH!$D$4:$D$18,MATCH($B1498&amp;"|"&amp;$E1498,Aux_HH!$A$4:$A$18,0)))</f>
        <v>0</v>
      </c>
      <c r="H1498" s="0" t="n">
        <f aca="false">IF($F1498=0,0,INDEX(Aux_HH!$E$4:$E$18,MATCH($B1498&amp;"|"&amp;$E1498,Aux_HH!$A$4:$A$18,0)))</f>
        <v>0</v>
      </c>
      <c r="I1498" s="0" t="n">
        <f aca="false">IF($F1498=0,0,INDEX(Aux_HH!$F$4:$F$18,MATCH($B1498&amp;"|"&amp;$E1498,Aux_HH!$A$4:$A$18,0)))</f>
        <v>0</v>
      </c>
      <c r="J1498" s="0" t="n">
        <f aca="false">IF($F1498=0,0,INDEX(Aux_HH!$G$4:$G$18,MATCH($B1498&amp;"|"&amp;$E1498,Aux_HH!$A$4:$A$18,0)))</f>
        <v>0</v>
      </c>
      <c r="K1498" s="0" t="n">
        <f aca="false">IF($F1498=0,0,INDEX(Aux_HH!$H$4:$H$18,MATCH($B1498&amp;"|"&amp;$E1498,Aux_HH!$A$4:$A$18,0)))</f>
        <v>0</v>
      </c>
      <c r="L1498" s="0" t="n">
        <f aca="false">IF($F1498=0,0,INDEX(Aux_HH!$I$4:$I$18,MATCH($B1498&amp;"|"&amp;$E1498,Aux_HH!$A$4:$A$18,0)))</f>
        <v>0</v>
      </c>
    </row>
    <row r="1499" customFormat="false" ht="15" hidden="false" customHeight="false" outlineLevel="0" collapsed="false">
      <c r="A1499" s="0" t="str">
        <f aca="false">IF(Frota!$A33="","",Frota!$A33)</f>
        <v/>
      </c>
      <c r="B1499" s="0" t="str">
        <f aca="false">IF(Frota!$A33="","",Frota!$B33)</f>
        <v/>
      </c>
      <c r="C1499" s="0" t="n">
        <v>40</v>
      </c>
      <c r="D1499" s="0" t="n">
        <f aca="false">INDEX(Semanas!$E$3:$E$54,40)</f>
        <v>12</v>
      </c>
      <c r="E1499" s="0" t="str">
        <f aca="false">IF(Frota!$A33="","",Cronograma!AO33)</f>
        <v/>
      </c>
      <c r="F1499" s="0" t="n">
        <f aca="false">IF(OR($E1499="",$E1499=0),0,1)</f>
        <v>0</v>
      </c>
      <c r="G1499" s="0" t="n">
        <f aca="false">IF($F1499=0,0,INDEX(Aux_HH!$D$4:$D$18,MATCH($B1499&amp;"|"&amp;$E1499,Aux_HH!$A$4:$A$18,0)))</f>
        <v>0</v>
      </c>
      <c r="H1499" s="0" t="n">
        <f aca="false">IF($F1499=0,0,INDEX(Aux_HH!$E$4:$E$18,MATCH($B1499&amp;"|"&amp;$E1499,Aux_HH!$A$4:$A$18,0)))</f>
        <v>0</v>
      </c>
      <c r="I1499" s="0" t="n">
        <f aca="false">IF($F1499=0,0,INDEX(Aux_HH!$F$4:$F$18,MATCH($B1499&amp;"|"&amp;$E1499,Aux_HH!$A$4:$A$18,0)))</f>
        <v>0</v>
      </c>
      <c r="J1499" s="0" t="n">
        <f aca="false">IF($F1499=0,0,INDEX(Aux_HH!$G$4:$G$18,MATCH($B1499&amp;"|"&amp;$E1499,Aux_HH!$A$4:$A$18,0)))</f>
        <v>0</v>
      </c>
      <c r="K1499" s="0" t="n">
        <f aca="false">IF($F1499=0,0,INDEX(Aux_HH!$H$4:$H$18,MATCH($B1499&amp;"|"&amp;$E1499,Aux_HH!$A$4:$A$18,0)))</f>
        <v>0</v>
      </c>
      <c r="L1499" s="0" t="n">
        <f aca="false">IF($F1499=0,0,INDEX(Aux_HH!$I$4:$I$18,MATCH($B1499&amp;"|"&amp;$E1499,Aux_HH!$A$4:$A$18,0)))</f>
        <v>0</v>
      </c>
    </row>
    <row r="1500" customFormat="false" ht="15" hidden="false" customHeight="false" outlineLevel="0" collapsed="false">
      <c r="A1500" s="0" t="str">
        <f aca="false">IF(Frota!$A33="","",Frota!$A33)</f>
        <v/>
      </c>
      <c r="B1500" s="0" t="str">
        <f aca="false">IF(Frota!$A33="","",Frota!$B33)</f>
        <v/>
      </c>
      <c r="C1500" s="0" t="n">
        <v>41</v>
      </c>
      <c r="D1500" s="0" t="n">
        <f aca="false">INDEX(Semanas!$E$3:$E$54,41)</f>
        <v>1</v>
      </c>
      <c r="E1500" s="0" t="str">
        <f aca="false">IF(Frota!$A33="","",Cronograma!AP33)</f>
        <v/>
      </c>
      <c r="F1500" s="0" t="n">
        <f aca="false">IF(OR($E1500="",$E1500=0),0,1)</f>
        <v>0</v>
      </c>
      <c r="G1500" s="0" t="n">
        <f aca="false">IF($F1500=0,0,INDEX(Aux_HH!$D$4:$D$18,MATCH($B1500&amp;"|"&amp;$E1500,Aux_HH!$A$4:$A$18,0)))</f>
        <v>0</v>
      </c>
      <c r="H1500" s="0" t="n">
        <f aca="false">IF($F1500=0,0,INDEX(Aux_HH!$E$4:$E$18,MATCH($B1500&amp;"|"&amp;$E1500,Aux_HH!$A$4:$A$18,0)))</f>
        <v>0</v>
      </c>
      <c r="I1500" s="0" t="n">
        <f aca="false">IF($F1500=0,0,INDEX(Aux_HH!$F$4:$F$18,MATCH($B1500&amp;"|"&amp;$E1500,Aux_HH!$A$4:$A$18,0)))</f>
        <v>0</v>
      </c>
      <c r="J1500" s="0" t="n">
        <f aca="false">IF($F1500=0,0,INDEX(Aux_HH!$G$4:$G$18,MATCH($B1500&amp;"|"&amp;$E1500,Aux_HH!$A$4:$A$18,0)))</f>
        <v>0</v>
      </c>
      <c r="K1500" s="0" t="n">
        <f aca="false">IF($F1500=0,0,INDEX(Aux_HH!$H$4:$H$18,MATCH($B1500&amp;"|"&amp;$E1500,Aux_HH!$A$4:$A$18,0)))</f>
        <v>0</v>
      </c>
      <c r="L1500" s="0" t="n">
        <f aca="false">IF($F1500=0,0,INDEX(Aux_HH!$I$4:$I$18,MATCH($B1500&amp;"|"&amp;$E1500,Aux_HH!$A$4:$A$18,0)))</f>
        <v>0</v>
      </c>
    </row>
    <row r="1501" customFormat="false" ht="15" hidden="false" customHeight="false" outlineLevel="0" collapsed="false">
      <c r="A1501" s="0" t="str">
        <f aca="false">IF(Frota!$A33="","",Frota!$A33)</f>
        <v/>
      </c>
      <c r="B1501" s="0" t="str">
        <f aca="false">IF(Frota!$A33="","",Frota!$B33)</f>
        <v/>
      </c>
      <c r="C1501" s="0" t="n">
        <v>42</v>
      </c>
      <c r="D1501" s="0" t="n">
        <f aca="false">INDEX(Semanas!$E$3:$E$54,42)</f>
        <v>1</v>
      </c>
      <c r="E1501" s="0" t="str">
        <f aca="false">IF(Frota!$A33="","",Cronograma!AQ33)</f>
        <v/>
      </c>
      <c r="F1501" s="0" t="n">
        <f aca="false">IF(OR($E1501="",$E1501=0),0,1)</f>
        <v>0</v>
      </c>
      <c r="G1501" s="0" t="n">
        <f aca="false">IF($F1501=0,0,INDEX(Aux_HH!$D$4:$D$18,MATCH($B1501&amp;"|"&amp;$E1501,Aux_HH!$A$4:$A$18,0)))</f>
        <v>0</v>
      </c>
      <c r="H1501" s="0" t="n">
        <f aca="false">IF($F1501=0,0,INDEX(Aux_HH!$E$4:$E$18,MATCH($B1501&amp;"|"&amp;$E1501,Aux_HH!$A$4:$A$18,0)))</f>
        <v>0</v>
      </c>
      <c r="I1501" s="0" t="n">
        <f aca="false">IF($F1501=0,0,INDEX(Aux_HH!$F$4:$F$18,MATCH($B1501&amp;"|"&amp;$E1501,Aux_HH!$A$4:$A$18,0)))</f>
        <v>0</v>
      </c>
      <c r="J1501" s="0" t="n">
        <f aca="false">IF($F1501=0,0,INDEX(Aux_HH!$G$4:$G$18,MATCH($B1501&amp;"|"&amp;$E1501,Aux_HH!$A$4:$A$18,0)))</f>
        <v>0</v>
      </c>
      <c r="K1501" s="0" t="n">
        <f aca="false">IF($F1501=0,0,INDEX(Aux_HH!$H$4:$H$18,MATCH($B1501&amp;"|"&amp;$E1501,Aux_HH!$A$4:$A$18,0)))</f>
        <v>0</v>
      </c>
      <c r="L1501" s="0" t="n">
        <f aca="false">IF($F1501=0,0,INDEX(Aux_HH!$I$4:$I$18,MATCH($B1501&amp;"|"&amp;$E1501,Aux_HH!$A$4:$A$18,0)))</f>
        <v>0</v>
      </c>
    </row>
    <row r="1502" customFormat="false" ht="15" hidden="false" customHeight="false" outlineLevel="0" collapsed="false">
      <c r="A1502" s="0" t="str">
        <f aca="false">IF(Frota!$A33="","",Frota!$A33)</f>
        <v/>
      </c>
      <c r="B1502" s="0" t="str">
        <f aca="false">IF(Frota!$A33="","",Frota!$B33)</f>
        <v/>
      </c>
      <c r="C1502" s="0" t="n">
        <v>43</v>
      </c>
      <c r="D1502" s="0" t="n">
        <f aca="false">INDEX(Semanas!$E$3:$E$54,43)</f>
        <v>1</v>
      </c>
      <c r="E1502" s="0" t="str">
        <f aca="false">IF(Frota!$A33="","",Cronograma!AR33)</f>
        <v/>
      </c>
      <c r="F1502" s="0" t="n">
        <f aca="false">IF(OR($E1502="",$E1502=0),0,1)</f>
        <v>0</v>
      </c>
      <c r="G1502" s="0" t="n">
        <f aca="false">IF($F1502=0,0,INDEX(Aux_HH!$D$4:$D$18,MATCH($B1502&amp;"|"&amp;$E1502,Aux_HH!$A$4:$A$18,0)))</f>
        <v>0</v>
      </c>
      <c r="H1502" s="0" t="n">
        <f aca="false">IF($F1502=0,0,INDEX(Aux_HH!$E$4:$E$18,MATCH($B1502&amp;"|"&amp;$E1502,Aux_HH!$A$4:$A$18,0)))</f>
        <v>0</v>
      </c>
      <c r="I1502" s="0" t="n">
        <f aca="false">IF($F1502=0,0,INDEX(Aux_HH!$F$4:$F$18,MATCH($B1502&amp;"|"&amp;$E1502,Aux_HH!$A$4:$A$18,0)))</f>
        <v>0</v>
      </c>
      <c r="J1502" s="0" t="n">
        <f aca="false">IF($F1502=0,0,INDEX(Aux_HH!$G$4:$G$18,MATCH($B1502&amp;"|"&amp;$E1502,Aux_HH!$A$4:$A$18,0)))</f>
        <v>0</v>
      </c>
      <c r="K1502" s="0" t="n">
        <f aca="false">IF($F1502=0,0,INDEX(Aux_HH!$H$4:$H$18,MATCH($B1502&amp;"|"&amp;$E1502,Aux_HH!$A$4:$A$18,0)))</f>
        <v>0</v>
      </c>
      <c r="L1502" s="0" t="n">
        <f aca="false">IF($F1502=0,0,INDEX(Aux_HH!$I$4:$I$18,MATCH($B1502&amp;"|"&amp;$E1502,Aux_HH!$A$4:$A$18,0)))</f>
        <v>0</v>
      </c>
    </row>
    <row r="1503" customFormat="false" ht="15" hidden="false" customHeight="false" outlineLevel="0" collapsed="false">
      <c r="A1503" s="0" t="str">
        <f aca="false">IF(Frota!$A33="","",Frota!$A33)</f>
        <v/>
      </c>
      <c r="B1503" s="0" t="str">
        <f aca="false">IF(Frota!$A33="","",Frota!$B33)</f>
        <v/>
      </c>
      <c r="C1503" s="0" t="n">
        <v>44</v>
      </c>
      <c r="D1503" s="0" t="n">
        <f aca="false">INDEX(Semanas!$E$3:$E$54,44)</f>
        <v>1</v>
      </c>
      <c r="E1503" s="0" t="str">
        <f aca="false">IF(Frota!$A33="","",Cronograma!AS33)</f>
        <v/>
      </c>
      <c r="F1503" s="0" t="n">
        <f aca="false">IF(OR($E1503="",$E1503=0),0,1)</f>
        <v>0</v>
      </c>
      <c r="G1503" s="0" t="n">
        <f aca="false">IF($F1503=0,0,INDEX(Aux_HH!$D$4:$D$18,MATCH($B1503&amp;"|"&amp;$E1503,Aux_HH!$A$4:$A$18,0)))</f>
        <v>0</v>
      </c>
      <c r="H1503" s="0" t="n">
        <f aca="false">IF($F1503=0,0,INDEX(Aux_HH!$E$4:$E$18,MATCH($B1503&amp;"|"&amp;$E1503,Aux_HH!$A$4:$A$18,0)))</f>
        <v>0</v>
      </c>
      <c r="I1503" s="0" t="n">
        <f aca="false">IF($F1503=0,0,INDEX(Aux_HH!$F$4:$F$18,MATCH($B1503&amp;"|"&amp;$E1503,Aux_HH!$A$4:$A$18,0)))</f>
        <v>0</v>
      </c>
      <c r="J1503" s="0" t="n">
        <f aca="false">IF($F1503=0,0,INDEX(Aux_HH!$G$4:$G$18,MATCH($B1503&amp;"|"&amp;$E1503,Aux_HH!$A$4:$A$18,0)))</f>
        <v>0</v>
      </c>
      <c r="K1503" s="0" t="n">
        <f aca="false">IF($F1503=0,0,INDEX(Aux_HH!$H$4:$H$18,MATCH($B1503&amp;"|"&amp;$E1503,Aux_HH!$A$4:$A$18,0)))</f>
        <v>0</v>
      </c>
      <c r="L1503" s="0" t="n">
        <f aca="false">IF($F1503=0,0,INDEX(Aux_HH!$I$4:$I$18,MATCH($B1503&amp;"|"&amp;$E1503,Aux_HH!$A$4:$A$18,0)))</f>
        <v>0</v>
      </c>
    </row>
    <row r="1504" customFormat="false" ht="15" hidden="false" customHeight="false" outlineLevel="0" collapsed="false">
      <c r="A1504" s="0" t="str">
        <f aca="false">IF(Frota!$A33="","",Frota!$A33)</f>
        <v/>
      </c>
      <c r="B1504" s="0" t="str">
        <f aca="false">IF(Frota!$A33="","",Frota!$B33)</f>
        <v/>
      </c>
      <c r="C1504" s="0" t="n">
        <v>45</v>
      </c>
      <c r="D1504" s="0" t="n">
        <f aca="false">INDEX(Semanas!$E$3:$E$54,45)</f>
        <v>2</v>
      </c>
      <c r="E1504" s="0" t="str">
        <f aca="false">IF(Frota!$A33="","",Cronograma!AT33)</f>
        <v/>
      </c>
      <c r="F1504" s="0" t="n">
        <f aca="false">IF(OR($E1504="",$E1504=0),0,1)</f>
        <v>0</v>
      </c>
      <c r="G1504" s="0" t="n">
        <f aca="false">IF($F1504=0,0,INDEX(Aux_HH!$D$4:$D$18,MATCH($B1504&amp;"|"&amp;$E1504,Aux_HH!$A$4:$A$18,0)))</f>
        <v>0</v>
      </c>
      <c r="H1504" s="0" t="n">
        <f aca="false">IF($F1504=0,0,INDEX(Aux_HH!$E$4:$E$18,MATCH($B1504&amp;"|"&amp;$E1504,Aux_HH!$A$4:$A$18,0)))</f>
        <v>0</v>
      </c>
      <c r="I1504" s="0" t="n">
        <f aca="false">IF($F1504=0,0,INDEX(Aux_HH!$F$4:$F$18,MATCH($B1504&amp;"|"&amp;$E1504,Aux_HH!$A$4:$A$18,0)))</f>
        <v>0</v>
      </c>
      <c r="J1504" s="0" t="n">
        <f aca="false">IF($F1504=0,0,INDEX(Aux_HH!$G$4:$G$18,MATCH($B1504&amp;"|"&amp;$E1504,Aux_HH!$A$4:$A$18,0)))</f>
        <v>0</v>
      </c>
      <c r="K1504" s="0" t="n">
        <f aca="false">IF($F1504=0,0,INDEX(Aux_HH!$H$4:$H$18,MATCH($B1504&amp;"|"&amp;$E1504,Aux_HH!$A$4:$A$18,0)))</f>
        <v>0</v>
      </c>
      <c r="L1504" s="0" t="n">
        <f aca="false">IF($F1504=0,0,INDEX(Aux_HH!$I$4:$I$18,MATCH($B1504&amp;"|"&amp;$E1504,Aux_HH!$A$4:$A$18,0)))</f>
        <v>0</v>
      </c>
    </row>
    <row r="1505" customFormat="false" ht="15" hidden="false" customHeight="false" outlineLevel="0" collapsed="false">
      <c r="A1505" s="0" t="str">
        <f aca="false">IF(Frota!$A33="","",Frota!$A33)</f>
        <v/>
      </c>
      <c r="B1505" s="0" t="str">
        <f aca="false">IF(Frota!$A33="","",Frota!$B33)</f>
        <v/>
      </c>
      <c r="C1505" s="0" t="n">
        <v>46</v>
      </c>
      <c r="D1505" s="0" t="n">
        <f aca="false">INDEX(Semanas!$E$3:$E$54,46)</f>
        <v>2</v>
      </c>
      <c r="E1505" s="0" t="str">
        <f aca="false">IF(Frota!$A33="","",Cronograma!AU33)</f>
        <v/>
      </c>
      <c r="F1505" s="0" t="n">
        <f aca="false">IF(OR($E1505="",$E1505=0),0,1)</f>
        <v>0</v>
      </c>
      <c r="G1505" s="0" t="n">
        <f aca="false">IF($F1505=0,0,INDEX(Aux_HH!$D$4:$D$18,MATCH($B1505&amp;"|"&amp;$E1505,Aux_HH!$A$4:$A$18,0)))</f>
        <v>0</v>
      </c>
      <c r="H1505" s="0" t="n">
        <f aca="false">IF($F1505=0,0,INDEX(Aux_HH!$E$4:$E$18,MATCH($B1505&amp;"|"&amp;$E1505,Aux_HH!$A$4:$A$18,0)))</f>
        <v>0</v>
      </c>
      <c r="I1505" s="0" t="n">
        <f aca="false">IF($F1505=0,0,INDEX(Aux_HH!$F$4:$F$18,MATCH($B1505&amp;"|"&amp;$E1505,Aux_HH!$A$4:$A$18,0)))</f>
        <v>0</v>
      </c>
      <c r="J1505" s="0" t="n">
        <f aca="false">IF($F1505=0,0,INDEX(Aux_HH!$G$4:$G$18,MATCH($B1505&amp;"|"&amp;$E1505,Aux_HH!$A$4:$A$18,0)))</f>
        <v>0</v>
      </c>
      <c r="K1505" s="0" t="n">
        <f aca="false">IF($F1505=0,0,INDEX(Aux_HH!$H$4:$H$18,MATCH($B1505&amp;"|"&amp;$E1505,Aux_HH!$A$4:$A$18,0)))</f>
        <v>0</v>
      </c>
      <c r="L1505" s="0" t="n">
        <f aca="false">IF($F1505=0,0,INDEX(Aux_HH!$I$4:$I$18,MATCH($B1505&amp;"|"&amp;$E1505,Aux_HH!$A$4:$A$18,0)))</f>
        <v>0</v>
      </c>
    </row>
    <row r="1506" customFormat="false" ht="15" hidden="false" customHeight="false" outlineLevel="0" collapsed="false">
      <c r="A1506" s="0" t="str">
        <f aca="false">IF(Frota!$A33="","",Frota!$A33)</f>
        <v/>
      </c>
      <c r="B1506" s="0" t="str">
        <f aca="false">IF(Frota!$A33="","",Frota!$B33)</f>
        <v/>
      </c>
      <c r="C1506" s="0" t="n">
        <v>47</v>
      </c>
      <c r="D1506" s="0" t="n">
        <f aca="false">INDEX(Semanas!$E$3:$E$54,47)</f>
        <v>2</v>
      </c>
      <c r="E1506" s="0" t="str">
        <f aca="false">IF(Frota!$A33="","",Cronograma!AV33)</f>
        <v/>
      </c>
      <c r="F1506" s="0" t="n">
        <f aca="false">IF(OR($E1506="",$E1506=0),0,1)</f>
        <v>0</v>
      </c>
      <c r="G1506" s="0" t="n">
        <f aca="false">IF($F1506=0,0,INDEX(Aux_HH!$D$4:$D$18,MATCH($B1506&amp;"|"&amp;$E1506,Aux_HH!$A$4:$A$18,0)))</f>
        <v>0</v>
      </c>
      <c r="H1506" s="0" t="n">
        <f aca="false">IF($F1506=0,0,INDEX(Aux_HH!$E$4:$E$18,MATCH($B1506&amp;"|"&amp;$E1506,Aux_HH!$A$4:$A$18,0)))</f>
        <v>0</v>
      </c>
      <c r="I1506" s="0" t="n">
        <f aca="false">IF($F1506=0,0,INDEX(Aux_HH!$F$4:$F$18,MATCH($B1506&amp;"|"&amp;$E1506,Aux_HH!$A$4:$A$18,0)))</f>
        <v>0</v>
      </c>
      <c r="J1506" s="0" t="n">
        <f aca="false">IF($F1506=0,0,INDEX(Aux_HH!$G$4:$G$18,MATCH($B1506&amp;"|"&amp;$E1506,Aux_HH!$A$4:$A$18,0)))</f>
        <v>0</v>
      </c>
      <c r="K1506" s="0" t="n">
        <f aca="false">IF($F1506=0,0,INDEX(Aux_HH!$H$4:$H$18,MATCH($B1506&amp;"|"&amp;$E1506,Aux_HH!$A$4:$A$18,0)))</f>
        <v>0</v>
      </c>
      <c r="L1506" s="0" t="n">
        <f aca="false">IF($F1506=0,0,INDEX(Aux_HH!$I$4:$I$18,MATCH($B1506&amp;"|"&amp;$E1506,Aux_HH!$A$4:$A$18,0)))</f>
        <v>0</v>
      </c>
    </row>
    <row r="1507" customFormat="false" ht="15" hidden="false" customHeight="false" outlineLevel="0" collapsed="false">
      <c r="A1507" s="0" t="str">
        <f aca="false">IF(Frota!$A33="","",Frota!$A33)</f>
        <v/>
      </c>
      <c r="B1507" s="0" t="str">
        <f aca="false">IF(Frota!$A33="","",Frota!$B33)</f>
        <v/>
      </c>
      <c r="C1507" s="0" t="n">
        <v>48</v>
      </c>
      <c r="D1507" s="0" t="n">
        <f aca="false">INDEX(Semanas!$E$3:$E$54,48)</f>
        <v>2</v>
      </c>
      <c r="E1507" s="0" t="str">
        <f aca="false">IF(Frota!$A33="","",Cronograma!AW33)</f>
        <v/>
      </c>
      <c r="F1507" s="0" t="n">
        <f aca="false">IF(OR($E1507="",$E1507=0),0,1)</f>
        <v>0</v>
      </c>
      <c r="G1507" s="0" t="n">
        <f aca="false">IF($F1507=0,0,INDEX(Aux_HH!$D$4:$D$18,MATCH($B1507&amp;"|"&amp;$E1507,Aux_HH!$A$4:$A$18,0)))</f>
        <v>0</v>
      </c>
      <c r="H1507" s="0" t="n">
        <f aca="false">IF($F1507=0,0,INDEX(Aux_HH!$E$4:$E$18,MATCH($B1507&amp;"|"&amp;$E1507,Aux_HH!$A$4:$A$18,0)))</f>
        <v>0</v>
      </c>
      <c r="I1507" s="0" t="n">
        <f aca="false">IF($F1507=0,0,INDEX(Aux_HH!$F$4:$F$18,MATCH($B1507&amp;"|"&amp;$E1507,Aux_HH!$A$4:$A$18,0)))</f>
        <v>0</v>
      </c>
      <c r="J1507" s="0" t="n">
        <f aca="false">IF($F1507=0,0,INDEX(Aux_HH!$G$4:$G$18,MATCH($B1507&amp;"|"&amp;$E1507,Aux_HH!$A$4:$A$18,0)))</f>
        <v>0</v>
      </c>
      <c r="K1507" s="0" t="n">
        <f aca="false">IF($F1507=0,0,INDEX(Aux_HH!$H$4:$H$18,MATCH($B1507&amp;"|"&amp;$E1507,Aux_HH!$A$4:$A$18,0)))</f>
        <v>0</v>
      </c>
      <c r="L1507" s="0" t="n">
        <f aca="false">IF($F1507=0,0,INDEX(Aux_HH!$I$4:$I$18,MATCH($B1507&amp;"|"&amp;$E1507,Aux_HH!$A$4:$A$18,0)))</f>
        <v>0</v>
      </c>
    </row>
    <row r="1508" customFormat="false" ht="15" hidden="false" customHeight="false" outlineLevel="0" collapsed="false">
      <c r="A1508" s="0" t="str">
        <f aca="false">IF(Frota!$A33="","",Frota!$A33)</f>
        <v/>
      </c>
      <c r="B1508" s="0" t="str">
        <f aca="false">IF(Frota!$A33="","",Frota!$B33)</f>
        <v/>
      </c>
      <c r="C1508" s="0" t="n">
        <v>49</v>
      </c>
      <c r="D1508" s="0" t="n">
        <f aca="false">INDEX(Semanas!$E$3:$E$54,49)</f>
        <v>3</v>
      </c>
      <c r="E1508" s="0" t="str">
        <f aca="false">IF(Frota!$A33="","",Cronograma!AX33)</f>
        <v/>
      </c>
      <c r="F1508" s="0" t="n">
        <f aca="false">IF(OR($E1508="",$E1508=0),0,1)</f>
        <v>0</v>
      </c>
      <c r="G1508" s="0" t="n">
        <f aca="false">IF($F1508=0,0,INDEX(Aux_HH!$D$4:$D$18,MATCH($B1508&amp;"|"&amp;$E1508,Aux_HH!$A$4:$A$18,0)))</f>
        <v>0</v>
      </c>
      <c r="H1508" s="0" t="n">
        <f aca="false">IF($F1508=0,0,INDEX(Aux_HH!$E$4:$E$18,MATCH($B1508&amp;"|"&amp;$E1508,Aux_HH!$A$4:$A$18,0)))</f>
        <v>0</v>
      </c>
      <c r="I1508" s="0" t="n">
        <f aca="false">IF($F1508=0,0,INDEX(Aux_HH!$F$4:$F$18,MATCH($B1508&amp;"|"&amp;$E1508,Aux_HH!$A$4:$A$18,0)))</f>
        <v>0</v>
      </c>
      <c r="J1508" s="0" t="n">
        <f aca="false">IF($F1508=0,0,INDEX(Aux_HH!$G$4:$G$18,MATCH($B1508&amp;"|"&amp;$E1508,Aux_HH!$A$4:$A$18,0)))</f>
        <v>0</v>
      </c>
      <c r="K1508" s="0" t="n">
        <f aca="false">IF($F1508=0,0,INDEX(Aux_HH!$H$4:$H$18,MATCH($B1508&amp;"|"&amp;$E1508,Aux_HH!$A$4:$A$18,0)))</f>
        <v>0</v>
      </c>
      <c r="L1508" s="0" t="n">
        <f aca="false">IF($F1508=0,0,INDEX(Aux_HH!$I$4:$I$18,MATCH($B1508&amp;"|"&amp;$E1508,Aux_HH!$A$4:$A$18,0)))</f>
        <v>0</v>
      </c>
    </row>
    <row r="1509" customFormat="false" ht="15" hidden="false" customHeight="false" outlineLevel="0" collapsed="false">
      <c r="A1509" s="0" t="str">
        <f aca="false">IF(Frota!$A33="","",Frota!$A33)</f>
        <v/>
      </c>
      <c r="B1509" s="0" t="str">
        <f aca="false">IF(Frota!$A33="","",Frota!$B33)</f>
        <v/>
      </c>
      <c r="C1509" s="0" t="n">
        <v>50</v>
      </c>
      <c r="D1509" s="0" t="n">
        <f aca="false">INDEX(Semanas!$E$3:$E$54,50)</f>
        <v>3</v>
      </c>
      <c r="E1509" s="0" t="str">
        <f aca="false">IF(Frota!$A33="","",Cronograma!AY33)</f>
        <v/>
      </c>
      <c r="F1509" s="0" t="n">
        <f aca="false">IF(OR($E1509="",$E1509=0),0,1)</f>
        <v>0</v>
      </c>
      <c r="G1509" s="0" t="n">
        <f aca="false">IF($F1509=0,0,INDEX(Aux_HH!$D$4:$D$18,MATCH($B1509&amp;"|"&amp;$E1509,Aux_HH!$A$4:$A$18,0)))</f>
        <v>0</v>
      </c>
      <c r="H1509" s="0" t="n">
        <f aca="false">IF($F1509=0,0,INDEX(Aux_HH!$E$4:$E$18,MATCH($B1509&amp;"|"&amp;$E1509,Aux_HH!$A$4:$A$18,0)))</f>
        <v>0</v>
      </c>
      <c r="I1509" s="0" t="n">
        <f aca="false">IF($F1509=0,0,INDEX(Aux_HH!$F$4:$F$18,MATCH($B1509&amp;"|"&amp;$E1509,Aux_HH!$A$4:$A$18,0)))</f>
        <v>0</v>
      </c>
      <c r="J1509" s="0" t="n">
        <f aca="false">IF($F1509=0,0,INDEX(Aux_HH!$G$4:$G$18,MATCH($B1509&amp;"|"&amp;$E1509,Aux_HH!$A$4:$A$18,0)))</f>
        <v>0</v>
      </c>
      <c r="K1509" s="0" t="n">
        <f aca="false">IF($F1509=0,0,INDEX(Aux_HH!$H$4:$H$18,MATCH($B1509&amp;"|"&amp;$E1509,Aux_HH!$A$4:$A$18,0)))</f>
        <v>0</v>
      </c>
      <c r="L1509" s="0" t="n">
        <f aca="false">IF($F1509=0,0,INDEX(Aux_HH!$I$4:$I$18,MATCH($B1509&amp;"|"&amp;$E1509,Aux_HH!$A$4:$A$18,0)))</f>
        <v>0</v>
      </c>
    </row>
    <row r="1510" customFormat="false" ht="15" hidden="false" customHeight="false" outlineLevel="0" collapsed="false">
      <c r="A1510" s="0" t="str">
        <f aca="false">IF(Frota!$A33="","",Frota!$A33)</f>
        <v/>
      </c>
      <c r="B1510" s="0" t="str">
        <f aca="false">IF(Frota!$A33="","",Frota!$B33)</f>
        <v/>
      </c>
      <c r="C1510" s="0" t="n">
        <v>51</v>
      </c>
      <c r="D1510" s="0" t="n">
        <f aca="false">INDEX(Semanas!$E$3:$E$54,51)</f>
        <v>3</v>
      </c>
      <c r="E1510" s="0" t="str">
        <f aca="false">IF(Frota!$A33="","",Cronograma!AZ33)</f>
        <v/>
      </c>
      <c r="F1510" s="0" t="n">
        <f aca="false">IF(OR($E1510="",$E1510=0),0,1)</f>
        <v>0</v>
      </c>
      <c r="G1510" s="0" t="n">
        <f aca="false">IF($F1510=0,0,INDEX(Aux_HH!$D$4:$D$18,MATCH($B1510&amp;"|"&amp;$E1510,Aux_HH!$A$4:$A$18,0)))</f>
        <v>0</v>
      </c>
      <c r="H1510" s="0" t="n">
        <f aca="false">IF($F1510=0,0,INDEX(Aux_HH!$E$4:$E$18,MATCH($B1510&amp;"|"&amp;$E1510,Aux_HH!$A$4:$A$18,0)))</f>
        <v>0</v>
      </c>
      <c r="I1510" s="0" t="n">
        <f aca="false">IF($F1510=0,0,INDEX(Aux_HH!$F$4:$F$18,MATCH($B1510&amp;"|"&amp;$E1510,Aux_HH!$A$4:$A$18,0)))</f>
        <v>0</v>
      </c>
      <c r="J1510" s="0" t="n">
        <f aca="false">IF($F1510=0,0,INDEX(Aux_HH!$G$4:$G$18,MATCH($B1510&amp;"|"&amp;$E1510,Aux_HH!$A$4:$A$18,0)))</f>
        <v>0</v>
      </c>
      <c r="K1510" s="0" t="n">
        <f aca="false">IF($F1510=0,0,INDEX(Aux_HH!$H$4:$H$18,MATCH($B1510&amp;"|"&amp;$E1510,Aux_HH!$A$4:$A$18,0)))</f>
        <v>0</v>
      </c>
      <c r="L1510" s="0" t="n">
        <f aca="false">IF($F1510=0,0,INDEX(Aux_HH!$I$4:$I$18,MATCH($B1510&amp;"|"&amp;$E1510,Aux_HH!$A$4:$A$18,0)))</f>
        <v>0</v>
      </c>
    </row>
    <row r="1511" customFormat="false" ht="15" hidden="false" customHeight="false" outlineLevel="0" collapsed="false">
      <c r="A1511" s="0" t="str">
        <f aca="false">IF(Frota!$A33="","",Frota!$A33)</f>
        <v/>
      </c>
      <c r="B1511" s="0" t="str">
        <f aca="false">IF(Frota!$A33="","",Frota!$B33)</f>
        <v/>
      </c>
      <c r="C1511" s="0" t="n">
        <v>52</v>
      </c>
      <c r="D1511" s="0" t="n">
        <f aca="false">INDEX(Semanas!$E$3:$E$54,52)</f>
        <v>3</v>
      </c>
      <c r="E1511" s="0" t="str">
        <f aca="false">IF(Frota!$A33="","",Cronograma!BA33)</f>
        <v/>
      </c>
      <c r="F1511" s="0" t="n">
        <f aca="false">IF(OR($E1511="",$E1511=0),0,1)</f>
        <v>0</v>
      </c>
      <c r="G1511" s="0" t="n">
        <f aca="false">IF($F1511=0,0,INDEX(Aux_HH!$D$4:$D$18,MATCH($B1511&amp;"|"&amp;$E1511,Aux_HH!$A$4:$A$18,0)))</f>
        <v>0</v>
      </c>
      <c r="H1511" s="0" t="n">
        <f aca="false">IF($F1511=0,0,INDEX(Aux_HH!$E$4:$E$18,MATCH($B1511&amp;"|"&amp;$E1511,Aux_HH!$A$4:$A$18,0)))</f>
        <v>0</v>
      </c>
      <c r="I1511" s="0" t="n">
        <f aca="false">IF($F1511=0,0,INDEX(Aux_HH!$F$4:$F$18,MATCH($B1511&amp;"|"&amp;$E1511,Aux_HH!$A$4:$A$18,0)))</f>
        <v>0</v>
      </c>
      <c r="J1511" s="0" t="n">
        <f aca="false">IF($F1511=0,0,INDEX(Aux_HH!$G$4:$G$18,MATCH($B1511&amp;"|"&amp;$E1511,Aux_HH!$A$4:$A$18,0)))</f>
        <v>0</v>
      </c>
      <c r="K1511" s="0" t="n">
        <f aca="false">IF($F1511=0,0,INDEX(Aux_HH!$H$4:$H$18,MATCH($B1511&amp;"|"&amp;$E1511,Aux_HH!$A$4:$A$18,0)))</f>
        <v>0</v>
      </c>
      <c r="L1511" s="0" t="n">
        <f aca="false">IF($F1511=0,0,INDEX(Aux_HH!$I$4:$I$18,MATCH($B1511&amp;"|"&amp;$E1511,Aux_HH!$A$4:$A$18,0)))</f>
        <v>0</v>
      </c>
    </row>
    <row r="1512" customFormat="false" ht="15" hidden="false" customHeight="false" outlineLevel="0" collapsed="false">
      <c r="A1512" s="0" t="str">
        <f aca="false">IF(Frota!$A34="","",Frota!$A34)</f>
        <v/>
      </c>
      <c r="B1512" s="0" t="str">
        <f aca="false">IF(Frota!$A34="","",Frota!$B34)</f>
        <v/>
      </c>
      <c r="C1512" s="0" t="n">
        <v>1</v>
      </c>
      <c r="D1512" s="0" t="n">
        <f aca="false">INDEX(Semanas!$E$3:$E$54,1)</f>
        <v>4</v>
      </c>
      <c r="E1512" s="0" t="str">
        <f aca="false">IF(Frota!$A34="","",Cronograma!B34)</f>
        <v/>
      </c>
      <c r="F1512" s="0" t="n">
        <f aca="false">IF(OR($E1512="",$E1512=0),0,1)</f>
        <v>0</v>
      </c>
      <c r="G1512" s="0" t="n">
        <f aca="false">IF($F1512=0,0,INDEX(Aux_HH!$D$4:$D$18,MATCH($B1512&amp;"|"&amp;$E1512,Aux_HH!$A$4:$A$18,0)))</f>
        <v>0</v>
      </c>
      <c r="H1512" s="0" t="n">
        <f aca="false">IF($F1512=0,0,INDEX(Aux_HH!$E$4:$E$18,MATCH($B1512&amp;"|"&amp;$E1512,Aux_HH!$A$4:$A$18,0)))</f>
        <v>0</v>
      </c>
      <c r="I1512" s="0" t="n">
        <f aca="false">IF($F1512=0,0,INDEX(Aux_HH!$F$4:$F$18,MATCH($B1512&amp;"|"&amp;$E1512,Aux_HH!$A$4:$A$18,0)))</f>
        <v>0</v>
      </c>
      <c r="J1512" s="0" t="n">
        <f aca="false">IF($F1512=0,0,INDEX(Aux_HH!$G$4:$G$18,MATCH($B1512&amp;"|"&amp;$E1512,Aux_HH!$A$4:$A$18,0)))</f>
        <v>0</v>
      </c>
      <c r="K1512" s="0" t="n">
        <f aca="false">IF($F1512=0,0,INDEX(Aux_HH!$H$4:$H$18,MATCH($B1512&amp;"|"&amp;$E1512,Aux_HH!$A$4:$A$18,0)))</f>
        <v>0</v>
      </c>
      <c r="L1512" s="0" t="n">
        <f aca="false">IF($F1512=0,0,INDEX(Aux_HH!$I$4:$I$18,MATCH($B1512&amp;"|"&amp;$E1512,Aux_HH!$A$4:$A$18,0)))</f>
        <v>0</v>
      </c>
    </row>
    <row r="1513" customFormat="false" ht="15" hidden="false" customHeight="false" outlineLevel="0" collapsed="false">
      <c r="A1513" s="0" t="str">
        <f aca="false">IF(Frota!$A34="","",Frota!$A34)</f>
        <v/>
      </c>
      <c r="B1513" s="0" t="str">
        <f aca="false">IF(Frota!$A34="","",Frota!$B34)</f>
        <v/>
      </c>
      <c r="C1513" s="0" t="n">
        <v>2</v>
      </c>
      <c r="D1513" s="0" t="n">
        <f aca="false">INDEX(Semanas!$E$3:$E$54,2)</f>
        <v>4</v>
      </c>
      <c r="E1513" s="0" t="str">
        <f aca="false">IF(Frota!$A34="","",Cronograma!C34)</f>
        <v/>
      </c>
      <c r="F1513" s="0" t="n">
        <f aca="false">IF(OR($E1513="",$E1513=0),0,1)</f>
        <v>0</v>
      </c>
      <c r="G1513" s="0" t="n">
        <f aca="false">IF($F1513=0,0,INDEX(Aux_HH!$D$4:$D$18,MATCH($B1513&amp;"|"&amp;$E1513,Aux_HH!$A$4:$A$18,0)))</f>
        <v>0</v>
      </c>
      <c r="H1513" s="0" t="n">
        <f aca="false">IF($F1513=0,0,INDEX(Aux_HH!$E$4:$E$18,MATCH($B1513&amp;"|"&amp;$E1513,Aux_HH!$A$4:$A$18,0)))</f>
        <v>0</v>
      </c>
      <c r="I1513" s="0" t="n">
        <f aca="false">IF($F1513=0,0,INDEX(Aux_HH!$F$4:$F$18,MATCH($B1513&amp;"|"&amp;$E1513,Aux_HH!$A$4:$A$18,0)))</f>
        <v>0</v>
      </c>
      <c r="J1513" s="0" t="n">
        <f aca="false">IF($F1513=0,0,INDEX(Aux_HH!$G$4:$G$18,MATCH($B1513&amp;"|"&amp;$E1513,Aux_HH!$A$4:$A$18,0)))</f>
        <v>0</v>
      </c>
      <c r="K1513" s="0" t="n">
        <f aca="false">IF($F1513=0,0,INDEX(Aux_HH!$H$4:$H$18,MATCH($B1513&amp;"|"&amp;$E1513,Aux_HH!$A$4:$A$18,0)))</f>
        <v>0</v>
      </c>
      <c r="L1513" s="0" t="n">
        <f aca="false">IF($F1513=0,0,INDEX(Aux_HH!$I$4:$I$18,MATCH($B1513&amp;"|"&amp;$E1513,Aux_HH!$A$4:$A$18,0)))</f>
        <v>0</v>
      </c>
    </row>
    <row r="1514" customFormat="false" ht="15" hidden="false" customHeight="false" outlineLevel="0" collapsed="false">
      <c r="A1514" s="0" t="str">
        <f aca="false">IF(Frota!$A34="","",Frota!$A34)</f>
        <v/>
      </c>
      <c r="B1514" s="0" t="str">
        <f aca="false">IF(Frota!$A34="","",Frota!$B34)</f>
        <v/>
      </c>
      <c r="C1514" s="0" t="n">
        <v>3</v>
      </c>
      <c r="D1514" s="0" t="n">
        <f aca="false">INDEX(Semanas!$E$3:$E$54,3)</f>
        <v>4</v>
      </c>
      <c r="E1514" s="0" t="str">
        <f aca="false">IF(Frota!$A34="","",Cronograma!D34)</f>
        <v/>
      </c>
      <c r="F1514" s="0" t="n">
        <f aca="false">IF(OR($E1514="",$E1514=0),0,1)</f>
        <v>0</v>
      </c>
      <c r="G1514" s="0" t="n">
        <f aca="false">IF($F1514=0,0,INDEX(Aux_HH!$D$4:$D$18,MATCH($B1514&amp;"|"&amp;$E1514,Aux_HH!$A$4:$A$18,0)))</f>
        <v>0</v>
      </c>
      <c r="H1514" s="0" t="n">
        <f aca="false">IF($F1514=0,0,INDEX(Aux_HH!$E$4:$E$18,MATCH($B1514&amp;"|"&amp;$E1514,Aux_HH!$A$4:$A$18,0)))</f>
        <v>0</v>
      </c>
      <c r="I1514" s="0" t="n">
        <f aca="false">IF($F1514=0,0,INDEX(Aux_HH!$F$4:$F$18,MATCH($B1514&amp;"|"&amp;$E1514,Aux_HH!$A$4:$A$18,0)))</f>
        <v>0</v>
      </c>
      <c r="J1514" s="0" t="n">
        <f aca="false">IF($F1514=0,0,INDEX(Aux_HH!$G$4:$G$18,MATCH($B1514&amp;"|"&amp;$E1514,Aux_HH!$A$4:$A$18,0)))</f>
        <v>0</v>
      </c>
      <c r="K1514" s="0" t="n">
        <f aca="false">IF($F1514=0,0,INDEX(Aux_HH!$H$4:$H$18,MATCH($B1514&amp;"|"&amp;$E1514,Aux_HH!$A$4:$A$18,0)))</f>
        <v>0</v>
      </c>
      <c r="L1514" s="0" t="n">
        <f aca="false">IF($F1514=0,0,INDEX(Aux_HH!$I$4:$I$18,MATCH($B1514&amp;"|"&amp;$E1514,Aux_HH!$A$4:$A$18,0)))</f>
        <v>0</v>
      </c>
    </row>
    <row r="1515" customFormat="false" ht="15" hidden="false" customHeight="false" outlineLevel="0" collapsed="false">
      <c r="A1515" s="0" t="str">
        <f aca="false">IF(Frota!$A34="","",Frota!$A34)</f>
        <v/>
      </c>
      <c r="B1515" s="0" t="str">
        <f aca="false">IF(Frota!$A34="","",Frota!$B34)</f>
        <v/>
      </c>
      <c r="C1515" s="0" t="n">
        <v>4</v>
      </c>
      <c r="D1515" s="0" t="n">
        <f aca="false">INDEX(Semanas!$E$3:$E$54,4)</f>
        <v>4</v>
      </c>
      <c r="E1515" s="0" t="str">
        <f aca="false">IF(Frota!$A34="","",Cronograma!E34)</f>
        <v/>
      </c>
      <c r="F1515" s="0" t="n">
        <f aca="false">IF(OR($E1515="",$E1515=0),0,1)</f>
        <v>0</v>
      </c>
      <c r="G1515" s="0" t="n">
        <f aca="false">IF($F1515=0,0,INDEX(Aux_HH!$D$4:$D$18,MATCH($B1515&amp;"|"&amp;$E1515,Aux_HH!$A$4:$A$18,0)))</f>
        <v>0</v>
      </c>
      <c r="H1515" s="0" t="n">
        <f aca="false">IF($F1515=0,0,INDEX(Aux_HH!$E$4:$E$18,MATCH($B1515&amp;"|"&amp;$E1515,Aux_HH!$A$4:$A$18,0)))</f>
        <v>0</v>
      </c>
      <c r="I1515" s="0" t="n">
        <f aca="false">IF($F1515=0,0,INDEX(Aux_HH!$F$4:$F$18,MATCH($B1515&amp;"|"&amp;$E1515,Aux_HH!$A$4:$A$18,0)))</f>
        <v>0</v>
      </c>
      <c r="J1515" s="0" t="n">
        <f aca="false">IF($F1515=0,0,INDEX(Aux_HH!$G$4:$G$18,MATCH($B1515&amp;"|"&amp;$E1515,Aux_HH!$A$4:$A$18,0)))</f>
        <v>0</v>
      </c>
      <c r="K1515" s="0" t="n">
        <f aca="false">IF($F1515=0,0,INDEX(Aux_HH!$H$4:$H$18,MATCH($B1515&amp;"|"&amp;$E1515,Aux_HH!$A$4:$A$18,0)))</f>
        <v>0</v>
      </c>
      <c r="L1515" s="0" t="n">
        <f aca="false">IF($F1515=0,0,INDEX(Aux_HH!$I$4:$I$18,MATCH($B1515&amp;"|"&amp;$E1515,Aux_HH!$A$4:$A$18,0)))</f>
        <v>0</v>
      </c>
    </row>
    <row r="1516" customFormat="false" ht="15" hidden="false" customHeight="false" outlineLevel="0" collapsed="false">
      <c r="A1516" s="0" t="str">
        <f aca="false">IF(Frota!$A34="","",Frota!$A34)</f>
        <v/>
      </c>
      <c r="B1516" s="0" t="str">
        <f aca="false">IF(Frota!$A34="","",Frota!$B34)</f>
        <v/>
      </c>
      <c r="C1516" s="0" t="n">
        <v>5</v>
      </c>
      <c r="D1516" s="0" t="n">
        <f aca="false">INDEX(Semanas!$E$3:$E$54,5)</f>
        <v>4</v>
      </c>
      <c r="E1516" s="0" t="str">
        <f aca="false">IF(Frota!$A34="","",Cronograma!F34)</f>
        <v/>
      </c>
      <c r="F1516" s="0" t="n">
        <f aca="false">IF(OR($E1516="",$E1516=0),0,1)</f>
        <v>0</v>
      </c>
      <c r="G1516" s="0" t="n">
        <f aca="false">IF($F1516=0,0,INDEX(Aux_HH!$D$4:$D$18,MATCH($B1516&amp;"|"&amp;$E1516,Aux_HH!$A$4:$A$18,0)))</f>
        <v>0</v>
      </c>
      <c r="H1516" s="0" t="n">
        <f aca="false">IF($F1516=0,0,INDEX(Aux_HH!$E$4:$E$18,MATCH($B1516&amp;"|"&amp;$E1516,Aux_HH!$A$4:$A$18,0)))</f>
        <v>0</v>
      </c>
      <c r="I1516" s="0" t="n">
        <f aca="false">IF($F1516=0,0,INDEX(Aux_HH!$F$4:$F$18,MATCH($B1516&amp;"|"&amp;$E1516,Aux_HH!$A$4:$A$18,0)))</f>
        <v>0</v>
      </c>
      <c r="J1516" s="0" t="n">
        <f aca="false">IF($F1516=0,0,INDEX(Aux_HH!$G$4:$G$18,MATCH($B1516&amp;"|"&amp;$E1516,Aux_HH!$A$4:$A$18,0)))</f>
        <v>0</v>
      </c>
      <c r="K1516" s="0" t="n">
        <f aca="false">IF($F1516=0,0,INDEX(Aux_HH!$H$4:$H$18,MATCH($B1516&amp;"|"&amp;$E1516,Aux_HH!$A$4:$A$18,0)))</f>
        <v>0</v>
      </c>
      <c r="L1516" s="0" t="n">
        <f aca="false">IF($F1516=0,0,INDEX(Aux_HH!$I$4:$I$18,MATCH($B1516&amp;"|"&amp;$E1516,Aux_HH!$A$4:$A$18,0)))</f>
        <v>0</v>
      </c>
    </row>
    <row r="1517" customFormat="false" ht="15" hidden="false" customHeight="false" outlineLevel="0" collapsed="false">
      <c r="A1517" s="0" t="str">
        <f aca="false">IF(Frota!$A34="","",Frota!$A34)</f>
        <v/>
      </c>
      <c r="B1517" s="0" t="str">
        <f aca="false">IF(Frota!$A34="","",Frota!$B34)</f>
        <v/>
      </c>
      <c r="C1517" s="0" t="n">
        <v>6</v>
      </c>
      <c r="D1517" s="0" t="n">
        <f aca="false">INDEX(Semanas!$E$3:$E$54,6)</f>
        <v>5</v>
      </c>
      <c r="E1517" s="0" t="str">
        <f aca="false">IF(Frota!$A34="","",Cronograma!G34)</f>
        <v/>
      </c>
      <c r="F1517" s="0" t="n">
        <f aca="false">IF(OR($E1517="",$E1517=0),0,1)</f>
        <v>0</v>
      </c>
      <c r="G1517" s="0" t="n">
        <f aca="false">IF($F1517=0,0,INDEX(Aux_HH!$D$4:$D$18,MATCH($B1517&amp;"|"&amp;$E1517,Aux_HH!$A$4:$A$18,0)))</f>
        <v>0</v>
      </c>
      <c r="H1517" s="0" t="n">
        <f aca="false">IF($F1517=0,0,INDEX(Aux_HH!$E$4:$E$18,MATCH($B1517&amp;"|"&amp;$E1517,Aux_HH!$A$4:$A$18,0)))</f>
        <v>0</v>
      </c>
      <c r="I1517" s="0" t="n">
        <f aca="false">IF($F1517=0,0,INDEX(Aux_HH!$F$4:$F$18,MATCH($B1517&amp;"|"&amp;$E1517,Aux_HH!$A$4:$A$18,0)))</f>
        <v>0</v>
      </c>
      <c r="J1517" s="0" t="n">
        <f aca="false">IF($F1517=0,0,INDEX(Aux_HH!$G$4:$G$18,MATCH($B1517&amp;"|"&amp;$E1517,Aux_HH!$A$4:$A$18,0)))</f>
        <v>0</v>
      </c>
      <c r="K1517" s="0" t="n">
        <f aca="false">IF($F1517=0,0,INDEX(Aux_HH!$H$4:$H$18,MATCH($B1517&amp;"|"&amp;$E1517,Aux_HH!$A$4:$A$18,0)))</f>
        <v>0</v>
      </c>
      <c r="L1517" s="0" t="n">
        <f aca="false">IF($F1517=0,0,INDEX(Aux_HH!$I$4:$I$18,MATCH($B1517&amp;"|"&amp;$E1517,Aux_HH!$A$4:$A$18,0)))</f>
        <v>0</v>
      </c>
    </row>
    <row r="1518" customFormat="false" ht="15" hidden="false" customHeight="false" outlineLevel="0" collapsed="false">
      <c r="A1518" s="0" t="str">
        <f aca="false">IF(Frota!$A34="","",Frota!$A34)</f>
        <v/>
      </c>
      <c r="B1518" s="0" t="str">
        <f aca="false">IF(Frota!$A34="","",Frota!$B34)</f>
        <v/>
      </c>
      <c r="C1518" s="0" t="n">
        <v>7</v>
      </c>
      <c r="D1518" s="0" t="n">
        <f aca="false">INDEX(Semanas!$E$3:$E$54,7)</f>
        <v>5</v>
      </c>
      <c r="E1518" s="0" t="str">
        <f aca="false">IF(Frota!$A34="","",Cronograma!H34)</f>
        <v/>
      </c>
      <c r="F1518" s="0" t="n">
        <f aca="false">IF(OR($E1518="",$E1518=0),0,1)</f>
        <v>0</v>
      </c>
      <c r="G1518" s="0" t="n">
        <f aca="false">IF($F1518=0,0,INDEX(Aux_HH!$D$4:$D$18,MATCH($B1518&amp;"|"&amp;$E1518,Aux_HH!$A$4:$A$18,0)))</f>
        <v>0</v>
      </c>
      <c r="H1518" s="0" t="n">
        <f aca="false">IF($F1518=0,0,INDEX(Aux_HH!$E$4:$E$18,MATCH($B1518&amp;"|"&amp;$E1518,Aux_HH!$A$4:$A$18,0)))</f>
        <v>0</v>
      </c>
      <c r="I1518" s="0" t="n">
        <f aca="false">IF($F1518=0,0,INDEX(Aux_HH!$F$4:$F$18,MATCH($B1518&amp;"|"&amp;$E1518,Aux_HH!$A$4:$A$18,0)))</f>
        <v>0</v>
      </c>
      <c r="J1518" s="0" t="n">
        <f aca="false">IF($F1518=0,0,INDEX(Aux_HH!$G$4:$G$18,MATCH($B1518&amp;"|"&amp;$E1518,Aux_HH!$A$4:$A$18,0)))</f>
        <v>0</v>
      </c>
      <c r="K1518" s="0" t="n">
        <f aca="false">IF($F1518=0,0,INDEX(Aux_HH!$H$4:$H$18,MATCH($B1518&amp;"|"&amp;$E1518,Aux_HH!$A$4:$A$18,0)))</f>
        <v>0</v>
      </c>
      <c r="L1518" s="0" t="n">
        <f aca="false">IF($F1518=0,0,INDEX(Aux_HH!$I$4:$I$18,MATCH($B1518&amp;"|"&amp;$E1518,Aux_HH!$A$4:$A$18,0)))</f>
        <v>0</v>
      </c>
    </row>
    <row r="1519" customFormat="false" ht="15" hidden="false" customHeight="false" outlineLevel="0" collapsed="false">
      <c r="A1519" s="0" t="str">
        <f aca="false">IF(Frota!$A34="","",Frota!$A34)</f>
        <v/>
      </c>
      <c r="B1519" s="0" t="str">
        <f aca="false">IF(Frota!$A34="","",Frota!$B34)</f>
        <v/>
      </c>
      <c r="C1519" s="0" t="n">
        <v>8</v>
      </c>
      <c r="D1519" s="0" t="n">
        <f aca="false">INDEX(Semanas!$E$3:$E$54,8)</f>
        <v>5</v>
      </c>
      <c r="E1519" s="0" t="str">
        <f aca="false">IF(Frota!$A34="","",Cronograma!I34)</f>
        <v/>
      </c>
      <c r="F1519" s="0" t="n">
        <f aca="false">IF(OR($E1519="",$E1519=0),0,1)</f>
        <v>0</v>
      </c>
      <c r="G1519" s="0" t="n">
        <f aca="false">IF($F1519=0,0,INDEX(Aux_HH!$D$4:$D$18,MATCH($B1519&amp;"|"&amp;$E1519,Aux_HH!$A$4:$A$18,0)))</f>
        <v>0</v>
      </c>
      <c r="H1519" s="0" t="n">
        <f aca="false">IF($F1519=0,0,INDEX(Aux_HH!$E$4:$E$18,MATCH($B1519&amp;"|"&amp;$E1519,Aux_HH!$A$4:$A$18,0)))</f>
        <v>0</v>
      </c>
      <c r="I1519" s="0" t="n">
        <f aca="false">IF($F1519=0,0,INDEX(Aux_HH!$F$4:$F$18,MATCH($B1519&amp;"|"&amp;$E1519,Aux_HH!$A$4:$A$18,0)))</f>
        <v>0</v>
      </c>
      <c r="J1519" s="0" t="n">
        <f aca="false">IF($F1519=0,0,INDEX(Aux_HH!$G$4:$G$18,MATCH($B1519&amp;"|"&amp;$E1519,Aux_HH!$A$4:$A$18,0)))</f>
        <v>0</v>
      </c>
      <c r="K1519" s="0" t="n">
        <f aca="false">IF($F1519=0,0,INDEX(Aux_HH!$H$4:$H$18,MATCH($B1519&amp;"|"&amp;$E1519,Aux_HH!$A$4:$A$18,0)))</f>
        <v>0</v>
      </c>
      <c r="L1519" s="0" t="n">
        <f aca="false">IF($F1519=0,0,INDEX(Aux_HH!$I$4:$I$18,MATCH($B1519&amp;"|"&amp;$E1519,Aux_HH!$A$4:$A$18,0)))</f>
        <v>0</v>
      </c>
    </row>
    <row r="1520" customFormat="false" ht="15" hidden="false" customHeight="false" outlineLevel="0" collapsed="false">
      <c r="A1520" s="0" t="str">
        <f aca="false">IF(Frota!$A34="","",Frota!$A34)</f>
        <v/>
      </c>
      <c r="B1520" s="0" t="str">
        <f aca="false">IF(Frota!$A34="","",Frota!$B34)</f>
        <v/>
      </c>
      <c r="C1520" s="0" t="n">
        <v>9</v>
      </c>
      <c r="D1520" s="0" t="n">
        <f aca="false">INDEX(Semanas!$E$3:$E$54,9)</f>
        <v>5</v>
      </c>
      <c r="E1520" s="0" t="str">
        <f aca="false">IF(Frota!$A34="","",Cronograma!J34)</f>
        <v/>
      </c>
      <c r="F1520" s="0" t="n">
        <f aca="false">IF(OR($E1520="",$E1520=0),0,1)</f>
        <v>0</v>
      </c>
      <c r="G1520" s="0" t="n">
        <f aca="false">IF($F1520=0,0,INDEX(Aux_HH!$D$4:$D$18,MATCH($B1520&amp;"|"&amp;$E1520,Aux_HH!$A$4:$A$18,0)))</f>
        <v>0</v>
      </c>
      <c r="H1520" s="0" t="n">
        <f aca="false">IF($F1520=0,0,INDEX(Aux_HH!$E$4:$E$18,MATCH($B1520&amp;"|"&amp;$E1520,Aux_HH!$A$4:$A$18,0)))</f>
        <v>0</v>
      </c>
      <c r="I1520" s="0" t="n">
        <f aca="false">IF($F1520=0,0,INDEX(Aux_HH!$F$4:$F$18,MATCH($B1520&amp;"|"&amp;$E1520,Aux_HH!$A$4:$A$18,0)))</f>
        <v>0</v>
      </c>
      <c r="J1520" s="0" t="n">
        <f aca="false">IF($F1520=0,0,INDEX(Aux_HH!$G$4:$G$18,MATCH($B1520&amp;"|"&amp;$E1520,Aux_HH!$A$4:$A$18,0)))</f>
        <v>0</v>
      </c>
      <c r="K1520" s="0" t="n">
        <f aca="false">IF($F1520=0,0,INDEX(Aux_HH!$H$4:$H$18,MATCH($B1520&amp;"|"&amp;$E1520,Aux_HH!$A$4:$A$18,0)))</f>
        <v>0</v>
      </c>
      <c r="L1520" s="0" t="n">
        <f aca="false">IF($F1520=0,0,INDEX(Aux_HH!$I$4:$I$18,MATCH($B1520&amp;"|"&amp;$E1520,Aux_HH!$A$4:$A$18,0)))</f>
        <v>0</v>
      </c>
    </row>
    <row r="1521" customFormat="false" ht="15" hidden="false" customHeight="false" outlineLevel="0" collapsed="false">
      <c r="A1521" s="0" t="str">
        <f aca="false">IF(Frota!$A34="","",Frota!$A34)</f>
        <v/>
      </c>
      <c r="B1521" s="0" t="str">
        <f aca="false">IF(Frota!$A34="","",Frota!$B34)</f>
        <v/>
      </c>
      <c r="C1521" s="0" t="n">
        <v>10</v>
      </c>
      <c r="D1521" s="0" t="n">
        <f aca="false">INDEX(Semanas!$E$3:$E$54,10)</f>
        <v>6</v>
      </c>
      <c r="E1521" s="0" t="str">
        <f aca="false">IF(Frota!$A34="","",Cronograma!K34)</f>
        <v/>
      </c>
      <c r="F1521" s="0" t="n">
        <f aca="false">IF(OR($E1521="",$E1521=0),0,1)</f>
        <v>0</v>
      </c>
      <c r="G1521" s="0" t="n">
        <f aca="false">IF($F1521=0,0,INDEX(Aux_HH!$D$4:$D$18,MATCH($B1521&amp;"|"&amp;$E1521,Aux_HH!$A$4:$A$18,0)))</f>
        <v>0</v>
      </c>
      <c r="H1521" s="0" t="n">
        <f aca="false">IF($F1521=0,0,INDEX(Aux_HH!$E$4:$E$18,MATCH($B1521&amp;"|"&amp;$E1521,Aux_HH!$A$4:$A$18,0)))</f>
        <v>0</v>
      </c>
      <c r="I1521" s="0" t="n">
        <f aca="false">IF($F1521=0,0,INDEX(Aux_HH!$F$4:$F$18,MATCH($B1521&amp;"|"&amp;$E1521,Aux_HH!$A$4:$A$18,0)))</f>
        <v>0</v>
      </c>
      <c r="J1521" s="0" t="n">
        <f aca="false">IF($F1521=0,0,INDEX(Aux_HH!$G$4:$G$18,MATCH($B1521&amp;"|"&amp;$E1521,Aux_HH!$A$4:$A$18,0)))</f>
        <v>0</v>
      </c>
      <c r="K1521" s="0" t="n">
        <f aca="false">IF($F1521=0,0,INDEX(Aux_HH!$H$4:$H$18,MATCH($B1521&amp;"|"&amp;$E1521,Aux_HH!$A$4:$A$18,0)))</f>
        <v>0</v>
      </c>
      <c r="L1521" s="0" t="n">
        <f aca="false">IF($F1521=0,0,INDEX(Aux_HH!$I$4:$I$18,MATCH($B1521&amp;"|"&amp;$E1521,Aux_HH!$A$4:$A$18,0)))</f>
        <v>0</v>
      </c>
    </row>
    <row r="1522" customFormat="false" ht="15" hidden="false" customHeight="false" outlineLevel="0" collapsed="false">
      <c r="A1522" s="0" t="str">
        <f aca="false">IF(Frota!$A34="","",Frota!$A34)</f>
        <v/>
      </c>
      <c r="B1522" s="0" t="str">
        <f aca="false">IF(Frota!$A34="","",Frota!$B34)</f>
        <v/>
      </c>
      <c r="C1522" s="0" t="n">
        <v>11</v>
      </c>
      <c r="D1522" s="0" t="n">
        <f aca="false">INDEX(Semanas!$E$3:$E$54,11)</f>
        <v>6</v>
      </c>
      <c r="E1522" s="0" t="str">
        <f aca="false">IF(Frota!$A34="","",Cronograma!L34)</f>
        <v/>
      </c>
      <c r="F1522" s="0" t="n">
        <f aca="false">IF(OR($E1522="",$E1522=0),0,1)</f>
        <v>0</v>
      </c>
      <c r="G1522" s="0" t="n">
        <f aca="false">IF($F1522=0,0,INDEX(Aux_HH!$D$4:$D$18,MATCH($B1522&amp;"|"&amp;$E1522,Aux_HH!$A$4:$A$18,0)))</f>
        <v>0</v>
      </c>
      <c r="H1522" s="0" t="n">
        <f aca="false">IF($F1522=0,0,INDEX(Aux_HH!$E$4:$E$18,MATCH($B1522&amp;"|"&amp;$E1522,Aux_HH!$A$4:$A$18,0)))</f>
        <v>0</v>
      </c>
      <c r="I1522" s="0" t="n">
        <f aca="false">IF($F1522=0,0,INDEX(Aux_HH!$F$4:$F$18,MATCH($B1522&amp;"|"&amp;$E1522,Aux_HH!$A$4:$A$18,0)))</f>
        <v>0</v>
      </c>
      <c r="J1522" s="0" t="n">
        <f aca="false">IF($F1522=0,0,INDEX(Aux_HH!$G$4:$G$18,MATCH($B1522&amp;"|"&amp;$E1522,Aux_HH!$A$4:$A$18,0)))</f>
        <v>0</v>
      </c>
      <c r="K1522" s="0" t="n">
        <f aca="false">IF($F1522=0,0,INDEX(Aux_HH!$H$4:$H$18,MATCH($B1522&amp;"|"&amp;$E1522,Aux_HH!$A$4:$A$18,0)))</f>
        <v>0</v>
      </c>
      <c r="L1522" s="0" t="n">
        <f aca="false">IF($F1522=0,0,INDEX(Aux_HH!$I$4:$I$18,MATCH($B1522&amp;"|"&amp;$E1522,Aux_HH!$A$4:$A$18,0)))</f>
        <v>0</v>
      </c>
    </row>
    <row r="1523" customFormat="false" ht="15" hidden="false" customHeight="false" outlineLevel="0" collapsed="false">
      <c r="A1523" s="0" t="str">
        <f aca="false">IF(Frota!$A34="","",Frota!$A34)</f>
        <v/>
      </c>
      <c r="B1523" s="0" t="str">
        <f aca="false">IF(Frota!$A34="","",Frota!$B34)</f>
        <v/>
      </c>
      <c r="C1523" s="0" t="n">
        <v>12</v>
      </c>
      <c r="D1523" s="0" t="n">
        <f aca="false">INDEX(Semanas!$E$3:$E$54,12)</f>
        <v>6</v>
      </c>
      <c r="E1523" s="0" t="str">
        <f aca="false">IF(Frota!$A34="","",Cronograma!M34)</f>
        <v/>
      </c>
      <c r="F1523" s="0" t="n">
        <f aca="false">IF(OR($E1523="",$E1523=0),0,1)</f>
        <v>0</v>
      </c>
      <c r="G1523" s="0" t="n">
        <f aca="false">IF($F1523=0,0,INDEX(Aux_HH!$D$4:$D$18,MATCH($B1523&amp;"|"&amp;$E1523,Aux_HH!$A$4:$A$18,0)))</f>
        <v>0</v>
      </c>
      <c r="H1523" s="0" t="n">
        <f aca="false">IF($F1523=0,0,INDEX(Aux_HH!$E$4:$E$18,MATCH($B1523&amp;"|"&amp;$E1523,Aux_HH!$A$4:$A$18,0)))</f>
        <v>0</v>
      </c>
      <c r="I1523" s="0" t="n">
        <f aca="false">IF($F1523=0,0,INDEX(Aux_HH!$F$4:$F$18,MATCH($B1523&amp;"|"&amp;$E1523,Aux_HH!$A$4:$A$18,0)))</f>
        <v>0</v>
      </c>
      <c r="J1523" s="0" t="n">
        <f aca="false">IF($F1523=0,0,INDEX(Aux_HH!$G$4:$G$18,MATCH($B1523&amp;"|"&amp;$E1523,Aux_HH!$A$4:$A$18,0)))</f>
        <v>0</v>
      </c>
      <c r="K1523" s="0" t="n">
        <f aca="false">IF($F1523=0,0,INDEX(Aux_HH!$H$4:$H$18,MATCH($B1523&amp;"|"&amp;$E1523,Aux_HH!$A$4:$A$18,0)))</f>
        <v>0</v>
      </c>
      <c r="L1523" s="0" t="n">
        <f aca="false">IF($F1523=0,0,INDEX(Aux_HH!$I$4:$I$18,MATCH($B1523&amp;"|"&amp;$E1523,Aux_HH!$A$4:$A$18,0)))</f>
        <v>0</v>
      </c>
    </row>
    <row r="1524" customFormat="false" ht="15" hidden="false" customHeight="false" outlineLevel="0" collapsed="false">
      <c r="A1524" s="0" t="str">
        <f aca="false">IF(Frota!$A34="","",Frota!$A34)</f>
        <v/>
      </c>
      <c r="B1524" s="0" t="str">
        <f aca="false">IF(Frota!$A34="","",Frota!$B34)</f>
        <v/>
      </c>
      <c r="C1524" s="0" t="n">
        <v>13</v>
      </c>
      <c r="D1524" s="0" t="n">
        <f aca="false">INDEX(Semanas!$E$3:$E$54,13)</f>
        <v>6</v>
      </c>
      <c r="E1524" s="0" t="str">
        <f aca="false">IF(Frota!$A34="","",Cronograma!N34)</f>
        <v/>
      </c>
      <c r="F1524" s="0" t="n">
        <f aca="false">IF(OR($E1524="",$E1524=0),0,1)</f>
        <v>0</v>
      </c>
      <c r="G1524" s="0" t="n">
        <f aca="false">IF($F1524=0,0,INDEX(Aux_HH!$D$4:$D$18,MATCH($B1524&amp;"|"&amp;$E1524,Aux_HH!$A$4:$A$18,0)))</f>
        <v>0</v>
      </c>
      <c r="H1524" s="0" t="n">
        <f aca="false">IF($F1524=0,0,INDEX(Aux_HH!$E$4:$E$18,MATCH($B1524&amp;"|"&amp;$E1524,Aux_HH!$A$4:$A$18,0)))</f>
        <v>0</v>
      </c>
      <c r="I1524" s="0" t="n">
        <f aca="false">IF($F1524=0,0,INDEX(Aux_HH!$F$4:$F$18,MATCH($B1524&amp;"|"&amp;$E1524,Aux_HH!$A$4:$A$18,0)))</f>
        <v>0</v>
      </c>
      <c r="J1524" s="0" t="n">
        <f aca="false">IF($F1524=0,0,INDEX(Aux_HH!$G$4:$G$18,MATCH($B1524&amp;"|"&amp;$E1524,Aux_HH!$A$4:$A$18,0)))</f>
        <v>0</v>
      </c>
      <c r="K1524" s="0" t="n">
        <f aca="false">IF($F1524=0,0,INDEX(Aux_HH!$H$4:$H$18,MATCH($B1524&amp;"|"&amp;$E1524,Aux_HH!$A$4:$A$18,0)))</f>
        <v>0</v>
      </c>
      <c r="L1524" s="0" t="n">
        <f aca="false">IF($F1524=0,0,INDEX(Aux_HH!$I$4:$I$18,MATCH($B1524&amp;"|"&amp;$E1524,Aux_HH!$A$4:$A$18,0)))</f>
        <v>0</v>
      </c>
    </row>
    <row r="1525" customFormat="false" ht="15" hidden="false" customHeight="false" outlineLevel="0" collapsed="false">
      <c r="A1525" s="0" t="str">
        <f aca="false">IF(Frota!$A34="","",Frota!$A34)</f>
        <v/>
      </c>
      <c r="B1525" s="0" t="str">
        <f aca="false">IF(Frota!$A34="","",Frota!$B34)</f>
        <v/>
      </c>
      <c r="C1525" s="0" t="n">
        <v>14</v>
      </c>
      <c r="D1525" s="0" t="n">
        <f aca="false">INDEX(Semanas!$E$3:$E$54,14)</f>
        <v>7</v>
      </c>
      <c r="E1525" s="0" t="str">
        <f aca="false">IF(Frota!$A34="","",Cronograma!O34)</f>
        <v/>
      </c>
      <c r="F1525" s="0" t="n">
        <f aca="false">IF(OR($E1525="",$E1525=0),0,1)</f>
        <v>0</v>
      </c>
      <c r="G1525" s="0" t="n">
        <f aca="false">IF($F1525=0,0,INDEX(Aux_HH!$D$4:$D$18,MATCH($B1525&amp;"|"&amp;$E1525,Aux_HH!$A$4:$A$18,0)))</f>
        <v>0</v>
      </c>
      <c r="H1525" s="0" t="n">
        <f aca="false">IF($F1525=0,0,INDEX(Aux_HH!$E$4:$E$18,MATCH($B1525&amp;"|"&amp;$E1525,Aux_HH!$A$4:$A$18,0)))</f>
        <v>0</v>
      </c>
      <c r="I1525" s="0" t="n">
        <f aca="false">IF($F1525=0,0,INDEX(Aux_HH!$F$4:$F$18,MATCH($B1525&amp;"|"&amp;$E1525,Aux_HH!$A$4:$A$18,0)))</f>
        <v>0</v>
      </c>
      <c r="J1525" s="0" t="n">
        <f aca="false">IF($F1525=0,0,INDEX(Aux_HH!$G$4:$G$18,MATCH($B1525&amp;"|"&amp;$E1525,Aux_HH!$A$4:$A$18,0)))</f>
        <v>0</v>
      </c>
      <c r="K1525" s="0" t="n">
        <f aca="false">IF($F1525=0,0,INDEX(Aux_HH!$H$4:$H$18,MATCH($B1525&amp;"|"&amp;$E1525,Aux_HH!$A$4:$A$18,0)))</f>
        <v>0</v>
      </c>
      <c r="L1525" s="0" t="n">
        <f aca="false">IF($F1525=0,0,INDEX(Aux_HH!$I$4:$I$18,MATCH($B1525&amp;"|"&amp;$E1525,Aux_HH!$A$4:$A$18,0)))</f>
        <v>0</v>
      </c>
    </row>
    <row r="1526" customFormat="false" ht="15" hidden="false" customHeight="false" outlineLevel="0" collapsed="false">
      <c r="A1526" s="0" t="str">
        <f aca="false">IF(Frota!$A34="","",Frota!$A34)</f>
        <v/>
      </c>
      <c r="B1526" s="0" t="str">
        <f aca="false">IF(Frota!$A34="","",Frota!$B34)</f>
        <v/>
      </c>
      <c r="C1526" s="0" t="n">
        <v>15</v>
      </c>
      <c r="D1526" s="0" t="n">
        <f aca="false">INDEX(Semanas!$E$3:$E$54,15)</f>
        <v>7</v>
      </c>
      <c r="E1526" s="0" t="str">
        <f aca="false">IF(Frota!$A34="","",Cronograma!P34)</f>
        <v/>
      </c>
      <c r="F1526" s="0" t="n">
        <f aca="false">IF(OR($E1526="",$E1526=0),0,1)</f>
        <v>0</v>
      </c>
      <c r="G1526" s="0" t="n">
        <f aca="false">IF($F1526=0,0,INDEX(Aux_HH!$D$4:$D$18,MATCH($B1526&amp;"|"&amp;$E1526,Aux_HH!$A$4:$A$18,0)))</f>
        <v>0</v>
      </c>
      <c r="H1526" s="0" t="n">
        <f aca="false">IF($F1526=0,0,INDEX(Aux_HH!$E$4:$E$18,MATCH($B1526&amp;"|"&amp;$E1526,Aux_HH!$A$4:$A$18,0)))</f>
        <v>0</v>
      </c>
      <c r="I1526" s="0" t="n">
        <f aca="false">IF($F1526=0,0,INDEX(Aux_HH!$F$4:$F$18,MATCH($B1526&amp;"|"&amp;$E1526,Aux_HH!$A$4:$A$18,0)))</f>
        <v>0</v>
      </c>
      <c r="J1526" s="0" t="n">
        <f aca="false">IF($F1526=0,0,INDEX(Aux_HH!$G$4:$G$18,MATCH($B1526&amp;"|"&amp;$E1526,Aux_HH!$A$4:$A$18,0)))</f>
        <v>0</v>
      </c>
      <c r="K1526" s="0" t="n">
        <f aca="false">IF($F1526=0,0,INDEX(Aux_HH!$H$4:$H$18,MATCH($B1526&amp;"|"&amp;$E1526,Aux_HH!$A$4:$A$18,0)))</f>
        <v>0</v>
      </c>
      <c r="L1526" s="0" t="n">
        <f aca="false">IF($F1526=0,0,INDEX(Aux_HH!$I$4:$I$18,MATCH($B1526&amp;"|"&amp;$E1526,Aux_HH!$A$4:$A$18,0)))</f>
        <v>0</v>
      </c>
    </row>
    <row r="1527" customFormat="false" ht="15" hidden="false" customHeight="false" outlineLevel="0" collapsed="false">
      <c r="A1527" s="0" t="str">
        <f aca="false">IF(Frota!$A34="","",Frota!$A34)</f>
        <v/>
      </c>
      <c r="B1527" s="0" t="str">
        <f aca="false">IF(Frota!$A34="","",Frota!$B34)</f>
        <v/>
      </c>
      <c r="C1527" s="0" t="n">
        <v>16</v>
      </c>
      <c r="D1527" s="0" t="n">
        <f aca="false">INDEX(Semanas!$E$3:$E$54,16)</f>
        <v>7</v>
      </c>
      <c r="E1527" s="0" t="str">
        <f aca="false">IF(Frota!$A34="","",Cronograma!Q34)</f>
        <v/>
      </c>
      <c r="F1527" s="0" t="n">
        <f aca="false">IF(OR($E1527="",$E1527=0),0,1)</f>
        <v>0</v>
      </c>
      <c r="G1527" s="0" t="n">
        <f aca="false">IF($F1527=0,0,INDEX(Aux_HH!$D$4:$D$18,MATCH($B1527&amp;"|"&amp;$E1527,Aux_HH!$A$4:$A$18,0)))</f>
        <v>0</v>
      </c>
      <c r="H1527" s="0" t="n">
        <f aca="false">IF($F1527=0,0,INDEX(Aux_HH!$E$4:$E$18,MATCH($B1527&amp;"|"&amp;$E1527,Aux_HH!$A$4:$A$18,0)))</f>
        <v>0</v>
      </c>
      <c r="I1527" s="0" t="n">
        <f aca="false">IF($F1527=0,0,INDEX(Aux_HH!$F$4:$F$18,MATCH($B1527&amp;"|"&amp;$E1527,Aux_HH!$A$4:$A$18,0)))</f>
        <v>0</v>
      </c>
      <c r="J1527" s="0" t="n">
        <f aca="false">IF($F1527=0,0,INDEX(Aux_HH!$G$4:$G$18,MATCH($B1527&amp;"|"&amp;$E1527,Aux_HH!$A$4:$A$18,0)))</f>
        <v>0</v>
      </c>
      <c r="K1527" s="0" t="n">
        <f aca="false">IF($F1527=0,0,INDEX(Aux_HH!$H$4:$H$18,MATCH($B1527&amp;"|"&amp;$E1527,Aux_HH!$A$4:$A$18,0)))</f>
        <v>0</v>
      </c>
      <c r="L1527" s="0" t="n">
        <f aca="false">IF($F1527=0,0,INDEX(Aux_HH!$I$4:$I$18,MATCH($B1527&amp;"|"&amp;$E1527,Aux_HH!$A$4:$A$18,0)))</f>
        <v>0</v>
      </c>
    </row>
    <row r="1528" customFormat="false" ht="15" hidden="false" customHeight="false" outlineLevel="0" collapsed="false">
      <c r="A1528" s="0" t="str">
        <f aca="false">IF(Frota!$A34="","",Frota!$A34)</f>
        <v/>
      </c>
      <c r="B1528" s="0" t="str">
        <f aca="false">IF(Frota!$A34="","",Frota!$B34)</f>
        <v/>
      </c>
      <c r="C1528" s="0" t="n">
        <v>17</v>
      </c>
      <c r="D1528" s="0" t="n">
        <f aca="false">INDEX(Semanas!$E$3:$E$54,17)</f>
        <v>7</v>
      </c>
      <c r="E1528" s="0" t="str">
        <f aca="false">IF(Frota!$A34="","",Cronograma!R34)</f>
        <v/>
      </c>
      <c r="F1528" s="0" t="n">
        <f aca="false">IF(OR($E1528="",$E1528=0),0,1)</f>
        <v>0</v>
      </c>
      <c r="G1528" s="0" t="n">
        <f aca="false">IF($F1528=0,0,INDEX(Aux_HH!$D$4:$D$18,MATCH($B1528&amp;"|"&amp;$E1528,Aux_HH!$A$4:$A$18,0)))</f>
        <v>0</v>
      </c>
      <c r="H1528" s="0" t="n">
        <f aca="false">IF($F1528=0,0,INDEX(Aux_HH!$E$4:$E$18,MATCH($B1528&amp;"|"&amp;$E1528,Aux_HH!$A$4:$A$18,0)))</f>
        <v>0</v>
      </c>
      <c r="I1528" s="0" t="n">
        <f aca="false">IF($F1528=0,0,INDEX(Aux_HH!$F$4:$F$18,MATCH($B1528&amp;"|"&amp;$E1528,Aux_HH!$A$4:$A$18,0)))</f>
        <v>0</v>
      </c>
      <c r="J1528" s="0" t="n">
        <f aca="false">IF($F1528=0,0,INDEX(Aux_HH!$G$4:$G$18,MATCH($B1528&amp;"|"&amp;$E1528,Aux_HH!$A$4:$A$18,0)))</f>
        <v>0</v>
      </c>
      <c r="K1528" s="0" t="n">
        <f aca="false">IF($F1528=0,0,INDEX(Aux_HH!$H$4:$H$18,MATCH($B1528&amp;"|"&amp;$E1528,Aux_HH!$A$4:$A$18,0)))</f>
        <v>0</v>
      </c>
      <c r="L1528" s="0" t="n">
        <f aca="false">IF($F1528=0,0,INDEX(Aux_HH!$I$4:$I$18,MATCH($B1528&amp;"|"&amp;$E1528,Aux_HH!$A$4:$A$18,0)))</f>
        <v>0</v>
      </c>
    </row>
    <row r="1529" customFormat="false" ht="15" hidden="false" customHeight="false" outlineLevel="0" collapsed="false">
      <c r="A1529" s="0" t="str">
        <f aca="false">IF(Frota!$A34="","",Frota!$A34)</f>
        <v/>
      </c>
      <c r="B1529" s="0" t="str">
        <f aca="false">IF(Frota!$A34="","",Frota!$B34)</f>
        <v/>
      </c>
      <c r="C1529" s="0" t="n">
        <v>18</v>
      </c>
      <c r="D1529" s="0" t="n">
        <f aca="false">INDEX(Semanas!$E$3:$E$54,18)</f>
        <v>7</v>
      </c>
      <c r="E1529" s="0" t="str">
        <f aca="false">IF(Frota!$A34="","",Cronograma!S34)</f>
        <v/>
      </c>
      <c r="F1529" s="0" t="n">
        <f aca="false">IF(OR($E1529="",$E1529=0),0,1)</f>
        <v>0</v>
      </c>
      <c r="G1529" s="0" t="n">
        <f aca="false">IF($F1529=0,0,INDEX(Aux_HH!$D$4:$D$18,MATCH($B1529&amp;"|"&amp;$E1529,Aux_HH!$A$4:$A$18,0)))</f>
        <v>0</v>
      </c>
      <c r="H1529" s="0" t="n">
        <f aca="false">IF($F1529=0,0,INDEX(Aux_HH!$E$4:$E$18,MATCH($B1529&amp;"|"&amp;$E1529,Aux_HH!$A$4:$A$18,0)))</f>
        <v>0</v>
      </c>
      <c r="I1529" s="0" t="n">
        <f aca="false">IF($F1529=0,0,INDEX(Aux_HH!$F$4:$F$18,MATCH($B1529&amp;"|"&amp;$E1529,Aux_HH!$A$4:$A$18,0)))</f>
        <v>0</v>
      </c>
      <c r="J1529" s="0" t="n">
        <f aca="false">IF($F1529=0,0,INDEX(Aux_HH!$G$4:$G$18,MATCH($B1529&amp;"|"&amp;$E1529,Aux_HH!$A$4:$A$18,0)))</f>
        <v>0</v>
      </c>
      <c r="K1529" s="0" t="n">
        <f aca="false">IF($F1529=0,0,INDEX(Aux_HH!$H$4:$H$18,MATCH($B1529&amp;"|"&amp;$E1529,Aux_HH!$A$4:$A$18,0)))</f>
        <v>0</v>
      </c>
      <c r="L1529" s="0" t="n">
        <f aca="false">IF($F1529=0,0,INDEX(Aux_HH!$I$4:$I$18,MATCH($B1529&amp;"|"&amp;$E1529,Aux_HH!$A$4:$A$18,0)))</f>
        <v>0</v>
      </c>
    </row>
    <row r="1530" customFormat="false" ht="15" hidden="false" customHeight="false" outlineLevel="0" collapsed="false">
      <c r="A1530" s="0" t="str">
        <f aca="false">IF(Frota!$A34="","",Frota!$A34)</f>
        <v/>
      </c>
      <c r="B1530" s="0" t="str">
        <f aca="false">IF(Frota!$A34="","",Frota!$B34)</f>
        <v/>
      </c>
      <c r="C1530" s="0" t="n">
        <v>19</v>
      </c>
      <c r="D1530" s="0" t="n">
        <f aca="false">INDEX(Semanas!$E$3:$E$54,19)</f>
        <v>8</v>
      </c>
      <c r="E1530" s="0" t="str">
        <f aca="false">IF(Frota!$A34="","",Cronograma!T34)</f>
        <v/>
      </c>
      <c r="F1530" s="0" t="n">
        <f aca="false">IF(OR($E1530="",$E1530=0),0,1)</f>
        <v>0</v>
      </c>
      <c r="G1530" s="0" t="n">
        <f aca="false">IF($F1530=0,0,INDEX(Aux_HH!$D$4:$D$18,MATCH($B1530&amp;"|"&amp;$E1530,Aux_HH!$A$4:$A$18,0)))</f>
        <v>0</v>
      </c>
      <c r="H1530" s="0" t="n">
        <f aca="false">IF($F1530=0,0,INDEX(Aux_HH!$E$4:$E$18,MATCH($B1530&amp;"|"&amp;$E1530,Aux_HH!$A$4:$A$18,0)))</f>
        <v>0</v>
      </c>
      <c r="I1530" s="0" t="n">
        <f aca="false">IF($F1530=0,0,INDEX(Aux_HH!$F$4:$F$18,MATCH($B1530&amp;"|"&amp;$E1530,Aux_HH!$A$4:$A$18,0)))</f>
        <v>0</v>
      </c>
      <c r="J1530" s="0" t="n">
        <f aca="false">IF($F1530=0,0,INDEX(Aux_HH!$G$4:$G$18,MATCH($B1530&amp;"|"&amp;$E1530,Aux_HH!$A$4:$A$18,0)))</f>
        <v>0</v>
      </c>
      <c r="K1530" s="0" t="n">
        <f aca="false">IF($F1530=0,0,INDEX(Aux_HH!$H$4:$H$18,MATCH($B1530&amp;"|"&amp;$E1530,Aux_HH!$A$4:$A$18,0)))</f>
        <v>0</v>
      </c>
      <c r="L1530" s="0" t="n">
        <f aca="false">IF($F1530=0,0,INDEX(Aux_HH!$I$4:$I$18,MATCH($B1530&amp;"|"&amp;$E1530,Aux_HH!$A$4:$A$18,0)))</f>
        <v>0</v>
      </c>
    </row>
    <row r="1531" customFormat="false" ht="15" hidden="false" customHeight="false" outlineLevel="0" collapsed="false">
      <c r="A1531" s="0" t="str">
        <f aca="false">IF(Frota!$A34="","",Frota!$A34)</f>
        <v/>
      </c>
      <c r="B1531" s="0" t="str">
        <f aca="false">IF(Frota!$A34="","",Frota!$B34)</f>
        <v/>
      </c>
      <c r="C1531" s="0" t="n">
        <v>20</v>
      </c>
      <c r="D1531" s="0" t="n">
        <f aca="false">INDEX(Semanas!$E$3:$E$54,20)</f>
        <v>8</v>
      </c>
      <c r="E1531" s="0" t="str">
        <f aca="false">IF(Frota!$A34="","",Cronograma!U34)</f>
        <v/>
      </c>
      <c r="F1531" s="0" t="n">
        <f aca="false">IF(OR($E1531="",$E1531=0),0,1)</f>
        <v>0</v>
      </c>
      <c r="G1531" s="0" t="n">
        <f aca="false">IF($F1531=0,0,INDEX(Aux_HH!$D$4:$D$18,MATCH($B1531&amp;"|"&amp;$E1531,Aux_HH!$A$4:$A$18,0)))</f>
        <v>0</v>
      </c>
      <c r="H1531" s="0" t="n">
        <f aca="false">IF($F1531=0,0,INDEX(Aux_HH!$E$4:$E$18,MATCH($B1531&amp;"|"&amp;$E1531,Aux_HH!$A$4:$A$18,0)))</f>
        <v>0</v>
      </c>
      <c r="I1531" s="0" t="n">
        <f aca="false">IF($F1531=0,0,INDEX(Aux_HH!$F$4:$F$18,MATCH($B1531&amp;"|"&amp;$E1531,Aux_HH!$A$4:$A$18,0)))</f>
        <v>0</v>
      </c>
      <c r="J1531" s="0" t="n">
        <f aca="false">IF($F1531=0,0,INDEX(Aux_HH!$G$4:$G$18,MATCH($B1531&amp;"|"&amp;$E1531,Aux_HH!$A$4:$A$18,0)))</f>
        <v>0</v>
      </c>
      <c r="K1531" s="0" t="n">
        <f aca="false">IF($F1531=0,0,INDEX(Aux_HH!$H$4:$H$18,MATCH($B1531&amp;"|"&amp;$E1531,Aux_HH!$A$4:$A$18,0)))</f>
        <v>0</v>
      </c>
      <c r="L1531" s="0" t="n">
        <f aca="false">IF($F1531=0,0,INDEX(Aux_HH!$I$4:$I$18,MATCH($B1531&amp;"|"&amp;$E1531,Aux_HH!$A$4:$A$18,0)))</f>
        <v>0</v>
      </c>
    </row>
    <row r="1532" customFormat="false" ht="15" hidden="false" customHeight="false" outlineLevel="0" collapsed="false">
      <c r="A1532" s="0" t="str">
        <f aca="false">IF(Frota!$A34="","",Frota!$A34)</f>
        <v/>
      </c>
      <c r="B1532" s="0" t="str">
        <f aca="false">IF(Frota!$A34="","",Frota!$B34)</f>
        <v/>
      </c>
      <c r="C1532" s="0" t="n">
        <v>21</v>
      </c>
      <c r="D1532" s="0" t="n">
        <f aca="false">INDEX(Semanas!$E$3:$E$54,21)</f>
        <v>8</v>
      </c>
      <c r="E1532" s="0" t="str">
        <f aca="false">IF(Frota!$A34="","",Cronograma!V34)</f>
        <v/>
      </c>
      <c r="F1532" s="0" t="n">
        <f aca="false">IF(OR($E1532="",$E1532=0),0,1)</f>
        <v>0</v>
      </c>
      <c r="G1532" s="0" t="n">
        <f aca="false">IF($F1532=0,0,INDEX(Aux_HH!$D$4:$D$18,MATCH($B1532&amp;"|"&amp;$E1532,Aux_HH!$A$4:$A$18,0)))</f>
        <v>0</v>
      </c>
      <c r="H1532" s="0" t="n">
        <f aca="false">IF($F1532=0,0,INDEX(Aux_HH!$E$4:$E$18,MATCH($B1532&amp;"|"&amp;$E1532,Aux_HH!$A$4:$A$18,0)))</f>
        <v>0</v>
      </c>
      <c r="I1532" s="0" t="n">
        <f aca="false">IF($F1532=0,0,INDEX(Aux_HH!$F$4:$F$18,MATCH($B1532&amp;"|"&amp;$E1532,Aux_HH!$A$4:$A$18,0)))</f>
        <v>0</v>
      </c>
      <c r="J1532" s="0" t="n">
        <f aca="false">IF($F1532=0,0,INDEX(Aux_HH!$G$4:$G$18,MATCH($B1532&amp;"|"&amp;$E1532,Aux_HH!$A$4:$A$18,0)))</f>
        <v>0</v>
      </c>
      <c r="K1532" s="0" t="n">
        <f aca="false">IF($F1532=0,0,INDEX(Aux_HH!$H$4:$H$18,MATCH($B1532&amp;"|"&amp;$E1532,Aux_HH!$A$4:$A$18,0)))</f>
        <v>0</v>
      </c>
      <c r="L1532" s="0" t="n">
        <f aca="false">IF($F1532=0,0,INDEX(Aux_HH!$I$4:$I$18,MATCH($B1532&amp;"|"&amp;$E1532,Aux_HH!$A$4:$A$18,0)))</f>
        <v>0</v>
      </c>
    </row>
    <row r="1533" customFormat="false" ht="15" hidden="false" customHeight="false" outlineLevel="0" collapsed="false">
      <c r="A1533" s="0" t="str">
        <f aca="false">IF(Frota!$A34="","",Frota!$A34)</f>
        <v/>
      </c>
      <c r="B1533" s="0" t="str">
        <f aca="false">IF(Frota!$A34="","",Frota!$B34)</f>
        <v/>
      </c>
      <c r="C1533" s="0" t="n">
        <v>22</v>
      </c>
      <c r="D1533" s="0" t="n">
        <f aca="false">INDEX(Semanas!$E$3:$E$54,22)</f>
        <v>8</v>
      </c>
      <c r="E1533" s="0" t="str">
        <f aca="false">IF(Frota!$A34="","",Cronograma!W34)</f>
        <v/>
      </c>
      <c r="F1533" s="0" t="n">
        <f aca="false">IF(OR($E1533="",$E1533=0),0,1)</f>
        <v>0</v>
      </c>
      <c r="G1533" s="0" t="n">
        <f aca="false">IF($F1533=0,0,INDEX(Aux_HH!$D$4:$D$18,MATCH($B1533&amp;"|"&amp;$E1533,Aux_HH!$A$4:$A$18,0)))</f>
        <v>0</v>
      </c>
      <c r="H1533" s="0" t="n">
        <f aca="false">IF($F1533=0,0,INDEX(Aux_HH!$E$4:$E$18,MATCH($B1533&amp;"|"&amp;$E1533,Aux_HH!$A$4:$A$18,0)))</f>
        <v>0</v>
      </c>
      <c r="I1533" s="0" t="n">
        <f aca="false">IF($F1533=0,0,INDEX(Aux_HH!$F$4:$F$18,MATCH($B1533&amp;"|"&amp;$E1533,Aux_HH!$A$4:$A$18,0)))</f>
        <v>0</v>
      </c>
      <c r="J1533" s="0" t="n">
        <f aca="false">IF($F1533=0,0,INDEX(Aux_HH!$G$4:$G$18,MATCH($B1533&amp;"|"&amp;$E1533,Aux_HH!$A$4:$A$18,0)))</f>
        <v>0</v>
      </c>
      <c r="K1533" s="0" t="n">
        <f aca="false">IF($F1533=0,0,INDEX(Aux_HH!$H$4:$H$18,MATCH($B1533&amp;"|"&amp;$E1533,Aux_HH!$A$4:$A$18,0)))</f>
        <v>0</v>
      </c>
      <c r="L1533" s="0" t="n">
        <f aca="false">IF($F1533=0,0,INDEX(Aux_HH!$I$4:$I$18,MATCH($B1533&amp;"|"&amp;$E1533,Aux_HH!$A$4:$A$18,0)))</f>
        <v>0</v>
      </c>
    </row>
    <row r="1534" customFormat="false" ht="15" hidden="false" customHeight="false" outlineLevel="0" collapsed="false">
      <c r="A1534" s="0" t="str">
        <f aca="false">IF(Frota!$A34="","",Frota!$A34)</f>
        <v/>
      </c>
      <c r="B1534" s="0" t="str">
        <f aca="false">IF(Frota!$A34="","",Frota!$B34)</f>
        <v/>
      </c>
      <c r="C1534" s="0" t="n">
        <v>23</v>
      </c>
      <c r="D1534" s="0" t="n">
        <f aca="false">INDEX(Semanas!$E$3:$E$54,23)</f>
        <v>9</v>
      </c>
      <c r="E1534" s="0" t="str">
        <f aca="false">IF(Frota!$A34="","",Cronograma!X34)</f>
        <v/>
      </c>
      <c r="F1534" s="0" t="n">
        <f aca="false">IF(OR($E1534="",$E1534=0),0,1)</f>
        <v>0</v>
      </c>
      <c r="G1534" s="0" t="n">
        <f aca="false">IF($F1534=0,0,INDEX(Aux_HH!$D$4:$D$18,MATCH($B1534&amp;"|"&amp;$E1534,Aux_HH!$A$4:$A$18,0)))</f>
        <v>0</v>
      </c>
      <c r="H1534" s="0" t="n">
        <f aca="false">IF($F1534=0,0,INDEX(Aux_HH!$E$4:$E$18,MATCH($B1534&amp;"|"&amp;$E1534,Aux_HH!$A$4:$A$18,0)))</f>
        <v>0</v>
      </c>
      <c r="I1534" s="0" t="n">
        <f aca="false">IF($F1534=0,0,INDEX(Aux_HH!$F$4:$F$18,MATCH($B1534&amp;"|"&amp;$E1534,Aux_HH!$A$4:$A$18,0)))</f>
        <v>0</v>
      </c>
      <c r="J1534" s="0" t="n">
        <f aca="false">IF($F1534=0,0,INDEX(Aux_HH!$G$4:$G$18,MATCH($B1534&amp;"|"&amp;$E1534,Aux_HH!$A$4:$A$18,0)))</f>
        <v>0</v>
      </c>
      <c r="K1534" s="0" t="n">
        <f aca="false">IF($F1534=0,0,INDEX(Aux_HH!$H$4:$H$18,MATCH($B1534&amp;"|"&amp;$E1534,Aux_HH!$A$4:$A$18,0)))</f>
        <v>0</v>
      </c>
      <c r="L1534" s="0" t="n">
        <f aca="false">IF($F1534=0,0,INDEX(Aux_HH!$I$4:$I$18,MATCH($B1534&amp;"|"&amp;$E1534,Aux_HH!$A$4:$A$18,0)))</f>
        <v>0</v>
      </c>
    </row>
    <row r="1535" customFormat="false" ht="15" hidden="false" customHeight="false" outlineLevel="0" collapsed="false">
      <c r="A1535" s="0" t="str">
        <f aca="false">IF(Frota!$A34="","",Frota!$A34)</f>
        <v/>
      </c>
      <c r="B1535" s="0" t="str">
        <f aca="false">IF(Frota!$A34="","",Frota!$B34)</f>
        <v/>
      </c>
      <c r="C1535" s="0" t="n">
        <v>24</v>
      </c>
      <c r="D1535" s="0" t="n">
        <f aca="false">INDEX(Semanas!$E$3:$E$54,24)</f>
        <v>9</v>
      </c>
      <c r="E1535" s="0" t="str">
        <f aca="false">IF(Frota!$A34="","",Cronograma!Y34)</f>
        <v/>
      </c>
      <c r="F1535" s="0" t="n">
        <f aca="false">IF(OR($E1535="",$E1535=0),0,1)</f>
        <v>0</v>
      </c>
      <c r="G1535" s="0" t="n">
        <f aca="false">IF($F1535=0,0,INDEX(Aux_HH!$D$4:$D$18,MATCH($B1535&amp;"|"&amp;$E1535,Aux_HH!$A$4:$A$18,0)))</f>
        <v>0</v>
      </c>
      <c r="H1535" s="0" t="n">
        <f aca="false">IF($F1535=0,0,INDEX(Aux_HH!$E$4:$E$18,MATCH($B1535&amp;"|"&amp;$E1535,Aux_HH!$A$4:$A$18,0)))</f>
        <v>0</v>
      </c>
      <c r="I1535" s="0" t="n">
        <f aca="false">IF($F1535=0,0,INDEX(Aux_HH!$F$4:$F$18,MATCH($B1535&amp;"|"&amp;$E1535,Aux_HH!$A$4:$A$18,0)))</f>
        <v>0</v>
      </c>
      <c r="J1535" s="0" t="n">
        <f aca="false">IF($F1535=0,0,INDEX(Aux_HH!$G$4:$G$18,MATCH($B1535&amp;"|"&amp;$E1535,Aux_HH!$A$4:$A$18,0)))</f>
        <v>0</v>
      </c>
      <c r="K1535" s="0" t="n">
        <f aca="false">IF($F1535=0,0,INDEX(Aux_HH!$H$4:$H$18,MATCH($B1535&amp;"|"&amp;$E1535,Aux_HH!$A$4:$A$18,0)))</f>
        <v>0</v>
      </c>
      <c r="L1535" s="0" t="n">
        <f aca="false">IF($F1535=0,0,INDEX(Aux_HH!$I$4:$I$18,MATCH($B1535&amp;"|"&amp;$E1535,Aux_HH!$A$4:$A$18,0)))</f>
        <v>0</v>
      </c>
    </row>
    <row r="1536" customFormat="false" ht="15" hidden="false" customHeight="false" outlineLevel="0" collapsed="false">
      <c r="A1536" s="0" t="str">
        <f aca="false">IF(Frota!$A34="","",Frota!$A34)</f>
        <v/>
      </c>
      <c r="B1536" s="0" t="str">
        <f aca="false">IF(Frota!$A34="","",Frota!$B34)</f>
        <v/>
      </c>
      <c r="C1536" s="0" t="n">
        <v>25</v>
      </c>
      <c r="D1536" s="0" t="n">
        <f aca="false">INDEX(Semanas!$E$3:$E$54,25)</f>
        <v>9</v>
      </c>
      <c r="E1536" s="0" t="str">
        <f aca="false">IF(Frota!$A34="","",Cronograma!Z34)</f>
        <v/>
      </c>
      <c r="F1536" s="0" t="n">
        <f aca="false">IF(OR($E1536="",$E1536=0),0,1)</f>
        <v>0</v>
      </c>
      <c r="G1536" s="0" t="n">
        <f aca="false">IF($F1536=0,0,INDEX(Aux_HH!$D$4:$D$18,MATCH($B1536&amp;"|"&amp;$E1536,Aux_HH!$A$4:$A$18,0)))</f>
        <v>0</v>
      </c>
      <c r="H1536" s="0" t="n">
        <f aca="false">IF($F1536=0,0,INDEX(Aux_HH!$E$4:$E$18,MATCH($B1536&amp;"|"&amp;$E1536,Aux_HH!$A$4:$A$18,0)))</f>
        <v>0</v>
      </c>
      <c r="I1536" s="0" t="n">
        <f aca="false">IF($F1536=0,0,INDEX(Aux_HH!$F$4:$F$18,MATCH($B1536&amp;"|"&amp;$E1536,Aux_HH!$A$4:$A$18,0)))</f>
        <v>0</v>
      </c>
      <c r="J1536" s="0" t="n">
        <f aca="false">IF($F1536=0,0,INDEX(Aux_HH!$G$4:$G$18,MATCH($B1536&amp;"|"&amp;$E1536,Aux_HH!$A$4:$A$18,0)))</f>
        <v>0</v>
      </c>
      <c r="K1536" s="0" t="n">
        <f aca="false">IF($F1536=0,0,INDEX(Aux_HH!$H$4:$H$18,MATCH($B1536&amp;"|"&amp;$E1536,Aux_HH!$A$4:$A$18,0)))</f>
        <v>0</v>
      </c>
      <c r="L1536" s="0" t="n">
        <f aca="false">IF($F1536=0,0,INDEX(Aux_HH!$I$4:$I$18,MATCH($B1536&amp;"|"&amp;$E1536,Aux_HH!$A$4:$A$18,0)))</f>
        <v>0</v>
      </c>
    </row>
    <row r="1537" customFormat="false" ht="15" hidden="false" customHeight="false" outlineLevel="0" collapsed="false">
      <c r="A1537" s="0" t="str">
        <f aca="false">IF(Frota!$A34="","",Frota!$A34)</f>
        <v/>
      </c>
      <c r="B1537" s="0" t="str">
        <f aca="false">IF(Frota!$A34="","",Frota!$B34)</f>
        <v/>
      </c>
      <c r="C1537" s="0" t="n">
        <v>26</v>
      </c>
      <c r="D1537" s="0" t="n">
        <f aca="false">INDEX(Semanas!$E$3:$E$54,26)</f>
        <v>9</v>
      </c>
      <c r="E1537" s="0" t="str">
        <f aca="false">IF(Frota!$A34="","",Cronograma!AA34)</f>
        <v/>
      </c>
      <c r="F1537" s="0" t="n">
        <f aca="false">IF(OR($E1537="",$E1537=0),0,1)</f>
        <v>0</v>
      </c>
      <c r="G1537" s="0" t="n">
        <f aca="false">IF($F1537=0,0,INDEX(Aux_HH!$D$4:$D$18,MATCH($B1537&amp;"|"&amp;$E1537,Aux_HH!$A$4:$A$18,0)))</f>
        <v>0</v>
      </c>
      <c r="H1537" s="0" t="n">
        <f aca="false">IF($F1537=0,0,INDEX(Aux_HH!$E$4:$E$18,MATCH($B1537&amp;"|"&amp;$E1537,Aux_HH!$A$4:$A$18,0)))</f>
        <v>0</v>
      </c>
      <c r="I1537" s="0" t="n">
        <f aca="false">IF($F1537=0,0,INDEX(Aux_HH!$F$4:$F$18,MATCH($B1537&amp;"|"&amp;$E1537,Aux_HH!$A$4:$A$18,0)))</f>
        <v>0</v>
      </c>
      <c r="J1537" s="0" t="n">
        <f aca="false">IF($F1537=0,0,INDEX(Aux_HH!$G$4:$G$18,MATCH($B1537&amp;"|"&amp;$E1537,Aux_HH!$A$4:$A$18,0)))</f>
        <v>0</v>
      </c>
      <c r="K1537" s="0" t="n">
        <f aca="false">IF($F1537=0,0,INDEX(Aux_HH!$H$4:$H$18,MATCH($B1537&amp;"|"&amp;$E1537,Aux_HH!$A$4:$A$18,0)))</f>
        <v>0</v>
      </c>
      <c r="L1537" s="0" t="n">
        <f aca="false">IF($F1537=0,0,INDEX(Aux_HH!$I$4:$I$18,MATCH($B1537&amp;"|"&amp;$E1537,Aux_HH!$A$4:$A$18,0)))</f>
        <v>0</v>
      </c>
    </row>
    <row r="1538" customFormat="false" ht="15" hidden="false" customHeight="false" outlineLevel="0" collapsed="false">
      <c r="A1538" s="0" t="str">
        <f aca="false">IF(Frota!$A34="","",Frota!$A34)</f>
        <v/>
      </c>
      <c r="B1538" s="0" t="str">
        <f aca="false">IF(Frota!$A34="","",Frota!$B34)</f>
        <v/>
      </c>
      <c r="C1538" s="0" t="n">
        <v>27</v>
      </c>
      <c r="D1538" s="0" t="n">
        <f aca="false">INDEX(Semanas!$E$3:$E$54,27)</f>
        <v>9</v>
      </c>
      <c r="E1538" s="0" t="str">
        <f aca="false">IF(Frota!$A34="","",Cronograma!AB34)</f>
        <v/>
      </c>
      <c r="F1538" s="0" t="n">
        <f aca="false">IF(OR($E1538="",$E1538=0),0,1)</f>
        <v>0</v>
      </c>
      <c r="G1538" s="0" t="n">
        <f aca="false">IF($F1538=0,0,INDEX(Aux_HH!$D$4:$D$18,MATCH($B1538&amp;"|"&amp;$E1538,Aux_HH!$A$4:$A$18,0)))</f>
        <v>0</v>
      </c>
      <c r="H1538" s="0" t="n">
        <f aca="false">IF($F1538=0,0,INDEX(Aux_HH!$E$4:$E$18,MATCH($B1538&amp;"|"&amp;$E1538,Aux_HH!$A$4:$A$18,0)))</f>
        <v>0</v>
      </c>
      <c r="I1538" s="0" t="n">
        <f aca="false">IF($F1538=0,0,INDEX(Aux_HH!$F$4:$F$18,MATCH($B1538&amp;"|"&amp;$E1538,Aux_HH!$A$4:$A$18,0)))</f>
        <v>0</v>
      </c>
      <c r="J1538" s="0" t="n">
        <f aca="false">IF($F1538=0,0,INDEX(Aux_HH!$G$4:$G$18,MATCH($B1538&amp;"|"&amp;$E1538,Aux_HH!$A$4:$A$18,0)))</f>
        <v>0</v>
      </c>
      <c r="K1538" s="0" t="n">
        <f aca="false">IF($F1538=0,0,INDEX(Aux_HH!$H$4:$H$18,MATCH($B1538&amp;"|"&amp;$E1538,Aux_HH!$A$4:$A$18,0)))</f>
        <v>0</v>
      </c>
      <c r="L1538" s="0" t="n">
        <f aca="false">IF($F1538=0,0,INDEX(Aux_HH!$I$4:$I$18,MATCH($B1538&amp;"|"&amp;$E1538,Aux_HH!$A$4:$A$18,0)))</f>
        <v>0</v>
      </c>
    </row>
    <row r="1539" customFormat="false" ht="15" hidden="false" customHeight="false" outlineLevel="0" collapsed="false">
      <c r="A1539" s="0" t="str">
        <f aca="false">IF(Frota!$A34="","",Frota!$A34)</f>
        <v/>
      </c>
      <c r="B1539" s="0" t="str">
        <f aca="false">IF(Frota!$A34="","",Frota!$B34)</f>
        <v/>
      </c>
      <c r="C1539" s="0" t="n">
        <v>28</v>
      </c>
      <c r="D1539" s="0" t="n">
        <f aca="false">INDEX(Semanas!$E$3:$E$54,28)</f>
        <v>10</v>
      </c>
      <c r="E1539" s="0" t="str">
        <f aca="false">IF(Frota!$A34="","",Cronograma!AC34)</f>
        <v/>
      </c>
      <c r="F1539" s="0" t="n">
        <f aca="false">IF(OR($E1539="",$E1539=0),0,1)</f>
        <v>0</v>
      </c>
      <c r="G1539" s="0" t="n">
        <f aca="false">IF($F1539=0,0,INDEX(Aux_HH!$D$4:$D$18,MATCH($B1539&amp;"|"&amp;$E1539,Aux_HH!$A$4:$A$18,0)))</f>
        <v>0</v>
      </c>
      <c r="H1539" s="0" t="n">
        <f aca="false">IF($F1539=0,0,INDEX(Aux_HH!$E$4:$E$18,MATCH($B1539&amp;"|"&amp;$E1539,Aux_HH!$A$4:$A$18,0)))</f>
        <v>0</v>
      </c>
      <c r="I1539" s="0" t="n">
        <f aca="false">IF($F1539=0,0,INDEX(Aux_HH!$F$4:$F$18,MATCH($B1539&amp;"|"&amp;$E1539,Aux_HH!$A$4:$A$18,0)))</f>
        <v>0</v>
      </c>
      <c r="J1539" s="0" t="n">
        <f aca="false">IF($F1539=0,0,INDEX(Aux_HH!$G$4:$G$18,MATCH($B1539&amp;"|"&amp;$E1539,Aux_HH!$A$4:$A$18,0)))</f>
        <v>0</v>
      </c>
      <c r="K1539" s="0" t="n">
        <f aca="false">IF($F1539=0,0,INDEX(Aux_HH!$H$4:$H$18,MATCH($B1539&amp;"|"&amp;$E1539,Aux_HH!$A$4:$A$18,0)))</f>
        <v>0</v>
      </c>
      <c r="L1539" s="0" t="n">
        <f aca="false">IF($F1539=0,0,INDEX(Aux_HH!$I$4:$I$18,MATCH($B1539&amp;"|"&amp;$E1539,Aux_HH!$A$4:$A$18,0)))</f>
        <v>0</v>
      </c>
    </row>
    <row r="1540" customFormat="false" ht="15" hidden="false" customHeight="false" outlineLevel="0" collapsed="false">
      <c r="A1540" s="0" t="str">
        <f aca="false">IF(Frota!$A34="","",Frota!$A34)</f>
        <v/>
      </c>
      <c r="B1540" s="0" t="str">
        <f aca="false">IF(Frota!$A34="","",Frota!$B34)</f>
        <v/>
      </c>
      <c r="C1540" s="0" t="n">
        <v>29</v>
      </c>
      <c r="D1540" s="0" t="n">
        <f aca="false">INDEX(Semanas!$E$3:$E$54,29)</f>
        <v>10</v>
      </c>
      <c r="E1540" s="0" t="str">
        <f aca="false">IF(Frota!$A34="","",Cronograma!AD34)</f>
        <v/>
      </c>
      <c r="F1540" s="0" t="n">
        <f aca="false">IF(OR($E1540="",$E1540=0),0,1)</f>
        <v>0</v>
      </c>
      <c r="G1540" s="0" t="n">
        <f aca="false">IF($F1540=0,0,INDEX(Aux_HH!$D$4:$D$18,MATCH($B1540&amp;"|"&amp;$E1540,Aux_HH!$A$4:$A$18,0)))</f>
        <v>0</v>
      </c>
      <c r="H1540" s="0" t="n">
        <f aca="false">IF($F1540=0,0,INDEX(Aux_HH!$E$4:$E$18,MATCH($B1540&amp;"|"&amp;$E1540,Aux_HH!$A$4:$A$18,0)))</f>
        <v>0</v>
      </c>
      <c r="I1540" s="0" t="n">
        <f aca="false">IF($F1540=0,0,INDEX(Aux_HH!$F$4:$F$18,MATCH($B1540&amp;"|"&amp;$E1540,Aux_HH!$A$4:$A$18,0)))</f>
        <v>0</v>
      </c>
      <c r="J1540" s="0" t="n">
        <f aca="false">IF($F1540=0,0,INDEX(Aux_HH!$G$4:$G$18,MATCH($B1540&amp;"|"&amp;$E1540,Aux_HH!$A$4:$A$18,0)))</f>
        <v>0</v>
      </c>
      <c r="K1540" s="0" t="n">
        <f aca="false">IF($F1540=0,0,INDEX(Aux_HH!$H$4:$H$18,MATCH($B1540&amp;"|"&amp;$E1540,Aux_HH!$A$4:$A$18,0)))</f>
        <v>0</v>
      </c>
      <c r="L1540" s="0" t="n">
        <f aca="false">IF($F1540=0,0,INDEX(Aux_HH!$I$4:$I$18,MATCH($B1540&amp;"|"&amp;$E1540,Aux_HH!$A$4:$A$18,0)))</f>
        <v>0</v>
      </c>
    </row>
    <row r="1541" customFormat="false" ht="15" hidden="false" customHeight="false" outlineLevel="0" collapsed="false">
      <c r="A1541" s="0" t="str">
        <f aca="false">IF(Frota!$A34="","",Frota!$A34)</f>
        <v/>
      </c>
      <c r="B1541" s="0" t="str">
        <f aca="false">IF(Frota!$A34="","",Frota!$B34)</f>
        <v/>
      </c>
      <c r="C1541" s="0" t="n">
        <v>30</v>
      </c>
      <c r="D1541" s="0" t="n">
        <f aca="false">INDEX(Semanas!$E$3:$E$54,30)</f>
        <v>10</v>
      </c>
      <c r="E1541" s="0" t="str">
        <f aca="false">IF(Frota!$A34="","",Cronograma!AE34)</f>
        <v/>
      </c>
      <c r="F1541" s="0" t="n">
        <f aca="false">IF(OR($E1541="",$E1541=0),0,1)</f>
        <v>0</v>
      </c>
      <c r="G1541" s="0" t="n">
        <f aca="false">IF($F1541=0,0,INDEX(Aux_HH!$D$4:$D$18,MATCH($B1541&amp;"|"&amp;$E1541,Aux_HH!$A$4:$A$18,0)))</f>
        <v>0</v>
      </c>
      <c r="H1541" s="0" t="n">
        <f aca="false">IF($F1541=0,0,INDEX(Aux_HH!$E$4:$E$18,MATCH($B1541&amp;"|"&amp;$E1541,Aux_HH!$A$4:$A$18,0)))</f>
        <v>0</v>
      </c>
      <c r="I1541" s="0" t="n">
        <f aca="false">IF($F1541=0,0,INDEX(Aux_HH!$F$4:$F$18,MATCH($B1541&amp;"|"&amp;$E1541,Aux_HH!$A$4:$A$18,0)))</f>
        <v>0</v>
      </c>
      <c r="J1541" s="0" t="n">
        <f aca="false">IF($F1541=0,0,INDEX(Aux_HH!$G$4:$G$18,MATCH($B1541&amp;"|"&amp;$E1541,Aux_HH!$A$4:$A$18,0)))</f>
        <v>0</v>
      </c>
      <c r="K1541" s="0" t="n">
        <f aca="false">IF($F1541=0,0,INDEX(Aux_HH!$H$4:$H$18,MATCH($B1541&amp;"|"&amp;$E1541,Aux_HH!$A$4:$A$18,0)))</f>
        <v>0</v>
      </c>
      <c r="L1541" s="0" t="n">
        <f aca="false">IF($F1541=0,0,INDEX(Aux_HH!$I$4:$I$18,MATCH($B1541&amp;"|"&amp;$E1541,Aux_HH!$A$4:$A$18,0)))</f>
        <v>0</v>
      </c>
    </row>
    <row r="1542" customFormat="false" ht="15" hidden="false" customHeight="false" outlineLevel="0" collapsed="false">
      <c r="A1542" s="0" t="str">
        <f aca="false">IF(Frota!$A34="","",Frota!$A34)</f>
        <v/>
      </c>
      <c r="B1542" s="0" t="str">
        <f aca="false">IF(Frota!$A34="","",Frota!$B34)</f>
        <v/>
      </c>
      <c r="C1542" s="0" t="n">
        <v>31</v>
      </c>
      <c r="D1542" s="0" t="n">
        <f aca="false">INDEX(Semanas!$E$3:$E$54,31)</f>
        <v>10</v>
      </c>
      <c r="E1542" s="0" t="str">
        <f aca="false">IF(Frota!$A34="","",Cronograma!AF34)</f>
        <v/>
      </c>
      <c r="F1542" s="0" t="n">
        <f aca="false">IF(OR($E1542="",$E1542=0),0,1)</f>
        <v>0</v>
      </c>
      <c r="G1542" s="0" t="n">
        <f aca="false">IF($F1542=0,0,INDEX(Aux_HH!$D$4:$D$18,MATCH($B1542&amp;"|"&amp;$E1542,Aux_HH!$A$4:$A$18,0)))</f>
        <v>0</v>
      </c>
      <c r="H1542" s="0" t="n">
        <f aca="false">IF($F1542=0,0,INDEX(Aux_HH!$E$4:$E$18,MATCH($B1542&amp;"|"&amp;$E1542,Aux_HH!$A$4:$A$18,0)))</f>
        <v>0</v>
      </c>
      <c r="I1542" s="0" t="n">
        <f aca="false">IF($F1542=0,0,INDEX(Aux_HH!$F$4:$F$18,MATCH($B1542&amp;"|"&amp;$E1542,Aux_HH!$A$4:$A$18,0)))</f>
        <v>0</v>
      </c>
      <c r="J1542" s="0" t="n">
        <f aca="false">IF($F1542=0,0,INDEX(Aux_HH!$G$4:$G$18,MATCH($B1542&amp;"|"&amp;$E1542,Aux_HH!$A$4:$A$18,0)))</f>
        <v>0</v>
      </c>
      <c r="K1542" s="0" t="n">
        <f aca="false">IF($F1542=0,0,INDEX(Aux_HH!$H$4:$H$18,MATCH($B1542&amp;"|"&amp;$E1542,Aux_HH!$A$4:$A$18,0)))</f>
        <v>0</v>
      </c>
      <c r="L1542" s="0" t="n">
        <f aca="false">IF($F1542=0,0,INDEX(Aux_HH!$I$4:$I$18,MATCH($B1542&amp;"|"&amp;$E1542,Aux_HH!$A$4:$A$18,0)))</f>
        <v>0</v>
      </c>
    </row>
    <row r="1543" customFormat="false" ht="15" hidden="false" customHeight="false" outlineLevel="0" collapsed="false">
      <c r="A1543" s="0" t="str">
        <f aca="false">IF(Frota!$A34="","",Frota!$A34)</f>
        <v/>
      </c>
      <c r="B1543" s="0" t="str">
        <f aca="false">IF(Frota!$A34="","",Frota!$B34)</f>
        <v/>
      </c>
      <c r="C1543" s="0" t="n">
        <v>32</v>
      </c>
      <c r="D1543" s="0" t="n">
        <f aca="false">INDEX(Semanas!$E$3:$E$54,32)</f>
        <v>11</v>
      </c>
      <c r="E1543" s="0" t="str">
        <f aca="false">IF(Frota!$A34="","",Cronograma!AG34)</f>
        <v/>
      </c>
      <c r="F1543" s="0" t="n">
        <f aca="false">IF(OR($E1543="",$E1543=0),0,1)</f>
        <v>0</v>
      </c>
      <c r="G1543" s="0" t="n">
        <f aca="false">IF($F1543=0,0,INDEX(Aux_HH!$D$4:$D$18,MATCH($B1543&amp;"|"&amp;$E1543,Aux_HH!$A$4:$A$18,0)))</f>
        <v>0</v>
      </c>
      <c r="H1543" s="0" t="n">
        <f aca="false">IF($F1543=0,0,INDEX(Aux_HH!$E$4:$E$18,MATCH($B1543&amp;"|"&amp;$E1543,Aux_HH!$A$4:$A$18,0)))</f>
        <v>0</v>
      </c>
      <c r="I1543" s="0" t="n">
        <f aca="false">IF($F1543=0,0,INDEX(Aux_HH!$F$4:$F$18,MATCH($B1543&amp;"|"&amp;$E1543,Aux_HH!$A$4:$A$18,0)))</f>
        <v>0</v>
      </c>
      <c r="J1543" s="0" t="n">
        <f aca="false">IF($F1543=0,0,INDEX(Aux_HH!$G$4:$G$18,MATCH($B1543&amp;"|"&amp;$E1543,Aux_HH!$A$4:$A$18,0)))</f>
        <v>0</v>
      </c>
      <c r="K1543" s="0" t="n">
        <f aca="false">IF($F1543=0,0,INDEX(Aux_HH!$H$4:$H$18,MATCH($B1543&amp;"|"&amp;$E1543,Aux_HH!$A$4:$A$18,0)))</f>
        <v>0</v>
      </c>
      <c r="L1543" s="0" t="n">
        <f aca="false">IF($F1543=0,0,INDEX(Aux_HH!$I$4:$I$18,MATCH($B1543&amp;"|"&amp;$E1543,Aux_HH!$A$4:$A$18,0)))</f>
        <v>0</v>
      </c>
    </row>
    <row r="1544" customFormat="false" ht="15" hidden="false" customHeight="false" outlineLevel="0" collapsed="false">
      <c r="A1544" s="0" t="str">
        <f aca="false">IF(Frota!$A34="","",Frota!$A34)</f>
        <v/>
      </c>
      <c r="B1544" s="0" t="str">
        <f aca="false">IF(Frota!$A34="","",Frota!$B34)</f>
        <v/>
      </c>
      <c r="C1544" s="0" t="n">
        <v>33</v>
      </c>
      <c r="D1544" s="0" t="n">
        <f aca="false">INDEX(Semanas!$E$3:$E$54,33)</f>
        <v>11</v>
      </c>
      <c r="E1544" s="0" t="str">
        <f aca="false">IF(Frota!$A34="","",Cronograma!AH34)</f>
        <v/>
      </c>
      <c r="F1544" s="0" t="n">
        <f aca="false">IF(OR($E1544="",$E1544=0),0,1)</f>
        <v>0</v>
      </c>
      <c r="G1544" s="0" t="n">
        <f aca="false">IF($F1544=0,0,INDEX(Aux_HH!$D$4:$D$18,MATCH($B1544&amp;"|"&amp;$E1544,Aux_HH!$A$4:$A$18,0)))</f>
        <v>0</v>
      </c>
      <c r="H1544" s="0" t="n">
        <f aca="false">IF($F1544=0,0,INDEX(Aux_HH!$E$4:$E$18,MATCH($B1544&amp;"|"&amp;$E1544,Aux_HH!$A$4:$A$18,0)))</f>
        <v>0</v>
      </c>
      <c r="I1544" s="0" t="n">
        <f aca="false">IF($F1544=0,0,INDEX(Aux_HH!$F$4:$F$18,MATCH($B1544&amp;"|"&amp;$E1544,Aux_HH!$A$4:$A$18,0)))</f>
        <v>0</v>
      </c>
      <c r="J1544" s="0" t="n">
        <f aca="false">IF($F1544=0,0,INDEX(Aux_HH!$G$4:$G$18,MATCH($B1544&amp;"|"&amp;$E1544,Aux_HH!$A$4:$A$18,0)))</f>
        <v>0</v>
      </c>
      <c r="K1544" s="0" t="n">
        <f aca="false">IF($F1544=0,0,INDEX(Aux_HH!$H$4:$H$18,MATCH($B1544&amp;"|"&amp;$E1544,Aux_HH!$A$4:$A$18,0)))</f>
        <v>0</v>
      </c>
      <c r="L1544" s="0" t="n">
        <f aca="false">IF($F1544=0,0,INDEX(Aux_HH!$I$4:$I$18,MATCH($B1544&amp;"|"&amp;$E1544,Aux_HH!$A$4:$A$18,0)))</f>
        <v>0</v>
      </c>
    </row>
    <row r="1545" customFormat="false" ht="15" hidden="false" customHeight="false" outlineLevel="0" collapsed="false">
      <c r="A1545" s="0" t="str">
        <f aca="false">IF(Frota!$A34="","",Frota!$A34)</f>
        <v/>
      </c>
      <c r="B1545" s="0" t="str">
        <f aca="false">IF(Frota!$A34="","",Frota!$B34)</f>
        <v/>
      </c>
      <c r="C1545" s="0" t="n">
        <v>34</v>
      </c>
      <c r="D1545" s="0" t="n">
        <f aca="false">INDEX(Semanas!$E$3:$E$54,34)</f>
        <v>11</v>
      </c>
      <c r="E1545" s="0" t="str">
        <f aca="false">IF(Frota!$A34="","",Cronograma!AI34)</f>
        <v/>
      </c>
      <c r="F1545" s="0" t="n">
        <f aca="false">IF(OR($E1545="",$E1545=0),0,1)</f>
        <v>0</v>
      </c>
      <c r="G1545" s="0" t="n">
        <f aca="false">IF($F1545=0,0,INDEX(Aux_HH!$D$4:$D$18,MATCH($B1545&amp;"|"&amp;$E1545,Aux_HH!$A$4:$A$18,0)))</f>
        <v>0</v>
      </c>
      <c r="H1545" s="0" t="n">
        <f aca="false">IF($F1545=0,0,INDEX(Aux_HH!$E$4:$E$18,MATCH($B1545&amp;"|"&amp;$E1545,Aux_HH!$A$4:$A$18,0)))</f>
        <v>0</v>
      </c>
      <c r="I1545" s="0" t="n">
        <f aca="false">IF($F1545=0,0,INDEX(Aux_HH!$F$4:$F$18,MATCH($B1545&amp;"|"&amp;$E1545,Aux_HH!$A$4:$A$18,0)))</f>
        <v>0</v>
      </c>
      <c r="J1545" s="0" t="n">
        <f aca="false">IF($F1545=0,0,INDEX(Aux_HH!$G$4:$G$18,MATCH($B1545&amp;"|"&amp;$E1545,Aux_HH!$A$4:$A$18,0)))</f>
        <v>0</v>
      </c>
      <c r="K1545" s="0" t="n">
        <f aca="false">IF($F1545=0,0,INDEX(Aux_HH!$H$4:$H$18,MATCH($B1545&amp;"|"&amp;$E1545,Aux_HH!$A$4:$A$18,0)))</f>
        <v>0</v>
      </c>
      <c r="L1545" s="0" t="n">
        <f aca="false">IF($F1545=0,0,INDEX(Aux_HH!$I$4:$I$18,MATCH($B1545&amp;"|"&amp;$E1545,Aux_HH!$A$4:$A$18,0)))</f>
        <v>0</v>
      </c>
    </row>
    <row r="1546" customFormat="false" ht="15" hidden="false" customHeight="false" outlineLevel="0" collapsed="false">
      <c r="A1546" s="0" t="str">
        <f aca="false">IF(Frota!$A34="","",Frota!$A34)</f>
        <v/>
      </c>
      <c r="B1546" s="0" t="str">
        <f aca="false">IF(Frota!$A34="","",Frota!$B34)</f>
        <v/>
      </c>
      <c r="C1546" s="0" t="n">
        <v>35</v>
      </c>
      <c r="D1546" s="0" t="n">
        <f aca="false">INDEX(Semanas!$E$3:$E$54,35)</f>
        <v>11</v>
      </c>
      <c r="E1546" s="0" t="str">
        <f aca="false">IF(Frota!$A34="","",Cronograma!AJ34)</f>
        <v/>
      </c>
      <c r="F1546" s="0" t="n">
        <f aca="false">IF(OR($E1546="",$E1546=0),0,1)</f>
        <v>0</v>
      </c>
      <c r="G1546" s="0" t="n">
        <f aca="false">IF($F1546=0,0,INDEX(Aux_HH!$D$4:$D$18,MATCH($B1546&amp;"|"&amp;$E1546,Aux_HH!$A$4:$A$18,0)))</f>
        <v>0</v>
      </c>
      <c r="H1546" s="0" t="n">
        <f aca="false">IF($F1546=0,0,INDEX(Aux_HH!$E$4:$E$18,MATCH($B1546&amp;"|"&amp;$E1546,Aux_HH!$A$4:$A$18,0)))</f>
        <v>0</v>
      </c>
      <c r="I1546" s="0" t="n">
        <f aca="false">IF($F1546=0,0,INDEX(Aux_HH!$F$4:$F$18,MATCH($B1546&amp;"|"&amp;$E1546,Aux_HH!$A$4:$A$18,0)))</f>
        <v>0</v>
      </c>
      <c r="J1546" s="0" t="n">
        <f aca="false">IF($F1546=0,0,INDEX(Aux_HH!$G$4:$G$18,MATCH($B1546&amp;"|"&amp;$E1546,Aux_HH!$A$4:$A$18,0)))</f>
        <v>0</v>
      </c>
      <c r="K1546" s="0" t="n">
        <f aca="false">IF($F1546=0,0,INDEX(Aux_HH!$H$4:$H$18,MATCH($B1546&amp;"|"&amp;$E1546,Aux_HH!$A$4:$A$18,0)))</f>
        <v>0</v>
      </c>
      <c r="L1546" s="0" t="n">
        <f aca="false">IF($F1546=0,0,INDEX(Aux_HH!$I$4:$I$18,MATCH($B1546&amp;"|"&amp;$E1546,Aux_HH!$A$4:$A$18,0)))</f>
        <v>0</v>
      </c>
    </row>
    <row r="1547" customFormat="false" ht="15" hidden="false" customHeight="false" outlineLevel="0" collapsed="false">
      <c r="A1547" s="0" t="str">
        <f aca="false">IF(Frota!$A34="","",Frota!$A34)</f>
        <v/>
      </c>
      <c r="B1547" s="0" t="str">
        <f aca="false">IF(Frota!$A34="","",Frota!$B34)</f>
        <v/>
      </c>
      <c r="C1547" s="0" t="n">
        <v>36</v>
      </c>
      <c r="D1547" s="0" t="n">
        <f aca="false">INDEX(Semanas!$E$3:$E$54,36)</f>
        <v>12</v>
      </c>
      <c r="E1547" s="0" t="str">
        <f aca="false">IF(Frota!$A34="","",Cronograma!AK34)</f>
        <v/>
      </c>
      <c r="F1547" s="0" t="n">
        <f aca="false">IF(OR($E1547="",$E1547=0),0,1)</f>
        <v>0</v>
      </c>
      <c r="G1547" s="0" t="n">
        <f aca="false">IF($F1547=0,0,INDEX(Aux_HH!$D$4:$D$18,MATCH($B1547&amp;"|"&amp;$E1547,Aux_HH!$A$4:$A$18,0)))</f>
        <v>0</v>
      </c>
      <c r="H1547" s="0" t="n">
        <f aca="false">IF($F1547=0,0,INDEX(Aux_HH!$E$4:$E$18,MATCH($B1547&amp;"|"&amp;$E1547,Aux_HH!$A$4:$A$18,0)))</f>
        <v>0</v>
      </c>
      <c r="I1547" s="0" t="n">
        <f aca="false">IF($F1547=0,0,INDEX(Aux_HH!$F$4:$F$18,MATCH($B1547&amp;"|"&amp;$E1547,Aux_HH!$A$4:$A$18,0)))</f>
        <v>0</v>
      </c>
      <c r="J1547" s="0" t="n">
        <f aca="false">IF($F1547=0,0,INDEX(Aux_HH!$G$4:$G$18,MATCH($B1547&amp;"|"&amp;$E1547,Aux_HH!$A$4:$A$18,0)))</f>
        <v>0</v>
      </c>
      <c r="K1547" s="0" t="n">
        <f aca="false">IF($F1547=0,0,INDEX(Aux_HH!$H$4:$H$18,MATCH($B1547&amp;"|"&amp;$E1547,Aux_HH!$A$4:$A$18,0)))</f>
        <v>0</v>
      </c>
      <c r="L1547" s="0" t="n">
        <f aca="false">IF($F1547=0,0,INDEX(Aux_HH!$I$4:$I$18,MATCH($B1547&amp;"|"&amp;$E1547,Aux_HH!$A$4:$A$18,0)))</f>
        <v>0</v>
      </c>
    </row>
    <row r="1548" customFormat="false" ht="15" hidden="false" customHeight="false" outlineLevel="0" collapsed="false">
      <c r="A1548" s="0" t="str">
        <f aca="false">IF(Frota!$A34="","",Frota!$A34)</f>
        <v/>
      </c>
      <c r="B1548" s="0" t="str">
        <f aca="false">IF(Frota!$A34="","",Frota!$B34)</f>
        <v/>
      </c>
      <c r="C1548" s="0" t="n">
        <v>37</v>
      </c>
      <c r="D1548" s="0" t="n">
        <f aca="false">INDEX(Semanas!$E$3:$E$54,37)</f>
        <v>12</v>
      </c>
      <c r="E1548" s="0" t="str">
        <f aca="false">IF(Frota!$A34="","",Cronograma!AL34)</f>
        <v/>
      </c>
      <c r="F1548" s="0" t="n">
        <f aca="false">IF(OR($E1548="",$E1548=0),0,1)</f>
        <v>0</v>
      </c>
      <c r="G1548" s="0" t="n">
        <f aca="false">IF($F1548=0,0,INDEX(Aux_HH!$D$4:$D$18,MATCH($B1548&amp;"|"&amp;$E1548,Aux_HH!$A$4:$A$18,0)))</f>
        <v>0</v>
      </c>
      <c r="H1548" s="0" t="n">
        <f aca="false">IF($F1548=0,0,INDEX(Aux_HH!$E$4:$E$18,MATCH($B1548&amp;"|"&amp;$E1548,Aux_HH!$A$4:$A$18,0)))</f>
        <v>0</v>
      </c>
      <c r="I1548" s="0" t="n">
        <f aca="false">IF($F1548=0,0,INDEX(Aux_HH!$F$4:$F$18,MATCH($B1548&amp;"|"&amp;$E1548,Aux_HH!$A$4:$A$18,0)))</f>
        <v>0</v>
      </c>
      <c r="J1548" s="0" t="n">
        <f aca="false">IF($F1548=0,0,INDEX(Aux_HH!$G$4:$G$18,MATCH($B1548&amp;"|"&amp;$E1548,Aux_HH!$A$4:$A$18,0)))</f>
        <v>0</v>
      </c>
      <c r="K1548" s="0" t="n">
        <f aca="false">IF($F1548=0,0,INDEX(Aux_HH!$H$4:$H$18,MATCH($B1548&amp;"|"&amp;$E1548,Aux_HH!$A$4:$A$18,0)))</f>
        <v>0</v>
      </c>
      <c r="L1548" s="0" t="n">
        <f aca="false">IF($F1548=0,0,INDEX(Aux_HH!$I$4:$I$18,MATCH($B1548&amp;"|"&amp;$E1548,Aux_HH!$A$4:$A$18,0)))</f>
        <v>0</v>
      </c>
    </row>
    <row r="1549" customFormat="false" ht="15" hidden="false" customHeight="false" outlineLevel="0" collapsed="false">
      <c r="A1549" s="0" t="str">
        <f aca="false">IF(Frota!$A34="","",Frota!$A34)</f>
        <v/>
      </c>
      <c r="B1549" s="0" t="str">
        <f aca="false">IF(Frota!$A34="","",Frota!$B34)</f>
        <v/>
      </c>
      <c r="C1549" s="0" t="n">
        <v>38</v>
      </c>
      <c r="D1549" s="0" t="n">
        <f aca="false">INDEX(Semanas!$E$3:$E$54,38)</f>
        <v>12</v>
      </c>
      <c r="E1549" s="0" t="str">
        <f aca="false">IF(Frota!$A34="","",Cronograma!AM34)</f>
        <v/>
      </c>
      <c r="F1549" s="0" t="n">
        <f aca="false">IF(OR($E1549="",$E1549=0),0,1)</f>
        <v>0</v>
      </c>
      <c r="G1549" s="0" t="n">
        <f aca="false">IF($F1549=0,0,INDEX(Aux_HH!$D$4:$D$18,MATCH($B1549&amp;"|"&amp;$E1549,Aux_HH!$A$4:$A$18,0)))</f>
        <v>0</v>
      </c>
      <c r="H1549" s="0" t="n">
        <f aca="false">IF($F1549=0,0,INDEX(Aux_HH!$E$4:$E$18,MATCH($B1549&amp;"|"&amp;$E1549,Aux_HH!$A$4:$A$18,0)))</f>
        <v>0</v>
      </c>
      <c r="I1549" s="0" t="n">
        <f aca="false">IF($F1549=0,0,INDEX(Aux_HH!$F$4:$F$18,MATCH($B1549&amp;"|"&amp;$E1549,Aux_HH!$A$4:$A$18,0)))</f>
        <v>0</v>
      </c>
      <c r="J1549" s="0" t="n">
        <f aca="false">IF($F1549=0,0,INDEX(Aux_HH!$G$4:$G$18,MATCH($B1549&amp;"|"&amp;$E1549,Aux_HH!$A$4:$A$18,0)))</f>
        <v>0</v>
      </c>
      <c r="K1549" s="0" t="n">
        <f aca="false">IF($F1549=0,0,INDEX(Aux_HH!$H$4:$H$18,MATCH($B1549&amp;"|"&amp;$E1549,Aux_HH!$A$4:$A$18,0)))</f>
        <v>0</v>
      </c>
      <c r="L1549" s="0" t="n">
        <f aca="false">IF($F1549=0,0,INDEX(Aux_HH!$I$4:$I$18,MATCH($B1549&amp;"|"&amp;$E1549,Aux_HH!$A$4:$A$18,0)))</f>
        <v>0</v>
      </c>
    </row>
    <row r="1550" customFormat="false" ht="15" hidden="false" customHeight="false" outlineLevel="0" collapsed="false">
      <c r="A1550" s="0" t="str">
        <f aca="false">IF(Frota!$A34="","",Frota!$A34)</f>
        <v/>
      </c>
      <c r="B1550" s="0" t="str">
        <f aca="false">IF(Frota!$A34="","",Frota!$B34)</f>
        <v/>
      </c>
      <c r="C1550" s="0" t="n">
        <v>39</v>
      </c>
      <c r="D1550" s="0" t="n">
        <f aca="false">INDEX(Semanas!$E$3:$E$54,39)</f>
        <v>12</v>
      </c>
      <c r="E1550" s="0" t="str">
        <f aca="false">IF(Frota!$A34="","",Cronograma!AN34)</f>
        <v/>
      </c>
      <c r="F1550" s="0" t="n">
        <f aca="false">IF(OR($E1550="",$E1550=0),0,1)</f>
        <v>0</v>
      </c>
      <c r="G1550" s="0" t="n">
        <f aca="false">IF($F1550=0,0,INDEX(Aux_HH!$D$4:$D$18,MATCH($B1550&amp;"|"&amp;$E1550,Aux_HH!$A$4:$A$18,0)))</f>
        <v>0</v>
      </c>
      <c r="H1550" s="0" t="n">
        <f aca="false">IF($F1550=0,0,INDEX(Aux_HH!$E$4:$E$18,MATCH($B1550&amp;"|"&amp;$E1550,Aux_HH!$A$4:$A$18,0)))</f>
        <v>0</v>
      </c>
      <c r="I1550" s="0" t="n">
        <f aca="false">IF($F1550=0,0,INDEX(Aux_HH!$F$4:$F$18,MATCH($B1550&amp;"|"&amp;$E1550,Aux_HH!$A$4:$A$18,0)))</f>
        <v>0</v>
      </c>
      <c r="J1550" s="0" t="n">
        <f aca="false">IF($F1550=0,0,INDEX(Aux_HH!$G$4:$G$18,MATCH($B1550&amp;"|"&amp;$E1550,Aux_HH!$A$4:$A$18,0)))</f>
        <v>0</v>
      </c>
      <c r="K1550" s="0" t="n">
        <f aca="false">IF($F1550=0,0,INDEX(Aux_HH!$H$4:$H$18,MATCH($B1550&amp;"|"&amp;$E1550,Aux_HH!$A$4:$A$18,0)))</f>
        <v>0</v>
      </c>
      <c r="L1550" s="0" t="n">
        <f aca="false">IF($F1550=0,0,INDEX(Aux_HH!$I$4:$I$18,MATCH($B1550&amp;"|"&amp;$E1550,Aux_HH!$A$4:$A$18,0)))</f>
        <v>0</v>
      </c>
    </row>
    <row r="1551" customFormat="false" ht="15" hidden="false" customHeight="false" outlineLevel="0" collapsed="false">
      <c r="A1551" s="0" t="str">
        <f aca="false">IF(Frota!$A34="","",Frota!$A34)</f>
        <v/>
      </c>
      <c r="B1551" s="0" t="str">
        <f aca="false">IF(Frota!$A34="","",Frota!$B34)</f>
        <v/>
      </c>
      <c r="C1551" s="0" t="n">
        <v>40</v>
      </c>
      <c r="D1551" s="0" t="n">
        <f aca="false">INDEX(Semanas!$E$3:$E$54,40)</f>
        <v>12</v>
      </c>
      <c r="E1551" s="0" t="str">
        <f aca="false">IF(Frota!$A34="","",Cronograma!AO34)</f>
        <v/>
      </c>
      <c r="F1551" s="0" t="n">
        <f aca="false">IF(OR($E1551="",$E1551=0),0,1)</f>
        <v>0</v>
      </c>
      <c r="G1551" s="0" t="n">
        <f aca="false">IF($F1551=0,0,INDEX(Aux_HH!$D$4:$D$18,MATCH($B1551&amp;"|"&amp;$E1551,Aux_HH!$A$4:$A$18,0)))</f>
        <v>0</v>
      </c>
      <c r="H1551" s="0" t="n">
        <f aca="false">IF($F1551=0,0,INDEX(Aux_HH!$E$4:$E$18,MATCH($B1551&amp;"|"&amp;$E1551,Aux_HH!$A$4:$A$18,0)))</f>
        <v>0</v>
      </c>
      <c r="I1551" s="0" t="n">
        <f aca="false">IF($F1551=0,0,INDEX(Aux_HH!$F$4:$F$18,MATCH($B1551&amp;"|"&amp;$E1551,Aux_HH!$A$4:$A$18,0)))</f>
        <v>0</v>
      </c>
      <c r="J1551" s="0" t="n">
        <f aca="false">IF($F1551=0,0,INDEX(Aux_HH!$G$4:$G$18,MATCH($B1551&amp;"|"&amp;$E1551,Aux_HH!$A$4:$A$18,0)))</f>
        <v>0</v>
      </c>
      <c r="K1551" s="0" t="n">
        <f aca="false">IF($F1551=0,0,INDEX(Aux_HH!$H$4:$H$18,MATCH($B1551&amp;"|"&amp;$E1551,Aux_HH!$A$4:$A$18,0)))</f>
        <v>0</v>
      </c>
      <c r="L1551" s="0" t="n">
        <f aca="false">IF($F1551=0,0,INDEX(Aux_HH!$I$4:$I$18,MATCH($B1551&amp;"|"&amp;$E1551,Aux_HH!$A$4:$A$18,0)))</f>
        <v>0</v>
      </c>
    </row>
    <row r="1552" customFormat="false" ht="15" hidden="false" customHeight="false" outlineLevel="0" collapsed="false">
      <c r="A1552" s="0" t="str">
        <f aca="false">IF(Frota!$A34="","",Frota!$A34)</f>
        <v/>
      </c>
      <c r="B1552" s="0" t="str">
        <f aca="false">IF(Frota!$A34="","",Frota!$B34)</f>
        <v/>
      </c>
      <c r="C1552" s="0" t="n">
        <v>41</v>
      </c>
      <c r="D1552" s="0" t="n">
        <f aca="false">INDEX(Semanas!$E$3:$E$54,41)</f>
        <v>1</v>
      </c>
      <c r="E1552" s="0" t="str">
        <f aca="false">IF(Frota!$A34="","",Cronograma!AP34)</f>
        <v/>
      </c>
      <c r="F1552" s="0" t="n">
        <f aca="false">IF(OR($E1552="",$E1552=0),0,1)</f>
        <v>0</v>
      </c>
      <c r="G1552" s="0" t="n">
        <f aca="false">IF($F1552=0,0,INDEX(Aux_HH!$D$4:$D$18,MATCH($B1552&amp;"|"&amp;$E1552,Aux_HH!$A$4:$A$18,0)))</f>
        <v>0</v>
      </c>
      <c r="H1552" s="0" t="n">
        <f aca="false">IF($F1552=0,0,INDEX(Aux_HH!$E$4:$E$18,MATCH($B1552&amp;"|"&amp;$E1552,Aux_HH!$A$4:$A$18,0)))</f>
        <v>0</v>
      </c>
      <c r="I1552" s="0" t="n">
        <f aca="false">IF($F1552=0,0,INDEX(Aux_HH!$F$4:$F$18,MATCH($B1552&amp;"|"&amp;$E1552,Aux_HH!$A$4:$A$18,0)))</f>
        <v>0</v>
      </c>
      <c r="J1552" s="0" t="n">
        <f aca="false">IF($F1552=0,0,INDEX(Aux_HH!$G$4:$G$18,MATCH($B1552&amp;"|"&amp;$E1552,Aux_HH!$A$4:$A$18,0)))</f>
        <v>0</v>
      </c>
      <c r="K1552" s="0" t="n">
        <f aca="false">IF($F1552=0,0,INDEX(Aux_HH!$H$4:$H$18,MATCH($B1552&amp;"|"&amp;$E1552,Aux_HH!$A$4:$A$18,0)))</f>
        <v>0</v>
      </c>
      <c r="L1552" s="0" t="n">
        <f aca="false">IF($F1552=0,0,INDEX(Aux_HH!$I$4:$I$18,MATCH($B1552&amp;"|"&amp;$E1552,Aux_HH!$A$4:$A$18,0)))</f>
        <v>0</v>
      </c>
    </row>
    <row r="1553" customFormat="false" ht="15" hidden="false" customHeight="false" outlineLevel="0" collapsed="false">
      <c r="A1553" s="0" t="str">
        <f aca="false">IF(Frota!$A34="","",Frota!$A34)</f>
        <v/>
      </c>
      <c r="B1553" s="0" t="str">
        <f aca="false">IF(Frota!$A34="","",Frota!$B34)</f>
        <v/>
      </c>
      <c r="C1553" s="0" t="n">
        <v>42</v>
      </c>
      <c r="D1553" s="0" t="n">
        <f aca="false">INDEX(Semanas!$E$3:$E$54,42)</f>
        <v>1</v>
      </c>
      <c r="E1553" s="0" t="str">
        <f aca="false">IF(Frota!$A34="","",Cronograma!AQ34)</f>
        <v/>
      </c>
      <c r="F1553" s="0" t="n">
        <f aca="false">IF(OR($E1553="",$E1553=0),0,1)</f>
        <v>0</v>
      </c>
      <c r="G1553" s="0" t="n">
        <f aca="false">IF($F1553=0,0,INDEX(Aux_HH!$D$4:$D$18,MATCH($B1553&amp;"|"&amp;$E1553,Aux_HH!$A$4:$A$18,0)))</f>
        <v>0</v>
      </c>
      <c r="H1553" s="0" t="n">
        <f aca="false">IF($F1553=0,0,INDEX(Aux_HH!$E$4:$E$18,MATCH($B1553&amp;"|"&amp;$E1553,Aux_HH!$A$4:$A$18,0)))</f>
        <v>0</v>
      </c>
      <c r="I1553" s="0" t="n">
        <f aca="false">IF($F1553=0,0,INDEX(Aux_HH!$F$4:$F$18,MATCH($B1553&amp;"|"&amp;$E1553,Aux_HH!$A$4:$A$18,0)))</f>
        <v>0</v>
      </c>
      <c r="J1553" s="0" t="n">
        <f aca="false">IF($F1553=0,0,INDEX(Aux_HH!$G$4:$G$18,MATCH($B1553&amp;"|"&amp;$E1553,Aux_HH!$A$4:$A$18,0)))</f>
        <v>0</v>
      </c>
      <c r="K1553" s="0" t="n">
        <f aca="false">IF($F1553=0,0,INDEX(Aux_HH!$H$4:$H$18,MATCH($B1553&amp;"|"&amp;$E1553,Aux_HH!$A$4:$A$18,0)))</f>
        <v>0</v>
      </c>
      <c r="L1553" s="0" t="n">
        <f aca="false">IF($F1553=0,0,INDEX(Aux_HH!$I$4:$I$18,MATCH($B1553&amp;"|"&amp;$E1553,Aux_HH!$A$4:$A$18,0)))</f>
        <v>0</v>
      </c>
    </row>
    <row r="1554" customFormat="false" ht="15" hidden="false" customHeight="false" outlineLevel="0" collapsed="false">
      <c r="A1554" s="0" t="str">
        <f aca="false">IF(Frota!$A34="","",Frota!$A34)</f>
        <v/>
      </c>
      <c r="B1554" s="0" t="str">
        <f aca="false">IF(Frota!$A34="","",Frota!$B34)</f>
        <v/>
      </c>
      <c r="C1554" s="0" t="n">
        <v>43</v>
      </c>
      <c r="D1554" s="0" t="n">
        <f aca="false">INDEX(Semanas!$E$3:$E$54,43)</f>
        <v>1</v>
      </c>
      <c r="E1554" s="0" t="str">
        <f aca="false">IF(Frota!$A34="","",Cronograma!AR34)</f>
        <v/>
      </c>
      <c r="F1554" s="0" t="n">
        <f aca="false">IF(OR($E1554="",$E1554=0),0,1)</f>
        <v>0</v>
      </c>
      <c r="G1554" s="0" t="n">
        <f aca="false">IF($F1554=0,0,INDEX(Aux_HH!$D$4:$D$18,MATCH($B1554&amp;"|"&amp;$E1554,Aux_HH!$A$4:$A$18,0)))</f>
        <v>0</v>
      </c>
      <c r="H1554" s="0" t="n">
        <f aca="false">IF($F1554=0,0,INDEX(Aux_HH!$E$4:$E$18,MATCH($B1554&amp;"|"&amp;$E1554,Aux_HH!$A$4:$A$18,0)))</f>
        <v>0</v>
      </c>
      <c r="I1554" s="0" t="n">
        <f aca="false">IF($F1554=0,0,INDEX(Aux_HH!$F$4:$F$18,MATCH($B1554&amp;"|"&amp;$E1554,Aux_HH!$A$4:$A$18,0)))</f>
        <v>0</v>
      </c>
      <c r="J1554" s="0" t="n">
        <f aca="false">IF($F1554=0,0,INDEX(Aux_HH!$G$4:$G$18,MATCH($B1554&amp;"|"&amp;$E1554,Aux_HH!$A$4:$A$18,0)))</f>
        <v>0</v>
      </c>
      <c r="K1554" s="0" t="n">
        <f aca="false">IF($F1554=0,0,INDEX(Aux_HH!$H$4:$H$18,MATCH($B1554&amp;"|"&amp;$E1554,Aux_HH!$A$4:$A$18,0)))</f>
        <v>0</v>
      </c>
      <c r="L1554" s="0" t="n">
        <f aca="false">IF($F1554=0,0,INDEX(Aux_HH!$I$4:$I$18,MATCH($B1554&amp;"|"&amp;$E1554,Aux_HH!$A$4:$A$18,0)))</f>
        <v>0</v>
      </c>
    </row>
    <row r="1555" customFormat="false" ht="15" hidden="false" customHeight="false" outlineLevel="0" collapsed="false">
      <c r="A1555" s="0" t="str">
        <f aca="false">IF(Frota!$A34="","",Frota!$A34)</f>
        <v/>
      </c>
      <c r="B1555" s="0" t="str">
        <f aca="false">IF(Frota!$A34="","",Frota!$B34)</f>
        <v/>
      </c>
      <c r="C1555" s="0" t="n">
        <v>44</v>
      </c>
      <c r="D1555" s="0" t="n">
        <f aca="false">INDEX(Semanas!$E$3:$E$54,44)</f>
        <v>1</v>
      </c>
      <c r="E1555" s="0" t="str">
        <f aca="false">IF(Frota!$A34="","",Cronograma!AS34)</f>
        <v/>
      </c>
      <c r="F1555" s="0" t="n">
        <f aca="false">IF(OR($E1555="",$E1555=0),0,1)</f>
        <v>0</v>
      </c>
      <c r="G1555" s="0" t="n">
        <f aca="false">IF($F1555=0,0,INDEX(Aux_HH!$D$4:$D$18,MATCH($B1555&amp;"|"&amp;$E1555,Aux_HH!$A$4:$A$18,0)))</f>
        <v>0</v>
      </c>
      <c r="H1555" s="0" t="n">
        <f aca="false">IF($F1555=0,0,INDEX(Aux_HH!$E$4:$E$18,MATCH($B1555&amp;"|"&amp;$E1555,Aux_HH!$A$4:$A$18,0)))</f>
        <v>0</v>
      </c>
      <c r="I1555" s="0" t="n">
        <f aca="false">IF($F1555=0,0,INDEX(Aux_HH!$F$4:$F$18,MATCH($B1555&amp;"|"&amp;$E1555,Aux_HH!$A$4:$A$18,0)))</f>
        <v>0</v>
      </c>
      <c r="J1555" s="0" t="n">
        <f aca="false">IF($F1555=0,0,INDEX(Aux_HH!$G$4:$G$18,MATCH($B1555&amp;"|"&amp;$E1555,Aux_HH!$A$4:$A$18,0)))</f>
        <v>0</v>
      </c>
      <c r="K1555" s="0" t="n">
        <f aca="false">IF($F1555=0,0,INDEX(Aux_HH!$H$4:$H$18,MATCH($B1555&amp;"|"&amp;$E1555,Aux_HH!$A$4:$A$18,0)))</f>
        <v>0</v>
      </c>
      <c r="L1555" s="0" t="n">
        <f aca="false">IF($F1555=0,0,INDEX(Aux_HH!$I$4:$I$18,MATCH($B1555&amp;"|"&amp;$E1555,Aux_HH!$A$4:$A$18,0)))</f>
        <v>0</v>
      </c>
    </row>
    <row r="1556" customFormat="false" ht="15" hidden="false" customHeight="false" outlineLevel="0" collapsed="false">
      <c r="A1556" s="0" t="str">
        <f aca="false">IF(Frota!$A34="","",Frota!$A34)</f>
        <v/>
      </c>
      <c r="B1556" s="0" t="str">
        <f aca="false">IF(Frota!$A34="","",Frota!$B34)</f>
        <v/>
      </c>
      <c r="C1556" s="0" t="n">
        <v>45</v>
      </c>
      <c r="D1556" s="0" t="n">
        <f aca="false">INDEX(Semanas!$E$3:$E$54,45)</f>
        <v>2</v>
      </c>
      <c r="E1556" s="0" t="str">
        <f aca="false">IF(Frota!$A34="","",Cronograma!AT34)</f>
        <v/>
      </c>
      <c r="F1556" s="0" t="n">
        <f aca="false">IF(OR($E1556="",$E1556=0),0,1)</f>
        <v>0</v>
      </c>
      <c r="G1556" s="0" t="n">
        <f aca="false">IF($F1556=0,0,INDEX(Aux_HH!$D$4:$D$18,MATCH($B1556&amp;"|"&amp;$E1556,Aux_HH!$A$4:$A$18,0)))</f>
        <v>0</v>
      </c>
      <c r="H1556" s="0" t="n">
        <f aca="false">IF($F1556=0,0,INDEX(Aux_HH!$E$4:$E$18,MATCH($B1556&amp;"|"&amp;$E1556,Aux_HH!$A$4:$A$18,0)))</f>
        <v>0</v>
      </c>
      <c r="I1556" s="0" t="n">
        <f aca="false">IF($F1556=0,0,INDEX(Aux_HH!$F$4:$F$18,MATCH($B1556&amp;"|"&amp;$E1556,Aux_HH!$A$4:$A$18,0)))</f>
        <v>0</v>
      </c>
      <c r="J1556" s="0" t="n">
        <f aca="false">IF($F1556=0,0,INDEX(Aux_HH!$G$4:$G$18,MATCH($B1556&amp;"|"&amp;$E1556,Aux_HH!$A$4:$A$18,0)))</f>
        <v>0</v>
      </c>
      <c r="K1556" s="0" t="n">
        <f aca="false">IF($F1556=0,0,INDEX(Aux_HH!$H$4:$H$18,MATCH($B1556&amp;"|"&amp;$E1556,Aux_HH!$A$4:$A$18,0)))</f>
        <v>0</v>
      </c>
      <c r="L1556" s="0" t="n">
        <f aca="false">IF($F1556=0,0,INDEX(Aux_HH!$I$4:$I$18,MATCH($B1556&amp;"|"&amp;$E1556,Aux_HH!$A$4:$A$18,0)))</f>
        <v>0</v>
      </c>
    </row>
    <row r="1557" customFormat="false" ht="15" hidden="false" customHeight="false" outlineLevel="0" collapsed="false">
      <c r="A1557" s="0" t="str">
        <f aca="false">IF(Frota!$A34="","",Frota!$A34)</f>
        <v/>
      </c>
      <c r="B1557" s="0" t="str">
        <f aca="false">IF(Frota!$A34="","",Frota!$B34)</f>
        <v/>
      </c>
      <c r="C1557" s="0" t="n">
        <v>46</v>
      </c>
      <c r="D1557" s="0" t="n">
        <f aca="false">INDEX(Semanas!$E$3:$E$54,46)</f>
        <v>2</v>
      </c>
      <c r="E1557" s="0" t="str">
        <f aca="false">IF(Frota!$A34="","",Cronograma!AU34)</f>
        <v/>
      </c>
      <c r="F1557" s="0" t="n">
        <f aca="false">IF(OR($E1557="",$E1557=0),0,1)</f>
        <v>0</v>
      </c>
      <c r="G1557" s="0" t="n">
        <f aca="false">IF($F1557=0,0,INDEX(Aux_HH!$D$4:$D$18,MATCH($B1557&amp;"|"&amp;$E1557,Aux_HH!$A$4:$A$18,0)))</f>
        <v>0</v>
      </c>
      <c r="H1557" s="0" t="n">
        <f aca="false">IF($F1557=0,0,INDEX(Aux_HH!$E$4:$E$18,MATCH($B1557&amp;"|"&amp;$E1557,Aux_HH!$A$4:$A$18,0)))</f>
        <v>0</v>
      </c>
      <c r="I1557" s="0" t="n">
        <f aca="false">IF($F1557=0,0,INDEX(Aux_HH!$F$4:$F$18,MATCH($B1557&amp;"|"&amp;$E1557,Aux_HH!$A$4:$A$18,0)))</f>
        <v>0</v>
      </c>
      <c r="J1557" s="0" t="n">
        <f aca="false">IF($F1557=0,0,INDEX(Aux_HH!$G$4:$G$18,MATCH($B1557&amp;"|"&amp;$E1557,Aux_HH!$A$4:$A$18,0)))</f>
        <v>0</v>
      </c>
      <c r="K1557" s="0" t="n">
        <f aca="false">IF($F1557=0,0,INDEX(Aux_HH!$H$4:$H$18,MATCH($B1557&amp;"|"&amp;$E1557,Aux_HH!$A$4:$A$18,0)))</f>
        <v>0</v>
      </c>
      <c r="L1557" s="0" t="n">
        <f aca="false">IF($F1557=0,0,INDEX(Aux_HH!$I$4:$I$18,MATCH($B1557&amp;"|"&amp;$E1557,Aux_HH!$A$4:$A$18,0)))</f>
        <v>0</v>
      </c>
    </row>
    <row r="1558" customFormat="false" ht="15" hidden="false" customHeight="false" outlineLevel="0" collapsed="false">
      <c r="A1558" s="0" t="str">
        <f aca="false">IF(Frota!$A34="","",Frota!$A34)</f>
        <v/>
      </c>
      <c r="B1558" s="0" t="str">
        <f aca="false">IF(Frota!$A34="","",Frota!$B34)</f>
        <v/>
      </c>
      <c r="C1558" s="0" t="n">
        <v>47</v>
      </c>
      <c r="D1558" s="0" t="n">
        <f aca="false">INDEX(Semanas!$E$3:$E$54,47)</f>
        <v>2</v>
      </c>
      <c r="E1558" s="0" t="str">
        <f aca="false">IF(Frota!$A34="","",Cronograma!AV34)</f>
        <v/>
      </c>
      <c r="F1558" s="0" t="n">
        <f aca="false">IF(OR($E1558="",$E1558=0),0,1)</f>
        <v>0</v>
      </c>
      <c r="G1558" s="0" t="n">
        <f aca="false">IF($F1558=0,0,INDEX(Aux_HH!$D$4:$D$18,MATCH($B1558&amp;"|"&amp;$E1558,Aux_HH!$A$4:$A$18,0)))</f>
        <v>0</v>
      </c>
      <c r="H1558" s="0" t="n">
        <f aca="false">IF($F1558=0,0,INDEX(Aux_HH!$E$4:$E$18,MATCH($B1558&amp;"|"&amp;$E1558,Aux_HH!$A$4:$A$18,0)))</f>
        <v>0</v>
      </c>
      <c r="I1558" s="0" t="n">
        <f aca="false">IF($F1558=0,0,INDEX(Aux_HH!$F$4:$F$18,MATCH($B1558&amp;"|"&amp;$E1558,Aux_HH!$A$4:$A$18,0)))</f>
        <v>0</v>
      </c>
      <c r="J1558" s="0" t="n">
        <f aca="false">IF($F1558=0,0,INDEX(Aux_HH!$G$4:$G$18,MATCH($B1558&amp;"|"&amp;$E1558,Aux_HH!$A$4:$A$18,0)))</f>
        <v>0</v>
      </c>
      <c r="K1558" s="0" t="n">
        <f aca="false">IF($F1558=0,0,INDEX(Aux_HH!$H$4:$H$18,MATCH($B1558&amp;"|"&amp;$E1558,Aux_HH!$A$4:$A$18,0)))</f>
        <v>0</v>
      </c>
      <c r="L1558" s="0" t="n">
        <f aca="false">IF($F1558=0,0,INDEX(Aux_HH!$I$4:$I$18,MATCH($B1558&amp;"|"&amp;$E1558,Aux_HH!$A$4:$A$18,0)))</f>
        <v>0</v>
      </c>
    </row>
    <row r="1559" customFormat="false" ht="15" hidden="false" customHeight="false" outlineLevel="0" collapsed="false">
      <c r="A1559" s="0" t="str">
        <f aca="false">IF(Frota!$A34="","",Frota!$A34)</f>
        <v/>
      </c>
      <c r="B1559" s="0" t="str">
        <f aca="false">IF(Frota!$A34="","",Frota!$B34)</f>
        <v/>
      </c>
      <c r="C1559" s="0" t="n">
        <v>48</v>
      </c>
      <c r="D1559" s="0" t="n">
        <f aca="false">INDEX(Semanas!$E$3:$E$54,48)</f>
        <v>2</v>
      </c>
      <c r="E1559" s="0" t="str">
        <f aca="false">IF(Frota!$A34="","",Cronograma!AW34)</f>
        <v/>
      </c>
      <c r="F1559" s="0" t="n">
        <f aca="false">IF(OR($E1559="",$E1559=0),0,1)</f>
        <v>0</v>
      </c>
      <c r="G1559" s="0" t="n">
        <f aca="false">IF($F1559=0,0,INDEX(Aux_HH!$D$4:$D$18,MATCH($B1559&amp;"|"&amp;$E1559,Aux_HH!$A$4:$A$18,0)))</f>
        <v>0</v>
      </c>
      <c r="H1559" s="0" t="n">
        <f aca="false">IF($F1559=0,0,INDEX(Aux_HH!$E$4:$E$18,MATCH($B1559&amp;"|"&amp;$E1559,Aux_HH!$A$4:$A$18,0)))</f>
        <v>0</v>
      </c>
      <c r="I1559" s="0" t="n">
        <f aca="false">IF($F1559=0,0,INDEX(Aux_HH!$F$4:$F$18,MATCH($B1559&amp;"|"&amp;$E1559,Aux_HH!$A$4:$A$18,0)))</f>
        <v>0</v>
      </c>
      <c r="J1559" s="0" t="n">
        <f aca="false">IF($F1559=0,0,INDEX(Aux_HH!$G$4:$G$18,MATCH($B1559&amp;"|"&amp;$E1559,Aux_HH!$A$4:$A$18,0)))</f>
        <v>0</v>
      </c>
      <c r="K1559" s="0" t="n">
        <f aca="false">IF($F1559=0,0,INDEX(Aux_HH!$H$4:$H$18,MATCH($B1559&amp;"|"&amp;$E1559,Aux_HH!$A$4:$A$18,0)))</f>
        <v>0</v>
      </c>
      <c r="L1559" s="0" t="n">
        <f aca="false">IF($F1559=0,0,INDEX(Aux_HH!$I$4:$I$18,MATCH($B1559&amp;"|"&amp;$E1559,Aux_HH!$A$4:$A$18,0)))</f>
        <v>0</v>
      </c>
    </row>
    <row r="1560" customFormat="false" ht="15" hidden="false" customHeight="false" outlineLevel="0" collapsed="false">
      <c r="A1560" s="0" t="str">
        <f aca="false">IF(Frota!$A34="","",Frota!$A34)</f>
        <v/>
      </c>
      <c r="B1560" s="0" t="str">
        <f aca="false">IF(Frota!$A34="","",Frota!$B34)</f>
        <v/>
      </c>
      <c r="C1560" s="0" t="n">
        <v>49</v>
      </c>
      <c r="D1560" s="0" t="n">
        <f aca="false">INDEX(Semanas!$E$3:$E$54,49)</f>
        <v>3</v>
      </c>
      <c r="E1560" s="0" t="str">
        <f aca="false">IF(Frota!$A34="","",Cronograma!AX34)</f>
        <v/>
      </c>
      <c r="F1560" s="0" t="n">
        <f aca="false">IF(OR($E1560="",$E1560=0),0,1)</f>
        <v>0</v>
      </c>
      <c r="G1560" s="0" t="n">
        <f aca="false">IF($F1560=0,0,INDEX(Aux_HH!$D$4:$D$18,MATCH($B1560&amp;"|"&amp;$E1560,Aux_HH!$A$4:$A$18,0)))</f>
        <v>0</v>
      </c>
      <c r="H1560" s="0" t="n">
        <f aca="false">IF($F1560=0,0,INDEX(Aux_HH!$E$4:$E$18,MATCH($B1560&amp;"|"&amp;$E1560,Aux_HH!$A$4:$A$18,0)))</f>
        <v>0</v>
      </c>
      <c r="I1560" s="0" t="n">
        <f aca="false">IF($F1560=0,0,INDEX(Aux_HH!$F$4:$F$18,MATCH($B1560&amp;"|"&amp;$E1560,Aux_HH!$A$4:$A$18,0)))</f>
        <v>0</v>
      </c>
      <c r="J1560" s="0" t="n">
        <f aca="false">IF($F1560=0,0,INDEX(Aux_HH!$G$4:$G$18,MATCH($B1560&amp;"|"&amp;$E1560,Aux_HH!$A$4:$A$18,0)))</f>
        <v>0</v>
      </c>
      <c r="K1560" s="0" t="n">
        <f aca="false">IF($F1560=0,0,INDEX(Aux_HH!$H$4:$H$18,MATCH($B1560&amp;"|"&amp;$E1560,Aux_HH!$A$4:$A$18,0)))</f>
        <v>0</v>
      </c>
      <c r="L1560" s="0" t="n">
        <f aca="false">IF($F1560=0,0,INDEX(Aux_HH!$I$4:$I$18,MATCH($B1560&amp;"|"&amp;$E1560,Aux_HH!$A$4:$A$18,0)))</f>
        <v>0</v>
      </c>
    </row>
    <row r="1561" customFormat="false" ht="15" hidden="false" customHeight="false" outlineLevel="0" collapsed="false">
      <c r="A1561" s="0" t="str">
        <f aca="false">IF(Frota!$A34="","",Frota!$A34)</f>
        <v/>
      </c>
      <c r="B1561" s="0" t="str">
        <f aca="false">IF(Frota!$A34="","",Frota!$B34)</f>
        <v/>
      </c>
      <c r="C1561" s="0" t="n">
        <v>50</v>
      </c>
      <c r="D1561" s="0" t="n">
        <f aca="false">INDEX(Semanas!$E$3:$E$54,50)</f>
        <v>3</v>
      </c>
      <c r="E1561" s="0" t="str">
        <f aca="false">IF(Frota!$A34="","",Cronograma!AY34)</f>
        <v/>
      </c>
      <c r="F1561" s="0" t="n">
        <f aca="false">IF(OR($E1561="",$E1561=0),0,1)</f>
        <v>0</v>
      </c>
      <c r="G1561" s="0" t="n">
        <f aca="false">IF($F1561=0,0,INDEX(Aux_HH!$D$4:$D$18,MATCH($B1561&amp;"|"&amp;$E1561,Aux_HH!$A$4:$A$18,0)))</f>
        <v>0</v>
      </c>
      <c r="H1561" s="0" t="n">
        <f aca="false">IF($F1561=0,0,INDEX(Aux_HH!$E$4:$E$18,MATCH($B1561&amp;"|"&amp;$E1561,Aux_HH!$A$4:$A$18,0)))</f>
        <v>0</v>
      </c>
      <c r="I1561" s="0" t="n">
        <f aca="false">IF($F1561=0,0,INDEX(Aux_HH!$F$4:$F$18,MATCH($B1561&amp;"|"&amp;$E1561,Aux_HH!$A$4:$A$18,0)))</f>
        <v>0</v>
      </c>
      <c r="J1561" s="0" t="n">
        <f aca="false">IF($F1561=0,0,INDEX(Aux_HH!$G$4:$G$18,MATCH($B1561&amp;"|"&amp;$E1561,Aux_HH!$A$4:$A$18,0)))</f>
        <v>0</v>
      </c>
      <c r="K1561" s="0" t="n">
        <f aca="false">IF($F1561=0,0,INDEX(Aux_HH!$H$4:$H$18,MATCH($B1561&amp;"|"&amp;$E1561,Aux_HH!$A$4:$A$18,0)))</f>
        <v>0</v>
      </c>
      <c r="L1561" s="0" t="n">
        <f aca="false">IF($F1561=0,0,INDEX(Aux_HH!$I$4:$I$18,MATCH($B1561&amp;"|"&amp;$E1561,Aux_HH!$A$4:$A$18,0)))</f>
        <v>0</v>
      </c>
    </row>
    <row r="1562" customFormat="false" ht="15" hidden="false" customHeight="false" outlineLevel="0" collapsed="false">
      <c r="A1562" s="0" t="str">
        <f aca="false">IF(Frota!$A34="","",Frota!$A34)</f>
        <v/>
      </c>
      <c r="B1562" s="0" t="str">
        <f aca="false">IF(Frota!$A34="","",Frota!$B34)</f>
        <v/>
      </c>
      <c r="C1562" s="0" t="n">
        <v>51</v>
      </c>
      <c r="D1562" s="0" t="n">
        <f aca="false">INDEX(Semanas!$E$3:$E$54,51)</f>
        <v>3</v>
      </c>
      <c r="E1562" s="0" t="str">
        <f aca="false">IF(Frota!$A34="","",Cronograma!AZ34)</f>
        <v/>
      </c>
      <c r="F1562" s="0" t="n">
        <f aca="false">IF(OR($E1562="",$E1562=0),0,1)</f>
        <v>0</v>
      </c>
      <c r="G1562" s="0" t="n">
        <f aca="false">IF($F1562=0,0,INDEX(Aux_HH!$D$4:$D$18,MATCH($B1562&amp;"|"&amp;$E1562,Aux_HH!$A$4:$A$18,0)))</f>
        <v>0</v>
      </c>
      <c r="H1562" s="0" t="n">
        <f aca="false">IF($F1562=0,0,INDEX(Aux_HH!$E$4:$E$18,MATCH($B1562&amp;"|"&amp;$E1562,Aux_HH!$A$4:$A$18,0)))</f>
        <v>0</v>
      </c>
      <c r="I1562" s="0" t="n">
        <f aca="false">IF($F1562=0,0,INDEX(Aux_HH!$F$4:$F$18,MATCH($B1562&amp;"|"&amp;$E1562,Aux_HH!$A$4:$A$18,0)))</f>
        <v>0</v>
      </c>
      <c r="J1562" s="0" t="n">
        <f aca="false">IF($F1562=0,0,INDEX(Aux_HH!$G$4:$G$18,MATCH($B1562&amp;"|"&amp;$E1562,Aux_HH!$A$4:$A$18,0)))</f>
        <v>0</v>
      </c>
      <c r="K1562" s="0" t="n">
        <f aca="false">IF($F1562=0,0,INDEX(Aux_HH!$H$4:$H$18,MATCH($B1562&amp;"|"&amp;$E1562,Aux_HH!$A$4:$A$18,0)))</f>
        <v>0</v>
      </c>
      <c r="L1562" s="0" t="n">
        <f aca="false">IF($F1562=0,0,INDEX(Aux_HH!$I$4:$I$18,MATCH($B1562&amp;"|"&amp;$E1562,Aux_HH!$A$4:$A$18,0)))</f>
        <v>0</v>
      </c>
    </row>
    <row r="1563" customFormat="false" ht="15" hidden="false" customHeight="false" outlineLevel="0" collapsed="false">
      <c r="A1563" s="0" t="str">
        <f aca="false">IF(Frota!$A34="","",Frota!$A34)</f>
        <v/>
      </c>
      <c r="B1563" s="0" t="str">
        <f aca="false">IF(Frota!$A34="","",Frota!$B34)</f>
        <v/>
      </c>
      <c r="C1563" s="0" t="n">
        <v>52</v>
      </c>
      <c r="D1563" s="0" t="n">
        <f aca="false">INDEX(Semanas!$E$3:$E$54,52)</f>
        <v>3</v>
      </c>
      <c r="E1563" s="0" t="str">
        <f aca="false">IF(Frota!$A34="","",Cronograma!BA34)</f>
        <v/>
      </c>
      <c r="F1563" s="0" t="n">
        <f aca="false">IF(OR($E1563="",$E1563=0),0,1)</f>
        <v>0</v>
      </c>
      <c r="G1563" s="0" t="n">
        <f aca="false">IF($F1563=0,0,INDEX(Aux_HH!$D$4:$D$18,MATCH($B1563&amp;"|"&amp;$E1563,Aux_HH!$A$4:$A$18,0)))</f>
        <v>0</v>
      </c>
      <c r="H1563" s="0" t="n">
        <f aca="false">IF($F1563=0,0,INDEX(Aux_HH!$E$4:$E$18,MATCH($B1563&amp;"|"&amp;$E1563,Aux_HH!$A$4:$A$18,0)))</f>
        <v>0</v>
      </c>
      <c r="I1563" s="0" t="n">
        <f aca="false">IF($F1563=0,0,INDEX(Aux_HH!$F$4:$F$18,MATCH($B1563&amp;"|"&amp;$E1563,Aux_HH!$A$4:$A$18,0)))</f>
        <v>0</v>
      </c>
      <c r="J1563" s="0" t="n">
        <f aca="false">IF($F1563=0,0,INDEX(Aux_HH!$G$4:$G$18,MATCH($B1563&amp;"|"&amp;$E1563,Aux_HH!$A$4:$A$18,0)))</f>
        <v>0</v>
      </c>
      <c r="K1563" s="0" t="n">
        <f aca="false">IF($F1563=0,0,INDEX(Aux_HH!$H$4:$H$18,MATCH($B1563&amp;"|"&amp;$E1563,Aux_HH!$A$4:$A$18,0)))</f>
        <v>0</v>
      </c>
      <c r="L1563" s="0" t="n">
        <f aca="false">IF($F1563=0,0,INDEX(Aux_HH!$I$4:$I$18,MATCH($B1563&amp;"|"&amp;$E1563,Aux_HH!$A$4:$A$18,0)))</f>
        <v>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5" t="s">
        <v>27</v>
      </c>
      <c r="B3" s="5" t="s">
        <v>59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5" t="s">
        <v>68</v>
      </c>
      <c r="J3" s="5" t="s">
        <v>69</v>
      </c>
      <c r="K3" s="5" t="s">
        <v>70</v>
      </c>
      <c r="L3" s="5" t="s">
        <v>71</v>
      </c>
      <c r="M3" s="5" t="s">
        <v>72</v>
      </c>
      <c r="N3" s="5" t="s">
        <v>314</v>
      </c>
    </row>
    <row r="4" customFormat="false" ht="15" hidden="false" customHeight="false" outlineLevel="0" collapsed="false">
      <c r="A4" s="6" t="s">
        <v>33</v>
      </c>
      <c r="B4" s="9" t="n">
        <f aca="false">ROUND(SUMIFS(Eventos!$G$4:$G$1563,Eventos!$D$4:$D$1563,1),1)</f>
        <v>0</v>
      </c>
      <c r="C4" s="9" t="n">
        <f aca="false">ROUND(SUMIFS(Eventos!$G$4:$G$1563,Eventos!$D$4:$D$1563,2),1)</f>
        <v>0.8</v>
      </c>
      <c r="D4" s="9" t="n">
        <f aca="false">ROUND(SUMIFS(Eventos!$G$4:$G$1563,Eventos!$D$4:$D$1563,3),1)</f>
        <v>24.3</v>
      </c>
      <c r="E4" s="9" t="n">
        <f aca="false">ROUND(SUMIFS(Eventos!$G$4:$G$1563,Eventos!$D$4:$D$1563,4),1)</f>
        <v>43.5</v>
      </c>
      <c r="F4" s="9" t="n">
        <f aca="false">ROUND(SUMIFS(Eventos!$G$4:$G$1563,Eventos!$D$4:$D$1563,5),1)</f>
        <v>20</v>
      </c>
      <c r="G4" s="9" t="n">
        <f aca="false">ROUND(SUMIFS(Eventos!$G$4:$G$1563,Eventos!$D$4:$D$1563,6),1)</f>
        <v>35.5</v>
      </c>
      <c r="H4" s="9" t="n">
        <f aca="false">ROUND(SUMIFS(Eventos!$G$4:$G$1563,Eventos!$D$4:$D$1563,7),1)</f>
        <v>40.5</v>
      </c>
      <c r="I4" s="9" t="n">
        <f aca="false">ROUND(SUMIFS(Eventos!$G$4:$G$1563,Eventos!$D$4:$D$1563,8),1)</f>
        <v>20.3</v>
      </c>
      <c r="J4" s="9" t="n">
        <f aca="false">ROUND(SUMIFS(Eventos!$G$4:$G$1563,Eventos!$D$4:$D$1563,9),1)</f>
        <v>28.8</v>
      </c>
      <c r="K4" s="9" t="n">
        <f aca="false">ROUND(SUMIFS(Eventos!$G$4:$G$1563,Eventos!$D$4:$D$1563,10),1)</f>
        <v>39.8</v>
      </c>
      <c r="L4" s="9" t="n">
        <f aca="false">ROUND(SUMIFS(Eventos!$G$4:$G$1563,Eventos!$D$4:$D$1563,11),1)</f>
        <v>28.3</v>
      </c>
      <c r="M4" s="9" t="n">
        <f aca="false">ROUND(SUMIFS(Eventos!$G$4:$G$1563,Eventos!$D$4:$D$1563,12),1)</f>
        <v>3</v>
      </c>
      <c r="N4" s="8" t="n">
        <f aca="false">ROUND(SUM(B4:M4),1)</f>
        <v>284.8</v>
      </c>
    </row>
    <row r="5" customFormat="false" ht="15" hidden="false" customHeight="false" outlineLevel="0" collapsed="false">
      <c r="A5" s="6" t="s">
        <v>34</v>
      </c>
      <c r="B5" s="9" t="n">
        <f aca="false">ROUND(SUMIFS(Eventos!$H$4:$H$1563,Eventos!$D$4:$D$1563,1),1)</f>
        <v>0</v>
      </c>
      <c r="C5" s="9" t="n">
        <f aca="false">ROUND(SUMIFS(Eventos!$H$4:$H$1563,Eventos!$D$4:$D$1563,2),1)</f>
        <v>0</v>
      </c>
      <c r="D5" s="9" t="n">
        <f aca="false">ROUND(SUMIFS(Eventos!$H$4:$H$1563,Eventos!$D$4:$D$1563,3),1)</f>
        <v>0</v>
      </c>
      <c r="E5" s="9" t="n">
        <f aca="false">ROUND(SUMIFS(Eventos!$H$4:$H$1563,Eventos!$D$4:$D$1563,4),1)</f>
        <v>0</v>
      </c>
      <c r="F5" s="9" t="n">
        <f aca="false">ROUND(SUMIFS(Eventos!$H$4:$H$1563,Eventos!$D$4:$D$1563,5),1)</f>
        <v>0</v>
      </c>
      <c r="G5" s="9" t="n">
        <f aca="false">ROUND(SUMIFS(Eventos!$H$4:$H$1563,Eventos!$D$4:$D$1563,6),1)</f>
        <v>0</v>
      </c>
      <c r="H5" s="9" t="n">
        <f aca="false">ROUND(SUMIFS(Eventos!$H$4:$H$1563,Eventos!$D$4:$D$1563,7),1)</f>
        <v>0</v>
      </c>
      <c r="I5" s="9" t="n">
        <f aca="false">ROUND(SUMIFS(Eventos!$H$4:$H$1563,Eventos!$D$4:$D$1563,8),1)</f>
        <v>0</v>
      </c>
      <c r="J5" s="9" t="n">
        <f aca="false">ROUND(SUMIFS(Eventos!$H$4:$H$1563,Eventos!$D$4:$D$1563,9),1)</f>
        <v>0</v>
      </c>
      <c r="K5" s="9" t="n">
        <f aca="false">ROUND(SUMIFS(Eventos!$H$4:$H$1563,Eventos!$D$4:$D$1563,10),1)</f>
        <v>0</v>
      </c>
      <c r="L5" s="9" t="n">
        <f aca="false">ROUND(SUMIFS(Eventos!$H$4:$H$1563,Eventos!$D$4:$D$1563,11),1)</f>
        <v>0</v>
      </c>
      <c r="M5" s="9" t="n">
        <f aca="false">ROUND(SUMIFS(Eventos!$H$4:$H$1563,Eventos!$D$4:$D$1563,12),1)</f>
        <v>0</v>
      </c>
      <c r="N5" s="8" t="n">
        <f aca="false">ROUND(SUM(B5:M5),1)</f>
        <v>0</v>
      </c>
    </row>
    <row r="6" customFormat="false" ht="15" hidden="false" customHeight="false" outlineLevel="0" collapsed="false">
      <c r="A6" s="6" t="s">
        <v>35</v>
      </c>
      <c r="B6" s="9" t="n">
        <f aca="false">ROUND(SUMIFS(Eventos!$I$4:$I$1563,Eventos!$D$4:$D$1563,1),1)</f>
        <v>0</v>
      </c>
      <c r="C6" s="9" t="n">
        <f aca="false">ROUND(SUMIFS(Eventos!$I$4:$I$1563,Eventos!$D$4:$D$1563,2),1)</f>
        <v>0</v>
      </c>
      <c r="D6" s="9" t="n">
        <f aca="false">ROUND(SUMIFS(Eventos!$I$4:$I$1563,Eventos!$D$4:$D$1563,3),1)</f>
        <v>5</v>
      </c>
      <c r="E6" s="9" t="n">
        <f aca="false">ROUND(SUMIFS(Eventos!$I$4:$I$1563,Eventos!$D$4:$D$1563,4),1)</f>
        <v>10</v>
      </c>
      <c r="F6" s="9" t="n">
        <f aca="false">ROUND(SUMIFS(Eventos!$I$4:$I$1563,Eventos!$D$4:$D$1563,5),1)</f>
        <v>4</v>
      </c>
      <c r="G6" s="9" t="n">
        <f aca="false">ROUND(SUMIFS(Eventos!$I$4:$I$1563,Eventos!$D$4:$D$1563,6),1)</f>
        <v>8</v>
      </c>
      <c r="H6" s="9" t="n">
        <f aca="false">ROUND(SUMIFS(Eventos!$I$4:$I$1563,Eventos!$D$4:$D$1563,7),1)</f>
        <v>10</v>
      </c>
      <c r="I6" s="9" t="n">
        <f aca="false">ROUND(SUMIFS(Eventos!$I$4:$I$1563,Eventos!$D$4:$D$1563,8),1)</f>
        <v>3</v>
      </c>
      <c r="J6" s="9" t="n">
        <f aca="false">ROUND(SUMIFS(Eventos!$I$4:$I$1563,Eventos!$D$4:$D$1563,9),1)</f>
        <v>5</v>
      </c>
      <c r="K6" s="9" t="n">
        <f aca="false">ROUND(SUMIFS(Eventos!$I$4:$I$1563,Eventos!$D$4:$D$1563,10),1)</f>
        <v>10</v>
      </c>
      <c r="L6" s="9" t="n">
        <f aca="false">ROUND(SUMIFS(Eventos!$I$4:$I$1563,Eventos!$D$4:$D$1563,11),1)</f>
        <v>6</v>
      </c>
      <c r="M6" s="9" t="n">
        <f aca="false">ROUND(SUMIFS(Eventos!$I$4:$I$1563,Eventos!$D$4:$D$1563,12),1)</f>
        <v>0</v>
      </c>
      <c r="N6" s="8" t="n">
        <f aca="false">ROUND(SUM(B6:M6),1)</f>
        <v>61</v>
      </c>
    </row>
    <row r="7" customFormat="false" ht="15" hidden="false" customHeight="false" outlineLevel="0" collapsed="false">
      <c r="A7" s="6" t="s">
        <v>36</v>
      </c>
      <c r="B7" s="9" t="n">
        <f aca="false">ROUND(SUMIFS(Eventos!$J$4:$J$1563,Eventos!$D$4:$D$1563,1),1)</f>
        <v>0</v>
      </c>
      <c r="C7" s="9" t="n">
        <f aca="false">ROUND(SUMIFS(Eventos!$J$4:$J$1563,Eventos!$D$4:$D$1563,2),1)</f>
        <v>0.5</v>
      </c>
      <c r="D7" s="9" t="n">
        <f aca="false">ROUND(SUMIFS(Eventos!$J$4:$J$1563,Eventos!$D$4:$D$1563,3),1)</f>
        <v>3.3</v>
      </c>
      <c r="E7" s="9" t="n">
        <f aca="false">ROUND(SUMIFS(Eventos!$J$4:$J$1563,Eventos!$D$4:$D$1563,4),1)</f>
        <v>8.5</v>
      </c>
      <c r="F7" s="9" t="n">
        <f aca="false">ROUND(SUMIFS(Eventos!$J$4:$J$1563,Eventos!$D$4:$D$1563,5),1)</f>
        <v>5</v>
      </c>
      <c r="G7" s="9" t="n">
        <f aca="false">ROUND(SUMIFS(Eventos!$J$4:$J$1563,Eventos!$D$4:$D$1563,6),1)</f>
        <v>5.5</v>
      </c>
      <c r="H7" s="9" t="n">
        <f aca="false">ROUND(SUMIFS(Eventos!$J$4:$J$1563,Eventos!$D$4:$D$1563,7),1)</f>
        <v>8.5</v>
      </c>
      <c r="I7" s="9" t="n">
        <f aca="false">ROUND(SUMIFS(Eventos!$J$4:$J$1563,Eventos!$D$4:$D$1563,8),1)</f>
        <v>4.8</v>
      </c>
      <c r="J7" s="9" t="n">
        <f aca="false">ROUND(SUMIFS(Eventos!$J$4:$J$1563,Eventos!$D$4:$D$1563,9),1)</f>
        <v>5.3</v>
      </c>
      <c r="K7" s="9" t="n">
        <f aca="false">ROUND(SUMIFS(Eventos!$J$4:$J$1563,Eventos!$D$4:$D$1563,10),1)</f>
        <v>8</v>
      </c>
      <c r="L7" s="9" t="n">
        <f aca="false">ROUND(SUMIFS(Eventos!$J$4:$J$1563,Eventos!$D$4:$D$1563,11),1)</f>
        <v>6</v>
      </c>
      <c r="M7" s="9" t="n">
        <f aca="false">ROUND(SUMIFS(Eventos!$J$4:$J$1563,Eventos!$D$4:$D$1563,12),1)</f>
        <v>1</v>
      </c>
      <c r="N7" s="8" t="n">
        <f aca="false">ROUND(SUM(B7:M7),1)</f>
        <v>56.4</v>
      </c>
    </row>
    <row r="8" customFormat="false" ht="15" hidden="false" customHeight="false" outlineLevel="0" collapsed="false">
      <c r="A8" s="6" t="s">
        <v>37</v>
      </c>
      <c r="B8" s="9" t="n">
        <f aca="false">ROUND(SUMIFS(Eventos!$K$4:$K$1563,Eventos!$D$4:$D$1563,1),1)</f>
        <v>0</v>
      </c>
      <c r="C8" s="9" t="n">
        <f aca="false">ROUND(SUMIFS(Eventos!$K$4:$K$1563,Eventos!$D$4:$D$1563,2),1)</f>
        <v>0</v>
      </c>
      <c r="D8" s="9" t="n">
        <f aca="false">ROUND(SUMIFS(Eventos!$K$4:$K$1563,Eventos!$D$4:$D$1563,3),1)</f>
        <v>1</v>
      </c>
      <c r="E8" s="9" t="n">
        <f aca="false">ROUND(SUMIFS(Eventos!$K$4:$K$1563,Eventos!$D$4:$D$1563,4),1)</f>
        <v>1</v>
      </c>
      <c r="F8" s="9" t="n">
        <f aca="false">ROUND(SUMIFS(Eventos!$K$4:$K$1563,Eventos!$D$4:$D$1563,5),1)</f>
        <v>0</v>
      </c>
      <c r="G8" s="9" t="n">
        <f aca="false">ROUND(SUMIFS(Eventos!$K$4:$K$1563,Eventos!$D$4:$D$1563,6),1)</f>
        <v>1</v>
      </c>
      <c r="H8" s="9" t="n">
        <f aca="false">ROUND(SUMIFS(Eventos!$K$4:$K$1563,Eventos!$D$4:$D$1563,7),1)</f>
        <v>0</v>
      </c>
      <c r="I8" s="9" t="n">
        <f aca="false">ROUND(SUMIFS(Eventos!$K$4:$K$1563,Eventos!$D$4:$D$1563,8),1)</f>
        <v>1</v>
      </c>
      <c r="J8" s="9" t="n">
        <f aca="false">ROUND(SUMIFS(Eventos!$K$4:$K$1563,Eventos!$D$4:$D$1563,9),1)</f>
        <v>1</v>
      </c>
      <c r="K8" s="9" t="n">
        <f aca="false">ROUND(SUMIFS(Eventos!$K$4:$K$1563,Eventos!$D$4:$D$1563,10),1)</f>
        <v>0</v>
      </c>
      <c r="L8" s="9" t="n">
        <f aca="false">ROUND(SUMIFS(Eventos!$K$4:$K$1563,Eventos!$D$4:$D$1563,11),1)</f>
        <v>1</v>
      </c>
      <c r="M8" s="9" t="n">
        <f aca="false">ROUND(SUMIFS(Eventos!$K$4:$K$1563,Eventos!$D$4:$D$1563,12),1)</f>
        <v>0</v>
      </c>
      <c r="N8" s="8" t="n">
        <f aca="false">ROUND(SUM(B8:M8),1)</f>
        <v>6</v>
      </c>
    </row>
    <row r="9" customFormat="false" ht="15" hidden="false" customHeight="false" outlineLevel="0" collapsed="false">
      <c r="A9" s="6" t="s">
        <v>38</v>
      </c>
      <c r="B9" s="9" t="n">
        <f aca="false">ROUND(SUMIFS(Eventos!$L$4:$L$1563,Eventos!$D$4:$D$1563,1),1)</f>
        <v>0</v>
      </c>
      <c r="C9" s="9" t="n">
        <f aca="false">ROUND(SUMIFS(Eventos!$L$4:$L$1563,Eventos!$D$4:$D$1563,2),1)</f>
        <v>1.5</v>
      </c>
      <c r="D9" s="9" t="n">
        <f aca="false">ROUND(SUMIFS(Eventos!$L$4:$L$1563,Eventos!$D$4:$D$1563,3),1)</f>
        <v>0</v>
      </c>
      <c r="E9" s="9" t="n">
        <f aca="false">ROUND(SUMIFS(Eventos!$L$4:$L$1563,Eventos!$D$4:$D$1563,4),1)</f>
        <v>0</v>
      </c>
      <c r="F9" s="9" t="n">
        <f aca="false">ROUND(SUMIFS(Eventos!$L$4:$L$1563,Eventos!$D$4:$D$1563,5),1)</f>
        <v>3</v>
      </c>
      <c r="G9" s="9" t="n">
        <f aca="false">ROUND(SUMIFS(Eventos!$L$4:$L$1563,Eventos!$D$4:$D$1563,6),1)</f>
        <v>0</v>
      </c>
      <c r="H9" s="9" t="n">
        <f aca="false">ROUND(SUMIFS(Eventos!$L$4:$L$1563,Eventos!$D$4:$D$1563,7),1)</f>
        <v>3</v>
      </c>
      <c r="I9" s="9" t="n">
        <f aca="false">ROUND(SUMIFS(Eventos!$L$4:$L$1563,Eventos!$D$4:$D$1563,8),1)</f>
        <v>0</v>
      </c>
      <c r="J9" s="9" t="n">
        <f aca="false">ROUND(SUMIFS(Eventos!$L$4:$L$1563,Eventos!$D$4:$D$1563,9),1)</f>
        <v>3</v>
      </c>
      <c r="K9" s="9" t="n">
        <f aca="false">ROUND(SUMIFS(Eventos!$L$4:$L$1563,Eventos!$D$4:$D$1563,10),1)</f>
        <v>1.5</v>
      </c>
      <c r="L9" s="9" t="n">
        <f aca="false">ROUND(SUMIFS(Eventos!$L$4:$L$1563,Eventos!$D$4:$D$1563,11),1)</f>
        <v>1.5</v>
      </c>
      <c r="M9" s="9" t="n">
        <f aca="false">ROUND(SUMIFS(Eventos!$L$4:$L$1563,Eventos!$D$4:$D$1563,12),1)</f>
        <v>0</v>
      </c>
      <c r="N9" s="8" t="n">
        <f aca="false">ROUND(SUM(B9:M9),1)</f>
        <v>13.5</v>
      </c>
    </row>
    <row r="10" customFormat="false" ht="15" hidden="false" customHeight="false" outlineLevel="0" collapsed="false">
      <c r="A10" s="14" t="s">
        <v>315</v>
      </c>
      <c r="B10" s="10" t="n">
        <f aca="false">ROUND(SUM(B4:B9),1)</f>
        <v>0</v>
      </c>
      <c r="C10" s="10" t="n">
        <f aca="false">ROUND(SUM(C4:C9),1)</f>
        <v>2.8</v>
      </c>
      <c r="D10" s="10" t="n">
        <f aca="false">ROUND(SUM(D4:D9),1)</f>
        <v>33.6</v>
      </c>
      <c r="E10" s="10" t="n">
        <f aca="false">ROUND(SUM(E4:E9),1)</f>
        <v>63</v>
      </c>
      <c r="F10" s="10" t="n">
        <f aca="false">ROUND(SUM(F4:F9),1)</f>
        <v>32</v>
      </c>
      <c r="G10" s="10" t="n">
        <f aca="false">ROUND(SUM(G4:G9),1)</f>
        <v>50</v>
      </c>
      <c r="H10" s="10" t="n">
        <f aca="false">ROUND(SUM(H4:H9),1)</f>
        <v>62</v>
      </c>
      <c r="I10" s="10" t="n">
        <f aca="false">ROUND(SUM(I4:I9),1)</f>
        <v>29.1</v>
      </c>
      <c r="J10" s="10" t="n">
        <f aca="false">ROUND(SUM(J4:J9),1)</f>
        <v>43.1</v>
      </c>
      <c r="K10" s="10" t="n">
        <f aca="false">ROUND(SUM(K4:K9),1)</f>
        <v>59.3</v>
      </c>
      <c r="L10" s="10" t="n">
        <f aca="false">ROUND(SUM(L4:L9),1)</f>
        <v>42.8</v>
      </c>
      <c r="M10" s="10" t="n">
        <f aca="false">ROUND(SUM(M4:M9),1)</f>
        <v>4</v>
      </c>
      <c r="N10" s="10" t="n">
        <f aca="false">ROUND(SUM(N4:N9),1)</f>
        <v>421.7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5" t="s">
        <v>27</v>
      </c>
      <c r="B3" s="5" t="s">
        <v>59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66</v>
      </c>
      <c r="I3" s="5" t="s">
        <v>68</v>
      </c>
      <c r="J3" s="5" t="s">
        <v>69</v>
      </c>
      <c r="K3" s="5" t="s">
        <v>70</v>
      </c>
      <c r="L3" s="5" t="s">
        <v>71</v>
      </c>
      <c r="M3" s="5" t="s">
        <v>72</v>
      </c>
      <c r="N3" s="5" t="s">
        <v>314</v>
      </c>
    </row>
    <row r="4" customFormat="false" ht="15" hidden="false" customHeight="false" outlineLevel="0" collapsed="false">
      <c r="A4" s="6" t="s">
        <v>33</v>
      </c>
      <c r="B4" s="9" t="n">
        <f aca="false">ROUND(MAX(0,Plan_Prev!B4*(Premissas!$C$5/MAX(0.01,Premissas!$B$5))*(1-(Premissas!$E$5/100)*((0)/11+0.5)*0.5)*Premissas!$C$23),1)</f>
        <v>0</v>
      </c>
      <c r="C4" s="9" t="n">
        <f aca="false">ROUND(MAX(0,Plan_Prev!C4*(Premissas!$C$5/MAX(0.01,Premissas!$B$5))*(1-(Premissas!$E$5/100)*((1)/11+0.5)*0.5)*Premissas!$C$24),1)</f>
        <v>0.8</v>
      </c>
      <c r="D4" s="9" t="n">
        <f aca="false">ROUND(MAX(0,Plan_Prev!D4*(Premissas!$C$5/MAX(0.01,Premissas!$B$5))*(1-(Premissas!$E$5/100)*((2)/11+0.5)*0.5)*Premissas!$C$25),1)</f>
        <v>20.7</v>
      </c>
      <c r="E4" s="9" t="n">
        <f aca="false">ROUND(MAX(0,Plan_Prev!E4*(Premissas!$C$5/MAX(0.01,Premissas!$B$5))*(1-(Premissas!$E$5/100)*((3)/11+0.5)*0.5)*Premissas!$C$26),1)</f>
        <v>34.1</v>
      </c>
      <c r="F4" s="9" t="n">
        <f aca="false">ROUND(MAX(0,Plan_Prev!F4*(Premissas!$C$5/MAX(0.01,Premissas!$B$5))*(1-(Premissas!$E$5/100)*((4)/11+0.5)*0.5)*Premissas!$C$27),1)</f>
        <v>14.4</v>
      </c>
      <c r="G4" s="9" t="n">
        <f aca="false">ROUND(MAX(0,Plan_Prev!G4*(Premissas!$C$5/MAX(0.01,Premissas!$B$5))*(1-(Premissas!$E$5/100)*((5)/11+0.5)*0.5)*Premissas!$C$28),1)</f>
        <v>23.1</v>
      </c>
      <c r="H4" s="9" t="n">
        <f aca="false">ROUND(MAX(0,Plan_Prev!H4*(Premissas!$C$5/MAX(0.01,Premissas!$B$5))*(1-(Premissas!$E$5/100)*((6)/11+0.5)*0.5)*Premissas!$C$29),1)</f>
        <v>18.4</v>
      </c>
      <c r="I4" s="9" t="n">
        <f aca="false">ROUND(MAX(0,Plan_Prev!I4*(Premissas!$C$5/MAX(0.01,Premissas!$B$5))*(1-(Premissas!$E$5/100)*((7)/11+0.5)*0.5)*Premissas!$C$30),1)</f>
        <v>7.9</v>
      </c>
      <c r="J4" s="9" t="n">
        <f aca="false">ROUND(MAX(0,Plan_Prev!J4*(Premissas!$C$5/MAX(0.01,Premissas!$B$5))*(1-(Premissas!$E$5/100)*((8)/11+0.5)*0.5)*Premissas!$C$31),1)</f>
        <v>13</v>
      </c>
      <c r="K4" s="9" t="n">
        <f aca="false">ROUND(MAX(0,Plan_Prev!K4*(Premissas!$C$5/MAX(0.01,Premissas!$B$5))*(1-(Premissas!$E$5/100)*((9)/11+0.5)*0.5)*Premissas!$C$32),1)</f>
        <v>23.1</v>
      </c>
      <c r="L4" s="9" t="n">
        <f aca="false">ROUND(MAX(0,Plan_Prev!L4*(Premissas!$C$5/MAX(0.01,Premissas!$B$5))*(1-(Premissas!$E$5/100)*((10)/11+0.5)*0.5)*Premissas!$C$33),1)</f>
        <v>18.2</v>
      </c>
      <c r="M4" s="9" t="n">
        <f aca="false">ROUND(MAX(0,Plan_Prev!M4*(Premissas!$C$5/MAX(0.01,Premissas!$B$5))*(1-(Premissas!$E$5/100)*((11)/11+0.5)*0.5)*Premissas!$C$34),1)</f>
        <v>2.7</v>
      </c>
      <c r="N4" s="8" t="n">
        <f aca="false">ROUND(SUM(B4:M4),1)</f>
        <v>176.4</v>
      </c>
    </row>
    <row r="5" customFormat="false" ht="15" hidden="false" customHeight="false" outlineLevel="0" collapsed="false">
      <c r="A5" s="6" t="s">
        <v>34</v>
      </c>
      <c r="B5" s="9" t="n">
        <f aca="false">ROUND(MAX(0,Plan_Prev!B5*(Premissas!$C$6/MAX(0.01,Premissas!$B$6))*(1-(Premissas!$E$6/100)*((0)/11+0.5)*0.5)*Premissas!$C$23),1)</f>
        <v>0</v>
      </c>
      <c r="C5" s="9" t="n">
        <f aca="false">ROUND(MAX(0,Plan_Prev!C5*(Premissas!$C$6/MAX(0.01,Premissas!$B$6))*(1-(Premissas!$E$6/100)*((1)/11+0.5)*0.5)*Premissas!$C$24),1)</f>
        <v>0</v>
      </c>
      <c r="D5" s="9" t="n">
        <f aca="false">ROUND(MAX(0,Plan_Prev!D5*(Premissas!$C$6/MAX(0.01,Premissas!$B$6))*(1-(Premissas!$E$6/100)*((2)/11+0.5)*0.5)*Premissas!$C$25),1)</f>
        <v>0</v>
      </c>
      <c r="E5" s="9" t="n">
        <f aca="false">ROUND(MAX(0,Plan_Prev!E5*(Premissas!$C$6/MAX(0.01,Premissas!$B$6))*(1-(Premissas!$E$6/100)*((3)/11+0.5)*0.5)*Premissas!$C$26),1)</f>
        <v>0</v>
      </c>
      <c r="F5" s="9" t="n">
        <f aca="false">ROUND(MAX(0,Plan_Prev!F5*(Premissas!$C$6/MAX(0.01,Premissas!$B$6))*(1-(Premissas!$E$6/100)*((4)/11+0.5)*0.5)*Premissas!$C$27),1)</f>
        <v>0</v>
      </c>
      <c r="G5" s="9" t="n">
        <f aca="false">ROUND(MAX(0,Plan_Prev!G5*(Premissas!$C$6/MAX(0.01,Premissas!$B$6))*(1-(Premissas!$E$6/100)*((5)/11+0.5)*0.5)*Premissas!$C$28),1)</f>
        <v>0</v>
      </c>
      <c r="H5" s="9" t="n">
        <f aca="false">ROUND(MAX(0,Plan_Prev!H5*(Premissas!$C$6/MAX(0.01,Premissas!$B$6))*(1-(Premissas!$E$6/100)*((6)/11+0.5)*0.5)*Premissas!$C$29),1)</f>
        <v>0</v>
      </c>
      <c r="I5" s="9" t="n">
        <f aca="false">ROUND(MAX(0,Plan_Prev!I5*(Premissas!$C$6/MAX(0.01,Premissas!$B$6))*(1-(Premissas!$E$6/100)*((7)/11+0.5)*0.5)*Premissas!$C$30),1)</f>
        <v>0</v>
      </c>
      <c r="J5" s="9" t="n">
        <f aca="false">ROUND(MAX(0,Plan_Prev!J5*(Premissas!$C$6/MAX(0.01,Premissas!$B$6))*(1-(Premissas!$E$6/100)*((8)/11+0.5)*0.5)*Premissas!$C$31),1)</f>
        <v>0</v>
      </c>
      <c r="K5" s="9" t="n">
        <f aca="false">ROUND(MAX(0,Plan_Prev!K5*(Premissas!$C$6/MAX(0.01,Premissas!$B$6))*(1-(Premissas!$E$6/100)*((9)/11+0.5)*0.5)*Premissas!$C$32),1)</f>
        <v>0</v>
      </c>
      <c r="L5" s="9" t="n">
        <f aca="false">ROUND(MAX(0,Plan_Prev!L5*(Premissas!$C$6/MAX(0.01,Premissas!$B$6))*(1-(Premissas!$E$6/100)*((10)/11+0.5)*0.5)*Premissas!$C$33),1)</f>
        <v>0</v>
      </c>
      <c r="M5" s="9" t="n">
        <f aca="false">ROUND(MAX(0,Plan_Prev!M5*(Premissas!$C$6/MAX(0.01,Premissas!$B$6))*(1-(Premissas!$E$6/100)*((11)/11+0.5)*0.5)*Premissas!$C$34),1)</f>
        <v>0</v>
      </c>
      <c r="N5" s="8" t="n">
        <f aca="false">ROUND(SUM(B5:M5),1)</f>
        <v>0</v>
      </c>
    </row>
    <row r="6" customFormat="false" ht="15" hidden="false" customHeight="false" outlineLevel="0" collapsed="false">
      <c r="A6" s="6" t="s">
        <v>35</v>
      </c>
      <c r="B6" s="9" t="n">
        <f aca="false">ROUND(MAX(0,Plan_Prev!B6*(Premissas!$C$7/MAX(0.01,Premissas!$B$7))*(1-(Premissas!$E$7/100)*((0)/11+0.5)*0.5)*Premissas!$C$23),1)</f>
        <v>0</v>
      </c>
      <c r="C6" s="9" t="n">
        <f aca="false">ROUND(MAX(0,Plan_Prev!C6*(Premissas!$C$7/MAX(0.01,Premissas!$B$7))*(1-(Premissas!$E$7/100)*((1)/11+0.5)*0.5)*Premissas!$C$24),1)</f>
        <v>0</v>
      </c>
      <c r="D6" s="9" t="n">
        <f aca="false">ROUND(MAX(0,Plan_Prev!D6*(Premissas!$C$7/MAX(0.01,Premissas!$B$7))*(1-(Premissas!$E$7/100)*((2)/11+0.5)*0.5)*Premissas!$C$25),1)</f>
        <v>5.2</v>
      </c>
      <c r="E6" s="9" t="n">
        <f aca="false">ROUND(MAX(0,Plan_Prev!E6*(Premissas!$C$7/MAX(0.01,Premissas!$B$7))*(1-(Premissas!$E$7/100)*((3)/11+0.5)*0.5)*Premissas!$C$26),1)</f>
        <v>9.6</v>
      </c>
      <c r="F6" s="9" t="n">
        <f aca="false">ROUND(MAX(0,Plan_Prev!F6*(Premissas!$C$7/MAX(0.01,Premissas!$B$7))*(1-(Premissas!$E$7/100)*((4)/11+0.5)*0.5)*Premissas!$C$27),1)</f>
        <v>3.5</v>
      </c>
      <c r="G6" s="9" t="n">
        <f aca="false">ROUND(MAX(0,Plan_Prev!G6*(Premissas!$C$7/MAX(0.01,Premissas!$B$7))*(1-(Premissas!$E$7/100)*((5)/11+0.5)*0.5)*Premissas!$C$28),1)</f>
        <v>6.4</v>
      </c>
      <c r="H6" s="9" t="n">
        <f aca="false">ROUND(MAX(0,Plan_Prev!H6*(Premissas!$C$7/MAX(0.01,Premissas!$B$7))*(1-(Premissas!$E$7/100)*((6)/11+0.5)*0.5)*Premissas!$C$29),1)</f>
        <v>5.6</v>
      </c>
      <c r="I6" s="9" t="n">
        <f aca="false">ROUND(MAX(0,Plan_Prev!I6*(Premissas!$C$7/MAX(0.01,Premissas!$B$7))*(1-(Premissas!$E$7/100)*((7)/11+0.5)*0.5)*Premissas!$C$30),1)</f>
        <v>1.4</v>
      </c>
      <c r="J6" s="9" t="n">
        <f aca="false">ROUND(MAX(0,Plan_Prev!J6*(Premissas!$C$7/MAX(0.01,Premissas!$B$7))*(1-(Premissas!$E$7/100)*((8)/11+0.5)*0.5)*Premissas!$C$31),1)</f>
        <v>2.8</v>
      </c>
      <c r="K6" s="9" t="n">
        <f aca="false">ROUND(MAX(0,Plan_Prev!K6*(Premissas!$C$7/MAX(0.01,Premissas!$B$7))*(1-(Premissas!$E$7/100)*((9)/11+0.5)*0.5)*Premissas!$C$32),1)</f>
        <v>7.1</v>
      </c>
      <c r="L6" s="9" t="n">
        <f aca="false">ROUND(MAX(0,Plan_Prev!L6*(Premissas!$C$7/MAX(0.01,Premissas!$B$7))*(1-(Premissas!$E$7/100)*((10)/11+0.5)*0.5)*Premissas!$C$33),1)</f>
        <v>4.7</v>
      </c>
      <c r="M6" s="9" t="n">
        <f aca="false">ROUND(MAX(0,Plan_Prev!M6*(Premissas!$C$7/MAX(0.01,Premissas!$B$7))*(1-(Premissas!$E$7/100)*((11)/11+0.5)*0.5)*Premissas!$C$34),1)</f>
        <v>0</v>
      </c>
      <c r="N6" s="8" t="n">
        <f aca="false">ROUND(SUM(B6:M6),1)</f>
        <v>46.3</v>
      </c>
    </row>
    <row r="7" customFormat="false" ht="15" hidden="false" customHeight="false" outlineLevel="0" collapsed="false">
      <c r="A7" s="6" t="s">
        <v>36</v>
      </c>
      <c r="B7" s="9" t="n">
        <f aca="false">ROUND(MAX(0,Plan_Prev!B7*(Premissas!$C$8/MAX(0.01,Premissas!$B$8))*(1-(Premissas!$E$8/100)*((0)/11+0.5)*0.5)*Premissas!$C$23),1)</f>
        <v>0</v>
      </c>
      <c r="C7" s="9" t="n">
        <f aca="false">ROUND(MAX(0,Plan_Prev!C7*(Premissas!$C$8/MAX(0.01,Premissas!$B$8))*(1-(Premissas!$E$8/100)*((1)/11+0.5)*0.5)*Premissas!$C$24),1)</f>
        <v>0</v>
      </c>
      <c r="D7" s="9" t="n">
        <f aca="false">ROUND(MAX(0,Plan_Prev!D7*(Premissas!$C$8/MAX(0.01,Premissas!$B$8))*(1-(Premissas!$E$8/100)*((2)/11+0.5)*0.5)*Premissas!$C$25),1)</f>
        <v>0</v>
      </c>
      <c r="E7" s="9" t="n">
        <f aca="false">ROUND(MAX(0,Plan_Prev!E7*(Premissas!$C$8/MAX(0.01,Premissas!$B$8))*(1-(Premissas!$E$8/100)*((3)/11+0.5)*0.5)*Premissas!$C$26),1)</f>
        <v>0</v>
      </c>
      <c r="F7" s="9" t="n">
        <f aca="false">ROUND(MAX(0,Plan_Prev!F7*(Premissas!$C$8/MAX(0.01,Premissas!$B$8))*(1-(Premissas!$E$8/100)*((4)/11+0.5)*0.5)*Premissas!$C$27),1)</f>
        <v>0</v>
      </c>
      <c r="G7" s="9" t="n">
        <f aca="false">ROUND(MAX(0,Plan_Prev!G7*(Premissas!$C$8/MAX(0.01,Premissas!$B$8))*(1-(Premissas!$E$8/100)*((5)/11+0.5)*0.5)*Premissas!$C$28),1)</f>
        <v>0</v>
      </c>
      <c r="H7" s="9" t="n">
        <f aca="false">ROUND(MAX(0,Plan_Prev!H7*(Premissas!$C$8/MAX(0.01,Premissas!$B$8))*(1-(Premissas!$E$8/100)*((6)/11+0.5)*0.5)*Premissas!$C$29),1)</f>
        <v>0</v>
      </c>
      <c r="I7" s="9" t="n">
        <f aca="false">ROUND(MAX(0,Plan_Prev!I7*(Premissas!$C$8/MAX(0.01,Premissas!$B$8))*(1-(Premissas!$E$8/100)*((7)/11+0.5)*0.5)*Premissas!$C$30),1)</f>
        <v>0</v>
      </c>
      <c r="J7" s="9" t="n">
        <f aca="false">ROUND(MAX(0,Plan_Prev!J7*(Premissas!$C$8/MAX(0.01,Premissas!$B$8))*(1-(Premissas!$E$8/100)*((8)/11+0.5)*0.5)*Premissas!$C$31),1)</f>
        <v>0</v>
      </c>
      <c r="K7" s="9" t="n">
        <f aca="false">ROUND(MAX(0,Plan_Prev!K7*(Premissas!$C$8/MAX(0.01,Premissas!$B$8))*(1-(Premissas!$E$8/100)*((9)/11+0.5)*0.5)*Premissas!$C$32),1)</f>
        <v>0</v>
      </c>
      <c r="L7" s="9" t="n">
        <f aca="false">ROUND(MAX(0,Plan_Prev!L7*(Premissas!$C$8/MAX(0.01,Premissas!$B$8))*(1-(Premissas!$E$8/100)*((10)/11+0.5)*0.5)*Premissas!$C$33),1)</f>
        <v>0</v>
      </c>
      <c r="M7" s="9" t="n">
        <f aca="false">ROUND(MAX(0,Plan_Prev!M7*(Premissas!$C$8/MAX(0.01,Premissas!$B$8))*(1-(Premissas!$E$8/100)*((11)/11+0.5)*0.5)*Premissas!$C$34),1)</f>
        <v>0</v>
      </c>
      <c r="N7" s="8" t="n">
        <f aca="false">ROUND(SUM(B7:M7),1)</f>
        <v>0</v>
      </c>
    </row>
    <row r="8" customFormat="false" ht="15" hidden="false" customHeight="false" outlineLevel="0" collapsed="false">
      <c r="A8" s="6" t="s">
        <v>37</v>
      </c>
      <c r="B8" s="9" t="n">
        <f aca="false">ROUND(MAX(0,Plan_Prev!B8*(Premissas!$C$9/MAX(0.01,Premissas!$B$9))*(1-(Premissas!$E$9/100)*((0)/11+0.5)*0.5)*Premissas!$C$23),1)</f>
        <v>0</v>
      </c>
      <c r="C8" s="9" t="n">
        <f aca="false">ROUND(MAX(0,Plan_Prev!C8*(Premissas!$C$9/MAX(0.01,Premissas!$B$9))*(1-(Premissas!$E$9/100)*((1)/11+0.5)*0.5)*Premissas!$C$24),1)</f>
        <v>0</v>
      </c>
      <c r="D8" s="9" t="n">
        <f aca="false">ROUND(MAX(0,Plan_Prev!D8*(Premissas!$C$9/MAX(0.01,Premissas!$B$9))*(1-(Premissas!$E$9/100)*((2)/11+0.5)*0.5)*Premissas!$C$25),1)</f>
        <v>3</v>
      </c>
      <c r="E8" s="9" t="n">
        <f aca="false">ROUND(MAX(0,Plan_Prev!E8*(Premissas!$C$9/MAX(0.01,Premissas!$B$9))*(1-(Premissas!$E$9/100)*((3)/11+0.5)*0.5)*Premissas!$C$26),1)</f>
        <v>2.7</v>
      </c>
      <c r="F8" s="9" t="n">
        <f aca="false">ROUND(MAX(0,Plan_Prev!F8*(Premissas!$C$9/MAX(0.01,Premissas!$B$9))*(1-(Premissas!$E$9/100)*((4)/11+0.5)*0.5)*Premissas!$C$27),1)</f>
        <v>0</v>
      </c>
      <c r="G8" s="9" t="n">
        <f aca="false">ROUND(MAX(0,Plan_Prev!G8*(Premissas!$C$9/MAX(0.01,Premissas!$B$9))*(1-(Premissas!$E$9/100)*((5)/11+0.5)*0.5)*Premissas!$C$28),1)</f>
        <v>2.3</v>
      </c>
      <c r="H8" s="9" t="n">
        <f aca="false">ROUND(MAX(0,Plan_Prev!H8*(Premissas!$C$9/MAX(0.01,Premissas!$B$9))*(1-(Premissas!$E$9/100)*((6)/11+0.5)*0.5)*Premissas!$C$29),1)</f>
        <v>0</v>
      </c>
      <c r="I8" s="9" t="n">
        <f aca="false">ROUND(MAX(0,Plan_Prev!I8*(Premissas!$C$9/MAX(0.01,Premissas!$B$9))*(1-(Premissas!$E$9/100)*((7)/11+0.5)*0.5)*Premissas!$C$30),1)</f>
        <v>1.4</v>
      </c>
      <c r="J8" s="9" t="n">
        <f aca="false">ROUND(MAX(0,Plan_Prev!J8*(Premissas!$C$9/MAX(0.01,Premissas!$B$9))*(1-(Premissas!$E$9/100)*((8)/11+0.5)*0.5)*Premissas!$C$31),1)</f>
        <v>1.6</v>
      </c>
      <c r="K8" s="9" t="n">
        <f aca="false">ROUND(MAX(0,Plan_Prev!K8*(Premissas!$C$9/MAX(0.01,Premissas!$B$9))*(1-(Premissas!$E$9/100)*((9)/11+0.5)*0.5)*Premissas!$C$32),1)</f>
        <v>0</v>
      </c>
      <c r="L8" s="9" t="n">
        <f aca="false">ROUND(MAX(0,Plan_Prev!L8*(Premissas!$C$9/MAX(0.01,Premissas!$B$9))*(1-(Premissas!$E$9/100)*((10)/11+0.5)*0.5)*Premissas!$C$33),1)</f>
        <v>2.3</v>
      </c>
      <c r="M8" s="9" t="n">
        <f aca="false">ROUND(MAX(0,Plan_Prev!M8*(Premissas!$C$9/MAX(0.01,Premissas!$B$9))*(1-(Premissas!$E$9/100)*((11)/11+0.5)*0.5)*Premissas!$C$34),1)</f>
        <v>0</v>
      </c>
      <c r="N8" s="8" t="n">
        <f aca="false">ROUND(SUM(B8:M8),1)</f>
        <v>13.3</v>
      </c>
    </row>
    <row r="9" customFormat="false" ht="15" hidden="false" customHeight="false" outlineLevel="0" collapsed="false">
      <c r="A9" s="6" t="s">
        <v>38</v>
      </c>
      <c r="B9" s="9" t="n">
        <f aca="false">ROUND(MAX(0,Plan_Prev!B9*(Premissas!$C$10/MAX(0.01,Premissas!$B$10))*(1-(Premissas!$E$10/100)*((0)/11+0.5)*0.5)*Premissas!$C$23),1)</f>
        <v>0</v>
      </c>
      <c r="C9" s="9" t="n">
        <f aca="false">ROUND(MAX(0,Plan_Prev!C9*(Premissas!$C$10/MAX(0.01,Premissas!$B$10))*(1-(Premissas!$E$10/100)*((1)/11+0.5)*0.5)*Premissas!$C$24),1)</f>
        <v>8.9</v>
      </c>
      <c r="D9" s="9" t="n">
        <f aca="false">ROUND(MAX(0,Plan_Prev!D9*(Premissas!$C$10/MAX(0.01,Premissas!$B$10))*(1-(Premissas!$E$10/100)*((2)/11+0.5)*0.5)*Premissas!$C$25),1)</f>
        <v>0</v>
      </c>
      <c r="E9" s="9" t="n">
        <f aca="false">ROUND(MAX(0,Plan_Prev!E9*(Premissas!$C$10/MAX(0.01,Premissas!$B$10))*(1-(Premissas!$E$10/100)*((3)/11+0.5)*0.5)*Premissas!$C$26),1)</f>
        <v>0</v>
      </c>
      <c r="F9" s="9" t="n">
        <f aca="false">ROUND(MAX(0,Plan_Prev!F9*(Premissas!$C$10/MAX(0.01,Premissas!$B$10))*(1-(Premissas!$E$10/100)*((4)/11+0.5)*0.5)*Premissas!$C$27),1)</f>
        <v>13</v>
      </c>
      <c r="G9" s="9" t="n">
        <f aca="false">ROUND(MAX(0,Plan_Prev!G9*(Premissas!$C$10/MAX(0.01,Premissas!$B$10))*(1-(Premissas!$E$10/100)*((5)/11+0.5)*0.5)*Premissas!$C$28),1)</f>
        <v>0</v>
      </c>
      <c r="H9" s="9" t="n">
        <f aca="false">ROUND(MAX(0,Plan_Prev!H9*(Premissas!$C$10/MAX(0.01,Premissas!$B$10))*(1-(Premissas!$E$10/100)*((6)/11+0.5)*0.5)*Premissas!$C$29),1)</f>
        <v>8.3</v>
      </c>
      <c r="I9" s="9" t="n">
        <f aca="false">ROUND(MAX(0,Plan_Prev!I9*(Premissas!$C$10/MAX(0.01,Premissas!$B$10))*(1-(Premissas!$E$10/100)*((7)/11+0.5)*0.5)*Premissas!$C$30),1)</f>
        <v>0</v>
      </c>
      <c r="J9" s="9" t="n">
        <f aca="false">ROUND(MAX(0,Plan_Prev!J9*(Premissas!$C$10/MAX(0.01,Premissas!$B$10))*(1-(Premissas!$E$10/100)*((8)/11+0.5)*0.5)*Premissas!$C$31),1)</f>
        <v>8.2</v>
      </c>
      <c r="K9" s="9" t="n">
        <f aca="false">ROUND(MAX(0,Plan_Prev!K9*(Premissas!$C$10/MAX(0.01,Premissas!$B$10))*(1-(Premissas!$E$10/100)*((9)/11+0.5)*0.5)*Premissas!$C$32),1)</f>
        <v>5.3</v>
      </c>
      <c r="L9" s="9" t="n">
        <f aca="false">ROUND(MAX(0,Plan_Prev!L9*(Premissas!$C$10/MAX(0.01,Premissas!$B$10))*(1-(Premissas!$E$10/100)*((10)/11+0.5)*0.5)*Premissas!$C$33),1)</f>
        <v>5.9</v>
      </c>
      <c r="M9" s="9" t="n">
        <f aca="false">ROUND(MAX(0,Plan_Prev!M9*(Premissas!$C$10/MAX(0.01,Premissas!$B$10))*(1-(Premissas!$E$10/100)*((11)/11+0.5)*0.5)*Premissas!$C$34),1)</f>
        <v>0</v>
      </c>
      <c r="N9" s="8" t="n">
        <f aca="false">ROUND(SUM(B9:M9),1)</f>
        <v>49.6</v>
      </c>
    </row>
    <row r="10" customFormat="false" ht="15" hidden="false" customHeight="false" outlineLevel="0" collapsed="false">
      <c r="A10" s="14" t="s">
        <v>315</v>
      </c>
      <c r="B10" s="10" t="n">
        <f aca="false">ROUND(SUM(B4:B9),1)</f>
        <v>0</v>
      </c>
      <c r="C10" s="10" t="n">
        <f aca="false">ROUND(SUM(C4:C9),1)</f>
        <v>9.7</v>
      </c>
      <c r="D10" s="10" t="n">
        <f aca="false">ROUND(SUM(D4:D9),1)</f>
        <v>28.9</v>
      </c>
      <c r="E10" s="10" t="n">
        <f aca="false">ROUND(SUM(E4:E9),1)</f>
        <v>46.4</v>
      </c>
      <c r="F10" s="10" t="n">
        <f aca="false">ROUND(SUM(F4:F9),1)</f>
        <v>30.9</v>
      </c>
      <c r="G10" s="10" t="n">
        <f aca="false">ROUND(SUM(G4:G9),1)</f>
        <v>31.8</v>
      </c>
      <c r="H10" s="10" t="n">
        <f aca="false">ROUND(SUM(H4:H9),1)</f>
        <v>32.3</v>
      </c>
      <c r="I10" s="10" t="n">
        <f aca="false">ROUND(SUM(I4:I9),1)</f>
        <v>10.7</v>
      </c>
      <c r="J10" s="10" t="n">
        <f aca="false">ROUND(SUM(J4:J9),1)</f>
        <v>25.6</v>
      </c>
      <c r="K10" s="10" t="n">
        <f aca="false">ROUND(SUM(K4:K9),1)</f>
        <v>35.5</v>
      </c>
      <c r="L10" s="10" t="n">
        <f aca="false">ROUND(SUM(L4:L9),1)</f>
        <v>31.1</v>
      </c>
      <c r="M10" s="10" t="n">
        <f aca="false">ROUND(SUM(M4:M9),1)</f>
        <v>2.7</v>
      </c>
      <c r="N10" s="10" t="n">
        <f aca="false">ROUND(SUM(N4:N9),1)</f>
        <v>285.6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11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customFormat="false" ht="15" hidden="false" customHeight="false" outlineLevel="0" collapsed="false">
      <c r="A4" s="5" t="s">
        <v>319</v>
      </c>
      <c r="B4" s="5" t="s">
        <v>59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68</v>
      </c>
      <c r="J4" s="5" t="s">
        <v>69</v>
      </c>
      <c r="K4" s="5" t="s">
        <v>70</v>
      </c>
      <c r="L4" s="5" t="s">
        <v>71</v>
      </c>
      <c r="M4" s="5" t="s">
        <v>72</v>
      </c>
      <c r="N4" s="5" t="s">
        <v>314</v>
      </c>
    </row>
    <row r="5" customFormat="false" ht="15" hidden="false" customHeight="false" outlineLevel="0" collapsed="false">
      <c r="A5" s="6" t="s">
        <v>33</v>
      </c>
      <c r="B5" s="9" t="n">
        <f aca="false">ROUND(COUNTIFS(Pessoas!$C$5:$C$44,$A5,Pessoas!$G$5:$G$44,"Ativo")*Premissas!$B$23*VLOOKUP($A5,Premissas!$A$14:$K$19,11,0),1)</f>
        <v>472.6</v>
      </c>
      <c r="C5" s="9" t="n">
        <f aca="false">ROUND(COUNTIFS(Pessoas!$C$5:$C$44,$A5,Pessoas!$G$5:$G$44,"Ativo")*Premissas!$B$24*VLOOKUP($A5,Premissas!$A$14:$K$19,11,0),1)</f>
        <v>429.6</v>
      </c>
      <c r="D5" s="9" t="n">
        <f aca="false">ROUND(COUNTIFS(Pessoas!$C$5:$C$44,$A5,Pessoas!$G$5:$G$44,"Ativo")*Premissas!$B$25*VLOOKUP($A5,Premissas!$A$14:$K$19,11,0),1)</f>
        <v>472.6</v>
      </c>
      <c r="E5" s="9" t="n">
        <f aca="false">ROUND(COUNTIFS(Pessoas!$C$5:$C$44,$A5,Pessoas!$G$5:$G$44,"Ativo")*Premissas!$B$26*VLOOKUP($A5,Premissas!$A$14:$K$19,11,0),1)</f>
        <v>429.6</v>
      </c>
      <c r="F5" s="9" t="n">
        <f aca="false">ROUND(COUNTIFS(Pessoas!$C$5:$C$44,$A5,Pessoas!$G$5:$G$44,"Ativo")*Premissas!$B$27*VLOOKUP($A5,Premissas!$A$14:$K$19,11,0),1)</f>
        <v>429.6</v>
      </c>
      <c r="G5" s="9" t="n">
        <f aca="false">ROUND(COUNTIFS(Pessoas!$C$5:$C$44,$A5,Pessoas!$G$5:$G$44,"Ativo")*Premissas!$B$28*VLOOKUP($A5,Premissas!$A$14:$K$19,11,0),1)</f>
        <v>472.6</v>
      </c>
      <c r="H5" s="9" t="n">
        <f aca="false">ROUND(COUNTIFS(Pessoas!$C$5:$C$44,$A5,Pessoas!$G$5:$G$44,"Ativo")*Premissas!$B$29*VLOOKUP($A5,Premissas!$A$14:$K$19,11,0),1)</f>
        <v>451.1</v>
      </c>
      <c r="I5" s="9" t="n">
        <f aca="false">ROUND(COUNTIFS(Pessoas!$C$5:$C$44,$A5,Pessoas!$G$5:$G$44,"Ativo")*Premissas!$B$30*VLOOKUP($A5,Premissas!$A$14:$K$19,11,0),1)</f>
        <v>429.6</v>
      </c>
      <c r="J5" s="9" t="n">
        <f aca="false">ROUND(COUNTIFS(Pessoas!$C$5:$C$44,$A5,Pessoas!$G$5:$G$44,"Ativo")*Premissas!$B$31*VLOOKUP($A5,Premissas!$A$14:$K$19,11,0),1)</f>
        <v>494</v>
      </c>
      <c r="K5" s="9" t="n">
        <f aca="false">ROUND(COUNTIFS(Pessoas!$C$5:$C$44,$A5,Pessoas!$G$5:$G$44,"Ativo")*Premissas!$B$32*VLOOKUP($A5,Premissas!$A$14:$K$19,11,0),1)</f>
        <v>472.6</v>
      </c>
      <c r="L5" s="9" t="n">
        <f aca="false">ROUND(COUNTIFS(Pessoas!$C$5:$C$44,$A5,Pessoas!$G$5:$G$44,"Ativo")*Premissas!$B$33*VLOOKUP($A5,Premissas!$A$14:$K$19,11,0),1)</f>
        <v>451.1</v>
      </c>
      <c r="M5" s="9" t="n">
        <f aca="false">ROUND(COUNTIFS(Pessoas!$C$5:$C$44,$A5,Pessoas!$G$5:$G$44,"Ativo")*Premissas!$B$34*VLOOKUP($A5,Premissas!$A$14:$K$19,11,0),1)</f>
        <v>494</v>
      </c>
      <c r="N5" s="8" t="n">
        <f aca="false">ROUND(SUM(B5:M5),1)</f>
        <v>5499</v>
      </c>
    </row>
    <row r="6" customFormat="false" ht="15" hidden="false" customHeight="false" outlineLevel="0" collapsed="false">
      <c r="A6" s="6" t="s">
        <v>34</v>
      </c>
      <c r="B6" s="9" t="n">
        <f aca="false">ROUND(COUNTIFS(Pessoas!$C$5:$C$44,$A6,Pessoas!$G$5:$G$44,"Ativo")*Premissas!$B$23*VLOOKUP($A6,Premissas!$A$14:$K$19,11,0),1)</f>
        <v>234.1</v>
      </c>
      <c r="C6" s="9" t="n">
        <f aca="false">ROUND(COUNTIFS(Pessoas!$C$5:$C$44,$A6,Pessoas!$G$5:$G$44,"Ativo")*Premissas!$B$24*VLOOKUP($A6,Premissas!$A$14:$K$19,11,0),1)</f>
        <v>212.8</v>
      </c>
      <c r="D6" s="9" t="n">
        <f aca="false">ROUND(COUNTIFS(Pessoas!$C$5:$C$44,$A6,Pessoas!$G$5:$G$44,"Ativo")*Premissas!$B$25*VLOOKUP($A6,Premissas!$A$14:$K$19,11,0),1)</f>
        <v>234.1</v>
      </c>
      <c r="E6" s="9" t="n">
        <f aca="false">ROUND(COUNTIFS(Pessoas!$C$5:$C$44,$A6,Pessoas!$G$5:$G$44,"Ativo")*Premissas!$B$26*VLOOKUP($A6,Premissas!$A$14:$K$19,11,0),1)</f>
        <v>212.8</v>
      </c>
      <c r="F6" s="9" t="n">
        <f aca="false">ROUND(COUNTIFS(Pessoas!$C$5:$C$44,$A6,Pessoas!$G$5:$G$44,"Ativo")*Premissas!$B$27*VLOOKUP($A6,Premissas!$A$14:$K$19,11,0),1)</f>
        <v>212.8</v>
      </c>
      <c r="G6" s="9" t="n">
        <f aca="false">ROUND(COUNTIFS(Pessoas!$C$5:$C$44,$A6,Pessoas!$G$5:$G$44,"Ativo")*Premissas!$B$28*VLOOKUP($A6,Premissas!$A$14:$K$19,11,0),1)</f>
        <v>234.1</v>
      </c>
      <c r="H6" s="9" t="n">
        <f aca="false">ROUND(COUNTIFS(Pessoas!$C$5:$C$44,$A6,Pessoas!$G$5:$G$44,"Ativo")*Premissas!$B$29*VLOOKUP($A6,Premissas!$A$14:$K$19,11,0),1)</f>
        <v>223.4</v>
      </c>
      <c r="I6" s="9" t="n">
        <f aca="false">ROUND(COUNTIFS(Pessoas!$C$5:$C$44,$A6,Pessoas!$G$5:$G$44,"Ativo")*Premissas!$B$30*VLOOKUP($A6,Premissas!$A$14:$K$19,11,0),1)</f>
        <v>212.8</v>
      </c>
      <c r="J6" s="9" t="n">
        <f aca="false">ROUND(COUNTIFS(Pessoas!$C$5:$C$44,$A6,Pessoas!$G$5:$G$44,"Ativo")*Premissas!$B$31*VLOOKUP($A6,Premissas!$A$14:$K$19,11,0),1)</f>
        <v>244.7</v>
      </c>
      <c r="K6" s="9" t="n">
        <f aca="false">ROUND(COUNTIFS(Pessoas!$C$5:$C$44,$A6,Pessoas!$G$5:$G$44,"Ativo")*Premissas!$B$32*VLOOKUP($A6,Premissas!$A$14:$K$19,11,0),1)</f>
        <v>234.1</v>
      </c>
      <c r="L6" s="9" t="n">
        <f aca="false">ROUND(COUNTIFS(Pessoas!$C$5:$C$44,$A6,Pessoas!$G$5:$G$44,"Ativo")*Premissas!$B$33*VLOOKUP($A6,Premissas!$A$14:$K$19,11,0),1)</f>
        <v>223.4</v>
      </c>
      <c r="M6" s="9" t="n">
        <f aca="false">ROUND(COUNTIFS(Pessoas!$C$5:$C$44,$A6,Pessoas!$G$5:$G$44,"Ativo")*Premissas!$B$34*VLOOKUP($A6,Premissas!$A$14:$K$19,11,0),1)</f>
        <v>244.7</v>
      </c>
      <c r="N6" s="8" t="n">
        <f aca="false">ROUND(SUM(B6:M6),1)</f>
        <v>2723.8</v>
      </c>
    </row>
    <row r="7" customFormat="false" ht="15" hidden="false" customHeight="false" outlineLevel="0" collapsed="false">
      <c r="A7" s="6" t="s">
        <v>35</v>
      </c>
      <c r="B7" s="9" t="n">
        <f aca="false">ROUND(COUNTIFS(Pessoas!$C$5:$C$44,$A7,Pessoas!$G$5:$G$44,"Ativo")*Premissas!$B$23*VLOOKUP($A7,Premissas!$A$14:$K$19,11,0),1)</f>
        <v>236.3</v>
      </c>
      <c r="C7" s="9" t="n">
        <f aca="false">ROUND(COUNTIFS(Pessoas!$C$5:$C$44,$A7,Pessoas!$G$5:$G$44,"Ativo")*Premissas!$B$24*VLOOKUP($A7,Premissas!$A$14:$K$19,11,0),1)</f>
        <v>214.8</v>
      </c>
      <c r="D7" s="9" t="n">
        <f aca="false">ROUND(COUNTIFS(Pessoas!$C$5:$C$44,$A7,Pessoas!$G$5:$G$44,"Ativo")*Premissas!$B$25*VLOOKUP($A7,Premissas!$A$14:$K$19,11,0),1)</f>
        <v>236.3</v>
      </c>
      <c r="E7" s="9" t="n">
        <f aca="false">ROUND(COUNTIFS(Pessoas!$C$5:$C$44,$A7,Pessoas!$G$5:$G$44,"Ativo")*Premissas!$B$26*VLOOKUP($A7,Premissas!$A$14:$K$19,11,0),1)</f>
        <v>214.8</v>
      </c>
      <c r="F7" s="9" t="n">
        <f aca="false">ROUND(COUNTIFS(Pessoas!$C$5:$C$44,$A7,Pessoas!$G$5:$G$44,"Ativo")*Premissas!$B$27*VLOOKUP($A7,Premissas!$A$14:$K$19,11,0),1)</f>
        <v>214.8</v>
      </c>
      <c r="G7" s="9" t="n">
        <f aca="false">ROUND(COUNTIFS(Pessoas!$C$5:$C$44,$A7,Pessoas!$G$5:$G$44,"Ativo")*Premissas!$B$28*VLOOKUP($A7,Premissas!$A$14:$K$19,11,0),1)</f>
        <v>236.3</v>
      </c>
      <c r="H7" s="9" t="n">
        <f aca="false">ROUND(COUNTIFS(Pessoas!$C$5:$C$44,$A7,Pessoas!$G$5:$G$44,"Ativo")*Premissas!$B$29*VLOOKUP($A7,Premissas!$A$14:$K$19,11,0),1)</f>
        <v>225.5</v>
      </c>
      <c r="I7" s="9" t="n">
        <f aca="false">ROUND(COUNTIFS(Pessoas!$C$5:$C$44,$A7,Pessoas!$G$5:$G$44,"Ativo")*Premissas!$B$30*VLOOKUP($A7,Premissas!$A$14:$K$19,11,0),1)</f>
        <v>214.8</v>
      </c>
      <c r="J7" s="9" t="n">
        <f aca="false">ROUND(COUNTIFS(Pessoas!$C$5:$C$44,$A7,Pessoas!$G$5:$G$44,"Ativo")*Premissas!$B$31*VLOOKUP($A7,Premissas!$A$14:$K$19,11,0),1)</f>
        <v>247</v>
      </c>
      <c r="K7" s="9" t="n">
        <f aca="false">ROUND(COUNTIFS(Pessoas!$C$5:$C$44,$A7,Pessoas!$G$5:$G$44,"Ativo")*Premissas!$B$32*VLOOKUP($A7,Premissas!$A$14:$K$19,11,0),1)</f>
        <v>236.3</v>
      </c>
      <c r="L7" s="9" t="n">
        <f aca="false">ROUND(COUNTIFS(Pessoas!$C$5:$C$44,$A7,Pessoas!$G$5:$G$44,"Ativo")*Premissas!$B$33*VLOOKUP($A7,Premissas!$A$14:$K$19,11,0),1)</f>
        <v>225.5</v>
      </c>
      <c r="M7" s="9" t="n">
        <f aca="false">ROUND(COUNTIFS(Pessoas!$C$5:$C$44,$A7,Pessoas!$G$5:$G$44,"Ativo")*Premissas!$B$34*VLOOKUP($A7,Premissas!$A$14:$K$19,11,0),1)</f>
        <v>247</v>
      </c>
      <c r="N7" s="8" t="n">
        <f aca="false">ROUND(SUM(B7:M7),1)</f>
        <v>2749.4</v>
      </c>
    </row>
    <row r="8" customFormat="false" ht="15" hidden="false" customHeight="false" outlineLevel="0" collapsed="false">
      <c r="A8" s="6" t="s">
        <v>36</v>
      </c>
      <c r="B8" s="9" t="n">
        <f aca="false">ROUND(COUNTIFS(Pessoas!$C$5:$C$44,$A8,Pessoas!$G$5:$G$44,"Ativo")*Premissas!$B$23*VLOOKUP($A8,Premissas!$A$14:$K$19,11,0),1)</f>
        <v>264.9</v>
      </c>
      <c r="C8" s="9" t="n">
        <f aca="false">ROUND(COUNTIFS(Pessoas!$C$5:$C$44,$A8,Pessoas!$G$5:$G$44,"Ativo")*Premissas!$B$24*VLOOKUP($A8,Premissas!$A$14:$K$19,11,0),1)</f>
        <v>240.8</v>
      </c>
      <c r="D8" s="9" t="n">
        <f aca="false">ROUND(COUNTIFS(Pessoas!$C$5:$C$44,$A8,Pessoas!$G$5:$G$44,"Ativo")*Premissas!$B$25*VLOOKUP($A8,Premissas!$A$14:$K$19,11,0),1)</f>
        <v>264.9</v>
      </c>
      <c r="E8" s="9" t="n">
        <f aca="false">ROUND(COUNTIFS(Pessoas!$C$5:$C$44,$A8,Pessoas!$G$5:$G$44,"Ativo")*Premissas!$B$26*VLOOKUP($A8,Premissas!$A$14:$K$19,11,0),1)</f>
        <v>240.8</v>
      </c>
      <c r="F8" s="9" t="n">
        <f aca="false">ROUND(COUNTIFS(Pessoas!$C$5:$C$44,$A8,Pessoas!$G$5:$G$44,"Ativo")*Premissas!$B$27*VLOOKUP($A8,Premissas!$A$14:$K$19,11,0),1)</f>
        <v>240.8</v>
      </c>
      <c r="G8" s="9" t="n">
        <f aca="false">ROUND(COUNTIFS(Pessoas!$C$5:$C$44,$A8,Pessoas!$G$5:$G$44,"Ativo")*Premissas!$B$28*VLOOKUP($A8,Premissas!$A$14:$K$19,11,0),1)</f>
        <v>264.9</v>
      </c>
      <c r="H8" s="9" t="n">
        <f aca="false">ROUND(COUNTIFS(Pessoas!$C$5:$C$44,$A8,Pessoas!$G$5:$G$44,"Ativo")*Premissas!$B$29*VLOOKUP($A8,Premissas!$A$14:$K$19,11,0),1)</f>
        <v>252.8</v>
      </c>
      <c r="I8" s="9" t="n">
        <f aca="false">ROUND(COUNTIFS(Pessoas!$C$5:$C$44,$A8,Pessoas!$G$5:$G$44,"Ativo")*Premissas!$B$30*VLOOKUP($A8,Premissas!$A$14:$K$19,11,0),1)</f>
        <v>240.8</v>
      </c>
      <c r="J8" s="9" t="n">
        <f aca="false">ROUND(COUNTIFS(Pessoas!$C$5:$C$44,$A8,Pessoas!$G$5:$G$44,"Ativo")*Premissas!$B$31*VLOOKUP($A8,Premissas!$A$14:$K$19,11,0),1)</f>
        <v>276.9</v>
      </c>
      <c r="K8" s="9" t="n">
        <f aca="false">ROUND(COUNTIFS(Pessoas!$C$5:$C$44,$A8,Pessoas!$G$5:$G$44,"Ativo")*Premissas!$B$32*VLOOKUP($A8,Premissas!$A$14:$K$19,11,0),1)</f>
        <v>264.9</v>
      </c>
      <c r="L8" s="9" t="n">
        <f aca="false">ROUND(COUNTIFS(Pessoas!$C$5:$C$44,$A8,Pessoas!$G$5:$G$44,"Ativo")*Premissas!$B$33*VLOOKUP($A8,Premissas!$A$14:$K$19,11,0),1)</f>
        <v>252.8</v>
      </c>
      <c r="M8" s="9" t="n">
        <f aca="false">ROUND(COUNTIFS(Pessoas!$C$5:$C$44,$A8,Pessoas!$G$5:$G$44,"Ativo")*Premissas!$B$34*VLOOKUP($A8,Premissas!$A$14:$K$19,11,0),1)</f>
        <v>276.9</v>
      </c>
      <c r="N8" s="8" t="n">
        <f aca="false">ROUND(SUM(B8:M8),1)</f>
        <v>3082.2</v>
      </c>
    </row>
    <row r="9" customFormat="false" ht="15" hidden="false" customHeight="false" outlineLevel="0" collapsed="false">
      <c r="A9" s="6" t="s">
        <v>37</v>
      </c>
      <c r="B9" s="9" t="n">
        <f aca="false">ROUND(COUNTIFS(Pessoas!$C$5:$C$44,$A9,Pessoas!$G$5:$G$44,"Ativo")*Premissas!$B$23*VLOOKUP($A9,Premissas!$A$14:$K$19,11,0),1)</f>
        <v>126.3</v>
      </c>
      <c r="C9" s="9" t="n">
        <f aca="false">ROUND(COUNTIFS(Pessoas!$C$5:$C$44,$A9,Pessoas!$G$5:$G$44,"Ativo")*Premissas!$B$24*VLOOKUP($A9,Premissas!$A$14:$K$19,11,0),1)</f>
        <v>114.8</v>
      </c>
      <c r="D9" s="9" t="n">
        <f aca="false">ROUND(COUNTIFS(Pessoas!$C$5:$C$44,$A9,Pessoas!$G$5:$G$44,"Ativo")*Premissas!$B$25*VLOOKUP($A9,Premissas!$A$14:$K$19,11,0),1)</f>
        <v>126.3</v>
      </c>
      <c r="E9" s="9" t="n">
        <f aca="false">ROUND(COUNTIFS(Pessoas!$C$5:$C$44,$A9,Pessoas!$G$5:$G$44,"Ativo")*Premissas!$B$26*VLOOKUP($A9,Premissas!$A$14:$K$19,11,0),1)</f>
        <v>114.8</v>
      </c>
      <c r="F9" s="9" t="n">
        <f aca="false">ROUND(COUNTIFS(Pessoas!$C$5:$C$44,$A9,Pessoas!$G$5:$G$44,"Ativo")*Premissas!$B$27*VLOOKUP($A9,Premissas!$A$14:$K$19,11,0),1)</f>
        <v>114.8</v>
      </c>
      <c r="G9" s="9" t="n">
        <f aca="false">ROUND(COUNTIFS(Pessoas!$C$5:$C$44,$A9,Pessoas!$G$5:$G$44,"Ativo")*Premissas!$B$28*VLOOKUP($A9,Premissas!$A$14:$K$19,11,0),1)</f>
        <v>126.3</v>
      </c>
      <c r="H9" s="9" t="n">
        <f aca="false">ROUND(COUNTIFS(Pessoas!$C$5:$C$44,$A9,Pessoas!$G$5:$G$44,"Ativo")*Premissas!$B$29*VLOOKUP($A9,Premissas!$A$14:$K$19,11,0),1)</f>
        <v>120.5</v>
      </c>
      <c r="I9" s="9" t="n">
        <f aca="false">ROUND(COUNTIFS(Pessoas!$C$5:$C$44,$A9,Pessoas!$G$5:$G$44,"Ativo")*Premissas!$B$30*VLOOKUP($A9,Premissas!$A$14:$K$19,11,0),1)</f>
        <v>114.8</v>
      </c>
      <c r="J9" s="9" t="n">
        <f aca="false">ROUND(COUNTIFS(Pessoas!$C$5:$C$44,$A9,Pessoas!$G$5:$G$44,"Ativo")*Premissas!$B$31*VLOOKUP($A9,Premissas!$A$14:$K$19,11,0),1)</f>
        <v>132</v>
      </c>
      <c r="K9" s="9" t="n">
        <f aca="false">ROUND(COUNTIFS(Pessoas!$C$5:$C$44,$A9,Pessoas!$G$5:$G$44,"Ativo")*Premissas!$B$32*VLOOKUP($A9,Premissas!$A$14:$K$19,11,0),1)</f>
        <v>126.3</v>
      </c>
      <c r="L9" s="9" t="n">
        <f aca="false">ROUND(COUNTIFS(Pessoas!$C$5:$C$44,$A9,Pessoas!$G$5:$G$44,"Ativo")*Premissas!$B$33*VLOOKUP($A9,Premissas!$A$14:$K$19,11,0),1)</f>
        <v>120.5</v>
      </c>
      <c r="M9" s="9" t="n">
        <f aca="false">ROUND(COUNTIFS(Pessoas!$C$5:$C$44,$A9,Pessoas!$G$5:$G$44,"Ativo")*Premissas!$B$34*VLOOKUP($A9,Premissas!$A$14:$K$19,11,0),1)</f>
        <v>132</v>
      </c>
      <c r="N9" s="8" t="n">
        <f aca="false">ROUND(SUM(B9:M9),1)</f>
        <v>1469.4</v>
      </c>
    </row>
    <row r="10" customFormat="false" ht="15" hidden="false" customHeight="false" outlineLevel="0" collapsed="false">
      <c r="A10" s="6" t="s">
        <v>38</v>
      </c>
      <c r="B10" s="9" t="n">
        <f aca="false">ROUND(COUNTIFS(Pessoas!$C$5:$C$44,$A10,Pessoas!$G$5:$G$44,"Ativo")*Premissas!$B$23*VLOOKUP($A10,Premissas!$A$14:$K$19,11,0),1)</f>
        <v>230.1</v>
      </c>
      <c r="C10" s="9" t="n">
        <f aca="false">ROUND(COUNTIFS(Pessoas!$C$5:$C$44,$A10,Pessoas!$G$5:$G$44,"Ativo")*Premissas!$B$24*VLOOKUP($A10,Premissas!$A$14:$K$19,11,0),1)</f>
        <v>209.2</v>
      </c>
      <c r="D10" s="9" t="n">
        <f aca="false">ROUND(COUNTIFS(Pessoas!$C$5:$C$44,$A10,Pessoas!$G$5:$G$44,"Ativo")*Premissas!$B$25*VLOOKUP($A10,Premissas!$A$14:$K$19,11,0),1)</f>
        <v>230.1</v>
      </c>
      <c r="E10" s="9" t="n">
        <f aca="false">ROUND(COUNTIFS(Pessoas!$C$5:$C$44,$A10,Pessoas!$G$5:$G$44,"Ativo")*Premissas!$B$26*VLOOKUP($A10,Premissas!$A$14:$K$19,11,0),1)</f>
        <v>209.2</v>
      </c>
      <c r="F10" s="9" t="n">
        <f aca="false">ROUND(COUNTIFS(Pessoas!$C$5:$C$44,$A10,Pessoas!$G$5:$G$44,"Ativo")*Premissas!$B$27*VLOOKUP($A10,Premissas!$A$14:$K$19,11,0),1)</f>
        <v>209.2</v>
      </c>
      <c r="G10" s="9" t="n">
        <f aca="false">ROUND(COUNTIFS(Pessoas!$C$5:$C$44,$A10,Pessoas!$G$5:$G$44,"Ativo")*Premissas!$B$28*VLOOKUP($A10,Premissas!$A$14:$K$19,11,0),1)</f>
        <v>230.1</v>
      </c>
      <c r="H10" s="9" t="n">
        <f aca="false">ROUND(COUNTIFS(Pessoas!$C$5:$C$44,$A10,Pessoas!$G$5:$G$44,"Ativo")*Premissas!$B$29*VLOOKUP($A10,Premissas!$A$14:$K$19,11,0),1)</f>
        <v>219.7</v>
      </c>
      <c r="I10" s="9" t="n">
        <f aca="false">ROUND(COUNTIFS(Pessoas!$C$5:$C$44,$A10,Pessoas!$G$5:$G$44,"Ativo")*Premissas!$B$30*VLOOKUP($A10,Premissas!$A$14:$K$19,11,0),1)</f>
        <v>209.2</v>
      </c>
      <c r="J10" s="9" t="n">
        <f aca="false">ROUND(COUNTIFS(Pessoas!$C$5:$C$44,$A10,Pessoas!$G$5:$G$44,"Ativo")*Premissas!$B$31*VLOOKUP($A10,Premissas!$A$14:$K$19,11,0),1)</f>
        <v>240.6</v>
      </c>
      <c r="K10" s="9" t="n">
        <f aca="false">ROUND(COUNTIFS(Pessoas!$C$5:$C$44,$A10,Pessoas!$G$5:$G$44,"Ativo")*Premissas!$B$32*VLOOKUP($A10,Premissas!$A$14:$K$19,11,0),1)</f>
        <v>230.1</v>
      </c>
      <c r="L10" s="9" t="n">
        <f aca="false">ROUND(COUNTIFS(Pessoas!$C$5:$C$44,$A10,Pessoas!$G$5:$G$44,"Ativo")*Premissas!$B$33*VLOOKUP($A10,Premissas!$A$14:$K$19,11,0),1)</f>
        <v>219.7</v>
      </c>
      <c r="M10" s="9" t="n">
        <f aca="false">ROUND(COUNTIFS(Pessoas!$C$5:$C$44,$A10,Pessoas!$G$5:$G$44,"Ativo")*Premissas!$B$34*VLOOKUP($A10,Premissas!$A$14:$K$19,11,0),1)</f>
        <v>240.6</v>
      </c>
      <c r="N10" s="8" t="n">
        <f aca="false">ROUND(SUM(B10:M10),1)</f>
        <v>2677.8</v>
      </c>
    </row>
    <row r="11" customFormat="false" ht="15" hidden="false" customHeight="false" outlineLevel="0" collapsed="false">
      <c r="A11" s="14" t="s">
        <v>315</v>
      </c>
      <c r="B11" s="10" t="n">
        <f aca="false">ROUND(SUM(B5:B10),1)</f>
        <v>1564.3</v>
      </c>
      <c r="C11" s="10" t="n">
        <f aca="false">ROUND(SUM(C5:C10),1)</f>
        <v>1422</v>
      </c>
      <c r="D11" s="10" t="n">
        <f aca="false">ROUND(SUM(D5:D10),1)</f>
        <v>1564.3</v>
      </c>
      <c r="E11" s="10" t="n">
        <f aca="false">ROUND(SUM(E5:E10),1)</f>
        <v>1422</v>
      </c>
      <c r="F11" s="10" t="n">
        <f aca="false">ROUND(SUM(F5:F10),1)</f>
        <v>1422</v>
      </c>
      <c r="G11" s="10" t="n">
        <f aca="false">ROUND(SUM(G5:G10),1)</f>
        <v>1564.3</v>
      </c>
      <c r="H11" s="10" t="n">
        <f aca="false">ROUND(SUM(H5:H10),1)</f>
        <v>1493</v>
      </c>
      <c r="I11" s="10" t="n">
        <f aca="false">ROUND(SUM(I5:I10),1)</f>
        <v>1422</v>
      </c>
      <c r="J11" s="10" t="n">
        <f aca="false">ROUND(SUM(J5:J10),1)</f>
        <v>1635.2</v>
      </c>
      <c r="K11" s="10" t="n">
        <f aca="false">ROUND(SUM(K5:K10),1)</f>
        <v>1564.3</v>
      </c>
      <c r="L11" s="10" t="n">
        <f aca="false">ROUND(SUM(L5:L10),1)</f>
        <v>1493</v>
      </c>
      <c r="M11" s="10" t="n">
        <f aca="false">ROUND(SUM(M5:M10),1)</f>
        <v>1635.2</v>
      </c>
      <c r="N11" s="10" t="n">
        <f aca="false">ROUND(SUM(N5:N10),1)</f>
        <v>18201.6</v>
      </c>
    </row>
    <row r="13" customFormat="false" ht="15" hidden="false" customHeight="false" outlineLevel="0" collapsed="false">
      <c r="A13" s="5" t="s">
        <v>320</v>
      </c>
      <c r="B13" s="5" t="s">
        <v>59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  <c r="I13" s="5" t="s">
        <v>68</v>
      </c>
      <c r="J13" s="5" t="s">
        <v>69</v>
      </c>
      <c r="K13" s="5" t="s">
        <v>70</v>
      </c>
      <c r="L13" s="5" t="s">
        <v>71</v>
      </c>
      <c r="M13" s="5" t="s">
        <v>72</v>
      </c>
      <c r="N13" s="5" t="s">
        <v>314</v>
      </c>
    </row>
    <row r="14" customFormat="false" ht="15" hidden="false" customHeight="false" outlineLevel="0" collapsed="false">
      <c r="A14" s="6" t="s">
        <v>33</v>
      </c>
      <c r="B14" s="9" t="n">
        <f aca="false">ROUND(Plan_Prev!B4+Plan_Corr!B4,1)</f>
        <v>0</v>
      </c>
      <c r="C14" s="9" t="n">
        <f aca="false">ROUND(Plan_Prev!C4+Plan_Corr!C4,1)</f>
        <v>1.6</v>
      </c>
      <c r="D14" s="9" t="n">
        <f aca="false">ROUND(Plan_Prev!D4+Plan_Corr!D4,1)</f>
        <v>45</v>
      </c>
      <c r="E14" s="9" t="n">
        <f aca="false">ROUND(Plan_Prev!E4+Plan_Corr!E4,1)</f>
        <v>77.6</v>
      </c>
      <c r="F14" s="9" t="n">
        <f aca="false">ROUND(Plan_Prev!F4+Plan_Corr!F4,1)</f>
        <v>34.4</v>
      </c>
      <c r="G14" s="9" t="n">
        <f aca="false">ROUND(Plan_Prev!G4+Plan_Corr!G4,1)</f>
        <v>58.6</v>
      </c>
      <c r="H14" s="9" t="n">
        <f aca="false">ROUND(Plan_Prev!H4+Plan_Corr!H4,1)</f>
        <v>58.9</v>
      </c>
      <c r="I14" s="9" t="n">
        <f aca="false">ROUND(Plan_Prev!I4+Plan_Corr!I4,1)</f>
        <v>28.2</v>
      </c>
      <c r="J14" s="9" t="n">
        <f aca="false">ROUND(Plan_Prev!J4+Plan_Corr!J4,1)</f>
        <v>41.8</v>
      </c>
      <c r="K14" s="9" t="n">
        <f aca="false">ROUND(Plan_Prev!K4+Plan_Corr!K4,1)</f>
        <v>62.9</v>
      </c>
      <c r="L14" s="9" t="n">
        <f aca="false">ROUND(Plan_Prev!L4+Plan_Corr!L4,1)</f>
        <v>46.5</v>
      </c>
      <c r="M14" s="9" t="n">
        <f aca="false">ROUND(Plan_Prev!M4+Plan_Corr!M4,1)</f>
        <v>5.7</v>
      </c>
      <c r="N14" s="8" t="n">
        <f aca="false">ROUND(SUM(B14:M14),1)</f>
        <v>461.2</v>
      </c>
    </row>
    <row r="15" customFormat="false" ht="15" hidden="false" customHeight="false" outlineLevel="0" collapsed="false">
      <c r="A15" s="6" t="s">
        <v>34</v>
      </c>
      <c r="B15" s="9" t="n">
        <f aca="false">ROUND(Plan_Prev!B5+Plan_Corr!B5,1)</f>
        <v>0</v>
      </c>
      <c r="C15" s="9" t="n">
        <f aca="false">ROUND(Plan_Prev!C5+Plan_Corr!C5,1)</f>
        <v>0</v>
      </c>
      <c r="D15" s="9" t="n">
        <f aca="false">ROUND(Plan_Prev!D5+Plan_Corr!D5,1)</f>
        <v>0</v>
      </c>
      <c r="E15" s="9" t="n">
        <f aca="false">ROUND(Plan_Prev!E5+Plan_Corr!E5,1)</f>
        <v>0</v>
      </c>
      <c r="F15" s="9" t="n">
        <f aca="false">ROUND(Plan_Prev!F5+Plan_Corr!F5,1)</f>
        <v>0</v>
      </c>
      <c r="G15" s="9" t="n">
        <f aca="false">ROUND(Plan_Prev!G5+Plan_Corr!G5,1)</f>
        <v>0</v>
      </c>
      <c r="H15" s="9" t="n">
        <f aca="false">ROUND(Plan_Prev!H5+Plan_Corr!H5,1)</f>
        <v>0</v>
      </c>
      <c r="I15" s="9" t="n">
        <f aca="false">ROUND(Plan_Prev!I5+Plan_Corr!I5,1)</f>
        <v>0</v>
      </c>
      <c r="J15" s="9" t="n">
        <f aca="false">ROUND(Plan_Prev!J5+Plan_Corr!J5,1)</f>
        <v>0</v>
      </c>
      <c r="K15" s="9" t="n">
        <f aca="false">ROUND(Plan_Prev!K5+Plan_Corr!K5,1)</f>
        <v>0</v>
      </c>
      <c r="L15" s="9" t="n">
        <f aca="false">ROUND(Plan_Prev!L5+Plan_Corr!L5,1)</f>
        <v>0</v>
      </c>
      <c r="M15" s="9" t="n">
        <f aca="false">ROUND(Plan_Prev!M5+Plan_Corr!M5,1)</f>
        <v>0</v>
      </c>
      <c r="N15" s="8" t="n">
        <f aca="false">ROUND(SUM(B15:M15),1)</f>
        <v>0</v>
      </c>
    </row>
    <row r="16" customFormat="false" ht="15" hidden="false" customHeight="false" outlineLevel="0" collapsed="false">
      <c r="A16" s="6" t="s">
        <v>35</v>
      </c>
      <c r="B16" s="9" t="n">
        <f aca="false">ROUND(Plan_Prev!B6+Plan_Corr!B6,1)</f>
        <v>0</v>
      </c>
      <c r="C16" s="9" t="n">
        <f aca="false">ROUND(Plan_Prev!C6+Plan_Corr!C6,1)</f>
        <v>0</v>
      </c>
      <c r="D16" s="9" t="n">
        <f aca="false">ROUND(Plan_Prev!D6+Plan_Corr!D6,1)</f>
        <v>10.2</v>
      </c>
      <c r="E16" s="9" t="n">
        <f aca="false">ROUND(Plan_Prev!E6+Plan_Corr!E6,1)</f>
        <v>19.6</v>
      </c>
      <c r="F16" s="9" t="n">
        <f aca="false">ROUND(Plan_Prev!F6+Plan_Corr!F6,1)</f>
        <v>7.5</v>
      </c>
      <c r="G16" s="9" t="n">
        <f aca="false">ROUND(Plan_Prev!G6+Plan_Corr!G6,1)</f>
        <v>14.4</v>
      </c>
      <c r="H16" s="9" t="n">
        <f aca="false">ROUND(Plan_Prev!H6+Plan_Corr!H6,1)</f>
        <v>15.6</v>
      </c>
      <c r="I16" s="9" t="n">
        <f aca="false">ROUND(Plan_Prev!I6+Plan_Corr!I6,1)</f>
        <v>4.4</v>
      </c>
      <c r="J16" s="9" t="n">
        <f aca="false">ROUND(Plan_Prev!J6+Plan_Corr!J6,1)</f>
        <v>7.8</v>
      </c>
      <c r="K16" s="9" t="n">
        <f aca="false">ROUND(Plan_Prev!K6+Plan_Corr!K6,1)</f>
        <v>17.1</v>
      </c>
      <c r="L16" s="9" t="n">
        <f aca="false">ROUND(Plan_Prev!L6+Plan_Corr!L6,1)</f>
        <v>10.7</v>
      </c>
      <c r="M16" s="9" t="n">
        <f aca="false">ROUND(Plan_Prev!M6+Plan_Corr!M6,1)</f>
        <v>0</v>
      </c>
      <c r="N16" s="8" t="n">
        <f aca="false">ROUND(SUM(B16:M16),1)</f>
        <v>107.3</v>
      </c>
    </row>
    <row r="17" customFormat="false" ht="15" hidden="false" customHeight="false" outlineLevel="0" collapsed="false">
      <c r="A17" s="6" t="s">
        <v>36</v>
      </c>
      <c r="B17" s="9" t="n">
        <f aca="false">ROUND(Plan_Prev!B7+Plan_Corr!B7,1)</f>
        <v>0</v>
      </c>
      <c r="C17" s="9" t="n">
        <f aca="false">ROUND(Plan_Prev!C7+Plan_Corr!C7,1)</f>
        <v>0.5</v>
      </c>
      <c r="D17" s="9" t="n">
        <f aca="false">ROUND(Plan_Prev!D7+Plan_Corr!D7,1)</f>
        <v>3.3</v>
      </c>
      <c r="E17" s="9" t="n">
        <f aca="false">ROUND(Plan_Prev!E7+Plan_Corr!E7,1)</f>
        <v>8.5</v>
      </c>
      <c r="F17" s="9" t="n">
        <f aca="false">ROUND(Plan_Prev!F7+Plan_Corr!F7,1)</f>
        <v>5</v>
      </c>
      <c r="G17" s="9" t="n">
        <f aca="false">ROUND(Plan_Prev!G7+Plan_Corr!G7,1)</f>
        <v>5.5</v>
      </c>
      <c r="H17" s="9" t="n">
        <f aca="false">ROUND(Plan_Prev!H7+Plan_Corr!H7,1)</f>
        <v>8.5</v>
      </c>
      <c r="I17" s="9" t="n">
        <f aca="false">ROUND(Plan_Prev!I7+Plan_Corr!I7,1)</f>
        <v>4.8</v>
      </c>
      <c r="J17" s="9" t="n">
        <f aca="false">ROUND(Plan_Prev!J7+Plan_Corr!J7,1)</f>
        <v>5.3</v>
      </c>
      <c r="K17" s="9" t="n">
        <f aca="false">ROUND(Plan_Prev!K7+Plan_Corr!K7,1)</f>
        <v>8</v>
      </c>
      <c r="L17" s="9" t="n">
        <f aca="false">ROUND(Plan_Prev!L7+Plan_Corr!L7,1)</f>
        <v>6</v>
      </c>
      <c r="M17" s="9" t="n">
        <f aca="false">ROUND(Plan_Prev!M7+Plan_Corr!M7,1)</f>
        <v>1</v>
      </c>
      <c r="N17" s="8" t="n">
        <f aca="false">ROUND(SUM(B17:M17),1)</f>
        <v>56.4</v>
      </c>
    </row>
    <row r="18" customFormat="false" ht="15" hidden="false" customHeight="false" outlineLevel="0" collapsed="false">
      <c r="A18" s="6" t="s">
        <v>37</v>
      </c>
      <c r="B18" s="9" t="n">
        <f aca="false">ROUND(Plan_Prev!B8+Plan_Corr!B8,1)</f>
        <v>0</v>
      </c>
      <c r="C18" s="9" t="n">
        <f aca="false">ROUND(Plan_Prev!C8+Plan_Corr!C8,1)</f>
        <v>0</v>
      </c>
      <c r="D18" s="9" t="n">
        <f aca="false">ROUND(Plan_Prev!D8+Plan_Corr!D8,1)</f>
        <v>4</v>
      </c>
      <c r="E18" s="9" t="n">
        <f aca="false">ROUND(Plan_Prev!E8+Plan_Corr!E8,1)</f>
        <v>3.7</v>
      </c>
      <c r="F18" s="9" t="n">
        <f aca="false">ROUND(Plan_Prev!F8+Plan_Corr!F8,1)</f>
        <v>0</v>
      </c>
      <c r="G18" s="9" t="n">
        <f aca="false">ROUND(Plan_Prev!G8+Plan_Corr!G8,1)</f>
        <v>3.3</v>
      </c>
      <c r="H18" s="9" t="n">
        <f aca="false">ROUND(Plan_Prev!H8+Plan_Corr!H8,1)</f>
        <v>0</v>
      </c>
      <c r="I18" s="9" t="n">
        <f aca="false">ROUND(Plan_Prev!I8+Plan_Corr!I8,1)</f>
        <v>2.4</v>
      </c>
      <c r="J18" s="9" t="n">
        <f aca="false">ROUND(Plan_Prev!J8+Plan_Corr!J8,1)</f>
        <v>2.6</v>
      </c>
      <c r="K18" s="9" t="n">
        <f aca="false">ROUND(Plan_Prev!K8+Plan_Corr!K8,1)</f>
        <v>0</v>
      </c>
      <c r="L18" s="9" t="n">
        <f aca="false">ROUND(Plan_Prev!L8+Plan_Corr!L8,1)</f>
        <v>3.3</v>
      </c>
      <c r="M18" s="9" t="n">
        <f aca="false">ROUND(Plan_Prev!M8+Plan_Corr!M8,1)</f>
        <v>0</v>
      </c>
      <c r="N18" s="8" t="n">
        <f aca="false">ROUND(SUM(B18:M18),1)</f>
        <v>19.3</v>
      </c>
    </row>
    <row r="19" customFormat="false" ht="15" hidden="false" customHeight="false" outlineLevel="0" collapsed="false">
      <c r="A19" s="6" t="s">
        <v>38</v>
      </c>
      <c r="B19" s="9" t="n">
        <f aca="false">ROUND(Plan_Prev!B9+Plan_Corr!B9,1)</f>
        <v>0</v>
      </c>
      <c r="C19" s="9" t="n">
        <f aca="false">ROUND(Plan_Prev!C9+Plan_Corr!C9,1)</f>
        <v>10.4</v>
      </c>
      <c r="D19" s="9" t="n">
        <f aca="false">ROUND(Plan_Prev!D9+Plan_Corr!D9,1)</f>
        <v>0</v>
      </c>
      <c r="E19" s="9" t="n">
        <f aca="false">ROUND(Plan_Prev!E9+Plan_Corr!E9,1)</f>
        <v>0</v>
      </c>
      <c r="F19" s="9" t="n">
        <f aca="false">ROUND(Plan_Prev!F9+Plan_Corr!F9,1)</f>
        <v>16</v>
      </c>
      <c r="G19" s="9" t="n">
        <f aca="false">ROUND(Plan_Prev!G9+Plan_Corr!G9,1)</f>
        <v>0</v>
      </c>
      <c r="H19" s="9" t="n">
        <f aca="false">ROUND(Plan_Prev!H9+Plan_Corr!H9,1)</f>
        <v>11.3</v>
      </c>
      <c r="I19" s="9" t="n">
        <f aca="false">ROUND(Plan_Prev!I9+Plan_Corr!I9,1)</f>
        <v>0</v>
      </c>
      <c r="J19" s="9" t="n">
        <f aca="false">ROUND(Plan_Prev!J9+Plan_Corr!J9,1)</f>
        <v>11.2</v>
      </c>
      <c r="K19" s="9" t="n">
        <f aca="false">ROUND(Plan_Prev!K9+Plan_Corr!K9,1)</f>
        <v>6.8</v>
      </c>
      <c r="L19" s="9" t="n">
        <f aca="false">ROUND(Plan_Prev!L9+Plan_Corr!L9,1)</f>
        <v>7.4</v>
      </c>
      <c r="M19" s="9" t="n">
        <f aca="false">ROUND(Plan_Prev!M9+Plan_Corr!M9,1)</f>
        <v>0</v>
      </c>
      <c r="N19" s="8" t="n">
        <f aca="false">ROUND(SUM(B19:M19),1)</f>
        <v>63.1</v>
      </c>
    </row>
    <row r="20" customFormat="false" ht="15" hidden="false" customHeight="false" outlineLevel="0" collapsed="false">
      <c r="A20" s="14" t="s">
        <v>315</v>
      </c>
      <c r="B20" s="10" t="n">
        <f aca="false">ROUND(SUM(B14:B19),1)</f>
        <v>0</v>
      </c>
      <c r="C20" s="10" t="n">
        <f aca="false">ROUND(SUM(C14:C19),1)</f>
        <v>12.5</v>
      </c>
      <c r="D20" s="10" t="n">
        <f aca="false">ROUND(SUM(D14:D19),1)</f>
        <v>62.5</v>
      </c>
      <c r="E20" s="10" t="n">
        <f aca="false">ROUND(SUM(E14:E19),1)</f>
        <v>109.4</v>
      </c>
      <c r="F20" s="10" t="n">
        <f aca="false">ROUND(SUM(F14:F19),1)</f>
        <v>62.9</v>
      </c>
      <c r="G20" s="10" t="n">
        <f aca="false">ROUND(SUM(G14:G19),1)</f>
        <v>81.8</v>
      </c>
      <c r="H20" s="10" t="n">
        <f aca="false">ROUND(SUM(H14:H19),1)</f>
        <v>94.3</v>
      </c>
      <c r="I20" s="10" t="n">
        <f aca="false">ROUND(SUM(I14:I19),1)</f>
        <v>39.8</v>
      </c>
      <c r="J20" s="10" t="n">
        <f aca="false">ROUND(SUM(J14:J19),1)</f>
        <v>68.7</v>
      </c>
      <c r="K20" s="10" t="n">
        <f aca="false">ROUND(SUM(K14:K19),1)</f>
        <v>94.8</v>
      </c>
      <c r="L20" s="10" t="n">
        <f aca="false">ROUND(SUM(L14:L19),1)</f>
        <v>73.9</v>
      </c>
      <c r="M20" s="10" t="n">
        <f aca="false">ROUND(SUM(M14:M19),1)</f>
        <v>6.7</v>
      </c>
      <c r="N20" s="10" t="n">
        <f aca="false">ROUND(SUM(N14:N19),1)</f>
        <v>707.3</v>
      </c>
    </row>
    <row r="22" customFormat="false" ht="23.85" hidden="false" customHeight="false" outlineLevel="0" collapsed="false">
      <c r="A22" s="5" t="s">
        <v>321</v>
      </c>
      <c r="B22" s="5" t="s">
        <v>59</v>
      </c>
      <c r="C22" s="5" t="s">
        <v>61</v>
      </c>
      <c r="D22" s="5" t="s">
        <v>62</v>
      </c>
      <c r="E22" s="5" t="s">
        <v>63</v>
      </c>
      <c r="F22" s="5" t="s">
        <v>64</v>
      </c>
      <c r="G22" s="5" t="s">
        <v>65</v>
      </c>
      <c r="H22" s="5" t="s">
        <v>66</v>
      </c>
      <c r="I22" s="5" t="s">
        <v>68</v>
      </c>
      <c r="J22" s="5" t="s">
        <v>69</v>
      </c>
      <c r="K22" s="5" t="s">
        <v>70</v>
      </c>
      <c r="L22" s="5" t="s">
        <v>71</v>
      </c>
      <c r="M22" s="5" t="s">
        <v>72</v>
      </c>
      <c r="N22" s="5" t="s">
        <v>314</v>
      </c>
    </row>
    <row r="23" customFormat="false" ht="15" hidden="false" customHeight="false" outlineLevel="0" collapsed="false">
      <c r="A23" s="6" t="s">
        <v>33</v>
      </c>
      <c r="B23" s="17" t="n">
        <f aca="false">ROUND(B5-B14,1)</f>
        <v>472.6</v>
      </c>
      <c r="C23" s="17" t="n">
        <f aca="false">ROUND(C5-C14,1)</f>
        <v>428</v>
      </c>
      <c r="D23" s="17" t="n">
        <f aca="false">ROUND(D5-D14,1)</f>
        <v>427.6</v>
      </c>
      <c r="E23" s="17" t="n">
        <f aca="false">ROUND(E5-E14,1)</f>
        <v>352</v>
      </c>
      <c r="F23" s="17" t="n">
        <f aca="false">ROUND(F5-F14,1)</f>
        <v>395.2</v>
      </c>
      <c r="G23" s="17" t="n">
        <f aca="false">ROUND(G5-G14,1)</f>
        <v>414</v>
      </c>
      <c r="H23" s="17" t="n">
        <f aca="false">ROUND(H5-H14,1)</f>
        <v>392.2</v>
      </c>
      <c r="I23" s="17" t="n">
        <f aca="false">ROUND(I5-I14,1)</f>
        <v>401.4</v>
      </c>
      <c r="J23" s="17" t="n">
        <f aca="false">ROUND(J5-J14,1)</f>
        <v>452.2</v>
      </c>
      <c r="K23" s="17" t="n">
        <f aca="false">ROUND(K5-K14,1)</f>
        <v>409.7</v>
      </c>
      <c r="L23" s="17" t="n">
        <f aca="false">ROUND(L5-L14,1)</f>
        <v>404.6</v>
      </c>
      <c r="M23" s="17" t="n">
        <f aca="false">ROUND(M5-M14,1)</f>
        <v>488.3</v>
      </c>
      <c r="N23" s="17" t="n">
        <f aca="false">ROUND(SUM(B23:M23),1)</f>
        <v>5037.8</v>
      </c>
    </row>
    <row r="24" customFormat="false" ht="15" hidden="false" customHeight="false" outlineLevel="0" collapsed="false">
      <c r="A24" s="6" t="s">
        <v>34</v>
      </c>
      <c r="B24" s="17" t="n">
        <f aca="false">ROUND(B6-B15,1)</f>
        <v>234.1</v>
      </c>
      <c r="C24" s="17" t="n">
        <f aca="false">ROUND(C6-C15,1)</f>
        <v>212.8</v>
      </c>
      <c r="D24" s="17" t="n">
        <f aca="false">ROUND(D6-D15,1)</f>
        <v>234.1</v>
      </c>
      <c r="E24" s="17" t="n">
        <f aca="false">ROUND(E6-E15,1)</f>
        <v>212.8</v>
      </c>
      <c r="F24" s="17" t="n">
        <f aca="false">ROUND(F6-F15,1)</f>
        <v>212.8</v>
      </c>
      <c r="G24" s="17" t="n">
        <f aca="false">ROUND(G6-G15,1)</f>
        <v>234.1</v>
      </c>
      <c r="H24" s="17" t="n">
        <f aca="false">ROUND(H6-H15,1)</f>
        <v>223.4</v>
      </c>
      <c r="I24" s="17" t="n">
        <f aca="false">ROUND(I6-I15,1)</f>
        <v>212.8</v>
      </c>
      <c r="J24" s="17" t="n">
        <f aca="false">ROUND(J6-J15,1)</f>
        <v>244.7</v>
      </c>
      <c r="K24" s="17" t="n">
        <f aca="false">ROUND(K6-K15,1)</f>
        <v>234.1</v>
      </c>
      <c r="L24" s="17" t="n">
        <f aca="false">ROUND(L6-L15,1)</f>
        <v>223.4</v>
      </c>
      <c r="M24" s="17" t="n">
        <f aca="false">ROUND(M6-M15,1)</f>
        <v>244.7</v>
      </c>
      <c r="N24" s="17" t="n">
        <f aca="false">ROUND(SUM(B24:M24),1)</f>
        <v>2723.8</v>
      </c>
    </row>
    <row r="25" customFormat="false" ht="15" hidden="false" customHeight="false" outlineLevel="0" collapsed="false">
      <c r="A25" s="6" t="s">
        <v>35</v>
      </c>
      <c r="B25" s="17" t="n">
        <f aca="false">ROUND(B7-B16,1)</f>
        <v>236.3</v>
      </c>
      <c r="C25" s="17" t="n">
        <f aca="false">ROUND(C7-C16,1)</f>
        <v>214.8</v>
      </c>
      <c r="D25" s="17" t="n">
        <f aca="false">ROUND(D7-D16,1)</f>
        <v>226.1</v>
      </c>
      <c r="E25" s="17" t="n">
        <f aca="false">ROUND(E7-E16,1)</f>
        <v>195.2</v>
      </c>
      <c r="F25" s="17" t="n">
        <f aca="false">ROUND(F7-F16,1)</f>
        <v>207.3</v>
      </c>
      <c r="G25" s="17" t="n">
        <f aca="false">ROUND(G7-G16,1)</f>
        <v>221.9</v>
      </c>
      <c r="H25" s="17" t="n">
        <f aca="false">ROUND(H7-H16,1)</f>
        <v>209.9</v>
      </c>
      <c r="I25" s="17" t="n">
        <f aca="false">ROUND(I7-I16,1)</f>
        <v>210.4</v>
      </c>
      <c r="J25" s="17" t="n">
        <f aca="false">ROUND(J7-J16,1)</f>
        <v>239.2</v>
      </c>
      <c r="K25" s="17" t="n">
        <f aca="false">ROUND(K7-K16,1)</f>
        <v>219.2</v>
      </c>
      <c r="L25" s="17" t="n">
        <f aca="false">ROUND(L7-L16,1)</f>
        <v>214.8</v>
      </c>
      <c r="M25" s="17" t="n">
        <f aca="false">ROUND(M7-M16,1)</f>
        <v>247</v>
      </c>
      <c r="N25" s="17" t="n">
        <f aca="false">ROUND(SUM(B25:M25),1)</f>
        <v>2642.1</v>
      </c>
    </row>
    <row r="26" customFormat="false" ht="15" hidden="false" customHeight="false" outlineLevel="0" collapsed="false">
      <c r="A26" s="6" t="s">
        <v>36</v>
      </c>
      <c r="B26" s="17" t="n">
        <f aca="false">ROUND(B8-B17,1)</f>
        <v>264.9</v>
      </c>
      <c r="C26" s="17" t="n">
        <f aca="false">ROUND(C8-C17,1)</f>
        <v>240.3</v>
      </c>
      <c r="D26" s="17" t="n">
        <f aca="false">ROUND(D8-D17,1)</f>
        <v>261.6</v>
      </c>
      <c r="E26" s="17" t="n">
        <f aca="false">ROUND(E8-E17,1)</f>
        <v>232.3</v>
      </c>
      <c r="F26" s="17" t="n">
        <f aca="false">ROUND(F8-F17,1)</f>
        <v>235.8</v>
      </c>
      <c r="G26" s="17" t="n">
        <f aca="false">ROUND(G8-G17,1)</f>
        <v>259.4</v>
      </c>
      <c r="H26" s="17" t="n">
        <f aca="false">ROUND(H8-H17,1)</f>
        <v>244.3</v>
      </c>
      <c r="I26" s="17" t="n">
        <f aca="false">ROUND(I8-I17,1)</f>
        <v>236</v>
      </c>
      <c r="J26" s="17" t="n">
        <f aca="false">ROUND(J8-J17,1)</f>
        <v>271.6</v>
      </c>
      <c r="K26" s="17" t="n">
        <f aca="false">ROUND(K8-K17,1)</f>
        <v>256.9</v>
      </c>
      <c r="L26" s="17" t="n">
        <f aca="false">ROUND(L8-L17,1)</f>
        <v>246.8</v>
      </c>
      <c r="M26" s="17" t="n">
        <f aca="false">ROUND(M8-M17,1)</f>
        <v>275.9</v>
      </c>
      <c r="N26" s="17" t="n">
        <f aca="false">ROUND(SUM(B26:M26),1)</f>
        <v>3025.8</v>
      </c>
    </row>
    <row r="27" customFormat="false" ht="15" hidden="false" customHeight="false" outlineLevel="0" collapsed="false">
      <c r="A27" s="6" t="s">
        <v>37</v>
      </c>
      <c r="B27" s="17" t="n">
        <f aca="false">ROUND(B9-B18,1)</f>
        <v>126.3</v>
      </c>
      <c r="C27" s="17" t="n">
        <f aca="false">ROUND(C9-C18,1)</f>
        <v>114.8</v>
      </c>
      <c r="D27" s="17" t="n">
        <f aca="false">ROUND(D9-D18,1)</f>
        <v>122.3</v>
      </c>
      <c r="E27" s="17" t="n">
        <f aca="false">ROUND(E9-E18,1)</f>
        <v>111.1</v>
      </c>
      <c r="F27" s="17" t="n">
        <f aca="false">ROUND(F9-F18,1)</f>
        <v>114.8</v>
      </c>
      <c r="G27" s="17" t="n">
        <f aca="false">ROUND(G9-G18,1)</f>
        <v>123</v>
      </c>
      <c r="H27" s="17" t="n">
        <f aca="false">ROUND(H9-H18,1)</f>
        <v>120.5</v>
      </c>
      <c r="I27" s="17" t="n">
        <f aca="false">ROUND(I9-I18,1)</f>
        <v>112.4</v>
      </c>
      <c r="J27" s="17" t="n">
        <f aca="false">ROUND(J9-J18,1)</f>
        <v>129.4</v>
      </c>
      <c r="K27" s="17" t="n">
        <f aca="false">ROUND(K9-K18,1)</f>
        <v>126.3</v>
      </c>
      <c r="L27" s="17" t="n">
        <f aca="false">ROUND(L9-L18,1)</f>
        <v>117.2</v>
      </c>
      <c r="M27" s="17" t="n">
        <f aca="false">ROUND(M9-M18,1)</f>
        <v>132</v>
      </c>
      <c r="N27" s="17" t="n">
        <f aca="false">ROUND(SUM(B27:M27),1)</f>
        <v>1450.1</v>
      </c>
    </row>
    <row r="28" customFormat="false" ht="15" hidden="false" customHeight="false" outlineLevel="0" collapsed="false">
      <c r="A28" s="6" t="s">
        <v>38</v>
      </c>
      <c r="B28" s="17" t="n">
        <f aca="false">ROUND(B10-B19,1)</f>
        <v>230.1</v>
      </c>
      <c r="C28" s="17" t="n">
        <f aca="false">ROUND(C10-C19,1)</f>
        <v>198.8</v>
      </c>
      <c r="D28" s="17" t="n">
        <f aca="false">ROUND(D10-D19,1)</f>
        <v>230.1</v>
      </c>
      <c r="E28" s="17" t="n">
        <f aca="false">ROUND(E10-E19,1)</f>
        <v>209.2</v>
      </c>
      <c r="F28" s="17" t="n">
        <f aca="false">ROUND(F10-F19,1)</f>
        <v>193.2</v>
      </c>
      <c r="G28" s="17" t="n">
        <f aca="false">ROUND(G10-G19,1)</f>
        <v>230.1</v>
      </c>
      <c r="H28" s="17" t="n">
        <f aca="false">ROUND(H10-H19,1)</f>
        <v>208.4</v>
      </c>
      <c r="I28" s="17" t="n">
        <f aca="false">ROUND(I10-I19,1)</f>
        <v>209.2</v>
      </c>
      <c r="J28" s="17" t="n">
        <f aca="false">ROUND(J10-J19,1)</f>
        <v>229.4</v>
      </c>
      <c r="K28" s="17" t="n">
        <f aca="false">ROUND(K10-K19,1)</f>
        <v>223.3</v>
      </c>
      <c r="L28" s="17" t="n">
        <f aca="false">ROUND(L10-L19,1)</f>
        <v>212.3</v>
      </c>
      <c r="M28" s="17" t="n">
        <f aca="false">ROUND(M10-M19,1)</f>
        <v>240.6</v>
      </c>
      <c r="N28" s="17" t="n">
        <f aca="false">ROUND(SUM(B28:M28),1)</f>
        <v>2614.7</v>
      </c>
    </row>
    <row r="29" customFormat="false" ht="15" hidden="false" customHeight="false" outlineLevel="0" collapsed="false">
      <c r="A29" s="14" t="s">
        <v>315</v>
      </c>
      <c r="B29" s="10" t="n">
        <f aca="false">ROUND(SUM(B23:B28),1)</f>
        <v>1564.3</v>
      </c>
      <c r="C29" s="10" t="n">
        <f aca="false">ROUND(SUM(C23:C28),1)</f>
        <v>1409.5</v>
      </c>
      <c r="D29" s="10" t="n">
        <f aca="false">ROUND(SUM(D23:D28),1)</f>
        <v>1501.8</v>
      </c>
      <c r="E29" s="10" t="n">
        <f aca="false">ROUND(SUM(E23:E28),1)</f>
        <v>1312.6</v>
      </c>
      <c r="F29" s="10" t="n">
        <f aca="false">ROUND(SUM(F23:F28),1)</f>
        <v>1359.1</v>
      </c>
      <c r="G29" s="10" t="n">
        <f aca="false">ROUND(SUM(G23:G28),1)</f>
        <v>1482.5</v>
      </c>
      <c r="H29" s="10" t="n">
        <f aca="false">ROUND(SUM(H23:H28),1)</f>
        <v>1398.7</v>
      </c>
      <c r="I29" s="10" t="n">
        <f aca="false">ROUND(SUM(I23:I28),1)</f>
        <v>1382.2</v>
      </c>
      <c r="J29" s="10" t="n">
        <f aca="false">ROUND(SUM(J23:J28),1)</f>
        <v>1566.5</v>
      </c>
      <c r="K29" s="10" t="n">
        <f aca="false">ROUND(SUM(K23:K28),1)</f>
        <v>1469.5</v>
      </c>
      <c r="L29" s="10" t="n">
        <f aca="false">ROUND(SUM(L23:L28),1)</f>
        <v>1419.1</v>
      </c>
      <c r="M29" s="10" t="n">
        <f aca="false">ROUND(SUM(M23:M28),1)</f>
        <v>1628.5</v>
      </c>
      <c r="N29" s="10" t="n">
        <f aca="false">ROUND(SUM(N23:N28),1)</f>
        <v>17494.3</v>
      </c>
    </row>
  </sheetData>
  <mergeCells count="2">
    <mergeCell ref="A1:N1"/>
    <mergeCell ref="A2:N2"/>
  </mergeCells>
  <conditionalFormatting sqref="B23:N29">
    <cfRule type="expression" priority="2" aboveAverage="0" equalAverage="0" bottom="0" percent="0" rank="0" text="" dxfId="1">
      <formula>AND(ISNUMBER(B23),B23&lt;0)</formula>
    </cfRule>
    <cfRule type="expression" priority="3" aboveAverage="0" equalAverage="0" bottom="0" percent="0" rank="0" text="" dxfId="2">
      <formula>AND(ISNUMBER(B23),B23&lt;0.1*B5)</formula>
    </cfRule>
    <cfRule type="expression" priority="4" aboveAverage="0" equalAverage="0" bottom="0" percent="0" rank="0" text="" dxfId="0">
      <formula>ISNUMBER(B23)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11" t="s">
        <v>323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customFormat="false" ht="15" hidden="false" customHeight="false" outlineLevel="0" collapsed="false">
      <c r="A4" s="5" t="s">
        <v>324</v>
      </c>
      <c r="B4" s="5" t="s">
        <v>59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68</v>
      </c>
      <c r="J4" s="5" t="s">
        <v>69</v>
      </c>
      <c r="K4" s="5" t="s">
        <v>70</v>
      </c>
      <c r="L4" s="5" t="s">
        <v>71</v>
      </c>
      <c r="M4" s="5" t="s">
        <v>72</v>
      </c>
      <c r="N4" s="5" t="s">
        <v>314</v>
      </c>
    </row>
    <row r="5" customFormat="false" ht="15" hidden="false" customHeight="false" outlineLevel="0" collapsed="false">
      <c r="A5" s="6" t="s">
        <v>33</v>
      </c>
      <c r="B5" s="9" t="n">
        <f aca="false">ROUND((Plan_Prev!B4+Plan_Corr!B4)/MAX(1,Premissas!$B$23*VLOOKUP($A5,Premissas!$A$14:$K$19,11,0)),1)</f>
        <v>0</v>
      </c>
      <c r="C5" s="9" t="n">
        <f aca="false">ROUND((Plan_Prev!C4+Plan_Corr!C4)/MAX(1,Premissas!$B$24*VLOOKUP($A5,Premissas!$A$14:$K$19,11,0)),1)</f>
        <v>0</v>
      </c>
      <c r="D5" s="9" t="n">
        <f aca="false">ROUND((Plan_Prev!D4+Plan_Corr!D4)/MAX(1,Premissas!$B$25*VLOOKUP($A5,Premissas!$A$14:$K$19,11,0)),1)</f>
        <v>0.4</v>
      </c>
      <c r="E5" s="9" t="n">
        <f aca="false">ROUND((Plan_Prev!E4+Plan_Corr!E4)/MAX(1,Premissas!$B$26*VLOOKUP($A5,Premissas!$A$14:$K$19,11,0)),1)</f>
        <v>0.7</v>
      </c>
      <c r="F5" s="9" t="n">
        <f aca="false">ROUND((Plan_Prev!F4+Plan_Corr!F4)/MAX(1,Premissas!$B$27*VLOOKUP($A5,Premissas!$A$14:$K$19,11,0)),1)</f>
        <v>0.3</v>
      </c>
      <c r="G5" s="9" t="n">
        <f aca="false">ROUND((Plan_Prev!G4+Plan_Corr!G4)/MAX(1,Premissas!$B$28*VLOOKUP($A5,Premissas!$A$14:$K$19,11,0)),1)</f>
        <v>0.5</v>
      </c>
      <c r="H5" s="9" t="n">
        <f aca="false">ROUND((Plan_Prev!H4+Plan_Corr!H4)/MAX(1,Premissas!$B$29*VLOOKUP($A5,Premissas!$A$14:$K$19,11,0)),1)</f>
        <v>0.5</v>
      </c>
      <c r="I5" s="9" t="n">
        <f aca="false">ROUND((Plan_Prev!I4+Plan_Corr!I4)/MAX(1,Premissas!$B$30*VLOOKUP($A5,Premissas!$A$14:$K$19,11,0)),1)</f>
        <v>0.3</v>
      </c>
      <c r="J5" s="9" t="n">
        <f aca="false">ROUND((Plan_Prev!J4+Plan_Corr!J4)/MAX(1,Premissas!$B$31*VLOOKUP($A5,Premissas!$A$14:$K$19,11,0)),1)</f>
        <v>0.3</v>
      </c>
      <c r="K5" s="9" t="n">
        <f aca="false">ROUND((Plan_Prev!K4+Plan_Corr!K4)/MAX(1,Premissas!$B$32*VLOOKUP($A5,Premissas!$A$14:$K$19,11,0)),1)</f>
        <v>0.5</v>
      </c>
      <c r="L5" s="9" t="n">
        <f aca="false">ROUND((Plan_Prev!L4+Plan_Corr!L4)/MAX(1,Premissas!$B$33*VLOOKUP($A5,Premissas!$A$14:$K$19,11,0)),1)</f>
        <v>0.4</v>
      </c>
      <c r="M5" s="9" t="n">
        <f aca="false">ROUND((Plan_Prev!M4+Plan_Corr!M4)/MAX(1,Premissas!$B$34*VLOOKUP($A5,Premissas!$A$14:$K$19,11,0)),1)</f>
        <v>0</v>
      </c>
      <c r="N5" s="8" t="n">
        <f aca="false">ROUND(SUM(B5:M5),1)</f>
        <v>3.9</v>
      </c>
    </row>
    <row r="6" customFormat="false" ht="15" hidden="false" customHeight="false" outlineLevel="0" collapsed="false">
      <c r="A6" s="6" t="s">
        <v>34</v>
      </c>
      <c r="B6" s="9" t="n">
        <f aca="false">ROUND((Plan_Prev!B5+Plan_Corr!B5)/MAX(1,Premissas!$B$23*VLOOKUP($A6,Premissas!$A$14:$K$19,11,0)),1)</f>
        <v>0</v>
      </c>
      <c r="C6" s="9" t="n">
        <f aca="false">ROUND((Plan_Prev!C5+Plan_Corr!C5)/MAX(1,Premissas!$B$24*VLOOKUP($A6,Premissas!$A$14:$K$19,11,0)),1)</f>
        <v>0</v>
      </c>
      <c r="D6" s="9" t="n">
        <f aca="false">ROUND((Plan_Prev!D5+Plan_Corr!D5)/MAX(1,Premissas!$B$25*VLOOKUP($A6,Premissas!$A$14:$K$19,11,0)),1)</f>
        <v>0</v>
      </c>
      <c r="E6" s="9" t="n">
        <f aca="false">ROUND((Plan_Prev!E5+Plan_Corr!E5)/MAX(1,Premissas!$B$26*VLOOKUP($A6,Premissas!$A$14:$K$19,11,0)),1)</f>
        <v>0</v>
      </c>
      <c r="F6" s="9" t="n">
        <f aca="false">ROUND((Plan_Prev!F5+Plan_Corr!F5)/MAX(1,Premissas!$B$27*VLOOKUP($A6,Premissas!$A$14:$K$19,11,0)),1)</f>
        <v>0</v>
      </c>
      <c r="G6" s="9" t="n">
        <f aca="false">ROUND((Plan_Prev!G5+Plan_Corr!G5)/MAX(1,Premissas!$B$28*VLOOKUP($A6,Premissas!$A$14:$K$19,11,0)),1)</f>
        <v>0</v>
      </c>
      <c r="H6" s="9" t="n">
        <f aca="false">ROUND((Plan_Prev!H5+Plan_Corr!H5)/MAX(1,Premissas!$B$29*VLOOKUP($A6,Premissas!$A$14:$K$19,11,0)),1)</f>
        <v>0</v>
      </c>
      <c r="I6" s="9" t="n">
        <f aca="false">ROUND((Plan_Prev!I5+Plan_Corr!I5)/MAX(1,Premissas!$B$30*VLOOKUP($A6,Premissas!$A$14:$K$19,11,0)),1)</f>
        <v>0</v>
      </c>
      <c r="J6" s="9" t="n">
        <f aca="false">ROUND((Plan_Prev!J5+Plan_Corr!J5)/MAX(1,Premissas!$B$31*VLOOKUP($A6,Premissas!$A$14:$K$19,11,0)),1)</f>
        <v>0</v>
      </c>
      <c r="K6" s="9" t="n">
        <f aca="false">ROUND((Plan_Prev!K5+Plan_Corr!K5)/MAX(1,Premissas!$B$32*VLOOKUP($A6,Premissas!$A$14:$K$19,11,0)),1)</f>
        <v>0</v>
      </c>
      <c r="L6" s="9" t="n">
        <f aca="false">ROUND((Plan_Prev!L5+Plan_Corr!L5)/MAX(1,Premissas!$B$33*VLOOKUP($A6,Premissas!$A$14:$K$19,11,0)),1)</f>
        <v>0</v>
      </c>
      <c r="M6" s="9" t="n">
        <f aca="false">ROUND((Plan_Prev!M5+Plan_Corr!M5)/MAX(1,Premissas!$B$34*VLOOKUP($A6,Premissas!$A$14:$K$19,11,0)),1)</f>
        <v>0</v>
      </c>
      <c r="N6" s="8" t="n">
        <f aca="false">ROUND(SUM(B6:M6),1)</f>
        <v>0</v>
      </c>
    </row>
    <row r="7" customFormat="false" ht="15" hidden="false" customHeight="false" outlineLevel="0" collapsed="false">
      <c r="A7" s="6" t="s">
        <v>35</v>
      </c>
      <c r="B7" s="9" t="n">
        <f aca="false">ROUND((Plan_Prev!B6+Plan_Corr!B6)/MAX(1,Premissas!$B$23*VLOOKUP($A7,Premissas!$A$14:$K$19,11,0)),1)</f>
        <v>0</v>
      </c>
      <c r="C7" s="9" t="n">
        <f aca="false">ROUND((Plan_Prev!C6+Plan_Corr!C6)/MAX(1,Premissas!$B$24*VLOOKUP($A7,Premissas!$A$14:$K$19,11,0)),1)</f>
        <v>0</v>
      </c>
      <c r="D7" s="9" t="n">
        <f aca="false">ROUND((Plan_Prev!D6+Plan_Corr!D6)/MAX(1,Premissas!$B$25*VLOOKUP($A7,Premissas!$A$14:$K$19,11,0)),1)</f>
        <v>0.1</v>
      </c>
      <c r="E7" s="9" t="n">
        <f aca="false">ROUND((Plan_Prev!E6+Plan_Corr!E6)/MAX(1,Premissas!$B$26*VLOOKUP($A7,Premissas!$A$14:$K$19,11,0)),1)</f>
        <v>0.2</v>
      </c>
      <c r="F7" s="9" t="n">
        <f aca="false">ROUND((Plan_Prev!F6+Plan_Corr!F6)/MAX(1,Premissas!$B$27*VLOOKUP($A7,Premissas!$A$14:$K$19,11,0)),1)</f>
        <v>0.1</v>
      </c>
      <c r="G7" s="9" t="n">
        <f aca="false">ROUND((Plan_Prev!G6+Plan_Corr!G6)/MAX(1,Premissas!$B$28*VLOOKUP($A7,Premissas!$A$14:$K$19,11,0)),1)</f>
        <v>0.1</v>
      </c>
      <c r="H7" s="9" t="n">
        <f aca="false">ROUND((Plan_Prev!H6+Plan_Corr!H6)/MAX(1,Premissas!$B$29*VLOOKUP($A7,Premissas!$A$14:$K$19,11,0)),1)</f>
        <v>0.1</v>
      </c>
      <c r="I7" s="9" t="n">
        <f aca="false">ROUND((Plan_Prev!I6+Plan_Corr!I6)/MAX(1,Premissas!$B$30*VLOOKUP($A7,Premissas!$A$14:$K$19,11,0)),1)</f>
        <v>0</v>
      </c>
      <c r="J7" s="9" t="n">
        <f aca="false">ROUND((Plan_Prev!J6+Plan_Corr!J6)/MAX(1,Premissas!$B$31*VLOOKUP($A7,Premissas!$A$14:$K$19,11,0)),1)</f>
        <v>0.1</v>
      </c>
      <c r="K7" s="9" t="n">
        <f aca="false">ROUND((Plan_Prev!K6+Plan_Corr!K6)/MAX(1,Premissas!$B$32*VLOOKUP($A7,Premissas!$A$14:$K$19,11,0)),1)</f>
        <v>0.1</v>
      </c>
      <c r="L7" s="9" t="n">
        <f aca="false">ROUND((Plan_Prev!L6+Plan_Corr!L6)/MAX(1,Premissas!$B$33*VLOOKUP($A7,Premissas!$A$14:$K$19,11,0)),1)</f>
        <v>0.1</v>
      </c>
      <c r="M7" s="9" t="n">
        <f aca="false">ROUND((Plan_Prev!M6+Plan_Corr!M6)/MAX(1,Premissas!$B$34*VLOOKUP($A7,Premissas!$A$14:$K$19,11,0)),1)</f>
        <v>0</v>
      </c>
      <c r="N7" s="8" t="n">
        <f aca="false">ROUND(SUM(B7:M7),1)</f>
        <v>0.9</v>
      </c>
    </row>
    <row r="8" customFormat="false" ht="15" hidden="false" customHeight="false" outlineLevel="0" collapsed="false">
      <c r="A8" s="6" t="s">
        <v>36</v>
      </c>
      <c r="B8" s="9" t="n">
        <f aca="false">ROUND((Plan_Prev!B7+Plan_Corr!B7)/MAX(1,Premissas!$B$23*VLOOKUP($A8,Premissas!$A$14:$K$19,11,0)),1)</f>
        <v>0</v>
      </c>
      <c r="C8" s="9" t="n">
        <f aca="false">ROUND((Plan_Prev!C7+Plan_Corr!C7)/MAX(1,Premissas!$B$24*VLOOKUP($A8,Premissas!$A$14:$K$19,11,0)),1)</f>
        <v>0</v>
      </c>
      <c r="D8" s="9" t="n">
        <f aca="false">ROUND((Plan_Prev!D7+Plan_Corr!D7)/MAX(1,Premissas!$B$25*VLOOKUP($A8,Premissas!$A$14:$K$19,11,0)),1)</f>
        <v>0</v>
      </c>
      <c r="E8" s="9" t="n">
        <f aca="false">ROUND((Plan_Prev!E7+Plan_Corr!E7)/MAX(1,Premissas!$B$26*VLOOKUP($A8,Premissas!$A$14:$K$19,11,0)),1)</f>
        <v>0.1</v>
      </c>
      <c r="F8" s="9" t="n">
        <f aca="false">ROUND((Plan_Prev!F7+Plan_Corr!F7)/MAX(1,Premissas!$B$27*VLOOKUP($A8,Premissas!$A$14:$K$19,11,0)),1)</f>
        <v>0</v>
      </c>
      <c r="G8" s="9" t="n">
        <f aca="false">ROUND((Plan_Prev!G7+Plan_Corr!G7)/MAX(1,Premissas!$B$28*VLOOKUP($A8,Premissas!$A$14:$K$19,11,0)),1)</f>
        <v>0</v>
      </c>
      <c r="H8" s="9" t="n">
        <f aca="false">ROUND((Plan_Prev!H7+Plan_Corr!H7)/MAX(1,Premissas!$B$29*VLOOKUP($A8,Premissas!$A$14:$K$19,11,0)),1)</f>
        <v>0.1</v>
      </c>
      <c r="I8" s="9" t="n">
        <f aca="false">ROUND((Plan_Prev!I7+Plan_Corr!I7)/MAX(1,Premissas!$B$30*VLOOKUP($A8,Premissas!$A$14:$K$19,11,0)),1)</f>
        <v>0</v>
      </c>
      <c r="J8" s="9" t="n">
        <f aca="false">ROUND((Plan_Prev!J7+Plan_Corr!J7)/MAX(1,Premissas!$B$31*VLOOKUP($A8,Premissas!$A$14:$K$19,11,0)),1)</f>
        <v>0</v>
      </c>
      <c r="K8" s="9" t="n">
        <f aca="false">ROUND((Plan_Prev!K7+Plan_Corr!K7)/MAX(1,Premissas!$B$32*VLOOKUP($A8,Premissas!$A$14:$K$19,11,0)),1)</f>
        <v>0.1</v>
      </c>
      <c r="L8" s="9" t="n">
        <f aca="false">ROUND((Plan_Prev!L7+Plan_Corr!L7)/MAX(1,Premissas!$B$33*VLOOKUP($A8,Premissas!$A$14:$K$19,11,0)),1)</f>
        <v>0</v>
      </c>
      <c r="M8" s="9" t="n">
        <f aca="false">ROUND((Plan_Prev!M7+Plan_Corr!M7)/MAX(1,Premissas!$B$34*VLOOKUP($A8,Premissas!$A$14:$K$19,11,0)),1)</f>
        <v>0</v>
      </c>
      <c r="N8" s="8" t="n">
        <f aca="false">ROUND(SUM(B8:M8),1)</f>
        <v>0.3</v>
      </c>
    </row>
    <row r="9" customFormat="false" ht="15" hidden="false" customHeight="false" outlineLevel="0" collapsed="false">
      <c r="A9" s="6" t="s">
        <v>37</v>
      </c>
      <c r="B9" s="9" t="n">
        <f aca="false">ROUND((Plan_Prev!B8+Plan_Corr!B8)/MAX(1,Premissas!$B$23*VLOOKUP($A9,Premissas!$A$14:$K$19,11,0)),1)</f>
        <v>0</v>
      </c>
      <c r="C9" s="9" t="n">
        <f aca="false">ROUND((Plan_Prev!C8+Plan_Corr!C8)/MAX(1,Premissas!$B$24*VLOOKUP($A9,Premissas!$A$14:$K$19,11,0)),1)</f>
        <v>0</v>
      </c>
      <c r="D9" s="9" t="n">
        <f aca="false">ROUND((Plan_Prev!D8+Plan_Corr!D8)/MAX(1,Premissas!$B$25*VLOOKUP($A9,Premissas!$A$14:$K$19,11,0)),1)</f>
        <v>0</v>
      </c>
      <c r="E9" s="9" t="n">
        <f aca="false">ROUND((Plan_Prev!E8+Plan_Corr!E8)/MAX(1,Premissas!$B$26*VLOOKUP($A9,Premissas!$A$14:$K$19,11,0)),1)</f>
        <v>0</v>
      </c>
      <c r="F9" s="9" t="n">
        <f aca="false">ROUND((Plan_Prev!F8+Plan_Corr!F8)/MAX(1,Premissas!$B$27*VLOOKUP($A9,Premissas!$A$14:$K$19,11,0)),1)</f>
        <v>0</v>
      </c>
      <c r="G9" s="9" t="n">
        <f aca="false">ROUND((Plan_Prev!G8+Plan_Corr!G8)/MAX(1,Premissas!$B$28*VLOOKUP($A9,Premissas!$A$14:$K$19,11,0)),1)</f>
        <v>0</v>
      </c>
      <c r="H9" s="9" t="n">
        <f aca="false">ROUND((Plan_Prev!H8+Plan_Corr!H8)/MAX(1,Premissas!$B$29*VLOOKUP($A9,Premissas!$A$14:$K$19,11,0)),1)</f>
        <v>0</v>
      </c>
      <c r="I9" s="9" t="n">
        <f aca="false">ROUND((Plan_Prev!I8+Plan_Corr!I8)/MAX(1,Premissas!$B$30*VLOOKUP($A9,Premissas!$A$14:$K$19,11,0)),1)</f>
        <v>0</v>
      </c>
      <c r="J9" s="9" t="n">
        <f aca="false">ROUND((Plan_Prev!J8+Plan_Corr!J8)/MAX(1,Premissas!$B$31*VLOOKUP($A9,Premissas!$A$14:$K$19,11,0)),1)</f>
        <v>0</v>
      </c>
      <c r="K9" s="9" t="n">
        <f aca="false">ROUND((Plan_Prev!K8+Plan_Corr!K8)/MAX(1,Premissas!$B$32*VLOOKUP($A9,Premissas!$A$14:$K$19,11,0)),1)</f>
        <v>0</v>
      </c>
      <c r="L9" s="9" t="n">
        <f aca="false">ROUND((Plan_Prev!L8+Plan_Corr!L8)/MAX(1,Premissas!$B$33*VLOOKUP($A9,Premissas!$A$14:$K$19,11,0)),1)</f>
        <v>0</v>
      </c>
      <c r="M9" s="9" t="n">
        <f aca="false">ROUND((Plan_Prev!M8+Plan_Corr!M8)/MAX(1,Premissas!$B$34*VLOOKUP($A9,Premissas!$A$14:$K$19,11,0)),1)</f>
        <v>0</v>
      </c>
      <c r="N9" s="8" t="n">
        <f aca="false">ROUND(SUM(B9:M9),1)</f>
        <v>0</v>
      </c>
    </row>
    <row r="10" customFormat="false" ht="15" hidden="false" customHeight="false" outlineLevel="0" collapsed="false">
      <c r="A10" s="6" t="s">
        <v>38</v>
      </c>
      <c r="B10" s="9" t="n">
        <f aca="false">ROUND((Plan_Prev!B9+Plan_Corr!B9)/MAX(1,Premissas!$B$23*VLOOKUP($A10,Premissas!$A$14:$K$19,11,0)),1)</f>
        <v>0</v>
      </c>
      <c r="C10" s="9" t="n">
        <f aca="false">ROUND((Plan_Prev!C9+Plan_Corr!C9)/MAX(1,Premissas!$B$24*VLOOKUP($A10,Premissas!$A$14:$K$19,11,0)),1)</f>
        <v>0.1</v>
      </c>
      <c r="D10" s="9" t="n">
        <f aca="false">ROUND((Plan_Prev!D9+Plan_Corr!D9)/MAX(1,Premissas!$B$25*VLOOKUP($A10,Premissas!$A$14:$K$19,11,0)),1)</f>
        <v>0</v>
      </c>
      <c r="E10" s="9" t="n">
        <f aca="false">ROUND((Plan_Prev!E9+Plan_Corr!E9)/MAX(1,Premissas!$B$26*VLOOKUP($A10,Premissas!$A$14:$K$19,11,0)),1)</f>
        <v>0</v>
      </c>
      <c r="F10" s="9" t="n">
        <f aca="false">ROUND((Plan_Prev!F9+Plan_Corr!F9)/MAX(1,Premissas!$B$27*VLOOKUP($A10,Premissas!$A$14:$K$19,11,0)),1)</f>
        <v>0.2</v>
      </c>
      <c r="G10" s="9" t="n">
        <f aca="false">ROUND((Plan_Prev!G9+Plan_Corr!G9)/MAX(1,Premissas!$B$28*VLOOKUP($A10,Premissas!$A$14:$K$19,11,0)),1)</f>
        <v>0</v>
      </c>
      <c r="H10" s="9" t="n">
        <f aca="false">ROUND((Plan_Prev!H9+Plan_Corr!H9)/MAX(1,Premissas!$B$29*VLOOKUP($A10,Premissas!$A$14:$K$19,11,0)),1)</f>
        <v>0.1</v>
      </c>
      <c r="I10" s="9" t="n">
        <f aca="false">ROUND((Plan_Prev!I9+Plan_Corr!I9)/MAX(1,Premissas!$B$30*VLOOKUP($A10,Premissas!$A$14:$K$19,11,0)),1)</f>
        <v>0</v>
      </c>
      <c r="J10" s="9" t="n">
        <f aca="false">ROUND((Plan_Prev!J9+Plan_Corr!J9)/MAX(1,Premissas!$B$31*VLOOKUP($A10,Premissas!$A$14:$K$19,11,0)),1)</f>
        <v>0.1</v>
      </c>
      <c r="K10" s="9" t="n">
        <f aca="false">ROUND((Plan_Prev!K9+Plan_Corr!K9)/MAX(1,Premissas!$B$32*VLOOKUP($A10,Premissas!$A$14:$K$19,11,0)),1)</f>
        <v>0.1</v>
      </c>
      <c r="L10" s="9" t="n">
        <f aca="false">ROUND((Plan_Prev!L9+Plan_Corr!L9)/MAX(1,Premissas!$B$33*VLOOKUP($A10,Premissas!$A$14:$K$19,11,0)),1)</f>
        <v>0.1</v>
      </c>
      <c r="M10" s="9" t="n">
        <f aca="false">ROUND((Plan_Prev!M9+Plan_Corr!M9)/MAX(1,Premissas!$B$34*VLOOKUP($A10,Premissas!$A$14:$K$19,11,0)),1)</f>
        <v>0</v>
      </c>
      <c r="N10" s="8" t="n">
        <f aca="false">ROUND(SUM(B10:M10),1)</f>
        <v>0.7</v>
      </c>
    </row>
    <row r="11" customFormat="false" ht="15" hidden="false" customHeight="false" outlineLevel="0" collapsed="false">
      <c r="A11" s="14" t="s">
        <v>315</v>
      </c>
      <c r="B11" s="10" t="n">
        <f aca="false">ROUND(SUM(B5:B10),1)</f>
        <v>0</v>
      </c>
      <c r="C11" s="10" t="n">
        <f aca="false">ROUND(SUM(C5:C10),1)</f>
        <v>0.1</v>
      </c>
      <c r="D11" s="10" t="n">
        <f aca="false">ROUND(SUM(D5:D10),1)</f>
        <v>0.5</v>
      </c>
      <c r="E11" s="10" t="n">
        <f aca="false">ROUND(SUM(E5:E10),1)</f>
        <v>1</v>
      </c>
      <c r="F11" s="10" t="n">
        <f aca="false">ROUND(SUM(F5:F10),1)</f>
        <v>0.6</v>
      </c>
      <c r="G11" s="10" t="n">
        <f aca="false">ROUND(SUM(G5:G10),1)</f>
        <v>0.6</v>
      </c>
      <c r="H11" s="10" t="n">
        <f aca="false">ROUND(SUM(H5:H10),1)</f>
        <v>0.8</v>
      </c>
      <c r="I11" s="10" t="n">
        <f aca="false">ROUND(SUM(I5:I10),1)</f>
        <v>0.3</v>
      </c>
      <c r="J11" s="10" t="n">
        <f aca="false">ROUND(SUM(J5:J10),1)</f>
        <v>0.5</v>
      </c>
      <c r="K11" s="10" t="n">
        <f aca="false">ROUND(SUM(K5:K10),1)</f>
        <v>0.8</v>
      </c>
      <c r="L11" s="10" t="n">
        <f aca="false">ROUND(SUM(L5:L10),1)</f>
        <v>0.6</v>
      </c>
      <c r="M11" s="10" t="n">
        <f aca="false">ROUND(SUM(M5:M10),1)</f>
        <v>0</v>
      </c>
      <c r="N11" s="10" t="n">
        <f aca="false">ROUND(SUM(N5:N10),1)</f>
        <v>5.8</v>
      </c>
    </row>
    <row r="13" customFormat="false" ht="15" hidden="false" customHeight="false" outlineLevel="0" collapsed="false">
      <c r="A13" s="5" t="s">
        <v>325</v>
      </c>
      <c r="B13" s="5" t="s">
        <v>59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  <c r="I13" s="5" t="s">
        <v>68</v>
      </c>
      <c r="J13" s="5" t="s">
        <v>69</v>
      </c>
      <c r="K13" s="5" t="s">
        <v>70</v>
      </c>
      <c r="L13" s="5" t="s">
        <v>71</v>
      </c>
      <c r="M13" s="5" t="s">
        <v>72</v>
      </c>
      <c r="N13" s="5" t="s">
        <v>326</v>
      </c>
    </row>
    <row r="14" customFormat="false" ht="15" hidden="false" customHeight="false" outlineLevel="0" collapsed="false">
      <c r="A14" s="6" t="s">
        <v>33</v>
      </c>
      <c r="B14" s="17" t="n">
        <f aca="false">ROUND(COUNTIFS(Pessoas!$C$5:$C$44,$A14,Pessoas!$G$5:$G$44,"Ativo")-B5,1)</f>
        <v>4</v>
      </c>
      <c r="C14" s="17" t="n">
        <f aca="false">ROUND(COUNTIFS(Pessoas!$C$5:$C$44,$A14,Pessoas!$G$5:$G$44,"Ativo")-C5,1)</f>
        <v>4</v>
      </c>
      <c r="D14" s="17" t="n">
        <f aca="false">ROUND(COUNTIFS(Pessoas!$C$5:$C$44,$A14,Pessoas!$G$5:$G$44,"Ativo")-D5,1)</f>
        <v>3.6</v>
      </c>
      <c r="E14" s="17" t="n">
        <f aca="false">ROUND(COUNTIFS(Pessoas!$C$5:$C$44,$A14,Pessoas!$G$5:$G$44,"Ativo")-E5,1)</f>
        <v>3.3</v>
      </c>
      <c r="F14" s="17" t="n">
        <f aca="false">ROUND(COUNTIFS(Pessoas!$C$5:$C$44,$A14,Pessoas!$G$5:$G$44,"Ativo")-F5,1)</f>
        <v>3.7</v>
      </c>
      <c r="G14" s="17" t="n">
        <f aca="false">ROUND(COUNTIFS(Pessoas!$C$5:$C$44,$A14,Pessoas!$G$5:$G$44,"Ativo")-G5,1)</f>
        <v>3.5</v>
      </c>
      <c r="H14" s="17" t="n">
        <f aca="false">ROUND(COUNTIFS(Pessoas!$C$5:$C$44,$A14,Pessoas!$G$5:$G$44,"Ativo")-H5,1)</f>
        <v>3.5</v>
      </c>
      <c r="I14" s="17" t="n">
        <f aca="false">ROUND(COUNTIFS(Pessoas!$C$5:$C$44,$A14,Pessoas!$G$5:$G$44,"Ativo")-I5,1)</f>
        <v>3.7</v>
      </c>
      <c r="J14" s="17" t="n">
        <f aca="false">ROUND(COUNTIFS(Pessoas!$C$5:$C$44,$A14,Pessoas!$G$5:$G$44,"Ativo")-J5,1)</f>
        <v>3.7</v>
      </c>
      <c r="K14" s="17" t="n">
        <f aca="false">ROUND(COUNTIFS(Pessoas!$C$5:$C$44,$A14,Pessoas!$G$5:$G$44,"Ativo")-K5,1)</f>
        <v>3.5</v>
      </c>
      <c r="L14" s="17" t="n">
        <f aca="false">ROUND(COUNTIFS(Pessoas!$C$5:$C$44,$A14,Pessoas!$G$5:$G$44,"Ativo")-L5,1)</f>
        <v>3.6</v>
      </c>
      <c r="M14" s="17" t="n">
        <f aca="false">ROUND(COUNTIFS(Pessoas!$C$5:$C$44,$A14,Pessoas!$G$5:$G$44,"Ativo")-M5,1)</f>
        <v>4</v>
      </c>
      <c r="N14" s="9" t="str">
        <f aca="false">""</f>
        <v/>
      </c>
    </row>
    <row r="15" customFormat="false" ht="15" hidden="false" customHeight="false" outlineLevel="0" collapsed="false">
      <c r="A15" s="6" t="s">
        <v>34</v>
      </c>
      <c r="B15" s="17" t="n">
        <f aca="false">ROUND(COUNTIFS(Pessoas!$C$5:$C$44,$A15,Pessoas!$G$5:$G$44,"Ativo")-B6,1)</f>
        <v>2</v>
      </c>
      <c r="C15" s="17" t="n">
        <f aca="false">ROUND(COUNTIFS(Pessoas!$C$5:$C$44,$A15,Pessoas!$G$5:$G$44,"Ativo")-C6,1)</f>
        <v>2</v>
      </c>
      <c r="D15" s="17" t="n">
        <f aca="false">ROUND(COUNTIFS(Pessoas!$C$5:$C$44,$A15,Pessoas!$G$5:$G$44,"Ativo")-D6,1)</f>
        <v>2</v>
      </c>
      <c r="E15" s="17" t="n">
        <f aca="false">ROUND(COUNTIFS(Pessoas!$C$5:$C$44,$A15,Pessoas!$G$5:$G$44,"Ativo")-E6,1)</f>
        <v>2</v>
      </c>
      <c r="F15" s="17" t="n">
        <f aca="false">ROUND(COUNTIFS(Pessoas!$C$5:$C$44,$A15,Pessoas!$G$5:$G$44,"Ativo")-F6,1)</f>
        <v>2</v>
      </c>
      <c r="G15" s="17" t="n">
        <f aca="false">ROUND(COUNTIFS(Pessoas!$C$5:$C$44,$A15,Pessoas!$G$5:$G$44,"Ativo")-G6,1)</f>
        <v>2</v>
      </c>
      <c r="H15" s="17" t="n">
        <f aca="false">ROUND(COUNTIFS(Pessoas!$C$5:$C$44,$A15,Pessoas!$G$5:$G$44,"Ativo")-H6,1)</f>
        <v>2</v>
      </c>
      <c r="I15" s="17" t="n">
        <f aca="false">ROUND(COUNTIFS(Pessoas!$C$5:$C$44,$A15,Pessoas!$G$5:$G$44,"Ativo")-I6,1)</f>
        <v>2</v>
      </c>
      <c r="J15" s="17" t="n">
        <f aca="false">ROUND(COUNTIFS(Pessoas!$C$5:$C$44,$A15,Pessoas!$G$5:$G$44,"Ativo")-J6,1)</f>
        <v>2</v>
      </c>
      <c r="K15" s="17" t="n">
        <f aca="false">ROUND(COUNTIFS(Pessoas!$C$5:$C$44,$A15,Pessoas!$G$5:$G$44,"Ativo")-K6,1)</f>
        <v>2</v>
      </c>
      <c r="L15" s="17" t="n">
        <f aca="false">ROUND(COUNTIFS(Pessoas!$C$5:$C$44,$A15,Pessoas!$G$5:$G$44,"Ativo")-L6,1)</f>
        <v>2</v>
      </c>
      <c r="M15" s="17" t="n">
        <f aca="false">ROUND(COUNTIFS(Pessoas!$C$5:$C$44,$A15,Pessoas!$G$5:$G$44,"Ativo")-M6,1)</f>
        <v>2</v>
      </c>
      <c r="N15" s="9" t="str">
        <f aca="false">""</f>
        <v/>
      </c>
    </row>
    <row r="16" customFormat="false" ht="15" hidden="false" customHeight="false" outlineLevel="0" collapsed="false">
      <c r="A16" s="6" t="s">
        <v>35</v>
      </c>
      <c r="B16" s="17" t="n">
        <f aca="false">ROUND(COUNTIFS(Pessoas!$C$5:$C$44,$A16,Pessoas!$G$5:$G$44,"Ativo")-B7,1)</f>
        <v>2</v>
      </c>
      <c r="C16" s="17" t="n">
        <f aca="false">ROUND(COUNTIFS(Pessoas!$C$5:$C$44,$A16,Pessoas!$G$5:$G$44,"Ativo")-C7,1)</f>
        <v>2</v>
      </c>
      <c r="D16" s="17" t="n">
        <f aca="false">ROUND(COUNTIFS(Pessoas!$C$5:$C$44,$A16,Pessoas!$G$5:$G$44,"Ativo")-D7,1)</f>
        <v>1.9</v>
      </c>
      <c r="E16" s="17" t="n">
        <f aca="false">ROUND(COUNTIFS(Pessoas!$C$5:$C$44,$A16,Pessoas!$G$5:$G$44,"Ativo")-E7,1)</f>
        <v>1.8</v>
      </c>
      <c r="F16" s="17" t="n">
        <f aca="false">ROUND(COUNTIFS(Pessoas!$C$5:$C$44,$A16,Pessoas!$G$5:$G$44,"Ativo")-F7,1)</f>
        <v>1.9</v>
      </c>
      <c r="G16" s="17" t="n">
        <f aca="false">ROUND(COUNTIFS(Pessoas!$C$5:$C$44,$A16,Pessoas!$G$5:$G$44,"Ativo")-G7,1)</f>
        <v>1.9</v>
      </c>
      <c r="H16" s="17" t="n">
        <f aca="false">ROUND(COUNTIFS(Pessoas!$C$5:$C$44,$A16,Pessoas!$G$5:$G$44,"Ativo")-H7,1)</f>
        <v>1.9</v>
      </c>
      <c r="I16" s="17" t="n">
        <f aca="false">ROUND(COUNTIFS(Pessoas!$C$5:$C$44,$A16,Pessoas!$G$5:$G$44,"Ativo")-I7,1)</f>
        <v>2</v>
      </c>
      <c r="J16" s="17" t="n">
        <f aca="false">ROUND(COUNTIFS(Pessoas!$C$5:$C$44,$A16,Pessoas!$G$5:$G$44,"Ativo")-J7,1)</f>
        <v>1.9</v>
      </c>
      <c r="K16" s="17" t="n">
        <f aca="false">ROUND(COUNTIFS(Pessoas!$C$5:$C$44,$A16,Pessoas!$G$5:$G$44,"Ativo")-K7,1)</f>
        <v>1.9</v>
      </c>
      <c r="L16" s="17" t="n">
        <f aca="false">ROUND(COUNTIFS(Pessoas!$C$5:$C$44,$A16,Pessoas!$G$5:$G$44,"Ativo")-L7,1)</f>
        <v>1.9</v>
      </c>
      <c r="M16" s="17" t="n">
        <f aca="false">ROUND(COUNTIFS(Pessoas!$C$5:$C$44,$A16,Pessoas!$G$5:$G$44,"Ativo")-M7,1)</f>
        <v>2</v>
      </c>
      <c r="N16" s="9" t="str">
        <f aca="false">""</f>
        <v/>
      </c>
    </row>
    <row r="17" customFormat="false" ht="15" hidden="false" customHeight="false" outlineLevel="0" collapsed="false">
      <c r="A17" s="6" t="s">
        <v>36</v>
      </c>
      <c r="B17" s="17" t="n">
        <f aca="false">ROUND(COUNTIFS(Pessoas!$C$5:$C$44,$A17,Pessoas!$G$5:$G$44,"Ativo")-B8,1)</f>
        <v>2</v>
      </c>
      <c r="C17" s="17" t="n">
        <f aca="false">ROUND(COUNTIFS(Pessoas!$C$5:$C$44,$A17,Pessoas!$G$5:$G$44,"Ativo")-C8,1)</f>
        <v>2</v>
      </c>
      <c r="D17" s="17" t="n">
        <f aca="false">ROUND(COUNTIFS(Pessoas!$C$5:$C$44,$A17,Pessoas!$G$5:$G$44,"Ativo")-D8,1)</f>
        <v>2</v>
      </c>
      <c r="E17" s="17" t="n">
        <f aca="false">ROUND(COUNTIFS(Pessoas!$C$5:$C$44,$A17,Pessoas!$G$5:$G$44,"Ativo")-E8,1)</f>
        <v>1.9</v>
      </c>
      <c r="F17" s="17" t="n">
        <f aca="false">ROUND(COUNTIFS(Pessoas!$C$5:$C$44,$A17,Pessoas!$G$5:$G$44,"Ativo")-F8,1)</f>
        <v>2</v>
      </c>
      <c r="G17" s="17" t="n">
        <f aca="false">ROUND(COUNTIFS(Pessoas!$C$5:$C$44,$A17,Pessoas!$G$5:$G$44,"Ativo")-G8,1)</f>
        <v>2</v>
      </c>
      <c r="H17" s="17" t="n">
        <f aca="false">ROUND(COUNTIFS(Pessoas!$C$5:$C$44,$A17,Pessoas!$G$5:$G$44,"Ativo")-H8,1)</f>
        <v>1.9</v>
      </c>
      <c r="I17" s="17" t="n">
        <f aca="false">ROUND(COUNTIFS(Pessoas!$C$5:$C$44,$A17,Pessoas!$G$5:$G$44,"Ativo")-I8,1)</f>
        <v>2</v>
      </c>
      <c r="J17" s="17" t="n">
        <f aca="false">ROUND(COUNTIFS(Pessoas!$C$5:$C$44,$A17,Pessoas!$G$5:$G$44,"Ativo")-J8,1)</f>
        <v>2</v>
      </c>
      <c r="K17" s="17" t="n">
        <f aca="false">ROUND(COUNTIFS(Pessoas!$C$5:$C$44,$A17,Pessoas!$G$5:$G$44,"Ativo")-K8,1)</f>
        <v>1.9</v>
      </c>
      <c r="L17" s="17" t="n">
        <f aca="false">ROUND(COUNTIFS(Pessoas!$C$5:$C$44,$A17,Pessoas!$G$5:$G$44,"Ativo")-L8,1)</f>
        <v>2</v>
      </c>
      <c r="M17" s="17" t="n">
        <f aca="false">ROUND(COUNTIFS(Pessoas!$C$5:$C$44,$A17,Pessoas!$G$5:$G$44,"Ativo")-M8,1)</f>
        <v>2</v>
      </c>
      <c r="N17" s="9" t="str">
        <f aca="false">""</f>
        <v/>
      </c>
    </row>
    <row r="18" customFormat="false" ht="15" hidden="false" customHeight="false" outlineLevel="0" collapsed="false">
      <c r="A18" s="6" t="s">
        <v>37</v>
      </c>
      <c r="B18" s="17" t="n">
        <f aca="false">ROUND(COUNTIFS(Pessoas!$C$5:$C$44,$A18,Pessoas!$G$5:$G$44,"Ativo")-B9,1)</f>
        <v>1</v>
      </c>
      <c r="C18" s="17" t="n">
        <f aca="false">ROUND(COUNTIFS(Pessoas!$C$5:$C$44,$A18,Pessoas!$G$5:$G$44,"Ativo")-C9,1)</f>
        <v>1</v>
      </c>
      <c r="D18" s="17" t="n">
        <f aca="false">ROUND(COUNTIFS(Pessoas!$C$5:$C$44,$A18,Pessoas!$G$5:$G$44,"Ativo")-D9,1)</f>
        <v>1</v>
      </c>
      <c r="E18" s="17" t="n">
        <f aca="false">ROUND(COUNTIFS(Pessoas!$C$5:$C$44,$A18,Pessoas!$G$5:$G$44,"Ativo")-E9,1)</f>
        <v>1</v>
      </c>
      <c r="F18" s="17" t="n">
        <f aca="false">ROUND(COUNTIFS(Pessoas!$C$5:$C$44,$A18,Pessoas!$G$5:$G$44,"Ativo")-F9,1)</f>
        <v>1</v>
      </c>
      <c r="G18" s="17" t="n">
        <f aca="false">ROUND(COUNTIFS(Pessoas!$C$5:$C$44,$A18,Pessoas!$G$5:$G$44,"Ativo")-G9,1)</f>
        <v>1</v>
      </c>
      <c r="H18" s="17" t="n">
        <f aca="false">ROUND(COUNTIFS(Pessoas!$C$5:$C$44,$A18,Pessoas!$G$5:$G$44,"Ativo")-H9,1)</f>
        <v>1</v>
      </c>
      <c r="I18" s="17" t="n">
        <f aca="false">ROUND(COUNTIFS(Pessoas!$C$5:$C$44,$A18,Pessoas!$G$5:$G$44,"Ativo")-I9,1)</f>
        <v>1</v>
      </c>
      <c r="J18" s="17" t="n">
        <f aca="false">ROUND(COUNTIFS(Pessoas!$C$5:$C$44,$A18,Pessoas!$G$5:$G$44,"Ativo")-J9,1)</f>
        <v>1</v>
      </c>
      <c r="K18" s="17" t="n">
        <f aca="false">ROUND(COUNTIFS(Pessoas!$C$5:$C$44,$A18,Pessoas!$G$5:$G$44,"Ativo")-K9,1)</f>
        <v>1</v>
      </c>
      <c r="L18" s="17" t="n">
        <f aca="false">ROUND(COUNTIFS(Pessoas!$C$5:$C$44,$A18,Pessoas!$G$5:$G$44,"Ativo")-L9,1)</f>
        <v>1</v>
      </c>
      <c r="M18" s="17" t="n">
        <f aca="false">ROUND(COUNTIFS(Pessoas!$C$5:$C$44,$A18,Pessoas!$G$5:$G$44,"Ativo")-M9,1)</f>
        <v>1</v>
      </c>
      <c r="N18" s="9" t="str">
        <f aca="false">""</f>
        <v/>
      </c>
    </row>
    <row r="19" customFormat="false" ht="15" hidden="false" customHeight="false" outlineLevel="0" collapsed="false">
      <c r="A19" s="6" t="s">
        <v>38</v>
      </c>
      <c r="B19" s="17" t="n">
        <f aca="false">ROUND(COUNTIFS(Pessoas!$C$5:$C$44,$A19,Pessoas!$G$5:$G$44,"Ativo")-B10,1)</f>
        <v>2</v>
      </c>
      <c r="C19" s="17" t="n">
        <f aca="false">ROUND(COUNTIFS(Pessoas!$C$5:$C$44,$A19,Pessoas!$G$5:$G$44,"Ativo")-C10,1)</f>
        <v>1.9</v>
      </c>
      <c r="D19" s="17" t="n">
        <f aca="false">ROUND(COUNTIFS(Pessoas!$C$5:$C$44,$A19,Pessoas!$G$5:$G$44,"Ativo")-D10,1)</f>
        <v>2</v>
      </c>
      <c r="E19" s="17" t="n">
        <f aca="false">ROUND(COUNTIFS(Pessoas!$C$5:$C$44,$A19,Pessoas!$G$5:$G$44,"Ativo")-E10,1)</f>
        <v>2</v>
      </c>
      <c r="F19" s="17" t="n">
        <f aca="false">ROUND(COUNTIFS(Pessoas!$C$5:$C$44,$A19,Pessoas!$G$5:$G$44,"Ativo")-F10,1)</f>
        <v>1.8</v>
      </c>
      <c r="G19" s="17" t="n">
        <f aca="false">ROUND(COUNTIFS(Pessoas!$C$5:$C$44,$A19,Pessoas!$G$5:$G$44,"Ativo")-G10,1)</f>
        <v>2</v>
      </c>
      <c r="H19" s="17" t="n">
        <f aca="false">ROUND(COUNTIFS(Pessoas!$C$5:$C$44,$A19,Pessoas!$G$5:$G$44,"Ativo")-H10,1)</f>
        <v>1.9</v>
      </c>
      <c r="I19" s="17" t="n">
        <f aca="false">ROUND(COUNTIFS(Pessoas!$C$5:$C$44,$A19,Pessoas!$G$5:$G$44,"Ativo")-I10,1)</f>
        <v>2</v>
      </c>
      <c r="J19" s="17" t="n">
        <f aca="false">ROUND(COUNTIFS(Pessoas!$C$5:$C$44,$A19,Pessoas!$G$5:$G$44,"Ativo")-J10,1)</f>
        <v>1.9</v>
      </c>
      <c r="K19" s="17" t="n">
        <f aca="false">ROUND(COUNTIFS(Pessoas!$C$5:$C$44,$A19,Pessoas!$G$5:$G$44,"Ativo")-K10,1)</f>
        <v>1.9</v>
      </c>
      <c r="L19" s="17" t="n">
        <f aca="false">ROUND(COUNTIFS(Pessoas!$C$5:$C$44,$A19,Pessoas!$G$5:$G$44,"Ativo")-L10,1)</f>
        <v>1.9</v>
      </c>
      <c r="M19" s="17" t="n">
        <f aca="false">ROUND(COUNTIFS(Pessoas!$C$5:$C$44,$A19,Pessoas!$G$5:$G$44,"Ativo")-M10,1)</f>
        <v>2</v>
      </c>
      <c r="N19" s="9" t="str">
        <f aca="false">""</f>
        <v/>
      </c>
    </row>
  </sheetData>
  <mergeCells count="2">
    <mergeCell ref="A1:N1"/>
    <mergeCell ref="A2:N2"/>
  </mergeCells>
  <conditionalFormatting sqref="B14:M19">
    <cfRule type="expression" priority="2" aboveAverage="0" equalAverage="0" bottom="0" percent="0" rank="0" text="" dxfId="1">
      <formula>AND(ISNUMBER(B14),B14&lt;0)</formula>
    </cfRule>
    <cfRule type="expression" priority="3" aboveAverage="0" equalAverage="0" bottom="0" percent="0" rank="0" text="" dxfId="2">
      <formula>AND(ISNUMBER(B14),B14&lt;0.5)</formula>
    </cfRule>
    <cfRule type="expression" priority="4" aboveAverage="0" equalAverage="0" bottom="0" percent="0" rank="0" text="" dxfId="0">
      <formula>ISNUMBER(B14)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327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11" t="s">
        <v>328</v>
      </c>
      <c r="B2" s="11"/>
      <c r="C2" s="11"/>
      <c r="D2" s="11"/>
      <c r="E2" s="11"/>
      <c r="F2" s="11"/>
      <c r="G2" s="11"/>
      <c r="H2" s="11"/>
      <c r="I2" s="11"/>
    </row>
    <row r="4" customFormat="false" ht="23.85" hidden="false" customHeight="false" outlineLevel="0" collapsed="false">
      <c r="A4" s="5" t="s">
        <v>172</v>
      </c>
      <c r="B4" s="5" t="s">
        <v>75</v>
      </c>
      <c r="C4" s="5" t="s">
        <v>301</v>
      </c>
      <c r="D4" s="5" t="s">
        <v>174</v>
      </c>
      <c r="E4" s="5" t="s">
        <v>329</v>
      </c>
      <c r="F4" s="5" t="s">
        <v>177</v>
      </c>
      <c r="G4" s="5" t="s">
        <v>330</v>
      </c>
      <c r="H4" s="5" t="s">
        <v>180</v>
      </c>
      <c r="I4" s="5" t="s">
        <v>331</v>
      </c>
    </row>
    <row r="5" customFormat="false" ht="15" hidden="false" customHeight="false" outlineLevel="0" collapsed="false">
      <c r="A5" s="9" t="str">
        <f aca="false">IF(Checklist!$A5="","",Checklist!$A5)</f>
        <v>Rev. S — Colhedora (250h)</v>
      </c>
      <c r="B5" s="9" t="str">
        <f aca="false">IF(Checklist!$A5="","",Checklist!$C5)</f>
        <v>Colhedora</v>
      </c>
      <c r="C5" s="9" t="str">
        <f aca="false">IF(Checklist!$A5="","",Checklist!$B5)</f>
        <v>S</v>
      </c>
      <c r="D5" s="9" t="str">
        <f aca="false">IF(Checklist!$A5="","",Checklist!$E5)</f>
        <v>Troca de óleo do motor</v>
      </c>
      <c r="E5" s="9" t="n">
        <f aca="false">IF($A5="","",COUNTIFS(Eventos!$B$4:$B$1563,$B5,Eventos!$E$4:$E$1563,$C5)+IF($C5="S",COUNTIFS(Eventos!$B$4:$B$1563,$B5,Eventos!$E$4:$E$1563,"A")+COUNTIFS(Eventos!$B$4:$B$1563,$B5,Eventos!$E$4:$E$1563,"B"),IF($C5="A",COUNTIFS(Eventos!$B$4:$B$1563,$B5,Eventos!$E$4:$E$1563,"B"),0)))</f>
        <v>27</v>
      </c>
      <c r="F5" s="9" t="str">
        <f aca="false">IF($A5="","",Checklist!$I5)</f>
        <v>Óleo Motor 15W40</v>
      </c>
      <c r="G5" s="9" t="n">
        <f aca="false">IF(OR($A5="",Checklist!$I5=""),"",ROUND(N(Checklist!$J5)*$E5,1))</f>
        <v>540</v>
      </c>
      <c r="H5" s="9" t="str">
        <f aca="false">IF($A5="","",Checklist!$L5)</f>
        <v>Filtro de óleo</v>
      </c>
      <c r="I5" s="9" t="n">
        <f aca="false">IF(OR($A5="",Checklist!$L5=""),"",ROUND(N(Checklist!$M5)*$E5,1))</f>
        <v>27</v>
      </c>
    </row>
    <row r="6" customFormat="false" ht="15" hidden="false" customHeight="false" outlineLevel="0" collapsed="false">
      <c r="A6" s="9" t="str">
        <f aca="false">IF(Checklist!$A6="","",Checklist!$A6)</f>
        <v>Rev. S — Colhedora (250h)</v>
      </c>
      <c r="B6" s="9" t="str">
        <f aca="false">IF(Checklist!$A6="","",Checklist!$C6)</f>
        <v>Colhedora</v>
      </c>
      <c r="C6" s="9" t="str">
        <f aca="false">IF(Checklist!$A6="","",Checklist!$B6)</f>
        <v>S</v>
      </c>
      <c r="D6" s="9" t="str">
        <f aca="false">IF(Checklist!$A6="","",Checklist!$E6)</f>
        <v>Troca filtro de combustível</v>
      </c>
      <c r="E6" s="9" t="n">
        <f aca="false">IF($A6="","",COUNTIFS(Eventos!$B$4:$B$1563,$B6,Eventos!$E$4:$E$1563,$C6)+IF($C6="S",COUNTIFS(Eventos!$B$4:$B$1563,$B6,Eventos!$E$4:$E$1563,"A")+COUNTIFS(Eventos!$B$4:$B$1563,$B6,Eventos!$E$4:$E$1563,"B"),IF($C6="A",COUNTIFS(Eventos!$B$4:$B$1563,$B6,Eventos!$E$4:$E$1563,"B"),0)))</f>
        <v>27</v>
      </c>
      <c r="F6" s="9" t="n">
        <f aca="false">IF($A6="","",Checklist!$I6)</f>
        <v>0</v>
      </c>
      <c r="G6" s="9" t="str">
        <f aca="false">IF(OR($A6="",Checklist!$I6=""),"",ROUND(N(Checklist!$J6)*$E6,1))</f>
        <v/>
      </c>
      <c r="H6" s="9" t="str">
        <f aca="false">IF($A6="","",Checklist!$L6)</f>
        <v>Filtro combustível</v>
      </c>
      <c r="I6" s="9" t="n">
        <f aca="false">IF(OR($A6="",Checklist!$L6=""),"",ROUND(N(Checklist!$M6)*$E6,1))</f>
        <v>27</v>
      </c>
    </row>
    <row r="7" customFormat="false" ht="15" hidden="false" customHeight="false" outlineLevel="0" collapsed="false">
      <c r="A7" s="9" t="str">
        <f aca="false">IF(Checklist!$A7="","",Checklist!$A7)</f>
        <v>Rev. S — Colhedora (250h)</v>
      </c>
      <c r="B7" s="9" t="str">
        <f aca="false">IF(Checklist!$A7="","",Checklist!$C7)</f>
        <v>Colhedora</v>
      </c>
      <c r="C7" s="9" t="str">
        <f aca="false">IF(Checklist!$A7="","",Checklist!$B7)</f>
        <v>S</v>
      </c>
      <c r="D7" s="9" t="str">
        <f aca="false">IF(Checklist!$A7="","",Checklist!$E7)</f>
        <v>Inspeção sistema hidráulico</v>
      </c>
      <c r="E7" s="9" t="n">
        <f aca="false">IF($A7="","",COUNTIFS(Eventos!$B$4:$B$1563,$B7,Eventos!$E$4:$E$1563,$C7)+IF($C7="S",COUNTIFS(Eventos!$B$4:$B$1563,$B7,Eventos!$E$4:$E$1563,"A")+COUNTIFS(Eventos!$B$4:$B$1563,$B7,Eventos!$E$4:$E$1563,"B"),IF($C7="A",COUNTIFS(Eventos!$B$4:$B$1563,$B7,Eventos!$E$4:$E$1563,"B"),0)))</f>
        <v>27</v>
      </c>
      <c r="F7" s="9" t="n">
        <f aca="false">IF($A7="","",Checklist!$I7)</f>
        <v>0</v>
      </c>
      <c r="G7" s="9" t="str">
        <f aca="false">IF(OR($A7="",Checklist!$I7=""),"",ROUND(N(Checklist!$J7)*$E7,1))</f>
        <v/>
      </c>
      <c r="H7" s="9" t="n">
        <f aca="false">IF($A7="","",Checklist!$L7)</f>
        <v>0</v>
      </c>
      <c r="I7" s="9" t="str">
        <f aca="false">IF(OR($A7="",Checklist!$L7=""),"",ROUND(N(Checklist!$M7)*$E7,1))</f>
        <v/>
      </c>
    </row>
    <row r="8" customFormat="false" ht="15" hidden="false" customHeight="false" outlineLevel="0" collapsed="false">
      <c r="A8" s="9" t="str">
        <f aca="false">IF(Checklist!$A8="","",Checklist!$A8)</f>
        <v>Rev. S — Colhedora (250h)</v>
      </c>
      <c r="B8" s="9" t="str">
        <f aca="false">IF(Checklist!$A8="","",Checklist!$C8)</f>
        <v>Colhedora</v>
      </c>
      <c r="C8" s="9" t="str">
        <f aca="false">IF(Checklist!$A8="","",Checklist!$B8)</f>
        <v>S</v>
      </c>
      <c r="D8" s="9" t="str">
        <f aca="false">IF(Checklist!$A8="","",Checklist!$E8)</f>
        <v>Verificação tensão correntes/correias</v>
      </c>
      <c r="E8" s="9" t="n">
        <f aca="false">IF($A8="","",COUNTIFS(Eventos!$B$4:$B$1563,$B8,Eventos!$E$4:$E$1563,$C8)+IF($C8="S",COUNTIFS(Eventos!$B$4:$B$1563,$B8,Eventos!$E$4:$E$1563,"A")+COUNTIFS(Eventos!$B$4:$B$1563,$B8,Eventos!$E$4:$E$1563,"B"),IF($C8="A",COUNTIFS(Eventos!$B$4:$B$1563,$B8,Eventos!$E$4:$E$1563,"B"),0)))</f>
        <v>27</v>
      </c>
      <c r="F8" s="9" t="n">
        <f aca="false">IF($A8="","",Checklist!$I8)</f>
        <v>0</v>
      </c>
      <c r="G8" s="9" t="str">
        <f aca="false">IF(OR($A8="",Checklist!$I8=""),"",ROUND(N(Checklist!$J8)*$E8,1))</f>
        <v/>
      </c>
      <c r="H8" s="9" t="n">
        <f aca="false">IF($A8="","",Checklist!$L8)</f>
        <v>0</v>
      </c>
      <c r="I8" s="9" t="str">
        <f aca="false">IF(OR($A8="",Checklist!$L8=""),"",ROUND(N(Checklist!$M8)*$E8,1))</f>
        <v/>
      </c>
    </row>
    <row r="9" customFormat="false" ht="15" hidden="false" customHeight="false" outlineLevel="0" collapsed="false">
      <c r="A9" s="9" t="str">
        <f aca="false">IF(Checklist!$A9="","",Checklist!$A9)</f>
        <v>Rev. S — Colhedora (250h)</v>
      </c>
      <c r="B9" s="9" t="str">
        <f aca="false">IF(Checklist!$A9="","",Checklist!$C9)</f>
        <v>Colhedora</v>
      </c>
      <c r="C9" s="9" t="str">
        <f aca="false">IF(Checklist!$A9="","",Checklist!$B9)</f>
        <v>S</v>
      </c>
      <c r="D9" s="9" t="str">
        <f aca="false">IF(Checklist!$A9="","",Checklist!$E9)</f>
        <v>Lubrificação de pontos fixos</v>
      </c>
      <c r="E9" s="9" t="n">
        <f aca="false">IF($A9="","",COUNTIFS(Eventos!$B$4:$B$1563,$B9,Eventos!$E$4:$E$1563,$C9)+IF($C9="S",COUNTIFS(Eventos!$B$4:$B$1563,$B9,Eventos!$E$4:$E$1563,"A")+COUNTIFS(Eventos!$B$4:$B$1563,$B9,Eventos!$E$4:$E$1563,"B"),IF($C9="A",COUNTIFS(Eventos!$B$4:$B$1563,$B9,Eventos!$E$4:$E$1563,"B"),0)))</f>
        <v>27</v>
      </c>
      <c r="F9" s="9" t="str">
        <f aca="false">IF($A9="","",Checklist!$I9)</f>
        <v>Graxa EP2</v>
      </c>
      <c r="G9" s="9" t="n">
        <f aca="false">IF(OR($A9="",Checklist!$I9=""),"",ROUND(N(Checklist!$J9)*$E9,1))</f>
        <v>13.5</v>
      </c>
      <c r="H9" s="9" t="n">
        <f aca="false">IF($A9="","",Checklist!$L9)</f>
        <v>0</v>
      </c>
      <c r="I9" s="9" t="str">
        <f aca="false">IF(OR($A9="",Checklist!$L9=""),"",ROUND(N(Checklist!$M9)*$E9,1))</f>
        <v/>
      </c>
    </row>
    <row r="10" customFormat="false" ht="15" hidden="false" customHeight="false" outlineLevel="0" collapsed="false">
      <c r="A10" s="9" t="str">
        <f aca="false">IF(Checklist!$A10="","",Checklist!$A10)</f>
        <v>Rev. S — Colhedora (250h)</v>
      </c>
      <c r="B10" s="9" t="str">
        <f aca="false">IF(Checklist!$A10="","",Checklist!$C10)</f>
        <v>Colhedora</v>
      </c>
      <c r="C10" s="9" t="str">
        <f aca="false">IF(Checklist!$A10="","",Checklist!$B10)</f>
        <v>S</v>
      </c>
      <c r="D10" s="9" t="str">
        <f aca="false">IF(Checklist!$A10="","",Checklist!$E10)</f>
        <v>Inspeção elétrica geral</v>
      </c>
      <c r="E10" s="9" t="n">
        <f aca="false">IF($A10="","",COUNTIFS(Eventos!$B$4:$B$1563,$B10,Eventos!$E$4:$E$1563,$C10)+IF($C10="S",COUNTIFS(Eventos!$B$4:$B$1563,$B10,Eventos!$E$4:$E$1563,"A")+COUNTIFS(Eventos!$B$4:$B$1563,$B10,Eventos!$E$4:$E$1563,"B"),IF($C10="A",COUNTIFS(Eventos!$B$4:$B$1563,$B10,Eventos!$E$4:$E$1563,"B"),0)))</f>
        <v>27</v>
      </c>
      <c r="F10" s="9" t="n">
        <f aca="false">IF($A10="","",Checklist!$I10)</f>
        <v>0</v>
      </c>
      <c r="G10" s="9" t="str">
        <f aca="false">IF(OR($A10="",Checklist!$I10=""),"",ROUND(N(Checklist!$J10)*$E10,1))</f>
        <v/>
      </c>
      <c r="H10" s="9" t="n">
        <f aca="false">IF($A10="","",Checklist!$L10)</f>
        <v>0</v>
      </c>
      <c r="I10" s="9" t="str">
        <f aca="false">IF(OR($A10="",Checklist!$L10=""),"",ROUND(N(Checklist!$M10)*$E10,1))</f>
        <v/>
      </c>
    </row>
    <row r="11" customFormat="false" ht="15" hidden="false" customHeight="false" outlineLevel="0" collapsed="false">
      <c r="A11" s="9" t="str">
        <f aca="false">IF(Checklist!$A11="","",Checklist!$A11)</f>
        <v>Rev. A — Colhedora (500h)</v>
      </c>
      <c r="B11" s="9" t="str">
        <f aca="false">IF(Checklist!$A11="","",Checklist!$C11)</f>
        <v>Colhedora</v>
      </c>
      <c r="C11" s="9" t="str">
        <f aca="false">IF(Checklist!$A11="","",Checklist!$B11)</f>
        <v>A</v>
      </c>
      <c r="D11" s="9" t="str">
        <f aca="false">IF(Checklist!$A11="","",Checklist!$E11)</f>
        <v>Troca óleo motor + hidráulico + filtros</v>
      </c>
      <c r="E11" s="9" t="n">
        <f aca="false">IF($A11="","",COUNTIFS(Eventos!$B$4:$B$1563,$B11,Eventos!$E$4:$E$1563,$C11)+IF($C11="S",COUNTIFS(Eventos!$B$4:$B$1563,$B11,Eventos!$E$4:$E$1563,"A")+COUNTIFS(Eventos!$B$4:$B$1563,$B11,Eventos!$E$4:$E$1563,"B"),IF($C11="A",COUNTIFS(Eventos!$B$4:$B$1563,$B11,Eventos!$E$4:$E$1563,"B"),0)))</f>
        <v>14</v>
      </c>
      <c r="F11" s="9" t="str">
        <f aca="false">IF($A11="","",Checklist!$I11)</f>
        <v>Óleo Motor 15W40</v>
      </c>
      <c r="G11" s="9" t="n">
        <f aca="false">IF(OR($A11="",Checklist!$I11=""),"",ROUND(N(Checklist!$J11)*$E11,1))</f>
        <v>280</v>
      </c>
      <c r="H11" s="9" t="str">
        <f aca="false">IF($A11="","",Checklist!$L11)</f>
        <v>Kit filtros (3 un)</v>
      </c>
      <c r="I11" s="9" t="n">
        <f aca="false">IF(OR($A11="",Checklist!$L11=""),"",ROUND(N(Checklist!$M11)*$E11,1))</f>
        <v>42</v>
      </c>
    </row>
    <row r="12" customFormat="false" ht="15" hidden="false" customHeight="false" outlineLevel="0" collapsed="false">
      <c r="A12" s="9" t="str">
        <f aca="false">IF(Checklist!$A12="","",Checklist!$A12)</f>
        <v>Rev. A — Colhedora (500h)</v>
      </c>
      <c r="B12" s="9" t="str">
        <f aca="false">IF(Checklist!$A12="","",Checklist!$C12)</f>
        <v>Colhedora</v>
      </c>
      <c r="C12" s="9" t="str">
        <f aca="false">IF(Checklist!$A12="","",Checklist!$B12)</f>
        <v>A</v>
      </c>
      <c r="D12" s="9" t="str">
        <f aca="false">IF(Checklist!$A12="","",Checklist!$E12)</f>
        <v>Regulagem sistema de corte</v>
      </c>
      <c r="E12" s="9" t="n">
        <f aca="false">IF($A12="","",COUNTIFS(Eventos!$B$4:$B$1563,$B12,Eventos!$E$4:$E$1563,$C12)+IF($C12="S",COUNTIFS(Eventos!$B$4:$B$1563,$B12,Eventos!$E$4:$E$1563,"A")+COUNTIFS(Eventos!$B$4:$B$1563,$B12,Eventos!$E$4:$E$1563,"B"),IF($C12="A",COUNTIFS(Eventos!$B$4:$B$1563,$B12,Eventos!$E$4:$E$1563,"B"),0)))</f>
        <v>14</v>
      </c>
      <c r="F12" s="9" t="n">
        <f aca="false">IF($A12="","",Checklist!$I12)</f>
        <v>0</v>
      </c>
      <c r="G12" s="9" t="str">
        <f aca="false">IF(OR($A12="",Checklist!$I12=""),"",ROUND(N(Checklist!$J12)*$E12,1))</f>
        <v/>
      </c>
      <c r="H12" s="9" t="n">
        <f aca="false">IF($A12="","",Checklist!$L12)</f>
        <v>0</v>
      </c>
      <c r="I12" s="9" t="str">
        <f aca="false">IF(OR($A12="",Checklist!$L12=""),"",ROUND(N(Checklist!$M12)*$E12,1))</f>
        <v/>
      </c>
    </row>
    <row r="13" customFormat="false" ht="15" hidden="false" customHeight="false" outlineLevel="0" collapsed="false">
      <c r="A13" s="9" t="str">
        <f aca="false">IF(Checklist!$A13="","",Checklist!$A13)</f>
        <v>Rev. A — Colhedora (500h)</v>
      </c>
      <c r="B13" s="9" t="str">
        <f aca="false">IF(Checklist!$A13="","",Checklist!$C13)</f>
        <v>Colhedora</v>
      </c>
      <c r="C13" s="9" t="str">
        <f aca="false">IF(Checklist!$A13="","",Checklist!$B13)</f>
        <v>A</v>
      </c>
      <c r="D13" s="9" t="str">
        <f aca="false">IF(Checklist!$A13="","",Checklist!$E13)</f>
        <v>Inspeção e ajuste caixa de câmbio</v>
      </c>
      <c r="E13" s="9" t="n">
        <f aca="false">IF($A13="","",COUNTIFS(Eventos!$B$4:$B$1563,$B13,Eventos!$E$4:$E$1563,$C13)+IF($C13="S",COUNTIFS(Eventos!$B$4:$B$1563,$B13,Eventos!$E$4:$E$1563,"A")+COUNTIFS(Eventos!$B$4:$B$1563,$B13,Eventos!$E$4:$E$1563,"B"),IF($C13="A",COUNTIFS(Eventos!$B$4:$B$1563,$B13,Eventos!$E$4:$E$1563,"B"),0)))</f>
        <v>14</v>
      </c>
      <c r="F13" s="9" t="str">
        <f aca="false">IF($A13="","",Checklist!$I13)</f>
        <v>Óleo câmbio SAE 90</v>
      </c>
      <c r="G13" s="9" t="n">
        <f aca="false">IF(OR($A13="",Checklist!$I13=""),"",ROUND(N(Checklist!$J13)*$E13,1))</f>
        <v>70</v>
      </c>
      <c r="H13" s="9" t="n">
        <f aca="false">IF($A13="","",Checklist!$L13)</f>
        <v>0</v>
      </c>
      <c r="I13" s="9" t="str">
        <f aca="false">IF(OR($A13="",Checklist!$L13=""),"",ROUND(N(Checklist!$M13)*$E13,1))</f>
        <v/>
      </c>
    </row>
    <row r="14" customFormat="false" ht="15" hidden="false" customHeight="false" outlineLevel="0" collapsed="false">
      <c r="A14" s="9" t="str">
        <f aca="false">IF(Checklist!$A14="","",Checklist!$A14)</f>
        <v>Rev. A — Colhedora (500h)</v>
      </c>
      <c r="B14" s="9" t="str">
        <f aca="false">IF(Checklist!$A14="","",Checklist!$C14)</f>
        <v>Colhedora</v>
      </c>
      <c r="C14" s="9" t="str">
        <f aca="false">IF(Checklist!$A14="","",Checklist!$B14)</f>
        <v>A</v>
      </c>
      <c r="D14" s="9" t="str">
        <f aca="false">IF(Checklist!$A14="","",Checklist!$E14)</f>
        <v>Verificação sistema elétrico completo</v>
      </c>
      <c r="E14" s="9" t="n">
        <f aca="false">IF($A14="","",COUNTIFS(Eventos!$B$4:$B$1563,$B14,Eventos!$E$4:$E$1563,$C14)+IF($C14="S",COUNTIFS(Eventos!$B$4:$B$1563,$B14,Eventos!$E$4:$E$1563,"A")+COUNTIFS(Eventos!$B$4:$B$1563,$B14,Eventos!$E$4:$E$1563,"B"),IF($C14="A",COUNTIFS(Eventos!$B$4:$B$1563,$B14,Eventos!$E$4:$E$1563,"B"),0)))</f>
        <v>14</v>
      </c>
      <c r="F14" s="9" t="n">
        <f aca="false">IF($A14="","",Checklist!$I14)</f>
        <v>0</v>
      </c>
      <c r="G14" s="9" t="str">
        <f aca="false">IF(OR($A14="",Checklist!$I14=""),"",ROUND(N(Checklist!$J14)*$E14,1))</f>
        <v/>
      </c>
      <c r="H14" s="9" t="n">
        <f aca="false">IF($A14="","",Checklist!$L14)</f>
        <v>0</v>
      </c>
      <c r="I14" s="9" t="str">
        <f aca="false">IF(OR($A14="",Checklist!$L14=""),"",ROUND(N(Checklist!$M14)*$E14,1))</f>
        <v/>
      </c>
    </row>
    <row r="15" customFormat="false" ht="15" hidden="false" customHeight="false" outlineLevel="0" collapsed="false">
      <c r="A15" s="9" t="str">
        <f aca="false">IF(Checklist!$A15="","",Checklist!$A15)</f>
        <v>Rev. A — Colhedora (500h)</v>
      </c>
      <c r="B15" s="9" t="str">
        <f aca="false">IF(Checklist!$A15="","",Checklist!$C15)</f>
        <v>Colhedora</v>
      </c>
      <c r="C15" s="9" t="str">
        <f aca="false">IF(Checklist!$A15="","",Checklist!$B15)</f>
        <v>A</v>
      </c>
      <c r="D15" s="9" t="str">
        <f aca="false">IF(Checklist!$A15="","",Checklist!$E15)</f>
        <v>Lubrificação e troca graxa pivôs</v>
      </c>
      <c r="E15" s="9" t="n">
        <f aca="false">IF($A15="","",COUNTIFS(Eventos!$B$4:$B$1563,$B15,Eventos!$E$4:$E$1563,$C15)+IF($C15="S",COUNTIFS(Eventos!$B$4:$B$1563,$B15,Eventos!$E$4:$E$1563,"A")+COUNTIFS(Eventos!$B$4:$B$1563,$B15,Eventos!$E$4:$E$1563,"B"),IF($C15="A",COUNTIFS(Eventos!$B$4:$B$1563,$B15,Eventos!$E$4:$E$1563,"B"),0)))</f>
        <v>14</v>
      </c>
      <c r="F15" s="9" t="str">
        <f aca="false">IF($A15="","",Checklist!$I15)</f>
        <v>Graxa EP2</v>
      </c>
      <c r="G15" s="9" t="n">
        <f aca="false">IF(OR($A15="",Checklist!$I15=""),"",ROUND(N(Checklist!$J15)*$E15,1))</f>
        <v>14</v>
      </c>
      <c r="H15" s="9" t="n">
        <f aca="false">IF($A15="","",Checklist!$L15)</f>
        <v>0</v>
      </c>
      <c r="I15" s="9" t="str">
        <f aca="false">IF(OR($A15="",Checklist!$L15=""),"",ROUND(N(Checklist!$M15)*$E15,1))</f>
        <v/>
      </c>
    </row>
    <row r="16" customFormat="false" ht="15" hidden="false" customHeight="false" outlineLevel="0" collapsed="false">
      <c r="A16" s="9" t="str">
        <f aca="false">IF(Checklist!$A16="","",Checklist!$A16)</f>
        <v>Rev. S — Trator (250h)</v>
      </c>
      <c r="B16" s="9" t="str">
        <f aca="false">IF(Checklist!$A16="","",Checklist!$C16)</f>
        <v>Trator</v>
      </c>
      <c r="C16" s="9" t="str">
        <f aca="false">IF(Checklist!$A16="","",Checklist!$B16)</f>
        <v>S</v>
      </c>
      <c r="D16" s="9" t="str">
        <f aca="false">IF(Checklist!$A16="","",Checklist!$E16)</f>
        <v>Troca óleo motor</v>
      </c>
      <c r="E16" s="9" t="n">
        <f aca="false">IF($A16="","",COUNTIFS(Eventos!$B$4:$B$1563,$B16,Eventos!$E$4:$E$1563,$C16)+IF($C16="S",COUNTIFS(Eventos!$B$4:$B$1563,$B16,Eventos!$E$4:$E$1563,"A")+COUNTIFS(Eventos!$B$4:$B$1563,$B16,Eventos!$E$4:$E$1563,"B"),IF($C16="A",COUNTIFS(Eventos!$B$4:$B$1563,$B16,Eventos!$E$4:$E$1563,"B"),0)))</f>
        <v>23</v>
      </c>
      <c r="F16" s="9" t="str">
        <f aca="false">IF($A16="","",Checklist!$I16)</f>
        <v>Óleo Motor 10W40</v>
      </c>
      <c r="G16" s="9" t="n">
        <f aca="false">IF(OR($A16="",Checklist!$I16=""),"",ROUND(N(Checklist!$J16)*$E16,1))</f>
        <v>276</v>
      </c>
      <c r="H16" s="9" t="str">
        <f aca="false">IF($A16="","",Checklist!$L16)</f>
        <v>Filtro de óleo</v>
      </c>
      <c r="I16" s="9" t="n">
        <f aca="false">IF(OR($A16="",Checklist!$L16=""),"",ROUND(N(Checklist!$M16)*$E16,1))</f>
        <v>23</v>
      </c>
    </row>
    <row r="17" customFormat="false" ht="15" hidden="false" customHeight="false" outlineLevel="0" collapsed="false">
      <c r="A17" s="9" t="str">
        <f aca="false">IF(Checklist!$A17="","",Checklist!$A17)</f>
        <v>Rev. S — Trator (250h)</v>
      </c>
      <c r="B17" s="9" t="str">
        <f aca="false">IF(Checklist!$A17="","",Checklist!$C17)</f>
        <v>Trator</v>
      </c>
      <c r="C17" s="9" t="str">
        <f aca="false">IF(Checklist!$A17="","",Checklist!$B17)</f>
        <v>S</v>
      </c>
      <c r="D17" s="9" t="str">
        <f aca="false">IF(Checklist!$A17="","",Checklist!$E17)</f>
        <v>Verificação freios e embreagem</v>
      </c>
      <c r="E17" s="9" t="n">
        <f aca="false">IF($A17="","",COUNTIFS(Eventos!$B$4:$B$1563,$B17,Eventos!$E$4:$E$1563,$C17)+IF($C17="S",COUNTIFS(Eventos!$B$4:$B$1563,$B17,Eventos!$E$4:$E$1563,"A")+COUNTIFS(Eventos!$B$4:$B$1563,$B17,Eventos!$E$4:$E$1563,"B"),IF($C17="A",COUNTIFS(Eventos!$B$4:$B$1563,$B17,Eventos!$E$4:$E$1563,"B"),0)))</f>
        <v>23</v>
      </c>
      <c r="F17" s="9" t="n">
        <f aca="false">IF($A17="","",Checklist!$I17)</f>
        <v>0</v>
      </c>
      <c r="G17" s="9" t="str">
        <f aca="false">IF(OR($A17="",Checklist!$I17=""),"",ROUND(N(Checklist!$J17)*$E17,1))</f>
        <v/>
      </c>
      <c r="H17" s="9" t="n">
        <f aca="false">IF($A17="","",Checklist!$L17)</f>
        <v>0</v>
      </c>
      <c r="I17" s="9" t="str">
        <f aca="false">IF(OR($A17="",Checklist!$L17=""),"",ROUND(N(Checklist!$M17)*$E17,1))</f>
        <v/>
      </c>
    </row>
    <row r="18" customFormat="false" ht="15" hidden="false" customHeight="false" outlineLevel="0" collapsed="false">
      <c r="A18" s="9" t="str">
        <f aca="false">IF(Checklist!$A18="","",Checklist!$A18)</f>
        <v>Rev. S — Trator (250h)</v>
      </c>
      <c r="B18" s="9" t="str">
        <f aca="false">IF(Checklist!$A18="","",Checklist!$C18)</f>
        <v>Trator</v>
      </c>
      <c r="C18" s="9" t="str">
        <f aca="false">IF(Checklist!$A18="","",Checklist!$B18)</f>
        <v>S</v>
      </c>
      <c r="D18" s="9" t="str">
        <f aca="false">IF(Checklist!$A18="","",Checklist!$E18)</f>
        <v>Lubrificação pontos fixos</v>
      </c>
      <c r="E18" s="9" t="n">
        <f aca="false">IF($A18="","",COUNTIFS(Eventos!$B$4:$B$1563,$B18,Eventos!$E$4:$E$1563,$C18)+IF($C18="S",COUNTIFS(Eventos!$B$4:$B$1563,$B18,Eventos!$E$4:$E$1563,"A")+COUNTIFS(Eventos!$B$4:$B$1563,$B18,Eventos!$E$4:$E$1563,"B"),IF($C18="A",COUNTIFS(Eventos!$B$4:$B$1563,$B18,Eventos!$E$4:$E$1563,"B"),0)))</f>
        <v>23</v>
      </c>
      <c r="F18" s="9" t="str">
        <f aca="false">IF($A18="","",Checklist!$I18)</f>
        <v>Graxa EP2</v>
      </c>
      <c r="G18" s="9" t="n">
        <f aca="false">IF(OR($A18="",Checklist!$I18=""),"",ROUND(N(Checklist!$J18)*$E18,1))</f>
        <v>6.9</v>
      </c>
      <c r="H18" s="9" t="n">
        <f aca="false">IF($A18="","",Checklist!$L18)</f>
        <v>0</v>
      </c>
      <c r="I18" s="9" t="str">
        <f aca="false">IF(OR($A18="",Checklist!$L18=""),"",ROUND(N(Checklist!$M18)*$E18,1))</f>
        <v/>
      </c>
    </row>
    <row r="19" customFormat="false" ht="15" hidden="false" customHeight="false" outlineLevel="0" collapsed="false">
      <c r="A19" s="9" t="str">
        <f aca="false">IF(Checklist!$A19="","",Checklist!$A19)</f>
        <v>Rev. S — Caminhão (10Kkm)</v>
      </c>
      <c r="B19" s="9" t="str">
        <f aca="false">IF(Checklist!$A19="","",Checklist!$C19)</f>
        <v>Caminhão</v>
      </c>
      <c r="C19" s="9" t="str">
        <f aca="false">IF(Checklist!$A19="","",Checklist!$B19)</f>
        <v>S</v>
      </c>
      <c r="D19" s="9" t="str">
        <f aca="false">IF(Checklist!$A19="","",Checklist!$E19)</f>
        <v>Troca óleo motor + filtro</v>
      </c>
      <c r="E19" s="9" t="n">
        <f aca="false">IF($A19="","",COUNTIFS(Eventos!$B$4:$B$1563,$B19,Eventos!$E$4:$E$1563,$C19)+IF($C19="S",COUNTIFS(Eventos!$B$4:$B$1563,$B19,Eventos!$E$4:$E$1563,"A")+COUNTIFS(Eventos!$B$4:$B$1563,$B19,Eventos!$E$4:$E$1563,"B"),IF($C19="A",COUNTIFS(Eventos!$B$4:$B$1563,$B19,Eventos!$E$4:$E$1563,"B"),0)))</f>
        <v>12</v>
      </c>
      <c r="F19" s="9" t="str">
        <f aca="false">IF($A19="","",Checklist!$I19)</f>
        <v>Óleo Motor 15W40</v>
      </c>
      <c r="G19" s="9" t="n">
        <f aca="false">IF(OR($A19="",Checklist!$I19=""),"",ROUND(N(Checklist!$J19)*$E19,1))</f>
        <v>300</v>
      </c>
      <c r="H19" s="9" t="str">
        <f aca="false">IF($A19="","",Checklist!$L19)</f>
        <v>Filtro de óleo</v>
      </c>
      <c r="I19" s="9" t="n">
        <f aca="false">IF(OR($A19="",Checklist!$L19=""),"",ROUND(N(Checklist!$M19)*$E19,1))</f>
        <v>12</v>
      </c>
    </row>
    <row r="20" customFormat="false" ht="15" hidden="false" customHeight="false" outlineLevel="0" collapsed="false">
      <c r="A20" s="9" t="str">
        <f aca="false">IF(Checklist!$A20="","",Checklist!$A20)</f>
        <v>Rev. S — Caminhão (10Kkm)</v>
      </c>
      <c r="B20" s="9" t="str">
        <f aca="false">IF(Checklist!$A20="","",Checklist!$C20)</f>
        <v>Caminhão</v>
      </c>
      <c r="C20" s="9" t="str">
        <f aca="false">IF(Checklist!$A20="","",Checklist!$B20)</f>
        <v>S</v>
      </c>
      <c r="D20" s="9" t="str">
        <f aca="false">IF(Checklist!$A20="","",Checklist!$E20)</f>
        <v>Inspeção sistema de freios</v>
      </c>
      <c r="E20" s="9" t="n">
        <f aca="false">IF($A20="","",COUNTIFS(Eventos!$B$4:$B$1563,$B20,Eventos!$E$4:$E$1563,$C20)+IF($C20="S",COUNTIFS(Eventos!$B$4:$B$1563,$B20,Eventos!$E$4:$E$1563,"A")+COUNTIFS(Eventos!$B$4:$B$1563,$B20,Eventos!$E$4:$E$1563,"B"),IF($C20="A",COUNTIFS(Eventos!$B$4:$B$1563,$B20,Eventos!$E$4:$E$1563,"B"),0)))</f>
        <v>12</v>
      </c>
      <c r="F20" s="9" t="n">
        <f aca="false">IF($A20="","",Checklist!$I20)</f>
        <v>0</v>
      </c>
      <c r="G20" s="9" t="str">
        <f aca="false">IF(OR($A20="",Checklist!$I20=""),"",ROUND(N(Checklist!$J20)*$E20,1))</f>
        <v/>
      </c>
      <c r="H20" s="9" t="n">
        <f aca="false">IF($A20="","",Checklist!$L20)</f>
        <v>0</v>
      </c>
      <c r="I20" s="9" t="str">
        <f aca="false">IF(OR($A20="",Checklist!$L20=""),"",ROUND(N(Checklist!$M20)*$E20,1))</f>
        <v/>
      </c>
    </row>
    <row r="21" customFormat="false" ht="15" hidden="false" customHeight="false" outlineLevel="0" collapsed="false">
      <c r="A21" s="9" t="str">
        <f aca="false">IF(Checklist!$A21="","",Checklist!$A21)</f>
        <v>Rev. S — Caminhão (10Kkm)</v>
      </c>
      <c r="B21" s="9" t="str">
        <f aca="false">IF(Checklist!$A21="","",Checklist!$C21)</f>
        <v>Caminhão</v>
      </c>
      <c r="C21" s="9" t="str">
        <f aca="false">IF(Checklist!$A21="","",Checklist!$B21)</f>
        <v>S</v>
      </c>
      <c r="D21" s="9" t="str">
        <f aca="false">IF(Checklist!$A21="","",Checklist!$E21)</f>
        <v>Calibragem e inspeção de pneus</v>
      </c>
      <c r="E21" s="9" t="n">
        <f aca="false">IF($A21="","",COUNTIFS(Eventos!$B$4:$B$1563,$B21,Eventos!$E$4:$E$1563,$C21)+IF($C21="S",COUNTIFS(Eventos!$B$4:$B$1563,$B21,Eventos!$E$4:$E$1563,"A")+COUNTIFS(Eventos!$B$4:$B$1563,$B21,Eventos!$E$4:$E$1563,"B"),IF($C21="A",COUNTIFS(Eventos!$B$4:$B$1563,$B21,Eventos!$E$4:$E$1563,"B"),0)))</f>
        <v>12</v>
      </c>
      <c r="F21" s="9" t="n">
        <f aca="false">IF($A21="","",Checklist!$I21)</f>
        <v>0</v>
      </c>
      <c r="G21" s="9" t="str">
        <f aca="false">IF(OR($A21="",Checklist!$I21=""),"",ROUND(N(Checklist!$J21)*$E21,1))</f>
        <v/>
      </c>
      <c r="H21" s="9" t="n">
        <f aca="false">IF($A21="","",Checklist!$L21)</f>
        <v>0</v>
      </c>
      <c r="I21" s="9" t="str">
        <f aca="false">IF(OR($A21="",Checklist!$L21=""),"",ROUND(N(Checklist!$M21)*$E21,1))</f>
        <v/>
      </c>
    </row>
    <row r="22" customFormat="false" ht="15" hidden="false" customHeight="false" outlineLevel="0" collapsed="false">
      <c r="A22" s="9" t="str">
        <f aca="false">IF(Checklist!$A22="","",Checklist!$A22)</f>
        <v>Rev. S — Caminhão (10Kkm)</v>
      </c>
      <c r="B22" s="9" t="str">
        <f aca="false">IF(Checklist!$A22="","",Checklist!$C22)</f>
        <v>Caminhão</v>
      </c>
      <c r="C22" s="9" t="str">
        <f aca="false">IF(Checklist!$A22="","",Checklist!$B22)</f>
        <v>S</v>
      </c>
      <c r="D22" s="9" t="str">
        <f aca="false">IF(Checklist!$A22="","",Checklist!$E22)</f>
        <v>Lubrificação chassi e 5ª roda</v>
      </c>
      <c r="E22" s="9" t="n">
        <f aca="false">IF($A22="","",COUNTIFS(Eventos!$B$4:$B$1563,$B22,Eventos!$E$4:$E$1563,$C22)+IF($C22="S",COUNTIFS(Eventos!$B$4:$B$1563,$B22,Eventos!$E$4:$E$1563,"A")+COUNTIFS(Eventos!$B$4:$B$1563,$B22,Eventos!$E$4:$E$1563,"B"),IF($C22="A",COUNTIFS(Eventos!$B$4:$B$1563,$B22,Eventos!$E$4:$E$1563,"B"),0)))</f>
        <v>12</v>
      </c>
      <c r="F22" s="9" t="str">
        <f aca="false">IF($A22="","",Checklist!$I22)</f>
        <v>Graxa EP2</v>
      </c>
      <c r="G22" s="9" t="n">
        <f aca="false">IF(OR($A22="",Checklist!$I22=""),"",ROUND(N(Checklist!$J22)*$E22,1))</f>
        <v>6</v>
      </c>
      <c r="H22" s="9" t="n">
        <f aca="false">IF($A22="","",Checklist!$L22)</f>
        <v>0</v>
      </c>
      <c r="I22" s="9" t="str">
        <f aca="false">IF(OR($A22="",Checklist!$L22=""),"",ROUND(N(Checklist!$M22)*$E22,1))</f>
        <v/>
      </c>
    </row>
    <row r="23" customFormat="false" ht="15" hidden="false" customHeight="false" outlineLevel="0" collapsed="false">
      <c r="A23" s="9" t="str">
        <f aca="false">IF(Checklist!$A23="","",Checklist!$A23)</f>
        <v>Rev. A — Caminhão (20Kkm)</v>
      </c>
      <c r="B23" s="9" t="str">
        <f aca="false">IF(Checklist!$A23="","",Checklist!$C23)</f>
        <v>Caminhão</v>
      </c>
      <c r="C23" s="9" t="str">
        <f aca="false">IF(Checklist!$A23="","",Checklist!$B23)</f>
        <v>A</v>
      </c>
      <c r="D23" s="9" t="str">
        <f aca="false">IF(Checklist!$A23="","",Checklist!$E23)</f>
        <v>Troca óleo + filtros + filtro ar</v>
      </c>
      <c r="E23" s="9" t="n">
        <f aca="false">IF($A23="","",COUNTIFS(Eventos!$B$4:$B$1563,$B23,Eventos!$E$4:$E$1563,$C23)+IF($C23="S",COUNTIFS(Eventos!$B$4:$B$1563,$B23,Eventos!$E$4:$E$1563,"A")+COUNTIFS(Eventos!$B$4:$B$1563,$B23,Eventos!$E$4:$E$1563,"B"),IF($C23="A",COUNTIFS(Eventos!$B$4:$B$1563,$B23,Eventos!$E$4:$E$1563,"B"),0)))</f>
        <v>6</v>
      </c>
      <c r="F23" s="9" t="str">
        <f aca="false">IF($A23="","",Checklist!$I23)</f>
        <v>Óleo Motor 15W40</v>
      </c>
      <c r="G23" s="9" t="n">
        <f aca="false">IF(OR($A23="",Checklist!$I23=""),"",ROUND(N(Checklist!$J23)*$E23,1))</f>
        <v>150</v>
      </c>
      <c r="H23" s="9" t="str">
        <f aca="false">IF($A23="","",Checklist!$L23)</f>
        <v>Kit filtros (2un)</v>
      </c>
      <c r="I23" s="9" t="n">
        <f aca="false">IF(OR($A23="",Checklist!$L23=""),"",ROUND(N(Checklist!$M23)*$E23,1))</f>
        <v>12</v>
      </c>
    </row>
    <row r="24" customFormat="false" ht="15" hidden="false" customHeight="false" outlineLevel="0" collapsed="false">
      <c r="A24" s="9" t="str">
        <f aca="false">IF(Checklist!$A24="","",Checklist!$A24)</f>
        <v>Rev. A — Caminhão (20Kkm)</v>
      </c>
      <c r="B24" s="9" t="str">
        <f aca="false">IF(Checklist!$A24="","",Checklist!$C24)</f>
        <v>Caminhão</v>
      </c>
      <c r="C24" s="9" t="str">
        <f aca="false">IF(Checklist!$A24="","",Checklist!$B24)</f>
        <v>A</v>
      </c>
      <c r="D24" s="9" t="str">
        <f aca="false">IF(Checklist!$A24="","",Checklist!$E24)</f>
        <v>Regulagem freios e embreagem</v>
      </c>
      <c r="E24" s="9" t="n">
        <f aca="false">IF($A24="","",COUNTIFS(Eventos!$B$4:$B$1563,$B24,Eventos!$E$4:$E$1563,$C24)+IF($C24="S",COUNTIFS(Eventos!$B$4:$B$1563,$B24,Eventos!$E$4:$E$1563,"A")+COUNTIFS(Eventos!$B$4:$B$1563,$B24,Eventos!$E$4:$E$1563,"B"),IF($C24="A",COUNTIFS(Eventos!$B$4:$B$1563,$B24,Eventos!$E$4:$E$1563,"B"),0)))</f>
        <v>6</v>
      </c>
      <c r="F24" s="9" t="str">
        <f aca="false">IF($A24="","",Checklist!$I24)</f>
        <v>Fluido de freio</v>
      </c>
      <c r="G24" s="9" t="n">
        <f aca="false">IF(OR($A24="",Checklist!$I24=""),"",ROUND(N(Checklist!$J24)*$E24,1))</f>
        <v>3</v>
      </c>
      <c r="H24" s="9" t="n">
        <f aca="false">IF($A24="","",Checklist!$L24)</f>
        <v>0</v>
      </c>
      <c r="I24" s="9" t="str">
        <f aca="false">IF(OR($A24="",Checklist!$L24=""),"",ROUND(N(Checklist!$M24)*$E24,1))</f>
        <v/>
      </c>
    </row>
    <row r="25" customFormat="false" ht="15" hidden="false" customHeight="false" outlineLevel="0" collapsed="false">
      <c r="A25" s="9" t="str">
        <f aca="false">IF(Checklist!$A25="","",Checklist!$A25)</f>
        <v>Rev. A — Caminhão (20Kkm)</v>
      </c>
      <c r="B25" s="9" t="str">
        <f aca="false">IF(Checklist!$A25="","",Checklist!$C25)</f>
        <v>Caminhão</v>
      </c>
      <c r="C25" s="9" t="str">
        <f aca="false">IF(Checklist!$A25="","",Checklist!$B25)</f>
        <v>A</v>
      </c>
      <c r="D25" s="9" t="str">
        <f aca="false">IF(Checklist!$A25="","",Checklist!$E25)</f>
        <v>Verificação sistema elétrico + bateria</v>
      </c>
      <c r="E25" s="9" t="n">
        <f aca="false">IF($A25="","",COUNTIFS(Eventos!$B$4:$B$1563,$B25,Eventos!$E$4:$E$1563,$C25)+IF($C25="S",COUNTIFS(Eventos!$B$4:$B$1563,$B25,Eventos!$E$4:$E$1563,"A")+COUNTIFS(Eventos!$B$4:$B$1563,$B25,Eventos!$E$4:$E$1563,"B"),IF($C25="A",COUNTIFS(Eventos!$B$4:$B$1563,$B25,Eventos!$E$4:$E$1563,"B"),0)))</f>
        <v>6</v>
      </c>
      <c r="F25" s="9" t="n">
        <f aca="false">IF($A25="","",Checklist!$I25)</f>
        <v>0</v>
      </c>
      <c r="G25" s="9" t="str">
        <f aca="false">IF(OR($A25="",Checklist!$I25=""),"",ROUND(N(Checklist!$J25)*$E25,1))</f>
        <v/>
      </c>
      <c r="H25" s="9" t="n">
        <f aca="false">IF($A25="","",Checklist!$L25)</f>
        <v>0</v>
      </c>
      <c r="I25" s="9" t="str">
        <f aca="false">IF(OR($A25="",Checklist!$L25=""),"",ROUND(N(Checklist!$M25)*$E25,1))</f>
        <v/>
      </c>
    </row>
    <row r="26" customFormat="false" ht="15" hidden="false" customHeight="false" outlineLevel="0" collapsed="false">
      <c r="A26" s="9" t="str">
        <f aca="false">IF(Checklist!$A26="","",Checklist!$A26)</f>
        <v>Rev. S — Implemento (300h)</v>
      </c>
      <c r="B26" s="9" t="str">
        <f aca="false">IF(Checklist!$A26="","",Checklist!$C26)</f>
        <v>Implemento</v>
      </c>
      <c r="C26" s="9" t="str">
        <f aca="false">IF(Checklist!$A26="","",Checklist!$B26)</f>
        <v>S</v>
      </c>
      <c r="D26" s="9" t="str">
        <f aca="false">IF(Checklist!$A26="","",Checklist!$E26)</f>
        <v>Inspeção estrutural e solda</v>
      </c>
      <c r="E26" s="9" t="n">
        <f aca="false">IF($A26="","",COUNTIFS(Eventos!$B$4:$B$1563,$B26,Eventos!$E$4:$E$1563,$C26)+IF($C26="S",COUNTIFS(Eventos!$B$4:$B$1563,$B26,Eventos!$E$4:$E$1563,"A")+COUNTIFS(Eventos!$B$4:$B$1563,$B26,Eventos!$E$4:$E$1563,"B"),IF($C26="A",COUNTIFS(Eventos!$B$4:$B$1563,$B26,Eventos!$E$4:$E$1563,"B"),0)))</f>
        <v>9</v>
      </c>
      <c r="F26" s="9" t="n">
        <f aca="false">IF($A26="","",Checklist!$I26)</f>
        <v>0</v>
      </c>
      <c r="G26" s="9" t="str">
        <f aca="false">IF(OR($A26="",Checklist!$I26=""),"",ROUND(N(Checklist!$J26)*$E26,1))</f>
        <v/>
      </c>
      <c r="H26" s="9" t="n">
        <f aca="false">IF($A26="","",Checklist!$L26)</f>
        <v>0</v>
      </c>
      <c r="I26" s="9" t="str">
        <f aca="false">IF(OR($A26="",Checklist!$L26=""),"",ROUND(N(Checklist!$M26)*$E26,1))</f>
        <v/>
      </c>
    </row>
    <row r="27" customFormat="false" ht="15" hidden="false" customHeight="false" outlineLevel="0" collapsed="false">
      <c r="A27" s="9" t="str">
        <f aca="false">IF(Checklist!$A27="","",Checklist!$A27)</f>
        <v>Rev. S — Implemento (300h)</v>
      </c>
      <c r="B27" s="9" t="str">
        <f aca="false">IF(Checklist!$A27="","",Checklist!$C27)</f>
        <v>Implemento</v>
      </c>
      <c r="C27" s="9" t="str">
        <f aca="false">IF(Checklist!$A27="","",Checklist!$B27)</f>
        <v>S</v>
      </c>
      <c r="D27" s="9" t="str">
        <f aca="false">IF(Checklist!$A27="","",Checklist!$E27)</f>
        <v>Verificação sistema hidráulico</v>
      </c>
      <c r="E27" s="9" t="n">
        <f aca="false">IF($A27="","",COUNTIFS(Eventos!$B$4:$B$1563,$B27,Eventos!$E$4:$E$1563,$C27)+IF($C27="S",COUNTIFS(Eventos!$B$4:$B$1563,$B27,Eventos!$E$4:$E$1563,"A")+COUNTIFS(Eventos!$B$4:$B$1563,$B27,Eventos!$E$4:$E$1563,"B"),IF($C27="A",COUNTIFS(Eventos!$B$4:$B$1563,$B27,Eventos!$E$4:$E$1563,"B"),0)))</f>
        <v>9</v>
      </c>
      <c r="F27" s="9" t="str">
        <f aca="false">IF($A27="","",Checklist!$I27)</f>
        <v>Óleo hidráulico</v>
      </c>
      <c r="G27" s="9" t="n">
        <f aca="false">IF(OR($A27="",Checklist!$I27=""),"",ROUND(N(Checklist!$J27)*$E27,1))</f>
        <v>18</v>
      </c>
      <c r="H27" s="9" t="n">
        <f aca="false">IF($A27="","",Checklist!$L27)</f>
        <v>0</v>
      </c>
      <c r="I27" s="9" t="str">
        <f aca="false">IF(OR($A27="",Checklist!$L27=""),"",ROUND(N(Checklist!$M27)*$E27,1))</f>
        <v/>
      </c>
    </row>
    <row r="28" customFormat="false" ht="15" hidden="false" customHeight="false" outlineLevel="0" collapsed="false">
      <c r="A28" s="9" t="str">
        <f aca="false">IF(Checklist!$A28="","",Checklist!$A28)</f>
        <v>Rev. S — Implemento (300h)</v>
      </c>
      <c r="B28" s="9" t="str">
        <f aca="false">IF(Checklist!$A28="","",Checklist!$C28)</f>
        <v>Implemento</v>
      </c>
      <c r="C28" s="9" t="str">
        <f aca="false">IF(Checklist!$A28="","",Checklist!$B28)</f>
        <v>S</v>
      </c>
      <c r="D28" s="9" t="str">
        <f aca="false">IF(Checklist!$A28="","",Checklist!$E28)</f>
        <v>Lubrificação rolamentos e articulações</v>
      </c>
      <c r="E28" s="9" t="n">
        <f aca="false">IF($A28="","",COUNTIFS(Eventos!$B$4:$B$1563,$B28,Eventos!$E$4:$E$1563,$C28)+IF($C28="S",COUNTIFS(Eventos!$B$4:$B$1563,$B28,Eventos!$E$4:$E$1563,"A")+COUNTIFS(Eventos!$B$4:$B$1563,$B28,Eventos!$E$4:$E$1563,"B"),IF($C28="A",COUNTIFS(Eventos!$B$4:$B$1563,$B28,Eventos!$E$4:$E$1563,"B"),0)))</f>
        <v>9</v>
      </c>
      <c r="F28" s="9" t="str">
        <f aca="false">IF($A28="","",Checklist!$I28)</f>
        <v>Graxa EP2</v>
      </c>
      <c r="G28" s="9" t="n">
        <f aca="false">IF(OR($A28="",Checklist!$I28=""),"",ROUND(N(Checklist!$J28)*$E28,1))</f>
        <v>2.7</v>
      </c>
      <c r="H28" s="9" t="n">
        <f aca="false">IF($A28="","",Checklist!$L28)</f>
        <v>0</v>
      </c>
      <c r="I28" s="9" t="str">
        <f aca="false">IF(OR($A28="",Checklist!$L28=""),"",ROUND(N(Checklist!$M28)*$E28,1))</f>
        <v/>
      </c>
    </row>
    <row r="29" customFormat="false" ht="15" hidden="false" customHeight="false" outlineLevel="0" collapsed="false">
      <c r="A29" s="9" t="str">
        <f aca="false">IF(Checklist!$A29="","",Checklist!$A29)</f>
        <v/>
      </c>
      <c r="B29" s="9" t="str">
        <f aca="false">IF(Checklist!$A29="","",Checklist!$C29)</f>
        <v/>
      </c>
      <c r="C29" s="9" t="str">
        <f aca="false">IF(Checklist!$A29="","",Checklist!$B29)</f>
        <v/>
      </c>
      <c r="D29" s="9" t="str">
        <f aca="false">IF(Checklist!$A29="","",Checklist!$E29)</f>
        <v/>
      </c>
      <c r="E29" s="9" t="str">
        <f aca="false">IF($A29="","",COUNTIFS(Eventos!$B$4:$B$1563,$B29,Eventos!$E$4:$E$1563,$C29)+IF($C29="S",COUNTIFS(Eventos!$B$4:$B$1563,$B29,Eventos!$E$4:$E$1563,"A")+COUNTIFS(Eventos!$B$4:$B$1563,$B29,Eventos!$E$4:$E$1563,"B"),IF($C29="A",COUNTIFS(Eventos!$B$4:$B$1563,$B29,Eventos!$E$4:$E$1563,"B"),0)))</f>
        <v/>
      </c>
      <c r="F29" s="9" t="str">
        <f aca="false">IF($A29="","",Checklist!$I29)</f>
        <v/>
      </c>
      <c r="G29" s="9" t="str">
        <f aca="false">IF(OR($A29="",Checklist!$I29=""),"",ROUND(N(Checklist!$J29)*$E29,1))</f>
        <v/>
      </c>
      <c r="H29" s="9" t="str">
        <f aca="false">IF($A29="","",Checklist!$L29)</f>
        <v/>
      </c>
      <c r="I29" s="9" t="str">
        <f aca="false">IF(OR($A29="",Checklist!$L29=""),"",ROUND(N(Checklist!$M29)*$E29,1))</f>
        <v/>
      </c>
    </row>
    <row r="30" customFormat="false" ht="15" hidden="false" customHeight="false" outlineLevel="0" collapsed="false">
      <c r="A30" s="9" t="str">
        <f aca="false">IF(Checklist!$A30="","",Checklist!$A30)</f>
        <v/>
      </c>
      <c r="B30" s="9" t="str">
        <f aca="false">IF(Checklist!$A30="","",Checklist!$C30)</f>
        <v/>
      </c>
      <c r="C30" s="9" t="str">
        <f aca="false">IF(Checklist!$A30="","",Checklist!$B30)</f>
        <v/>
      </c>
      <c r="D30" s="9" t="str">
        <f aca="false">IF(Checklist!$A30="","",Checklist!$E30)</f>
        <v/>
      </c>
      <c r="E30" s="9" t="str">
        <f aca="false">IF($A30="","",COUNTIFS(Eventos!$B$4:$B$1563,$B30,Eventos!$E$4:$E$1563,$C30)+IF($C30="S",COUNTIFS(Eventos!$B$4:$B$1563,$B30,Eventos!$E$4:$E$1563,"A")+COUNTIFS(Eventos!$B$4:$B$1563,$B30,Eventos!$E$4:$E$1563,"B"),IF($C30="A",COUNTIFS(Eventos!$B$4:$B$1563,$B30,Eventos!$E$4:$E$1563,"B"),0)))</f>
        <v/>
      </c>
      <c r="F30" s="9" t="str">
        <f aca="false">IF($A30="","",Checklist!$I30)</f>
        <v/>
      </c>
      <c r="G30" s="9" t="str">
        <f aca="false">IF(OR($A30="",Checklist!$I30=""),"",ROUND(N(Checklist!$J30)*$E30,1))</f>
        <v/>
      </c>
      <c r="H30" s="9" t="str">
        <f aca="false">IF($A30="","",Checklist!$L30)</f>
        <v/>
      </c>
      <c r="I30" s="9" t="str">
        <f aca="false">IF(OR($A30="",Checklist!$L30=""),"",ROUND(N(Checklist!$M30)*$E30,1))</f>
        <v/>
      </c>
    </row>
    <row r="31" customFormat="false" ht="15" hidden="false" customHeight="false" outlineLevel="0" collapsed="false">
      <c r="A31" s="9" t="str">
        <f aca="false">IF(Checklist!$A31="","",Checklist!$A31)</f>
        <v/>
      </c>
      <c r="B31" s="9" t="str">
        <f aca="false">IF(Checklist!$A31="","",Checklist!$C31)</f>
        <v/>
      </c>
      <c r="C31" s="9" t="str">
        <f aca="false">IF(Checklist!$A31="","",Checklist!$B31)</f>
        <v/>
      </c>
      <c r="D31" s="9" t="str">
        <f aca="false">IF(Checklist!$A31="","",Checklist!$E31)</f>
        <v/>
      </c>
      <c r="E31" s="9" t="str">
        <f aca="false">IF($A31="","",COUNTIFS(Eventos!$B$4:$B$1563,$B31,Eventos!$E$4:$E$1563,$C31)+IF($C31="S",COUNTIFS(Eventos!$B$4:$B$1563,$B31,Eventos!$E$4:$E$1563,"A")+COUNTIFS(Eventos!$B$4:$B$1563,$B31,Eventos!$E$4:$E$1563,"B"),IF($C31="A",COUNTIFS(Eventos!$B$4:$B$1563,$B31,Eventos!$E$4:$E$1563,"B"),0)))</f>
        <v/>
      </c>
      <c r="F31" s="9" t="str">
        <f aca="false">IF($A31="","",Checklist!$I31)</f>
        <v/>
      </c>
      <c r="G31" s="9" t="str">
        <f aca="false">IF(OR($A31="",Checklist!$I31=""),"",ROUND(N(Checklist!$J31)*$E31,1))</f>
        <v/>
      </c>
      <c r="H31" s="9" t="str">
        <f aca="false">IF($A31="","",Checklist!$L31)</f>
        <v/>
      </c>
      <c r="I31" s="9" t="str">
        <f aca="false">IF(OR($A31="",Checklist!$L31=""),"",ROUND(N(Checklist!$M31)*$E31,1))</f>
        <v/>
      </c>
    </row>
    <row r="32" customFormat="false" ht="15" hidden="false" customHeight="false" outlineLevel="0" collapsed="false">
      <c r="A32" s="9" t="str">
        <f aca="false">IF(Checklist!$A32="","",Checklist!$A32)</f>
        <v/>
      </c>
      <c r="B32" s="9" t="str">
        <f aca="false">IF(Checklist!$A32="","",Checklist!$C32)</f>
        <v/>
      </c>
      <c r="C32" s="9" t="str">
        <f aca="false">IF(Checklist!$A32="","",Checklist!$B32)</f>
        <v/>
      </c>
      <c r="D32" s="9" t="str">
        <f aca="false">IF(Checklist!$A32="","",Checklist!$E32)</f>
        <v/>
      </c>
      <c r="E32" s="9" t="str">
        <f aca="false">IF($A32="","",COUNTIFS(Eventos!$B$4:$B$1563,$B32,Eventos!$E$4:$E$1563,$C32)+IF($C32="S",COUNTIFS(Eventos!$B$4:$B$1563,$B32,Eventos!$E$4:$E$1563,"A")+COUNTIFS(Eventos!$B$4:$B$1563,$B32,Eventos!$E$4:$E$1563,"B"),IF($C32="A",COUNTIFS(Eventos!$B$4:$B$1563,$B32,Eventos!$E$4:$E$1563,"B"),0)))</f>
        <v/>
      </c>
      <c r="F32" s="9" t="str">
        <f aca="false">IF($A32="","",Checklist!$I32)</f>
        <v/>
      </c>
      <c r="G32" s="9" t="str">
        <f aca="false">IF(OR($A32="",Checklist!$I32=""),"",ROUND(N(Checklist!$J32)*$E32,1))</f>
        <v/>
      </c>
      <c r="H32" s="9" t="str">
        <f aca="false">IF($A32="","",Checklist!$L32)</f>
        <v/>
      </c>
      <c r="I32" s="9" t="str">
        <f aca="false">IF(OR($A32="",Checklist!$L32=""),"",ROUND(N(Checklist!$M32)*$E32,1))</f>
        <v/>
      </c>
    </row>
    <row r="33" customFormat="false" ht="15" hidden="false" customHeight="false" outlineLevel="0" collapsed="false">
      <c r="A33" s="9" t="str">
        <f aca="false">IF(Checklist!$A33="","",Checklist!$A33)</f>
        <v/>
      </c>
      <c r="B33" s="9" t="str">
        <f aca="false">IF(Checklist!$A33="","",Checklist!$C33)</f>
        <v/>
      </c>
      <c r="C33" s="9" t="str">
        <f aca="false">IF(Checklist!$A33="","",Checklist!$B33)</f>
        <v/>
      </c>
      <c r="D33" s="9" t="str">
        <f aca="false">IF(Checklist!$A33="","",Checklist!$E33)</f>
        <v/>
      </c>
      <c r="E33" s="9" t="str">
        <f aca="false">IF($A33="","",COUNTIFS(Eventos!$B$4:$B$1563,$B33,Eventos!$E$4:$E$1563,$C33)+IF($C33="S",COUNTIFS(Eventos!$B$4:$B$1563,$B33,Eventos!$E$4:$E$1563,"A")+COUNTIFS(Eventos!$B$4:$B$1563,$B33,Eventos!$E$4:$E$1563,"B"),IF($C33="A",COUNTIFS(Eventos!$B$4:$B$1563,$B33,Eventos!$E$4:$E$1563,"B"),0)))</f>
        <v/>
      </c>
      <c r="F33" s="9" t="str">
        <f aca="false">IF($A33="","",Checklist!$I33)</f>
        <v/>
      </c>
      <c r="G33" s="9" t="str">
        <f aca="false">IF(OR($A33="",Checklist!$I33=""),"",ROUND(N(Checklist!$J33)*$E33,1))</f>
        <v/>
      </c>
      <c r="H33" s="9" t="str">
        <f aca="false">IF($A33="","",Checklist!$L33)</f>
        <v/>
      </c>
      <c r="I33" s="9" t="str">
        <f aca="false">IF(OR($A33="",Checklist!$L33=""),"",ROUND(N(Checklist!$M33)*$E33,1))</f>
        <v/>
      </c>
    </row>
    <row r="34" customFormat="false" ht="15" hidden="false" customHeight="false" outlineLevel="0" collapsed="false">
      <c r="A34" s="9" t="str">
        <f aca="false">IF(Checklist!$A34="","",Checklist!$A34)</f>
        <v/>
      </c>
      <c r="B34" s="9" t="str">
        <f aca="false">IF(Checklist!$A34="","",Checklist!$C34)</f>
        <v/>
      </c>
      <c r="C34" s="9" t="str">
        <f aca="false">IF(Checklist!$A34="","",Checklist!$B34)</f>
        <v/>
      </c>
      <c r="D34" s="9" t="str">
        <f aca="false">IF(Checklist!$A34="","",Checklist!$E34)</f>
        <v/>
      </c>
      <c r="E34" s="9" t="str">
        <f aca="false">IF($A34="","",COUNTIFS(Eventos!$B$4:$B$1563,$B34,Eventos!$E$4:$E$1563,$C34)+IF($C34="S",COUNTIFS(Eventos!$B$4:$B$1563,$B34,Eventos!$E$4:$E$1563,"A")+COUNTIFS(Eventos!$B$4:$B$1563,$B34,Eventos!$E$4:$E$1563,"B"),IF($C34="A",COUNTIFS(Eventos!$B$4:$B$1563,$B34,Eventos!$E$4:$E$1563,"B"),0)))</f>
        <v/>
      </c>
      <c r="F34" s="9" t="str">
        <f aca="false">IF($A34="","",Checklist!$I34)</f>
        <v/>
      </c>
      <c r="G34" s="9" t="str">
        <f aca="false">IF(OR($A34="",Checklist!$I34=""),"",ROUND(N(Checklist!$J34)*$E34,1))</f>
        <v/>
      </c>
      <c r="H34" s="9" t="str">
        <f aca="false">IF($A34="","",Checklist!$L34)</f>
        <v/>
      </c>
      <c r="I34" s="9" t="str">
        <f aca="false">IF(OR($A34="",Checklist!$L34=""),"",ROUND(N(Checklist!$M34)*$E34,1))</f>
        <v/>
      </c>
    </row>
    <row r="35" customFormat="false" ht="15" hidden="false" customHeight="false" outlineLevel="0" collapsed="false">
      <c r="A35" s="9" t="str">
        <f aca="false">IF(Checklist!$A35="","",Checklist!$A35)</f>
        <v/>
      </c>
      <c r="B35" s="9" t="str">
        <f aca="false">IF(Checklist!$A35="","",Checklist!$C35)</f>
        <v/>
      </c>
      <c r="C35" s="9" t="str">
        <f aca="false">IF(Checklist!$A35="","",Checklist!$B35)</f>
        <v/>
      </c>
      <c r="D35" s="9" t="str">
        <f aca="false">IF(Checklist!$A35="","",Checklist!$E35)</f>
        <v/>
      </c>
      <c r="E35" s="9" t="str">
        <f aca="false">IF($A35="","",COUNTIFS(Eventos!$B$4:$B$1563,$B35,Eventos!$E$4:$E$1563,$C35)+IF($C35="S",COUNTIFS(Eventos!$B$4:$B$1563,$B35,Eventos!$E$4:$E$1563,"A")+COUNTIFS(Eventos!$B$4:$B$1563,$B35,Eventos!$E$4:$E$1563,"B"),IF($C35="A",COUNTIFS(Eventos!$B$4:$B$1563,$B35,Eventos!$E$4:$E$1563,"B"),0)))</f>
        <v/>
      </c>
      <c r="F35" s="9" t="str">
        <f aca="false">IF($A35="","",Checklist!$I35)</f>
        <v/>
      </c>
      <c r="G35" s="9" t="str">
        <f aca="false">IF(OR($A35="",Checklist!$I35=""),"",ROUND(N(Checklist!$J35)*$E35,1))</f>
        <v/>
      </c>
      <c r="H35" s="9" t="str">
        <f aca="false">IF($A35="","",Checklist!$L35)</f>
        <v/>
      </c>
      <c r="I35" s="9" t="str">
        <f aca="false">IF(OR($A35="",Checklist!$L35=""),"",ROUND(N(Checklist!$M35)*$E35,1))</f>
        <v/>
      </c>
    </row>
    <row r="36" customFormat="false" ht="15" hidden="false" customHeight="false" outlineLevel="0" collapsed="false">
      <c r="A36" s="9" t="str">
        <f aca="false">IF(Checklist!$A36="","",Checklist!$A36)</f>
        <v/>
      </c>
      <c r="B36" s="9" t="str">
        <f aca="false">IF(Checklist!$A36="","",Checklist!$C36)</f>
        <v/>
      </c>
      <c r="C36" s="9" t="str">
        <f aca="false">IF(Checklist!$A36="","",Checklist!$B36)</f>
        <v/>
      </c>
      <c r="D36" s="9" t="str">
        <f aca="false">IF(Checklist!$A36="","",Checklist!$E36)</f>
        <v/>
      </c>
      <c r="E36" s="9" t="str">
        <f aca="false">IF($A36="","",COUNTIFS(Eventos!$B$4:$B$1563,$B36,Eventos!$E$4:$E$1563,$C36)+IF($C36="S",COUNTIFS(Eventos!$B$4:$B$1563,$B36,Eventos!$E$4:$E$1563,"A")+COUNTIFS(Eventos!$B$4:$B$1563,$B36,Eventos!$E$4:$E$1563,"B"),IF($C36="A",COUNTIFS(Eventos!$B$4:$B$1563,$B36,Eventos!$E$4:$E$1563,"B"),0)))</f>
        <v/>
      </c>
      <c r="F36" s="9" t="str">
        <f aca="false">IF($A36="","",Checklist!$I36)</f>
        <v/>
      </c>
      <c r="G36" s="9" t="str">
        <f aca="false">IF(OR($A36="",Checklist!$I36=""),"",ROUND(N(Checklist!$J36)*$E36,1))</f>
        <v/>
      </c>
      <c r="H36" s="9" t="str">
        <f aca="false">IF($A36="","",Checklist!$L36)</f>
        <v/>
      </c>
      <c r="I36" s="9" t="str">
        <f aca="false">IF(OR($A36="",Checklist!$L36=""),"",ROUND(N(Checklist!$M36)*$E36,1))</f>
        <v/>
      </c>
    </row>
    <row r="37" customFormat="false" ht="15" hidden="false" customHeight="false" outlineLevel="0" collapsed="false">
      <c r="A37" s="9" t="str">
        <f aca="false">IF(Checklist!$A37="","",Checklist!$A37)</f>
        <v/>
      </c>
      <c r="B37" s="9" t="str">
        <f aca="false">IF(Checklist!$A37="","",Checklist!$C37)</f>
        <v/>
      </c>
      <c r="C37" s="9" t="str">
        <f aca="false">IF(Checklist!$A37="","",Checklist!$B37)</f>
        <v/>
      </c>
      <c r="D37" s="9" t="str">
        <f aca="false">IF(Checklist!$A37="","",Checklist!$E37)</f>
        <v/>
      </c>
      <c r="E37" s="9" t="str">
        <f aca="false">IF($A37="","",COUNTIFS(Eventos!$B$4:$B$1563,$B37,Eventos!$E$4:$E$1563,$C37)+IF($C37="S",COUNTIFS(Eventos!$B$4:$B$1563,$B37,Eventos!$E$4:$E$1563,"A")+COUNTIFS(Eventos!$B$4:$B$1563,$B37,Eventos!$E$4:$E$1563,"B"),IF($C37="A",COUNTIFS(Eventos!$B$4:$B$1563,$B37,Eventos!$E$4:$E$1563,"B"),0)))</f>
        <v/>
      </c>
      <c r="F37" s="9" t="str">
        <f aca="false">IF($A37="","",Checklist!$I37)</f>
        <v/>
      </c>
      <c r="G37" s="9" t="str">
        <f aca="false">IF(OR($A37="",Checklist!$I37=""),"",ROUND(N(Checklist!$J37)*$E37,1))</f>
        <v/>
      </c>
      <c r="H37" s="9" t="str">
        <f aca="false">IF($A37="","",Checklist!$L37)</f>
        <v/>
      </c>
      <c r="I37" s="9" t="str">
        <f aca="false">IF(OR($A37="",Checklist!$L37=""),"",ROUND(N(Checklist!$M37)*$E37,1))</f>
        <v/>
      </c>
    </row>
    <row r="38" customFormat="false" ht="15" hidden="false" customHeight="false" outlineLevel="0" collapsed="false">
      <c r="A38" s="9" t="str">
        <f aca="false">IF(Checklist!$A38="","",Checklist!$A38)</f>
        <v/>
      </c>
      <c r="B38" s="9" t="str">
        <f aca="false">IF(Checklist!$A38="","",Checklist!$C38)</f>
        <v/>
      </c>
      <c r="C38" s="9" t="str">
        <f aca="false">IF(Checklist!$A38="","",Checklist!$B38)</f>
        <v/>
      </c>
      <c r="D38" s="9" t="str">
        <f aca="false">IF(Checklist!$A38="","",Checklist!$E38)</f>
        <v/>
      </c>
      <c r="E38" s="9" t="str">
        <f aca="false">IF($A38="","",COUNTIFS(Eventos!$B$4:$B$1563,$B38,Eventos!$E$4:$E$1563,$C38)+IF($C38="S",COUNTIFS(Eventos!$B$4:$B$1563,$B38,Eventos!$E$4:$E$1563,"A")+COUNTIFS(Eventos!$B$4:$B$1563,$B38,Eventos!$E$4:$E$1563,"B"),IF($C38="A",COUNTIFS(Eventos!$B$4:$B$1563,$B38,Eventos!$E$4:$E$1563,"B"),0)))</f>
        <v/>
      </c>
      <c r="F38" s="9" t="str">
        <f aca="false">IF($A38="","",Checklist!$I38)</f>
        <v/>
      </c>
      <c r="G38" s="9" t="str">
        <f aca="false">IF(OR($A38="",Checklist!$I38=""),"",ROUND(N(Checklist!$J38)*$E38,1))</f>
        <v/>
      </c>
      <c r="H38" s="9" t="str">
        <f aca="false">IF($A38="","",Checklist!$L38)</f>
        <v/>
      </c>
      <c r="I38" s="9" t="str">
        <f aca="false">IF(OR($A38="",Checklist!$L38=""),"",ROUND(N(Checklist!$M38)*$E38,1))</f>
        <v/>
      </c>
    </row>
    <row r="39" customFormat="false" ht="15" hidden="false" customHeight="false" outlineLevel="0" collapsed="false">
      <c r="A39" s="9" t="str">
        <f aca="false">IF(Checklist!$A39="","",Checklist!$A39)</f>
        <v/>
      </c>
      <c r="B39" s="9" t="str">
        <f aca="false">IF(Checklist!$A39="","",Checklist!$C39)</f>
        <v/>
      </c>
      <c r="C39" s="9" t="str">
        <f aca="false">IF(Checklist!$A39="","",Checklist!$B39)</f>
        <v/>
      </c>
      <c r="D39" s="9" t="str">
        <f aca="false">IF(Checklist!$A39="","",Checklist!$E39)</f>
        <v/>
      </c>
      <c r="E39" s="9" t="str">
        <f aca="false">IF($A39="","",COUNTIFS(Eventos!$B$4:$B$1563,$B39,Eventos!$E$4:$E$1563,$C39)+IF($C39="S",COUNTIFS(Eventos!$B$4:$B$1563,$B39,Eventos!$E$4:$E$1563,"A")+COUNTIFS(Eventos!$B$4:$B$1563,$B39,Eventos!$E$4:$E$1563,"B"),IF($C39="A",COUNTIFS(Eventos!$B$4:$B$1563,$B39,Eventos!$E$4:$E$1563,"B"),0)))</f>
        <v/>
      </c>
      <c r="F39" s="9" t="str">
        <f aca="false">IF($A39="","",Checklist!$I39)</f>
        <v/>
      </c>
      <c r="G39" s="9" t="str">
        <f aca="false">IF(OR($A39="",Checklist!$I39=""),"",ROUND(N(Checklist!$J39)*$E39,1))</f>
        <v/>
      </c>
      <c r="H39" s="9" t="str">
        <f aca="false">IF($A39="","",Checklist!$L39)</f>
        <v/>
      </c>
      <c r="I39" s="9" t="str">
        <f aca="false">IF(OR($A39="",Checklist!$L39=""),"",ROUND(N(Checklist!$M39)*$E39,1))</f>
        <v/>
      </c>
    </row>
    <row r="40" customFormat="false" ht="15" hidden="false" customHeight="false" outlineLevel="0" collapsed="false">
      <c r="A40" s="9" t="str">
        <f aca="false">IF(Checklist!$A40="","",Checklist!$A40)</f>
        <v/>
      </c>
      <c r="B40" s="9" t="str">
        <f aca="false">IF(Checklist!$A40="","",Checklist!$C40)</f>
        <v/>
      </c>
      <c r="C40" s="9" t="str">
        <f aca="false">IF(Checklist!$A40="","",Checklist!$B40)</f>
        <v/>
      </c>
      <c r="D40" s="9" t="str">
        <f aca="false">IF(Checklist!$A40="","",Checklist!$E40)</f>
        <v/>
      </c>
      <c r="E40" s="9" t="str">
        <f aca="false">IF($A40="","",COUNTIFS(Eventos!$B$4:$B$1563,$B40,Eventos!$E$4:$E$1563,$C40)+IF($C40="S",COUNTIFS(Eventos!$B$4:$B$1563,$B40,Eventos!$E$4:$E$1563,"A")+COUNTIFS(Eventos!$B$4:$B$1563,$B40,Eventos!$E$4:$E$1563,"B"),IF($C40="A",COUNTIFS(Eventos!$B$4:$B$1563,$B40,Eventos!$E$4:$E$1563,"B"),0)))</f>
        <v/>
      </c>
      <c r="F40" s="9" t="str">
        <f aca="false">IF($A40="","",Checklist!$I40)</f>
        <v/>
      </c>
      <c r="G40" s="9" t="str">
        <f aca="false">IF(OR($A40="",Checklist!$I40=""),"",ROUND(N(Checklist!$J40)*$E40,1))</f>
        <v/>
      </c>
      <c r="H40" s="9" t="str">
        <f aca="false">IF($A40="","",Checklist!$L40)</f>
        <v/>
      </c>
      <c r="I40" s="9" t="str">
        <f aca="false">IF(OR($A40="",Checklist!$L40=""),"",ROUND(N(Checklist!$M40)*$E40,1))</f>
        <v/>
      </c>
    </row>
    <row r="41" customFormat="false" ht="15" hidden="false" customHeight="false" outlineLevel="0" collapsed="false">
      <c r="A41" s="9" t="str">
        <f aca="false">IF(Checklist!$A41="","",Checklist!$A41)</f>
        <v/>
      </c>
      <c r="B41" s="9" t="str">
        <f aca="false">IF(Checklist!$A41="","",Checklist!$C41)</f>
        <v/>
      </c>
      <c r="C41" s="9" t="str">
        <f aca="false">IF(Checklist!$A41="","",Checklist!$B41)</f>
        <v/>
      </c>
      <c r="D41" s="9" t="str">
        <f aca="false">IF(Checklist!$A41="","",Checklist!$E41)</f>
        <v/>
      </c>
      <c r="E41" s="9" t="str">
        <f aca="false">IF($A41="","",COUNTIFS(Eventos!$B$4:$B$1563,$B41,Eventos!$E$4:$E$1563,$C41)+IF($C41="S",COUNTIFS(Eventos!$B$4:$B$1563,$B41,Eventos!$E$4:$E$1563,"A")+COUNTIFS(Eventos!$B$4:$B$1563,$B41,Eventos!$E$4:$E$1563,"B"),IF($C41="A",COUNTIFS(Eventos!$B$4:$B$1563,$B41,Eventos!$E$4:$E$1563,"B"),0)))</f>
        <v/>
      </c>
      <c r="F41" s="9" t="str">
        <f aca="false">IF($A41="","",Checklist!$I41)</f>
        <v/>
      </c>
      <c r="G41" s="9" t="str">
        <f aca="false">IF(OR($A41="",Checklist!$I41=""),"",ROUND(N(Checklist!$J41)*$E41,1))</f>
        <v/>
      </c>
      <c r="H41" s="9" t="str">
        <f aca="false">IF($A41="","",Checklist!$L41)</f>
        <v/>
      </c>
      <c r="I41" s="9" t="str">
        <f aca="false">IF(OR($A41="",Checklist!$L41=""),"",ROUND(N(Checklist!$M41)*$E41,1))</f>
        <v/>
      </c>
    </row>
    <row r="42" customFormat="false" ht="15" hidden="false" customHeight="false" outlineLevel="0" collapsed="false">
      <c r="A42" s="9" t="str">
        <f aca="false">IF(Checklist!$A42="","",Checklist!$A42)</f>
        <v/>
      </c>
      <c r="B42" s="9" t="str">
        <f aca="false">IF(Checklist!$A42="","",Checklist!$C42)</f>
        <v/>
      </c>
      <c r="C42" s="9" t="str">
        <f aca="false">IF(Checklist!$A42="","",Checklist!$B42)</f>
        <v/>
      </c>
      <c r="D42" s="9" t="str">
        <f aca="false">IF(Checklist!$A42="","",Checklist!$E42)</f>
        <v/>
      </c>
      <c r="E42" s="9" t="str">
        <f aca="false">IF($A42="","",COUNTIFS(Eventos!$B$4:$B$1563,$B42,Eventos!$E$4:$E$1563,$C42)+IF($C42="S",COUNTIFS(Eventos!$B$4:$B$1563,$B42,Eventos!$E$4:$E$1563,"A")+COUNTIFS(Eventos!$B$4:$B$1563,$B42,Eventos!$E$4:$E$1563,"B"),IF($C42="A",COUNTIFS(Eventos!$B$4:$B$1563,$B42,Eventos!$E$4:$E$1563,"B"),0)))</f>
        <v/>
      </c>
      <c r="F42" s="9" t="str">
        <f aca="false">IF($A42="","",Checklist!$I42)</f>
        <v/>
      </c>
      <c r="G42" s="9" t="str">
        <f aca="false">IF(OR($A42="",Checklist!$I42=""),"",ROUND(N(Checklist!$J42)*$E42,1))</f>
        <v/>
      </c>
      <c r="H42" s="9" t="str">
        <f aca="false">IF($A42="","",Checklist!$L42)</f>
        <v/>
      </c>
      <c r="I42" s="9" t="str">
        <f aca="false">IF(OR($A42="",Checklist!$L42=""),"",ROUND(N(Checklist!$M42)*$E42,1))</f>
        <v/>
      </c>
    </row>
    <row r="43" customFormat="false" ht="15" hidden="false" customHeight="false" outlineLevel="0" collapsed="false">
      <c r="A43" s="9" t="str">
        <f aca="false">IF(Checklist!$A43="","",Checklist!$A43)</f>
        <v/>
      </c>
      <c r="B43" s="9" t="str">
        <f aca="false">IF(Checklist!$A43="","",Checklist!$C43)</f>
        <v/>
      </c>
      <c r="C43" s="9" t="str">
        <f aca="false">IF(Checklist!$A43="","",Checklist!$B43)</f>
        <v/>
      </c>
      <c r="D43" s="9" t="str">
        <f aca="false">IF(Checklist!$A43="","",Checklist!$E43)</f>
        <v/>
      </c>
      <c r="E43" s="9" t="str">
        <f aca="false">IF($A43="","",COUNTIFS(Eventos!$B$4:$B$1563,$B43,Eventos!$E$4:$E$1563,$C43)+IF($C43="S",COUNTIFS(Eventos!$B$4:$B$1563,$B43,Eventos!$E$4:$E$1563,"A")+COUNTIFS(Eventos!$B$4:$B$1563,$B43,Eventos!$E$4:$E$1563,"B"),IF($C43="A",COUNTIFS(Eventos!$B$4:$B$1563,$B43,Eventos!$E$4:$E$1563,"B"),0)))</f>
        <v/>
      </c>
      <c r="F43" s="9" t="str">
        <f aca="false">IF($A43="","",Checklist!$I43)</f>
        <v/>
      </c>
      <c r="G43" s="9" t="str">
        <f aca="false">IF(OR($A43="",Checklist!$I43=""),"",ROUND(N(Checklist!$J43)*$E43,1))</f>
        <v/>
      </c>
      <c r="H43" s="9" t="str">
        <f aca="false">IF($A43="","",Checklist!$L43)</f>
        <v/>
      </c>
      <c r="I43" s="9" t="str">
        <f aca="false">IF(OR($A43="",Checklist!$L43=""),"",ROUND(N(Checklist!$M43)*$E43,1))</f>
        <v/>
      </c>
    </row>
    <row r="44" customFormat="false" ht="15" hidden="false" customHeight="false" outlineLevel="0" collapsed="false">
      <c r="A44" s="9" t="str">
        <f aca="false">IF(Checklist!$A44="","",Checklist!$A44)</f>
        <v/>
      </c>
      <c r="B44" s="9" t="str">
        <f aca="false">IF(Checklist!$A44="","",Checklist!$C44)</f>
        <v/>
      </c>
      <c r="C44" s="9" t="str">
        <f aca="false">IF(Checklist!$A44="","",Checklist!$B44)</f>
        <v/>
      </c>
      <c r="D44" s="9" t="str">
        <f aca="false">IF(Checklist!$A44="","",Checklist!$E44)</f>
        <v/>
      </c>
      <c r="E44" s="9" t="str">
        <f aca="false">IF($A44="","",COUNTIFS(Eventos!$B$4:$B$1563,$B44,Eventos!$E$4:$E$1563,$C44)+IF($C44="S",COUNTIFS(Eventos!$B$4:$B$1563,$B44,Eventos!$E$4:$E$1563,"A")+COUNTIFS(Eventos!$B$4:$B$1563,$B44,Eventos!$E$4:$E$1563,"B"),IF($C44="A",COUNTIFS(Eventos!$B$4:$B$1563,$B44,Eventos!$E$4:$E$1563,"B"),0)))</f>
        <v/>
      </c>
      <c r="F44" s="9" t="str">
        <f aca="false">IF($A44="","",Checklist!$I44)</f>
        <v/>
      </c>
      <c r="G44" s="9" t="str">
        <f aca="false">IF(OR($A44="",Checklist!$I44=""),"",ROUND(N(Checklist!$J44)*$E44,1))</f>
        <v/>
      </c>
      <c r="H44" s="9" t="str">
        <f aca="false">IF($A44="","",Checklist!$L44)</f>
        <v/>
      </c>
      <c r="I44" s="9" t="str">
        <f aca="false">IF(OR($A44="",Checklist!$L44=""),"",ROUND(N(Checklist!$M44)*$E44,1))</f>
        <v/>
      </c>
    </row>
    <row r="45" customFormat="false" ht="15" hidden="false" customHeight="false" outlineLevel="0" collapsed="false">
      <c r="A45" s="9" t="str">
        <f aca="false">IF(Checklist!$A45="","",Checklist!$A45)</f>
        <v/>
      </c>
      <c r="B45" s="9" t="str">
        <f aca="false">IF(Checklist!$A45="","",Checklist!$C45)</f>
        <v/>
      </c>
      <c r="C45" s="9" t="str">
        <f aca="false">IF(Checklist!$A45="","",Checklist!$B45)</f>
        <v/>
      </c>
      <c r="D45" s="9" t="str">
        <f aca="false">IF(Checklist!$A45="","",Checklist!$E45)</f>
        <v/>
      </c>
      <c r="E45" s="9" t="str">
        <f aca="false">IF($A45="","",COUNTIFS(Eventos!$B$4:$B$1563,$B45,Eventos!$E$4:$E$1563,$C45)+IF($C45="S",COUNTIFS(Eventos!$B$4:$B$1563,$B45,Eventos!$E$4:$E$1563,"A")+COUNTIFS(Eventos!$B$4:$B$1563,$B45,Eventos!$E$4:$E$1563,"B"),IF($C45="A",COUNTIFS(Eventos!$B$4:$B$1563,$B45,Eventos!$E$4:$E$1563,"B"),0)))</f>
        <v/>
      </c>
      <c r="F45" s="9" t="str">
        <f aca="false">IF($A45="","",Checklist!$I45)</f>
        <v/>
      </c>
      <c r="G45" s="9" t="str">
        <f aca="false">IF(OR($A45="",Checklist!$I45=""),"",ROUND(N(Checklist!$J45)*$E45,1))</f>
        <v/>
      </c>
      <c r="H45" s="9" t="str">
        <f aca="false">IF($A45="","",Checklist!$L45)</f>
        <v/>
      </c>
      <c r="I45" s="9" t="str">
        <f aca="false">IF(OR($A45="",Checklist!$L45=""),"",ROUND(N(Checklist!$M45)*$E45,1))</f>
        <v/>
      </c>
    </row>
    <row r="46" customFormat="false" ht="15" hidden="false" customHeight="false" outlineLevel="0" collapsed="false">
      <c r="A46" s="9" t="str">
        <f aca="false">IF(Checklist!$A46="","",Checklist!$A46)</f>
        <v/>
      </c>
      <c r="B46" s="9" t="str">
        <f aca="false">IF(Checklist!$A46="","",Checklist!$C46)</f>
        <v/>
      </c>
      <c r="C46" s="9" t="str">
        <f aca="false">IF(Checklist!$A46="","",Checklist!$B46)</f>
        <v/>
      </c>
      <c r="D46" s="9" t="str">
        <f aca="false">IF(Checklist!$A46="","",Checklist!$E46)</f>
        <v/>
      </c>
      <c r="E46" s="9" t="str">
        <f aca="false">IF($A46="","",COUNTIFS(Eventos!$B$4:$B$1563,$B46,Eventos!$E$4:$E$1563,$C46)+IF($C46="S",COUNTIFS(Eventos!$B$4:$B$1563,$B46,Eventos!$E$4:$E$1563,"A")+COUNTIFS(Eventos!$B$4:$B$1563,$B46,Eventos!$E$4:$E$1563,"B"),IF($C46="A",COUNTIFS(Eventos!$B$4:$B$1563,$B46,Eventos!$E$4:$E$1563,"B"),0)))</f>
        <v/>
      </c>
      <c r="F46" s="9" t="str">
        <f aca="false">IF($A46="","",Checklist!$I46)</f>
        <v/>
      </c>
      <c r="G46" s="9" t="str">
        <f aca="false">IF(OR($A46="",Checklist!$I46=""),"",ROUND(N(Checklist!$J46)*$E46,1))</f>
        <v/>
      </c>
      <c r="H46" s="9" t="str">
        <f aca="false">IF($A46="","",Checklist!$L46)</f>
        <v/>
      </c>
      <c r="I46" s="9" t="str">
        <f aca="false">IF(OR($A46="",Checklist!$L46=""),"",ROUND(N(Checklist!$M46)*$E46,1))</f>
        <v/>
      </c>
    </row>
    <row r="47" customFormat="false" ht="15" hidden="false" customHeight="false" outlineLevel="0" collapsed="false">
      <c r="A47" s="9" t="str">
        <f aca="false">IF(Checklist!$A47="","",Checklist!$A47)</f>
        <v/>
      </c>
      <c r="B47" s="9" t="str">
        <f aca="false">IF(Checklist!$A47="","",Checklist!$C47)</f>
        <v/>
      </c>
      <c r="C47" s="9" t="str">
        <f aca="false">IF(Checklist!$A47="","",Checklist!$B47)</f>
        <v/>
      </c>
      <c r="D47" s="9" t="str">
        <f aca="false">IF(Checklist!$A47="","",Checklist!$E47)</f>
        <v/>
      </c>
      <c r="E47" s="9" t="str">
        <f aca="false">IF($A47="","",COUNTIFS(Eventos!$B$4:$B$1563,$B47,Eventos!$E$4:$E$1563,$C47)+IF($C47="S",COUNTIFS(Eventos!$B$4:$B$1563,$B47,Eventos!$E$4:$E$1563,"A")+COUNTIFS(Eventos!$B$4:$B$1563,$B47,Eventos!$E$4:$E$1563,"B"),IF($C47="A",COUNTIFS(Eventos!$B$4:$B$1563,$B47,Eventos!$E$4:$E$1563,"B"),0)))</f>
        <v/>
      </c>
      <c r="F47" s="9" t="str">
        <f aca="false">IF($A47="","",Checklist!$I47)</f>
        <v/>
      </c>
      <c r="G47" s="9" t="str">
        <f aca="false">IF(OR($A47="",Checklist!$I47=""),"",ROUND(N(Checklist!$J47)*$E47,1))</f>
        <v/>
      </c>
      <c r="H47" s="9" t="str">
        <f aca="false">IF($A47="","",Checklist!$L47)</f>
        <v/>
      </c>
      <c r="I47" s="9" t="str">
        <f aca="false">IF(OR($A47="",Checklist!$L47=""),"",ROUND(N(Checklist!$M47)*$E47,1))</f>
        <v/>
      </c>
    </row>
    <row r="48" customFormat="false" ht="15" hidden="false" customHeight="false" outlineLevel="0" collapsed="false">
      <c r="A48" s="9" t="str">
        <f aca="false">IF(Checklist!$A48="","",Checklist!$A48)</f>
        <v/>
      </c>
      <c r="B48" s="9" t="str">
        <f aca="false">IF(Checklist!$A48="","",Checklist!$C48)</f>
        <v/>
      </c>
      <c r="C48" s="9" t="str">
        <f aca="false">IF(Checklist!$A48="","",Checklist!$B48)</f>
        <v/>
      </c>
      <c r="D48" s="9" t="str">
        <f aca="false">IF(Checklist!$A48="","",Checklist!$E48)</f>
        <v/>
      </c>
      <c r="E48" s="9" t="str">
        <f aca="false">IF($A48="","",COUNTIFS(Eventos!$B$4:$B$1563,$B48,Eventos!$E$4:$E$1563,$C48)+IF($C48="S",COUNTIFS(Eventos!$B$4:$B$1563,$B48,Eventos!$E$4:$E$1563,"A")+COUNTIFS(Eventos!$B$4:$B$1563,$B48,Eventos!$E$4:$E$1563,"B"),IF($C48="A",COUNTIFS(Eventos!$B$4:$B$1563,$B48,Eventos!$E$4:$E$1563,"B"),0)))</f>
        <v/>
      </c>
      <c r="F48" s="9" t="str">
        <f aca="false">IF($A48="","",Checklist!$I48)</f>
        <v/>
      </c>
      <c r="G48" s="9" t="str">
        <f aca="false">IF(OR($A48="",Checklist!$I48=""),"",ROUND(N(Checklist!$J48)*$E48,1))</f>
        <v/>
      </c>
      <c r="H48" s="9" t="str">
        <f aca="false">IF($A48="","",Checklist!$L48)</f>
        <v/>
      </c>
      <c r="I48" s="9" t="str">
        <f aca="false">IF(OR($A48="",Checklist!$L48=""),"",ROUND(N(Checklist!$M48)*$E48,1))</f>
        <v/>
      </c>
    </row>
    <row r="49" customFormat="false" ht="15" hidden="false" customHeight="false" outlineLevel="0" collapsed="false">
      <c r="A49" s="9" t="str">
        <f aca="false">IF(Checklist!$A49="","",Checklist!$A49)</f>
        <v/>
      </c>
      <c r="B49" s="9" t="str">
        <f aca="false">IF(Checklist!$A49="","",Checklist!$C49)</f>
        <v/>
      </c>
      <c r="C49" s="9" t="str">
        <f aca="false">IF(Checklist!$A49="","",Checklist!$B49)</f>
        <v/>
      </c>
      <c r="D49" s="9" t="str">
        <f aca="false">IF(Checklist!$A49="","",Checklist!$E49)</f>
        <v/>
      </c>
      <c r="E49" s="9" t="str">
        <f aca="false">IF($A49="","",COUNTIFS(Eventos!$B$4:$B$1563,$B49,Eventos!$E$4:$E$1563,$C49)+IF($C49="S",COUNTIFS(Eventos!$B$4:$B$1563,$B49,Eventos!$E$4:$E$1563,"A")+COUNTIFS(Eventos!$B$4:$B$1563,$B49,Eventos!$E$4:$E$1563,"B"),IF($C49="A",COUNTIFS(Eventos!$B$4:$B$1563,$B49,Eventos!$E$4:$E$1563,"B"),0)))</f>
        <v/>
      </c>
      <c r="F49" s="9" t="str">
        <f aca="false">IF($A49="","",Checklist!$I49)</f>
        <v/>
      </c>
      <c r="G49" s="9" t="str">
        <f aca="false">IF(OR($A49="",Checklist!$I49=""),"",ROUND(N(Checklist!$J49)*$E49,1))</f>
        <v/>
      </c>
      <c r="H49" s="9" t="str">
        <f aca="false">IF($A49="","",Checklist!$L49)</f>
        <v/>
      </c>
      <c r="I49" s="9" t="str">
        <f aca="false">IF(OR($A49="",Checklist!$L49=""),"",ROUND(N(Checklist!$M49)*$E49,1))</f>
        <v/>
      </c>
    </row>
    <row r="50" customFormat="false" ht="15" hidden="false" customHeight="false" outlineLevel="0" collapsed="false">
      <c r="A50" s="9" t="str">
        <f aca="false">IF(Checklist!$A50="","",Checklist!$A50)</f>
        <v/>
      </c>
      <c r="B50" s="9" t="str">
        <f aca="false">IF(Checklist!$A50="","",Checklist!$C50)</f>
        <v/>
      </c>
      <c r="C50" s="9" t="str">
        <f aca="false">IF(Checklist!$A50="","",Checklist!$B50)</f>
        <v/>
      </c>
      <c r="D50" s="9" t="str">
        <f aca="false">IF(Checklist!$A50="","",Checklist!$E50)</f>
        <v/>
      </c>
      <c r="E50" s="9" t="str">
        <f aca="false">IF($A50="","",COUNTIFS(Eventos!$B$4:$B$1563,$B50,Eventos!$E$4:$E$1563,$C50)+IF($C50="S",COUNTIFS(Eventos!$B$4:$B$1563,$B50,Eventos!$E$4:$E$1563,"A")+COUNTIFS(Eventos!$B$4:$B$1563,$B50,Eventos!$E$4:$E$1563,"B"),IF($C50="A",COUNTIFS(Eventos!$B$4:$B$1563,$B50,Eventos!$E$4:$E$1563,"B"),0)))</f>
        <v/>
      </c>
      <c r="F50" s="9" t="str">
        <f aca="false">IF($A50="","",Checklist!$I50)</f>
        <v/>
      </c>
      <c r="G50" s="9" t="str">
        <f aca="false">IF(OR($A50="",Checklist!$I50=""),"",ROUND(N(Checklist!$J50)*$E50,1))</f>
        <v/>
      </c>
      <c r="H50" s="9" t="str">
        <f aca="false">IF($A50="","",Checklist!$L50)</f>
        <v/>
      </c>
      <c r="I50" s="9" t="str">
        <f aca="false">IF(OR($A50="",Checklist!$L50=""),"",ROUND(N(Checklist!$M50)*$E50,1))</f>
        <v/>
      </c>
    </row>
    <row r="51" customFormat="false" ht="15" hidden="false" customHeight="false" outlineLevel="0" collapsed="false">
      <c r="A51" s="9" t="str">
        <f aca="false">IF(Checklist!$A51="","",Checklist!$A51)</f>
        <v/>
      </c>
      <c r="B51" s="9" t="str">
        <f aca="false">IF(Checklist!$A51="","",Checklist!$C51)</f>
        <v/>
      </c>
      <c r="C51" s="9" t="str">
        <f aca="false">IF(Checklist!$A51="","",Checklist!$B51)</f>
        <v/>
      </c>
      <c r="D51" s="9" t="str">
        <f aca="false">IF(Checklist!$A51="","",Checklist!$E51)</f>
        <v/>
      </c>
      <c r="E51" s="9" t="str">
        <f aca="false">IF($A51="","",COUNTIFS(Eventos!$B$4:$B$1563,$B51,Eventos!$E$4:$E$1563,$C51)+IF($C51="S",COUNTIFS(Eventos!$B$4:$B$1563,$B51,Eventos!$E$4:$E$1563,"A")+COUNTIFS(Eventos!$B$4:$B$1563,$B51,Eventos!$E$4:$E$1563,"B"),IF($C51="A",COUNTIFS(Eventos!$B$4:$B$1563,$B51,Eventos!$E$4:$E$1563,"B"),0)))</f>
        <v/>
      </c>
      <c r="F51" s="9" t="str">
        <f aca="false">IF($A51="","",Checklist!$I51)</f>
        <v/>
      </c>
      <c r="G51" s="9" t="str">
        <f aca="false">IF(OR($A51="",Checklist!$I51=""),"",ROUND(N(Checklist!$J51)*$E51,1))</f>
        <v/>
      </c>
      <c r="H51" s="9" t="str">
        <f aca="false">IF($A51="","",Checklist!$L51)</f>
        <v/>
      </c>
      <c r="I51" s="9" t="str">
        <f aca="false">IF(OR($A51="",Checklist!$L51=""),"",ROUND(N(Checklist!$M51)*$E51,1))</f>
        <v/>
      </c>
    </row>
    <row r="52" customFormat="false" ht="15" hidden="false" customHeight="false" outlineLevel="0" collapsed="false">
      <c r="A52" s="9" t="str">
        <f aca="false">IF(Checklist!$A52="","",Checklist!$A52)</f>
        <v/>
      </c>
      <c r="B52" s="9" t="str">
        <f aca="false">IF(Checklist!$A52="","",Checklist!$C52)</f>
        <v/>
      </c>
      <c r="C52" s="9" t="str">
        <f aca="false">IF(Checklist!$A52="","",Checklist!$B52)</f>
        <v/>
      </c>
      <c r="D52" s="9" t="str">
        <f aca="false">IF(Checklist!$A52="","",Checklist!$E52)</f>
        <v/>
      </c>
      <c r="E52" s="9" t="str">
        <f aca="false">IF($A52="","",COUNTIFS(Eventos!$B$4:$B$1563,$B52,Eventos!$E$4:$E$1563,$C52)+IF($C52="S",COUNTIFS(Eventos!$B$4:$B$1563,$B52,Eventos!$E$4:$E$1563,"A")+COUNTIFS(Eventos!$B$4:$B$1563,$B52,Eventos!$E$4:$E$1563,"B"),IF($C52="A",COUNTIFS(Eventos!$B$4:$B$1563,$B52,Eventos!$E$4:$E$1563,"B"),0)))</f>
        <v/>
      </c>
      <c r="F52" s="9" t="str">
        <f aca="false">IF($A52="","",Checklist!$I52)</f>
        <v/>
      </c>
      <c r="G52" s="9" t="str">
        <f aca="false">IF(OR($A52="",Checklist!$I52=""),"",ROUND(N(Checklist!$J52)*$E52,1))</f>
        <v/>
      </c>
      <c r="H52" s="9" t="str">
        <f aca="false">IF($A52="","",Checklist!$L52)</f>
        <v/>
      </c>
      <c r="I52" s="9" t="str">
        <f aca="false">IF(OR($A52="",Checklist!$L52=""),"",ROUND(N(Checklist!$M52)*$E52,1))</f>
        <v/>
      </c>
    </row>
    <row r="53" customFormat="false" ht="15" hidden="false" customHeight="false" outlineLevel="0" collapsed="false">
      <c r="A53" s="9" t="str">
        <f aca="false">IF(Checklist!$A53="","",Checklist!$A53)</f>
        <v/>
      </c>
      <c r="B53" s="9" t="str">
        <f aca="false">IF(Checklist!$A53="","",Checklist!$C53)</f>
        <v/>
      </c>
      <c r="C53" s="9" t="str">
        <f aca="false">IF(Checklist!$A53="","",Checklist!$B53)</f>
        <v/>
      </c>
      <c r="D53" s="9" t="str">
        <f aca="false">IF(Checklist!$A53="","",Checklist!$E53)</f>
        <v/>
      </c>
      <c r="E53" s="9" t="str">
        <f aca="false">IF($A53="","",COUNTIFS(Eventos!$B$4:$B$1563,$B53,Eventos!$E$4:$E$1563,$C53)+IF($C53="S",COUNTIFS(Eventos!$B$4:$B$1563,$B53,Eventos!$E$4:$E$1563,"A")+COUNTIFS(Eventos!$B$4:$B$1563,$B53,Eventos!$E$4:$E$1563,"B"),IF($C53="A",COUNTIFS(Eventos!$B$4:$B$1563,$B53,Eventos!$E$4:$E$1563,"B"),0)))</f>
        <v/>
      </c>
      <c r="F53" s="9" t="str">
        <f aca="false">IF($A53="","",Checklist!$I53)</f>
        <v/>
      </c>
      <c r="G53" s="9" t="str">
        <f aca="false">IF(OR($A53="",Checklist!$I53=""),"",ROUND(N(Checklist!$J53)*$E53,1))</f>
        <v/>
      </c>
      <c r="H53" s="9" t="str">
        <f aca="false">IF($A53="","",Checklist!$L53)</f>
        <v/>
      </c>
      <c r="I53" s="9" t="str">
        <f aca="false">IF(OR($A53="",Checklist!$L53=""),"",ROUND(N(Checklist!$M53)*$E53,1))</f>
        <v/>
      </c>
    </row>
    <row r="54" customFormat="false" ht="15" hidden="false" customHeight="false" outlineLevel="0" collapsed="false">
      <c r="A54" s="9" t="str">
        <f aca="false">IF(Checklist!$A54="","",Checklist!$A54)</f>
        <v/>
      </c>
      <c r="B54" s="9" t="str">
        <f aca="false">IF(Checklist!$A54="","",Checklist!$C54)</f>
        <v/>
      </c>
      <c r="C54" s="9" t="str">
        <f aca="false">IF(Checklist!$A54="","",Checklist!$B54)</f>
        <v/>
      </c>
      <c r="D54" s="9" t="str">
        <f aca="false">IF(Checklist!$A54="","",Checklist!$E54)</f>
        <v/>
      </c>
      <c r="E54" s="9" t="str">
        <f aca="false">IF($A54="","",COUNTIFS(Eventos!$B$4:$B$1563,$B54,Eventos!$E$4:$E$1563,$C54)+IF($C54="S",COUNTIFS(Eventos!$B$4:$B$1563,$B54,Eventos!$E$4:$E$1563,"A")+COUNTIFS(Eventos!$B$4:$B$1563,$B54,Eventos!$E$4:$E$1563,"B"),IF($C54="A",COUNTIFS(Eventos!$B$4:$B$1563,$B54,Eventos!$E$4:$E$1563,"B"),0)))</f>
        <v/>
      </c>
      <c r="F54" s="9" t="str">
        <f aca="false">IF($A54="","",Checklist!$I54)</f>
        <v/>
      </c>
      <c r="G54" s="9" t="str">
        <f aca="false">IF(OR($A54="",Checklist!$I54=""),"",ROUND(N(Checklist!$J54)*$E54,1))</f>
        <v/>
      </c>
      <c r="H54" s="9" t="str">
        <f aca="false">IF($A54="","",Checklist!$L54)</f>
        <v/>
      </c>
      <c r="I54" s="9" t="str">
        <f aca="false">IF(OR($A54="",Checklist!$L54=""),"",ROUND(N(Checklist!$M54)*$E54,1))</f>
        <v/>
      </c>
    </row>
    <row r="55" customFormat="false" ht="15" hidden="false" customHeight="false" outlineLevel="0" collapsed="false">
      <c r="A55" s="9" t="str">
        <f aca="false">IF(Checklist!$A55="","",Checklist!$A55)</f>
        <v/>
      </c>
      <c r="B55" s="9" t="str">
        <f aca="false">IF(Checklist!$A55="","",Checklist!$C55)</f>
        <v/>
      </c>
      <c r="C55" s="9" t="str">
        <f aca="false">IF(Checklist!$A55="","",Checklist!$B55)</f>
        <v/>
      </c>
      <c r="D55" s="9" t="str">
        <f aca="false">IF(Checklist!$A55="","",Checklist!$E55)</f>
        <v/>
      </c>
      <c r="E55" s="9" t="str">
        <f aca="false">IF($A55="","",COUNTIFS(Eventos!$B$4:$B$1563,$B55,Eventos!$E$4:$E$1563,$C55)+IF($C55="S",COUNTIFS(Eventos!$B$4:$B$1563,$B55,Eventos!$E$4:$E$1563,"A")+COUNTIFS(Eventos!$B$4:$B$1563,$B55,Eventos!$E$4:$E$1563,"B"),IF($C55="A",COUNTIFS(Eventos!$B$4:$B$1563,$B55,Eventos!$E$4:$E$1563,"B"),0)))</f>
        <v/>
      </c>
      <c r="F55" s="9" t="str">
        <f aca="false">IF($A55="","",Checklist!$I55)</f>
        <v/>
      </c>
      <c r="G55" s="9" t="str">
        <f aca="false">IF(OR($A55="",Checklist!$I55=""),"",ROUND(N(Checklist!$J55)*$E55,1))</f>
        <v/>
      </c>
      <c r="H55" s="9" t="str">
        <f aca="false">IF($A55="","",Checklist!$L55)</f>
        <v/>
      </c>
      <c r="I55" s="9" t="str">
        <f aca="false">IF(OR($A55="",Checklist!$L55=""),"",ROUND(N(Checklist!$M55)*$E55,1))</f>
        <v/>
      </c>
    </row>
    <row r="56" customFormat="false" ht="15" hidden="false" customHeight="false" outlineLevel="0" collapsed="false">
      <c r="A56" s="9" t="str">
        <f aca="false">IF(Checklist!$A56="","",Checklist!$A56)</f>
        <v/>
      </c>
      <c r="B56" s="9" t="str">
        <f aca="false">IF(Checklist!$A56="","",Checklist!$C56)</f>
        <v/>
      </c>
      <c r="C56" s="9" t="str">
        <f aca="false">IF(Checklist!$A56="","",Checklist!$B56)</f>
        <v/>
      </c>
      <c r="D56" s="9" t="str">
        <f aca="false">IF(Checklist!$A56="","",Checklist!$E56)</f>
        <v/>
      </c>
      <c r="E56" s="9" t="str">
        <f aca="false">IF($A56="","",COUNTIFS(Eventos!$B$4:$B$1563,$B56,Eventos!$E$4:$E$1563,$C56)+IF($C56="S",COUNTIFS(Eventos!$B$4:$B$1563,$B56,Eventos!$E$4:$E$1563,"A")+COUNTIFS(Eventos!$B$4:$B$1563,$B56,Eventos!$E$4:$E$1563,"B"),IF($C56="A",COUNTIFS(Eventos!$B$4:$B$1563,$B56,Eventos!$E$4:$E$1563,"B"),0)))</f>
        <v/>
      </c>
      <c r="F56" s="9" t="str">
        <f aca="false">IF($A56="","",Checklist!$I56)</f>
        <v/>
      </c>
      <c r="G56" s="9" t="str">
        <f aca="false">IF(OR($A56="",Checklist!$I56=""),"",ROUND(N(Checklist!$J56)*$E56,1))</f>
        <v/>
      </c>
      <c r="H56" s="9" t="str">
        <f aca="false">IF($A56="","",Checklist!$L56)</f>
        <v/>
      </c>
      <c r="I56" s="9" t="str">
        <f aca="false">IF(OR($A56="",Checklist!$L56=""),"",ROUND(N(Checklist!$M56)*$E56,1))</f>
        <v/>
      </c>
    </row>
    <row r="57" customFormat="false" ht="15" hidden="false" customHeight="false" outlineLevel="0" collapsed="false">
      <c r="A57" s="9" t="str">
        <f aca="false">IF(Checklist!$A57="","",Checklist!$A57)</f>
        <v/>
      </c>
      <c r="B57" s="9" t="str">
        <f aca="false">IF(Checklist!$A57="","",Checklist!$C57)</f>
        <v/>
      </c>
      <c r="C57" s="9" t="str">
        <f aca="false">IF(Checklist!$A57="","",Checklist!$B57)</f>
        <v/>
      </c>
      <c r="D57" s="9" t="str">
        <f aca="false">IF(Checklist!$A57="","",Checklist!$E57)</f>
        <v/>
      </c>
      <c r="E57" s="9" t="str">
        <f aca="false">IF($A57="","",COUNTIFS(Eventos!$B$4:$B$1563,$B57,Eventos!$E$4:$E$1563,$C57)+IF($C57="S",COUNTIFS(Eventos!$B$4:$B$1563,$B57,Eventos!$E$4:$E$1563,"A")+COUNTIFS(Eventos!$B$4:$B$1563,$B57,Eventos!$E$4:$E$1563,"B"),IF($C57="A",COUNTIFS(Eventos!$B$4:$B$1563,$B57,Eventos!$E$4:$E$1563,"B"),0)))</f>
        <v/>
      </c>
      <c r="F57" s="9" t="str">
        <f aca="false">IF($A57="","",Checklist!$I57)</f>
        <v/>
      </c>
      <c r="G57" s="9" t="str">
        <f aca="false">IF(OR($A57="",Checklist!$I57=""),"",ROUND(N(Checklist!$J57)*$E57,1))</f>
        <v/>
      </c>
      <c r="H57" s="9" t="str">
        <f aca="false">IF($A57="","",Checklist!$L57)</f>
        <v/>
      </c>
      <c r="I57" s="9" t="str">
        <f aca="false">IF(OR($A57="",Checklist!$L57=""),"",ROUND(N(Checklist!$M57)*$E57,1))</f>
        <v/>
      </c>
    </row>
    <row r="58" customFormat="false" ht="15" hidden="false" customHeight="false" outlineLevel="0" collapsed="false">
      <c r="A58" s="9" t="str">
        <f aca="false">IF(Checklist!$A58="","",Checklist!$A58)</f>
        <v/>
      </c>
      <c r="B58" s="9" t="str">
        <f aca="false">IF(Checklist!$A58="","",Checklist!$C58)</f>
        <v/>
      </c>
      <c r="C58" s="9" t="str">
        <f aca="false">IF(Checklist!$A58="","",Checklist!$B58)</f>
        <v/>
      </c>
      <c r="D58" s="9" t="str">
        <f aca="false">IF(Checklist!$A58="","",Checklist!$E58)</f>
        <v/>
      </c>
      <c r="E58" s="9" t="str">
        <f aca="false">IF($A58="","",COUNTIFS(Eventos!$B$4:$B$1563,$B58,Eventos!$E$4:$E$1563,$C58)+IF($C58="S",COUNTIFS(Eventos!$B$4:$B$1563,$B58,Eventos!$E$4:$E$1563,"A")+COUNTIFS(Eventos!$B$4:$B$1563,$B58,Eventos!$E$4:$E$1563,"B"),IF($C58="A",COUNTIFS(Eventos!$B$4:$B$1563,$B58,Eventos!$E$4:$E$1563,"B"),0)))</f>
        <v/>
      </c>
      <c r="F58" s="9" t="str">
        <f aca="false">IF($A58="","",Checklist!$I58)</f>
        <v/>
      </c>
      <c r="G58" s="9" t="str">
        <f aca="false">IF(OR($A58="",Checklist!$I58=""),"",ROUND(N(Checklist!$J58)*$E58,1))</f>
        <v/>
      </c>
      <c r="H58" s="9" t="str">
        <f aca="false">IF($A58="","",Checklist!$L58)</f>
        <v/>
      </c>
      <c r="I58" s="9" t="str">
        <f aca="false">IF(OR($A58="",Checklist!$L58=""),"",ROUND(N(Checklist!$M58)*$E58,1))</f>
        <v/>
      </c>
    </row>
    <row r="59" customFormat="false" ht="15" hidden="false" customHeight="false" outlineLevel="0" collapsed="false">
      <c r="A59" s="9" t="str">
        <f aca="false">IF(Checklist!$A59="","",Checklist!$A59)</f>
        <v/>
      </c>
      <c r="B59" s="9" t="str">
        <f aca="false">IF(Checklist!$A59="","",Checklist!$C59)</f>
        <v/>
      </c>
      <c r="C59" s="9" t="str">
        <f aca="false">IF(Checklist!$A59="","",Checklist!$B59)</f>
        <v/>
      </c>
      <c r="D59" s="9" t="str">
        <f aca="false">IF(Checklist!$A59="","",Checklist!$E59)</f>
        <v/>
      </c>
      <c r="E59" s="9" t="str">
        <f aca="false">IF($A59="","",COUNTIFS(Eventos!$B$4:$B$1563,$B59,Eventos!$E$4:$E$1563,$C59)+IF($C59="S",COUNTIFS(Eventos!$B$4:$B$1563,$B59,Eventos!$E$4:$E$1563,"A")+COUNTIFS(Eventos!$B$4:$B$1563,$B59,Eventos!$E$4:$E$1563,"B"),IF($C59="A",COUNTIFS(Eventos!$B$4:$B$1563,$B59,Eventos!$E$4:$E$1563,"B"),0)))</f>
        <v/>
      </c>
      <c r="F59" s="9" t="str">
        <f aca="false">IF($A59="","",Checklist!$I59)</f>
        <v/>
      </c>
      <c r="G59" s="9" t="str">
        <f aca="false">IF(OR($A59="",Checklist!$I59=""),"",ROUND(N(Checklist!$J59)*$E59,1))</f>
        <v/>
      </c>
      <c r="H59" s="9" t="str">
        <f aca="false">IF($A59="","",Checklist!$L59)</f>
        <v/>
      </c>
      <c r="I59" s="9" t="str">
        <f aca="false">IF(OR($A59="",Checklist!$L59=""),"",ROUND(N(Checklist!$M59)*$E59,1))</f>
        <v/>
      </c>
    </row>
    <row r="60" customFormat="false" ht="15" hidden="false" customHeight="false" outlineLevel="0" collapsed="false">
      <c r="A60" s="9" t="str">
        <f aca="false">IF(Checklist!$A60="","",Checklist!$A60)</f>
        <v/>
      </c>
      <c r="B60" s="9" t="str">
        <f aca="false">IF(Checklist!$A60="","",Checklist!$C60)</f>
        <v/>
      </c>
      <c r="C60" s="9" t="str">
        <f aca="false">IF(Checklist!$A60="","",Checklist!$B60)</f>
        <v/>
      </c>
      <c r="D60" s="9" t="str">
        <f aca="false">IF(Checklist!$A60="","",Checklist!$E60)</f>
        <v/>
      </c>
      <c r="E60" s="9" t="str">
        <f aca="false">IF($A60="","",COUNTIFS(Eventos!$B$4:$B$1563,$B60,Eventos!$E$4:$E$1563,$C60)+IF($C60="S",COUNTIFS(Eventos!$B$4:$B$1563,$B60,Eventos!$E$4:$E$1563,"A")+COUNTIFS(Eventos!$B$4:$B$1563,$B60,Eventos!$E$4:$E$1563,"B"),IF($C60="A",COUNTIFS(Eventos!$B$4:$B$1563,$B60,Eventos!$E$4:$E$1563,"B"),0)))</f>
        <v/>
      </c>
      <c r="F60" s="9" t="str">
        <f aca="false">IF($A60="","",Checklist!$I60)</f>
        <v/>
      </c>
      <c r="G60" s="9" t="str">
        <f aca="false">IF(OR($A60="",Checklist!$I60=""),"",ROUND(N(Checklist!$J60)*$E60,1))</f>
        <v/>
      </c>
      <c r="H60" s="9" t="str">
        <f aca="false">IF($A60="","",Checklist!$L60)</f>
        <v/>
      </c>
      <c r="I60" s="9" t="str">
        <f aca="false">IF(OR($A60="",Checklist!$L60=""),"",ROUND(N(Checklist!$M60)*$E60,1))</f>
        <v/>
      </c>
    </row>
    <row r="61" customFormat="false" ht="15" hidden="false" customHeight="false" outlineLevel="0" collapsed="false">
      <c r="A61" s="9" t="str">
        <f aca="false">IF(Checklist!$A61="","",Checklist!$A61)</f>
        <v/>
      </c>
      <c r="B61" s="9" t="str">
        <f aca="false">IF(Checklist!$A61="","",Checklist!$C61)</f>
        <v/>
      </c>
      <c r="C61" s="9" t="str">
        <f aca="false">IF(Checklist!$A61="","",Checklist!$B61)</f>
        <v/>
      </c>
      <c r="D61" s="9" t="str">
        <f aca="false">IF(Checklist!$A61="","",Checklist!$E61)</f>
        <v/>
      </c>
      <c r="E61" s="9" t="str">
        <f aca="false">IF($A61="","",COUNTIFS(Eventos!$B$4:$B$1563,$B61,Eventos!$E$4:$E$1563,$C61)+IF($C61="S",COUNTIFS(Eventos!$B$4:$B$1563,$B61,Eventos!$E$4:$E$1563,"A")+COUNTIFS(Eventos!$B$4:$B$1563,$B61,Eventos!$E$4:$E$1563,"B"),IF($C61="A",COUNTIFS(Eventos!$B$4:$B$1563,$B61,Eventos!$E$4:$E$1563,"B"),0)))</f>
        <v/>
      </c>
      <c r="F61" s="9" t="str">
        <f aca="false">IF($A61="","",Checklist!$I61)</f>
        <v/>
      </c>
      <c r="G61" s="9" t="str">
        <f aca="false">IF(OR($A61="",Checklist!$I61=""),"",ROUND(N(Checklist!$J61)*$E61,1))</f>
        <v/>
      </c>
      <c r="H61" s="9" t="str">
        <f aca="false">IF($A61="","",Checklist!$L61)</f>
        <v/>
      </c>
      <c r="I61" s="9" t="str">
        <f aca="false">IF(OR($A61="",Checklist!$L61=""),"",ROUND(N(Checklist!$M61)*$E61,1))</f>
        <v/>
      </c>
    </row>
    <row r="62" customFormat="false" ht="15" hidden="false" customHeight="false" outlineLevel="0" collapsed="false">
      <c r="A62" s="9" t="str">
        <f aca="false">IF(Checklist!$A62="","",Checklist!$A62)</f>
        <v/>
      </c>
      <c r="B62" s="9" t="str">
        <f aca="false">IF(Checklist!$A62="","",Checklist!$C62)</f>
        <v/>
      </c>
      <c r="C62" s="9" t="str">
        <f aca="false">IF(Checklist!$A62="","",Checklist!$B62)</f>
        <v/>
      </c>
      <c r="D62" s="9" t="str">
        <f aca="false">IF(Checklist!$A62="","",Checklist!$E62)</f>
        <v/>
      </c>
      <c r="E62" s="9" t="str">
        <f aca="false">IF($A62="","",COUNTIFS(Eventos!$B$4:$B$1563,$B62,Eventos!$E$4:$E$1563,$C62)+IF($C62="S",COUNTIFS(Eventos!$B$4:$B$1563,$B62,Eventos!$E$4:$E$1563,"A")+COUNTIFS(Eventos!$B$4:$B$1563,$B62,Eventos!$E$4:$E$1563,"B"),IF($C62="A",COUNTIFS(Eventos!$B$4:$B$1563,$B62,Eventos!$E$4:$E$1563,"B"),0)))</f>
        <v/>
      </c>
      <c r="F62" s="9" t="str">
        <f aca="false">IF($A62="","",Checklist!$I62)</f>
        <v/>
      </c>
      <c r="G62" s="9" t="str">
        <f aca="false">IF(OR($A62="",Checklist!$I62=""),"",ROUND(N(Checklist!$J62)*$E62,1))</f>
        <v/>
      </c>
      <c r="H62" s="9" t="str">
        <f aca="false">IF($A62="","",Checklist!$L62)</f>
        <v/>
      </c>
      <c r="I62" s="9" t="str">
        <f aca="false">IF(OR($A62="",Checklist!$L62=""),"",ROUND(N(Checklist!$M62)*$E62,1))</f>
        <v/>
      </c>
    </row>
    <row r="63" customFormat="false" ht="15" hidden="false" customHeight="false" outlineLevel="0" collapsed="false">
      <c r="A63" s="9" t="str">
        <f aca="false">IF(Checklist!$A63="","",Checklist!$A63)</f>
        <v/>
      </c>
      <c r="B63" s="9" t="str">
        <f aca="false">IF(Checklist!$A63="","",Checklist!$C63)</f>
        <v/>
      </c>
      <c r="C63" s="9" t="str">
        <f aca="false">IF(Checklist!$A63="","",Checklist!$B63)</f>
        <v/>
      </c>
      <c r="D63" s="9" t="str">
        <f aca="false">IF(Checklist!$A63="","",Checklist!$E63)</f>
        <v/>
      </c>
      <c r="E63" s="9" t="str">
        <f aca="false">IF($A63="","",COUNTIFS(Eventos!$B$4:$B$1563,$B63,Eventos!$E$4:$E$1563,$C63)+IF($C63="S",COUNTIFS(Eventos!$B$4:$B$1563,$B63,Eventos!$E$4:$E$1563,"A")+COUNTIFS(Eventos!$B$4:$B$1563,$B63,Eventos!$E$4:$E$1563,"B"),IF($C63="A",COUNTIFS(Eventos!$B$4:$B$1563,$B63,Eventos!$E$4:$E$1563,"B"),0)))</f>
        <v/>
      </c>
      <c r="F63" s="9" t="str">
        <f aca="false">IF($A63="","",Checklist!$I63)</f>
        <v/>
      </c>
      <c r="G63" s="9" t="str">
        <f aca="false">IF(OR($A63="",Checklist!$I63=""),"",ROUND(N(Checklist!$J63)*$E63,1))</f>
        <v/>
      </c>
      <c r="H63" s="9" t="str">
        <f aca="false">IF($A63="","",Checklist!$L63)</f>
        <v/>
      </c>
      <c r="I63" s="9" t="str">
        <f aca="false">IF(OR($A63="",Checklist!$L63=""),"",ROUND(N(Checklist!$M63)*$E63,1))</f>
        <v/>
      </c>
    </row>
    <row r="64" customFormat="false" ht="15" hidden="false" customHeight="false" outlineLevel="0" collapsed="false">
      <c r="A64" s="9" t="str">
        <f aca="false">IF(Checklist!$A64="","",Checklist!$A64)</f>
        <v/>
      </c>
      <c r="B64" s="9" t="str">
        <f aca="false">IF(Checklist!$A64="","",Checklist!$C64)</f>
        <v/>
      </c>
      <c r="C64" s="9" t="str">
        <f aca="false">IF(Checklist!$A64="","",Checklist!$B64)</f>
        <v/>
      </c>
      <c r="D64" s="9" t="str">
        <f aca="false">IF(Checklist!$A64="","",Checklist!$E64)</f>
        <v/>
      </c>
      <c r="E64" s="9" t="str">
        <f aca="false">IF($A64="","",COUNTIFS(Eventos!$B$4:$B$1563,$B64,Eventos!$E$4:$E$1563,$C64)+IF($C64="S",COUNTIFS(Eventos!$B$4:$B$1563,$B64,Eventos!$E$4:$E$1563,"A")+COUNTIFS(Eventos!$B$4:$B$1563,$B64,Eventos!$E$4:$E$1563,"B"),IF($C64="A",COUNTIFS(Eventos!$B$4:$B$1563,$B64,Eventos!$E$4:$E$1563,"B"),0)))</f>
        <v/>
      </c>
      <c r="F64" s="9" t="str">
        <f aca="false">IF($A64="","",Checklist!$I64)</f>
        <v/>
      </c>
      <c r="G64" s="9" t="str">
        <f aca="false">IF(OR($A64="",Checklist!$I64=""),"",ROUND(N(Checklist!$J64)*$E64,1))</f>
        <v/>
      </c>
      <c r="H64" s="9" t="str">
        <f aca="false">IF($A64="","",Checklist!$L64)</f>
        <v/>
      </c>
      <c r="I64" s="9" t="str">
        <f aca="false">IF(OR($A64="",Checklist!$L64=""),"",ROUND(N(Checklist!$M64)*$E64,1))</f>
        <v/>
      </c>
    </row>
    <row r="65" customFormat="false" ht="15" hidden="false" customHeight="false" outlineLevel="0" collapsed="false">
      <c r="A65" s="9" t="str">
        <f aca="false">IF(Checklist!$A65="","",Checklist!$A65)</f>
        <v/>
      </c>
      <c r="B65" s="9" t="str">
        <f aca="false">IF(Checklist!$A65="","",Checklist!$C65)</f>
        <v/>
      </c>
      <c r="C65" s="9" t="str">
        <f aca="false">IF(Checklist!$A65="","",Checklist!$B65)</f>
        <v/>
      </c>
      <c r="D65" s="9" t="str">
        <f aca="false">IF(Checklist!$A65="","",Checklist!$E65)</f>
        <v/>
      </c>
      <c r="E65" s="9" t="str">
        <f aca="false">IF($A65="","",COUNTIFS(Eventos!$B$4:$B$1563,$B65,Eventos!$E$4:$E$1563,$C65)+IF($C65="S",COUNTIFS(Eventos!$B$4:$B$1563,$B65,Eventos!$E$4:$E$1563,"A")+COUNTIFS(Eventos!$B$4:$B$1563,$B65,Eventos!$E$4:$E$1563,"B"),IF($C65="A",COUNTIFS(Eventos!$B$4:$B$1563,$B65,Eventos!$E$4:$E$1563,"B"),0)))</f>
        <v/>
      </c>
      <c r="F65" s="9" t="str">
        <f aca="false">IF($A65="","",Checklist!$I65)</f>
        <v/>
      </c>
      <c r="G65" s="9" t="str">
        <f aca="false">IF(OR($A65="",Checklist!$I65=""),"",ROUND(N(Checklist!$J65)*$E65,1))</f>
        <v/>
      </c>
      <c r="H65" s="9" t="str">
        <f aca="false">IF($A65="","",Checklist!$L65)</f>
        <v/>
      </c>
      <c r="I65" s="9" t="str">
        <f aca="false">IF(OR($A65="",Checklist!$L65=""),"",ROUND(N(Checklist!$M65)*$E65,1))</f>
        <v/>
      </c>
    </row>
    <row r="66" customFormat="false" ht="15" hidden="false" customHeight="false" outlineLevel="0" collapsed="false">
      <c r="A66" s="9" t="str">
        <f aca="false">IF(Checklist!$A66="","",Checklist!$A66)</f>
        <v/>
      </c>
      <c r="B66" s="9" t="str">
        <f aca="false">IF(Checklist!$A66="","",Checklist!$C66)</f>
        <v/>
      </c>
      <c r="C66" s="9" t="str">
        <f aca="false">IF(Checklist!$A66="","",Checklist!$B66)</f>
        <v/>
      </c>
      <c r="D66" s="9" t="str">
        <f aca="false">IF(Checklist!$A66="","",Checklist!$E66)</f>
        <v/>
      </c>
      <c r="E66" s="9" t="str">
        <f aca="false">IF($A66="","",COUNTIFS(Eventos!$B$4:$B$1563,$B66,Eventos!$E$4:$E$1563,$C66)+IF($C66="S",COUNTIFS(Eventos!$B$4:$B$1563,$B66,Eventos!$E$4:$E$1563,"A")+COUNTIFS(Eventos!$B$4:$B$1563,$B66,Eventos!$E$4:$E$1563,"B"),IF($C66="A",COUNTIFS(Eventos!$B$4:$B$1563,$B66,Eventos!$E$4:$E$1563,"B"),0)))</f>
        <v/>
      </c>
      <c r="F66" s="9" t="str">
        <f aca="false">IF($A66="","",Checklist!$I66)</f>
        <v/>
      </c>
      <c r="G66" s="9" t="str">
        <f aca="false">IF(OR($A66="",Checklist!$I66=""),"",ROUND(N(Checklist!$J66)*$E66,1))</f>
        <v/>
      </c>
      <c r="H66" s="9" t="str">
        <f aca="false">IF($A66="","",Checklist!$L66)</f>
        <v/>
      </c>
      <c r="I66" s="9" t="str">
        <f aca="false">IF(OR($A66="",Checklist!$L66=""),"",ROUND(N(Checklist!$M66)*$E66,1))</f>
        <v/>
      </c>
    </row>
    <row r="67" customFormat="false" ht="15" hidden="false" customHeight="false" outlineLevel="0" collapsed="false">
      <c r="A67" s="9" t="str">
        <f aca="false">IF(Checklist!$A67="","",Checklist!$A67)</f>
        <v/>
      </c>
      <c r="B67" s="9" t="str">
        <f aca="false">IF(Checklist!$A67="","",Checklist!$C67)</f>
        <v/>
      </c>
      <c r="C67" s="9" t="str">
        <f aca="false">IF(Checklist!$A67="","",Checklist!$B67)</f>
        <v/>
      </c>
      <c r="D67" s="9" t="str">
        <f aca="false">IF(Checklist!$A67="","",Checklist!$E67)</f>
        <v/>
      </c>
      <c r="E67" s="9" t="str">
        <f aca="false">IF($A67="","",COUNTIFS(Eventos!$B$4:$B$1563,$B67,Eventos!$E$4:$E$1563,$C67)+IF($C67="S",COUNTIFS(Eventos!$B$4:$B$1563,$B67,Eventos!$E$4:$E$1563,"A")+COUNTIFS(Eventos!$B$4:$B$1563,$B67,Eventos!$E$4:$E$1563,"B"),IF($C67="A",COUNTIFS(Eventos!$B$4:$B$1563,$B67,Eventos!$E$4:$E$1563,"B"),0)))</f>
        <v/>
      </c>
      <c r="F67" s="9" t="str">
        <f aca="false">IF($A67="","",Checklist!$I67)</f>
        <v/>
      </c>
      <c r="G67" s="9" t="str">
        <f aca="false">IF(OR($A67="",Checklist!$I67=""),"",ROUND(N(Checklist!$J67)*$E67,1))</f>
        <v/>
      </c>
      <c r="H67" s="9" t="str">
        <f aca="false">IF($A67="","",Checklist!$L67)</f>
        <v/>
      </c>
      <c r="I67" s="9" t="str">
        <f aca="false">IF(OR($A67="",Checklist!$L67=""),"",ROUND(N(Checklist!$M67)*$E67,1))</f>
        <v/>
      </c>
    </row>
    <row r="68" customFormat="false" ht="15" hidden="false" customHeight="false" outlineLevel="0" collapsed="false">
      <c r="A68" s="9" t="str">
        <f aca="false">IF(Checklist!$A68="","",Checklist!$A68)</f>
        <v/>
      </c>
      <c r="B68" s="9" t="str">
        <f aca="false">IF(Checklist!$A68="","",Checklist!$C68)</f>
        <v/>
      </c>
      <c r="C68" s="9" t="str">
        <f aca="false">IF(Checklist!$A68="","",Checklist!$B68)</f>
        <v/>
      </c>
      <c r="D68" s="9" t="str">
        <f aca="false">IF(Checklist!$A68="","",Checklist!$E68)</f>
        <v/>
      </c>
      <c r="E68" s="9" t="str">
        <f aca="false">IF($A68="","",COUNTIFS(Eventos!$B$4:$B$1563,$B68,Eventos!$E$4:$E$1563,$C68)+IF($C68="S",COUNTIFS(Eventos!$B$4:$B$1563,$B68,Eventos!$E$4:$E$1563,"A")+COUNTIFS(Eventos!$B$4:$B$1563,$B68,Eventos!$E$4:$E$1563,"B"),IF($C68="A",COUNTIFS(Eventos!$B$4:$B$1563,$B68,Eventos!$E$4:$E$1563,"B"),0)))</f>
        <v/>
      </c>
      <c r="F68" s="9" t="str">
        <f aca="false">IF($A68="","",Checklist!$I68)</f>
        <v/>
      </c>
      <c r="G68" s="9" t="str">
        <f aca="false">IF(OR($A68="",Checklist!$I68=""),"",ROUND(N(Checklist!$J68)*$E68,1))</f>
        <v/>
      </c>
      <c r="H68" s="9" t="str">
        <f aca="false">IF($A68="","",Checklist!$L68)</f>
        <v/>
      </c>
      <c r="I68" s="9" t="str">
        <f aca="false">IF(OR($A68="",Checklist!$L68=""),"",ROUND(N(Checklist!$M68)*$E68,1))</f>
        <v/>
      </c>
    </row>
    <row r="69" customFormat="false" ht="15" hidden="false" customHeight="false" outlineLevel="0" collapsed="false">
      <c r="A69" s="9" t="str">
        <f aca="false">IF(Checklist!$A69="","",Checklist!$A69)</f>
        <v/>
      </c>
      <c r="B69" s="9" t="str">
        <f aca="false">IF(Checklist!$A69="","",Checklist!$C69)</f>
        <v/>
      </c>
      <c r="C69" s="9" t="str">
        <f aca="false">IF(Checklist!$A69="","",Checklist!$B69)</f>
        <v/>
      </c>
      <c r="D69" s="9" t="str">
        <f aca="false">IF(Checklist!$A69="","",Checklist!$E69)</f>
        <v/>
      </c>
      <c r="E69" s="9" t="str">
        <f aca="false">IF($A69="","",COUNTIFS(Eventos!$B$4:$B$1563,$B69,Eventos!$E$4:$E$1563,$C69)+IF($C69="S",COUNTIFS(Eventos!$B$4:$B$1563,$B69,Eventos!$E$4:$E$1563,"A")+COUNTIFS(Eventos!$B$4:$B$1563,$B69,Eventos!$E$4:$E$1563,"B"),IF($C69="A",COUNTIFS(Eventos!$B$4:$B$1563,$B69,Eventos!$E$4:$E$1563,"B"),0)))</f>
        <v/>
      </c>
      <c r="F69" s="9" t="str">
        <f aca="false">IF($A69="","",Checklist!$I69)</f>
        <v/>
      </c>
      <c r="G69" s="9" t="str">
        <f aca="false">IF(OR($A69="",Checklist!$I69=""),"",ROUND(N(Checklist!$J69)*$E69,1))</f>
        <v/>
      </c>
      <c r="H69" s="9" t="str">
        <f aca="false">IF($A69="","",Checklist!$L69)</f>
        <v/>
      </c>
      <c r="I69" s="9" t="str">
        <f aca="false">IF(OR($A69="",Checklist!$L69=""),"",ROUND(N(Checklist!$M69)*$E69,1))</f>
        <v/>
      </c>
    </row>
    <row r="70" customFormat="false" ht="15" hidden="false" customHeight="false" outlineLevel="0" collapsed="false">
      <c r="A70" s="9" t="str">
        <f aca="false">IF(Checklist!$A70="","",Checklist!$A70)</f>
        <v/>
      </c>
      <c r="B70" s="9" t="str">
        <f aca="false">IF(Checklist!$A70="","",Checklist!$C70)</f>
        <v/>
      </c>
      <c r="C70" s="9" t="str">
        <f aca="false">IF(Checklist!$A70="","",Checklist!$B70)</f>
        <v/>
      </c>
      <c r="D70" s="9" t="str">
        <f aca="false">IF(Checklist!$A70="","",Checklist!$E70)</f>
        <v/>
      </c>
      <c r="E70" s="9" t="str">
        <f aca="false">IF($A70="","",COUNTIFS(Eventos!$B$4:$B$1563,$B70,Eventos!$E$4:$E$1563,$C70)+IF($C70="S",COUNTIFS(Eventos!$B$4:$B$1563,$B70,Eventos!$E$4:$E$1563,"A")+COUNTIFS(Eventos!$B$4:$B$1563,$B70,Eventos!$E$4:$E$1563,"B"),IF($C70="A",COUNTIFS(Eventos!$B$4:$B$1563,$B70,Eventos!$E$4:$E$1563,"B"),0)))</f>
        <v/>
      </c>
      <c r="F70" s="9" t="str">
        <f aca="false">IF($A70="","",Checklist!$I70)</f>
        <v/>
      </c>
      <c r="G70" s="9" t="str">
        <f aca="false">IF(OR($A70="",Checklist!$I70=""),"",ROUND(N(Checklist!$J70)*$E70,1))</f>
        <v/>
      </c>
      <c r="H70" s="9" t="str">
        <f aca="false">IF($A70="","",Checklist!$L70)</f>
        <v/>
      </c>
      <c r="I70" s="9" t="str">
        <f aca="false">IF(OR($A70="",Checklist!$L70=""),"",ROUND(N(Checklist!$M70)*$E70,1))</f>
        <v/>
      </c>
    </row>
    <row r="71" customFormat="false" ht="15" hidden="false" customHeight="false" outlineLevel="0" collapsed="false">
      <c r="A71" s="9" t="str">
        <f aca="false">IF(Checklist!$A71="","",Checklist!$A71)</f>
        <v/>
      </c>
      <c r="B71" s="9" t="str">
        <f aca="false">IF(Checklist!$A71="","",Checklist!$C71)</f>
        <v/>
      </c>
      <c r="C71" s="9" t="str">
        <f aca="false">IF(Checklist!$A71="","",Checklist!$B71)</f>
        <v/>
      </c>
      <c r="D71" s="9" t="str">
        <f aca="false">IF(Checklist!$A71="","",Checklist!$E71)</f>
        <v/>
      </c>
      <c r="E71" s="9" t="str">
        <f aca="false">IF($A71="","",COUNTIFS(Eventos!$B$4:$B$1563,$B71,Eventos!$E$4:$E$1563,$C71)+IF($C71="S",COUNTIFS(Eventos!$B$4:$B$1563,$B71,Eventos!$E$4:$E$1563,"A")+COUNTIFS(Eventos!$B$4:$B$1563,$B71,Eventos!$E$4:$E$1563,"B"),IF($C71="A",COUNTIFS(Eventos!$B$4:$B$1563,$B71,Eventos!$E$4:$E$1563,"B"),0)))</f>
        <v/>
      </c>
      <c r="F71" s="9" t="str">
        <f aca="false">IF($A71="","",Checklist!$I71)</f>
        <v/>
      </c>
      <c r="G71" s="9" t="str">
        <f aca="false">IF(OR($A71="",Checklist!$I71=""),"",ROUND(N(Checklist!$J71)*$E71,1))</f>
        <v/>
      </c>
      <c r="H71" s="9" t="str">
        <f aca="false">IF($A71="","",Checklist!$L71)</f>
        <v/>
      </c>
      <c r="I71" s="9" t="str">
        <f aca="false">IF(OR($A71="",Checklist!$L71=""),"",ROUND(N(Checklist!$M71)*$E71,1))</f>
        <v/>
      </c>
    </row>
    <row r="72" customFormat="false" ht="15" hidden="false" customHeight="false" outlineLevel="0" collapsed="false">
      <c r="A72" s="9" t="str">
        <f aca="false">IF(Checklist!$A72="","",Checklist!$A72)</f>
        <v/>
      </c>
      <c r="B72" s="9" t="str">
        <f aca="false">IF(Checklist!$A72="","",Checklist!$C72)</f>
        <v/>
      </c>
      <c r="C72" s="9" t="str">
        <f aca="false">IF(Checklist!$A72="","",Checklist!$B72)</f>
        <v/>
      </c>
      <c r="D72" s="9" t="str">
        <f aca="false">IF(Checklist!$A72="","",Checklist!$E72)</f>
        <v/>
      </c>
      <c r="E72" s="9" t="str">
        <f aca="false">IF($A72="","",COUNTIFS(Eventos!$B$4:$B$1563,$B72,Eventos!$E$4:$E$1563,$C72)+IF($C72="S",COUNTIFS(Eventos!$B$4:$B$1563,$B72,Eventos!$E$4:$E$1563,"A")+COUNTIFS(Eventos!$B$4:$B$1563,$B72,Eventos!$E$4:$E$1563,"B"),IF($C72="A",COUNTIFS(Eventos!$B$4:$B$1563,$B72,Eventos!$E$4:$E$1563,"B"),0)))</f>
        <v/>
      </c>
      <c r="F72" s="9" t="str">
        <f aca="false">IF($A72="","",Checklist!$I72)</f>
        <v/>
      </c>
      <c r="G72" s="9" t="str">
        <f aca="false">IF(OR($A72="",Checklist!$I72=""),"",ROUND(N(Checklist!$J72)*$E72,1))</f>
        <v/>
      </c>
      <c r="H72" s="9" t="str">
        <f aca="false">IF($A72="","",Checklist!$L72)</f>
        <v/>
      </c>
      <c r="I72" s="9" t="str">
        <f aca="false">IF(OR($A72="",Checklist!$L72=""),"",ROUND(N(Checklist!$M72)*$E72,1))</f>
        <v/>
      </c>
    </row>
    <row r="73" customFormat="false" ht="15" hidden="false" customHeight="false" outlineLevel="0" collapsed="false">
      <c r="A73" s="9" t="str">
        <f aca="false">IF(Checklist!$A73="","",Checklist!$A73)</f>
        <v/>
      </c>
      <c r="B73" s="9" t="str">
        <f aca="false">IF(Checklist!$A73="","",Checklist!$C73)</f>
        <v/>
      </c>
      <c r="C73" s="9" t="str">
        <f aca="false">IF(Checklist!$A73="","",Checklist!$B73)</f>
        <v/>
      </c>
      <c r="D73" s="9" t="str">
        <f aca="false">IF(Checklist!$A73="","",Checklist!$E73)</f>
        <v/>
      </c>
      <c r="E73" s="9" t="str">
        <f aca="false">IF($A73="","",COUNTIFS(Eventos!$B$4:$B$1563,$B73,Eventos!$E$4:$E$1563,$C73)+IF($C73="S",COUNTIFS(Eventos!$B$4:$B$1563,$B73,Eventos!$E$4:$E$1563,"A")+COUNTIFS(Eventos!$B$4:$B$1563,$B73,Eventos!$E$4:$E$1563,"B"),IF($C73="A",COUNTIFS(Eventos!$B$4:$B$1563,$B73,Eventos!$E$4:$E$1563,"B"),0)))</f>
        <v/>
      </c>
      <c r="F73" s="9" t="str">
        <f aca="false">IF($A73="","",Checklist!$I73)</f>
        <v/>
      </c>
      <c r="G73" s="9" t="str">
        <f aca="false">IF(OR($A73="",Checklist!$I73=""),"",ROUND(N(Checklist!$J73)*$E73,1))</f>
        <v/>
      </c>
      <c r="H73" s="9" t="str">
        <f aca="false">IF($A73="","",Checklist!$L73)</f>
        <v/>
      </c>
      <c r="I73" s="9" t="str">
        <f aca="false">IF(OR($A73="",Checklist!$L73=""),"",ROUND(N(Checklist!$M73)*$E73,1))</f>
        <v/>
      </c>
    </row>
    <row r="74" customFormat="false" ht="15" hidden="false" customHeight="false" outlineLevel="0" collapsed="false">
      <c r="A74" s="9" t="str">
        <f aca="false">IF(Checklist!$A74="","",Checklist!$A74)</f>
        <v/>
      </c>
      <c r="B74" s="9" t="str">
        <f aca="false">IF(Checklist!$A74="","",Checklist!$C74)</f>
        <v/>
      </c>
      <c r="C74" s="9" t="str">
        <f aca="false">IF(Checklist!$A74="","",Checklist!$B74)</f>
        <v/>
      </c>
      <c r="D74" s="9" t="str">
        <f aca="false">IF(Checklist!$A74="","",Checklist!$E74)</f>
        <v/>
      </c>
      <c r="E74" s="9" t="str">
        <f aca="false">IF($A74="","",COUNTIFS(Eventos!$B$4:$B$1563,$B74,Eventos!$E$4:$E$1563,$C74)+IF($C74="S",COUNTIFS(Eventos!$B$4:$B$1563,$B74,Eventos!$E$4:$E$1563,"A")+COUNTIFS(Eventos!$B$4:$B$1563,$B74,Eventos!$E$4:$E$1563,"B"),IF($C74="A",COUNTIFS(Eventos!$B$4:$B$1563,$B74,Eventos!$E$4:$E$1563,"B"),0)))</f>
        <v/>
      </c>
      <c r="F74" s="9" t="str">
        <f aca="false">IF($A74="","",Checklist!$I74)</f>
        <v/>
      </c>
      <c r="G74" s="9" t="str">
        <f aca="false">IF(OR($A74="",Checklist!$I74=""),"",ROUND(N(Checklist!$J74)*$E74,1))</f>
        <v/>
      </c>
      <c r="H74" s="9" t="str">
        <f aca="false">IF($A74="","",Checklist!$L74)</f>
        <v/>
      </c>
      <c r="I74" s="9" t="str">
        <f aca="false">IF(OR($A74="",Checklist!$L74=""),"",ROUND(N(Checklist!$M74)*$E74,1))</f>
        <v/>
      </c>
    </row>
    <row r="75" customFormat="false" ht="15" hidden="false" customHeight="false" outlineLevel="0" collapsed="false">
      <c r="A75" s="9" t="str">
        <f aca="false">IF(Checklist!$A75="","",Checklist!$A75)</f>
        <v/>
      </c>
      <c r="B75" s="9" t="str">
        <f aca="false">IF(Checklist!$A75="","",Checklist!$C75)</f>
        <v/>
      </c>
      <c r="C75" s="9" t="str">
        <f aca="false">IF(Checklist!$A75="","",Checklist!$B75)</f>
        <v/>
      </c>
      <c r="D75" s="9" t="str">
        <f aca="false">IF(Checklist!$A75="","",Checklist!$E75)</f>
        <v/>
      </c>
      <c r="E75" s="9" t="str">
        <f aca="false">IF($A75="","",COUNTIFS(Eventos!$B$4:$B$1563,$B75,Eventos!$E$4:$E$1563,$C75)+IF($C75="S",COUNTIFS(Eventos!$B$4:$B$1563,$B75,Eventos!$E$4:$E$1563,"A")+COUNTIFS(Eventos!$B$4:$B$1563,$B75,Eventos!$E$4:$E$1563,"B"),IF($C75="A",COUNTIFS(Eventos!$B$4:$B$1563,$B75,Eventos!$E$4:$E$1563,"B"),0)))</f>
        <v/>
      </c>
      <c r="F75" s="9" t="str">
        <f aca="false">IF($A75="","",Checklist!$I75)</f>
        <v/>
      </c>
      <c r="G75" s="9" t="str">
        <f aca="false">IF(OR($A75="",Checklist!$I75=""),"",ROUND(N(Checklist!$J75)*$E75,1))</f>
        <v/>
      </c>
      <c r="H75" s="9" t="str">
        <f aca="false">IF($A75="","",Checklist!$L75)</f>
        <v/>
      </c>
      <c r="I75" s="9" t="str">
        <f aca="false">IF(OR($A75="",Checklist!$L75=""),"",ROUND(N(Checklist!$M75)*$E75,1))</f>
        <v/>
      </c>
    </row>
    <row r="76" customFormat="false" ht="15" hidden="false" customHeight="false" outlineLevel="0" collapsed="false">
      <c r="A76" s="9" t="str">
        <f aca="false">IF(Checklist!$A76="","",Checklist!$A76)</f>
        <v/>
      </c>
      <c r="B76" s="9" t="str">
        <f aca="false">IF(Checklist!$A76="","",Checklist!$C76)</f>
        <v/>
      </c>
      <c r="C76" s="9" t="str">
        <f aca="false">IF(Checklist!$A76="","",Checklist!$B76)</f>
        <v/>
      </c>
      <c r="D76" s="9" t="str">
        <f aca="false">IF(Checklist!$A76="","",Checklist!$E76)</f>
        <v/>
      </c>
      <c r="E76" s="9" t="str">
        <f aca="false">IF($A76="","",COUNTIFS(Eventos!$B$4:$B$1563,$B76,Eventos!$E$4:$E$1563,$C76)+IF($C76="S",COUNTIFS(Eventos!$B$4:$B$1563,$B76,Eventos!$E$4:$E$1563,"A")+COUNTIFS(Eventos!$B$4:$B$1563,$B76,Eventos!$E$4:$E$1563,"B"),IF($C76="A",COUNTIFS(Eventos!$B$4:$B$1563,$B76,Eventos!$E$4:$E$1563,"B"),0)))</f>
        <v/>
      </c>
      <c r="F76" s="9" t="str">
        <f aca="false">IF($A76="","",Checklist!$I76)</f>
        <v/>
      </c>
      <c r="G76" s="9" t="str">
        <f aca="false">IF(OR($A76="",Checklist!$I76=""),"",ROUND(N(Checklist!$J76)*$E76,1))</f>
        <v/>
      </c>
      <c r="H76" s="9" t="str">
        <f aca="false">IF($A76="","",Checklist!$L76)</f>
        <v/>
      </c>
      <c r="I76" s="9" t="str">
        <f aca="false">IF(OR($A76="",Checklist!$L76=""),"",ROUND(N(Checklist!$M76)*$E76,1))</f>
        <v/>
      </c>
    </row>
    <row r="77" customFormat="false" ht="15" hidden="false" customHeight="false" outlineLevel="0" collapsed="false">
      <c r="A77" s="9" t="str">
        <f aca="false">IF(Checklist!$A77="","",Checklist!$A77)</f>
        <v/>
      </c>
      <c r="B77" s="9" t="str">
        <f aca="false">IF(Checklist!$A77="","",Checklist!$C77)</f>
        <v/>
      </c>
      <c r="C77" s="9" t="str">
        <f aca="false">IF(Checklist!$A77="","",Checklist!$B77)</f>
        <v/>
      </c>
      <c r="D77" s="9" t="str">
        <f aca="false">IF(Checklist!$A77="","",Checklist!$E77)</f>
        <v/>
      </c>
      <c r="E77" s="9" t="str">
        <f aca="false">IF($A77="","",COUNTIFS(Eventos!$B$4:$B$1563,$B77,Eventos!$E$4:$E$1563,$C77)+IF($C77="S",COUNTIFS(Eventos!$B$4:$B$1563,$B77,Eventos!$E$4:$E$1563,"A")+COUNTIFS(Eventos!$B$4:$B$1563,$B77,Eventos!$E$4:$E$1563,"B"),IF($C77="A",COUNTIFS(Eventos!$B$4:$B$1563,$B77,Eventos!$E$4:$E$1563,"B"),0)))</f>
        <v/>
      </c>
      <c r="F77" s="9" t="str">
        <f aca="false">IF($A77="","",Checklist!$I77)</f>
        <v/>
      </c>
      <c r="G77" s="9" t="str">
        <f aca="false">IF(OR($A77="",Checklist!$I77=""),"",ROUND(N(Checklist!$J77)*$E77,1))</f>
        <v/>
      </c>
      <c r="H77" s="9" t="str">
        <f aca="false">IF($A77="","",Checklist!$L77)</f>
        <v/>
      </c>
      <c r="I77" s="9" t="str">
        <f aca="false">IF(OR($A77="",Checklist!$L77=""),"",ROUND(N(Checklist!$M77)*$E77,1))</f>
        <v/>
      </c>
    </row>
    <row r="78" customFormat="false" ht="15" hidden="false" customHeight="false" outlineLevel="0" collapsed="false">
      <c r="A78" s="9" t="str">
        <f aca="false">IF(Checklist!$A78="","",Checklist!$A78)</f>
        <v/>
      </c>
      <c r="B78" s="9" t="str">
        <f aca="false">IF(Checklist!$A78="","",Checklist!$C78)</f>
        <v/>
      </c>
      <c r="C78" s="9" t="str">
        <f aca="false">IF(Checklist!$A78="","",Checklist!$B78)</f>
        <v/>
      </c>
      <c r="D78" s="9" t="str">
        <f aca="false">IF(Checklist!$A78="","",Checklist!$E78)</f>
        <v/>
      </c>
      <c r="E78" s="9" t="str">
        <f aca="false">IF($A78="","",COUNTIFS(Eventos!$B$4:$B$1563,$B78,Eventos!$E$4:$E$1563,$C78)+IF($C78="S",COUNTIFS(Eventos!$B$4:$B$1563,$B78,Eventos!$E$4:$E$1563,"A")+COUNTIFS(Eventos!$B$4:$B$1563,$B78,Eventos!$E$4:$E$1563,"B"),IF($C78="A",COUNTIFS(Eventos!$B$4:$B$1563,$B78,Eventos!$E$4:$E$1563,"B"),0)))</f>
        <v/>
      </c>
      <c r="F78" s="9" t="str">
        <f aca="false">IF($A78="","",Checklist!$I78)</f>
        <v/>
      </c>
      <c r="G78" s="9" t="str">
        <f aca="false">IF(OR($A78="",Checklist!$I78=""),"",ROUND(N(Checklist!$J78)*$E78,1))</f>
        <v/>
      </c>
      <c r="H78" s="9" t="str">
        <f aca="false">IF($A78="","",Checklist!$L78)</f>
        <v/>
      </c>
      <c r="I78" s="9" t="str">
        <f aca="false">IF(OR($A78="",Checklist!$L78=""),"",ROUND(N(Checklist!$M78)*$E78,1))</f>
        <v/>
      </c>
    </row>
    <row r="79" customFormat="false" ht="15" hidden="false" customHeight="false" outlineLevel="0" collapsed="false">
      <c r="A79" s="9" t="str">
        <f aca="false">IF(Checklist!$A79="","",Checklist!$A79)</f>
        <v/>
      </c>
      <c r="B79" s="9" t="str">
        <f aca="false">IF(Checklist!$A79="","",Checklist!$C79)</f>
        <v/>
      </c>
      <c r="C79" s="9" t="str">
        <f aca="false">IF(Checklist!$A79="","",Checklist!$B79)</f>
        <v/>
      </c>
      <c r="D79" s="9" t="str">
        <f aca="false">IF(Checklist!$A79="","",Checklist!$E79)</f>
        <v/>
      </c>
      <c r="E79" s="9" t="str">
        <f aca="false">IF($A79="","",COUNTIFS(Eventos!$B$4:$B$1563,$B79,Eventos!$E$4:$E$1563,$C79)+IF($C79="S",COUNTIFS(Eventos!$B$4:$B$1563,$B79,Eventos!$E$4:$E$1563,"A")+COUNTIFS(Eventos!$B$4:$B$1563,$B79,Eventos!$E$4:$E$1563,"B"),IF($C79="A",COUNTIFS(Eventos!$B$4:$B$1563,$B79,Eventos!$E$4:$E$1563,"B"),0)))</f>
        <v/>
      </c>
      <c r="F79" s="9" t="str">
        <f aca="false">IF($A79="","",Checklist!$I79)</f>
        <v/>
      </c>
      <c r="G79" s="9" t="str">
        <f aca="false">IF(OR($A79="",Checklist!$I79=""),"",ROUND(N(Checklist!$J79)*$E79,1))</f>
        <v/>
      </c>
      <c r="H79" s="9" t="str">
        <f aca="false">IF($A79="","",Checklist!$L79)</f>
        <v/>
      </c>
      <c r="I79" s="9" t="str">
        <f aca="false">IF(OR($A79="",Checklist!$L79=""),"",ROUND(N(Checklist!$M79)*$E79,1))</f>
        <v/>
      </c>
    </row>
    <row r="80" customFormat="false" ht="15" hidden="false" customHeight="false" outlineLevel="0" collapsed="false">
      <c r="A80" s="9" t="str">
        <f aca="false">IF(Checklist!$A80="","",Checklist!$A80)</f>
        <v/>
      </c>
      <c r="B80" s="9" t="str">
        <f aca="false">IF(Checklist!$A80="","",Checklist!$C80)</f>
        <v/>
      </c>
      <c r="C80" s="9" t="str">
        <f aca="false">IF(Checklist!$A80="","",Checklist!$B80)</f>
        <v/>
      </c>
      <c r="D80" s="9" t="str">
        <f aca="false">IF(Checklist!$A80="","",Checklist!$E80)</f>
        <v/>
      </c>
      <c r="E80" s="9" t="str">
        <f aca="false">IF($A80="","",COUNTIFS(Eventos!$B$4:$B$1563,$B80,Eventos!$E$4:$E$1563,$C80)+IF($C80="S",COUNTIFS(Eventos!$B$4:$B$1563,$B80,Eventos!$E$4:$E$1563,"A")+COUNTIFS(Eventos!$B$4:$B$1563,$B80,Eventos!$E$4:$E$1563,"B"),IF($C80="A",COUNTIFS(Eventos!$B$4:$B$1563,$B80,Eventos!$E$4:$E$1563,"B"),0)))</f>
        <v/>
      </c>
      <c r="F80" s="9" t="str">
        <f aca="false">IF($A80="","",Checklist!$I80)</f>
        <v/>
      </c>
      <c r="G80" s="9" t="str">
        <f aca="false">IF(OR($A80="",Checklist!$I80=""),"",ROUND(N(Checklist!$J80)*$E80,1))</f>
        <v/>
      </c>
      <c r="H80" s="9" t="str">
        <f aca="false">IF($A80="","",Checklist!$L80)</f>
        <v/>
      </c>
      <c r="I80" s="9" t="str">
        <f aca="false">IF(OR($A80="",Checklist!$L80=""),"",ROUND(N(Checklist!$M80)*$E80,1))</f>
        <v/>
      </c>
    </row>
    <row r="81" customFormat="false" ht="15" hidden="false" customHeight="false" outlineLevel="0" collapsed="false">
      <c r="A81" s="9" t="str">
        <f aca="false">IF(Checklist!$A81="","",Checklist!$A81)</f>
        <v/>
      </c>
      <c r="B81" s="9" t="str">
        <f aca="false">IF(Checklist!$A81="","",Checklist!$C81)</f>
        <v/>
      </c>
      <c r="C81" s="9" t="str">
        <f aca="false">IF(Checklist!$A81="","",Checklist!$B81)</f>
        <v/>
      </c>
      <c r="D81" s="9" t="str">
        <f aca="false">IF(Checklist!$A81="","",Checklist!$E81)</f>
        <v/>
      </c>
      <c r="E81" s="9" t="str">
        <f aca="false">IF($A81="","",COUNTIFS(Eventos!$B$4:$B$1563,$B81,Eventos!$E$4:$E$1563,$C81)+IF($C81="S",COUNTIFS(Eventos!$B$4:$B$1563,$B81,Eventos!$E$4:$E$1563,"A")+COUNTIFS(Eventos!$B$4:$B$1563,$B81,Eventos!$E$4:$E$1563,"B"),IF($C81="A",COUNTIFS(Eventos!$B$4:$B$1563,$B81,Eventos!$E$4:$E$1563,"B"),0)))</f>
        <v/>
      </c>
      <c r="F81" s="9" t="str">
        <f aca="false">IF($A81="","",Checklist!$I81)</f>
        <v/>
      </c>
      <c r="G81" s="9" t="str">
        <f aca="false">IF(OR($A81="",Checklist!$I81=""),"",ROUND(N(Checklist!$J81)*$E81,1))</f>
        <v/>
      </c>
      <c r="H81" s="9" t="str">
        <f aca="false">IF($A81="","",Checklist!$L81)</f>
        <v/>
      </c>
      <c r="I81" s="9" t="str">
        <f aca="false">IF(OR($A81="",Checklist!$L81=""),"",ROUND(N(Checklist!$M81)*$E81,1))</f>
        <v/>
      </c>
    </row>
    <row r="82" customFormat="false" ht="15" hidden="false" customHeight="false" outlineLevel="0" collapsed="false">
      <c r="A82" s="9" t="str">
        <f aca="false">IF(Checklist!$A82="","",Checklist!$A82)</f>
        <v/>
      </c>
      <c r="B82" s="9" t="str">
        <f aca="false">IF(Checklist!$A82="","",Checklist!$C82)</f>
        <v/>
      </c>
      <c r="C82" s="9" t="str">
        <f aca="false">IF(Checklist!$A82="","",Checklist!$B82)</f>
        <v/>
      </c>
      <c r="D82" s="9" t="str">
        <f aca="false">IF(Checklist!$A82="","",Checklist!$E82)</f>
        <v/>
      </c>
      <c r="E82" s="9" t="str">
        <f aca="false">IF($A82="","",COUNTIFS(Eventos!$B$4:$B$1563,$B82,Eventos!$E$4:$E$1563,$C82)+IF($C82="S",COUNTIFS(Eventos!$B$4:$B$1563,$B82,Eventos!$E$4:$E$1563,"A")+COUNTIFS(Eventos!$B$4:$B$1563,$B82,Eventos!$E$4:$E$1563,"B"),IF($C82="A",COUNTIFS(Eventos!$B$4:$B$1563,$B82,Eventos!$E$4:$E$1563,"B"),0)))</f>
        <v/>
      </c>
      <c r="F82" s="9" t="str">
        <f aca="false">IF($A82="","",Checklist!$I82)</f>
        <v/>
      </c>
      <c r="G82" s="9" t="str">
        <f aca="false">IF(OR($A82="",Checklist!$I82=""),"",ROUND(N(Checklist!$J82)*$E82,1))</f>
        <v/>
      </c>
      <c r="H82" s="9" t="str">
        <f aca="false">IF($A82="","",Checklist!$L82)</f>
        <v/>
      </c>
      <c r="I82" s="9" t="str">
        <f aca="false">IF(OR($A82="",Checklist!$L82=""),"",ROUND(N(Checklist!$M82)*$E82,1))</f>
        <v/>
      </c>
    </row>
    <row r="83" customFormat="false" ht="15" hidden="false" customHeight="false" outlineLevel="0" collapsed="false">
      <c r="A83" s="9" t="str">
        <f aca="false">IF(Checklist!$A83="","",Checklist!$A83)</f>
        <v/>
      </c>
      <c r="B83" s="9" t="str">
        <f aca="false">IF(Checklist!$A83="","",Checklist!$C83)</f>
        <v/>
      </c>
      <c r="C83" s="9" t="str">
        <f aca="false">IF(Checklist!$A83="","",Checklist!$B83)</f>
        <v/>
      </c>
      <c r="D83" s="9" t="str">
        <f aca="false">IF(Checklist!$A83="","",Checklist!$E83)</f>
        <v/>
      </c>
      <c r="E83" s="9" t="str">
        <f aca="false">IF($A83="","",COUNTIFS(Eventos!$B$4:$B$1563,$B83,Eventos!$E$4:$E$1563,$C83)+IF($C83="S",COUNTIFS(Eventos!$B$4:$B$1563,$B83,Eventos!$E$4:$E$1563,"A")+COUNTIFS(Eventos!$B$4:$B$1563,$B83,Eventos!$E$4:$E$1563,"B"),IF($C83="A",COUNTIFS(Eventos!$B$4:$B$1563,$B83,Eventos!$E$4:$E$1563,"B"),0)))</f>
        <v/>
      </c>
      <c r="F83" s="9" t="str">
        <f aca="false">IF($A83="","",Checklist!$I83)</f>
        <v/>
      </c>
      <c r="G83" s="9" t="str">
        <f aca="false">IF(OR($A83="",Checklist!$I83=""),"",ROUND(N(Checklist!$J83)*$E83,1))</f>
        <v/>
      </c>
      <c r="H83" s="9" t="str">
        <f aca="false">IF($A83="","",Checklist!$L83)</f>
        <v/>
      </c>
      <c r="I83" s="9" t="str">
        <f aca="false">IF(OR($A83="",Checklist!$L83=""),"",ROUND(N(Checklist!$M83)*$E83,1))</f>
        <v/>
      </c>
    </row>
    <row r="84" customFormat="false" ht="15" hidden="false" customHeight="false" outlineLevel="0" collapsed="false">
      <c r="A84" s="9" t="str">
        <f aca="false">IF(Checklist!$A84="","",Checklist!$A84)</f>
        <v/>
      </c>
      <c r="B84" s="9" t="str">
        <f aca="false">IF(Checklist!$A84="","",Checklist!$C84)</f>
        <v/>
      </c>
      <c r="C84" s="9" t="str">
        <f aca="false">IF(Checklist!$A84="","",Checklist!$B84)</f>
        <v/>
      </c>
      <c r="D84" s="9" t="str">
        <f aca="false">IF(Checklist!$A84="","",Checklist!$E84)</f>
        <v/>
      </c>
      <c r="E84" s="9" t="str">
        <f aca="false">IF($A84="","",COUNTIFS(Eventos!$B$4:$B$1563,$B84,Eventos!$E$4:$E$1563,$C84)+IF($C84="S",COUNTIFS(Eventos!$B$4:$B$1563,$B84,Eventos!$E$4:$E$1563,"A")+COUNTIFS(Eventos!$B$4:$B$1563,$B84,Eventos!$E$4:$E$1563,"B"),IF($C84="A",COUNTIFS(Eventos!$B$4:$B$1563,$B84,Eventos!$E$4:$E$1563,"B"),0)))</f>
        <v/>
      </c>
      <c r="F84" s="9" t="str">
        <f aca="false">IF($A84="","",Checklist!$I84)</f>
        <v/>
      </c>
      <c r="G84" s="9" t="str">
        <f aca="false">IF(OR($A84="",Checklist!$I84=""),"",ROUND(N(Checklist!$J84)*$E84,1))</f>
        <v/>
      </c>
      <c r="H84" s="9" t="str">
        <f aca="false">IF($A84="","",Checklist!$L84)</f>
        <v/>
      </c>
      <c r="I84" s="9" t="str">
        <f aca="false">IF(OR($A84="",Checklist!$L84=""),"",ROUND(N(Checklist!$M84)*$E84,1))</f>
        <v/>
      </c>
    </row>
    <row r="85" customFormat="false" ht="15" hidden="false" customHeight="false" outlineLevel="0" collapsed="false">
      <c r="A85" s="9" t="str">
        <f aca="false">IF(Checklist!$A85="","",Checklist!$A85)</f>
        <v/>
      </c>
      <c r="B85" s="9" t="str">
        <f aca="false">IF(Checklist!$A85="","",Checklist!$C85)</f>
        <v/>
      </c>
      <c r="C85" s="9" t="str">
        <f aca="false">IF(Checklist!$A85="","",Checklist!$B85)</f>
        <v/>
      </c>
      <c r="D85" s="9" t="str">
        <f aca="false">IF(Checklist!$A85="","",Checklist!$E85)</f>
        <v/>
      </c>
      <c r="E85" s="9" t="str">
        <f aca="false">IF($A85="","",COUNTIFS(Eventos!$B$4:$B$1563,$B85,Eventos!$E$4:$E$1563,$C85)+IF($C85="S",COUNTIFS(Eventos!$B$4:$B$1563,$B85,Eventos!$E$4:$E$1563,"A")+COUNTIFS(Eventos!$B$4:$B$1563,$B85,Eventos!$E$4:$E$1563,"B"),IF($C85="A",COUNTIFS(Eventos!$B$4:$B$1563,$B85,Eventos!$E$4:$E$1563,"B"),0)))</f>
        <v/>
      </c>
      <c r="F85" s="9" t="str">
        <f aca="false">IF($A85="","",Checklist!$I85)</f>
        <v/>
      </c>
      <c r="G85" s="9" t="str">
        <f aca="false">IF(OR($A85="",Checklist!$I85=""),"",ROUND(N(Checklist!$J85)*$E85,1))</f>
        <v/>
      </c>
      <c r="H85" s="9" t="str">
        <f aca="false">IF($A85="","",Checklist!$L85)</f>
        <v/>
      </c>
      <c r="I85" s="9" t="str">
        <f aca="false">IF(OR($A85="",Checklist!$L85=""),"",ROUND(N(Checklist!$M85)*$E85,1))</f>
        <v/>
      </c>
    </row>
    <row r="86" customFormat="false" ht="15" hidden="false" customHeight="false" outlineLevel="0" collapsed="false">
      <c r="A86" s="9" t="str">
        <f aca="false">IF(Checklist!$A86="","",Checklist!$A86)</f>
        <v/>
      </c>
      <c r="B86" s="9" t="str">
        <f aca="false">IF(Checklist!$A86="","",Checklist!$C86)</f>
        <v/>
      </c>
      <c r="C86" s="9" t="str">
        <f aca="false">IF(Checklist!$A86="","",Checklist!$B86)</f>
        <v/>
      </c>
      <c r="D86" s="9" t="str">
        <f aca="false">IF(Checklist!$A86="","",Checklist!$E86)</f>
        <v/>
      </c>
      <c r="E86" s="9" t="str">
        <f aca="false">IF($A86="","",COUNTIFS(Eventos!$B$4:$B$1563,$B86,Eventos!$E$4:$E$1563,$C86)+IF($C86="S",COUNTIFS(Eventos!$B$4:$B$1563,$B86,Eventos!$E$4:$E$1563,"A")+COUNTIFS(Eventos!$B$4:$B$1563,$B86,Eventos!$E$4:$E$1563,"B"),IF($C86="A",COUNTIFS(Eventos!$B$4:$B$1563,$B86,Eventos!$E$4:$E$1563,"B"),0)))</f>
        <v/>
      </c>
      <c r="F86" s="9" t="str">
        <f aca="false">IF($A86="","",Checklist!$I86)</f>
        <v/>
      </c>
      <c r="G86" s="9" t="str">
        <f aca="false">IF(OR($A86="",Checklist!$I86=""),"",ROUND(N(Checklist!$J86)*$E86,1))</f>
        <v/>
      </c>
      <c r="H86" s="9" t="str">
        <f aca="false">IF($A86="","",Checklist!$L86)</f>
        <v/>
      </c>
      <c r="I86" s="9" t="str">
        <f aca="false">IF(OR($A86="",Checklist!$L86=""),"",ROUND(N(Checklist!$M86)*$E86,1))</f>
        <v/>
      </c>
    </row>
    <row r="87" customFormat="false" ht="15" hidden="false" customHeight="false" outlineLevel="0" collapsed="false">
      <c r="A87" s="9" t="str">
        <f aca="false">IF(Checklist!$A87="","",Checklist!$A87)</f>
        <v/>
      </c>
      <c r="B87" s="9" t="str">
        <f aca="false">IF(Checklist!$A87="","",Checklist!$C87)</f>
        <v/>
      </c>
      <c r="C87" s="9" t="str">
        <f aca="false">IF(Checklist!$A87="","",Checklist!$B87)</f>
        <v/>
      </c>
      <c r="D87" s="9" t="str">
        <f aca="false">IF(Checklist!$A87="","",Checklist!$E87)</f>
        <v/>
      </c>
      <c r="E87" s="9" t="str">
        <f aca="false">IF($A87="","",COUNTIFS(Eventos!$B$4:$B$1563,$B87,Eventos!$E$4:$E$1563,$C87)+IF($C87="S",COUNTIFS(Eventos!$B$4:$B$1563,$B87,Eventos!$E$4:$E$1563,"A")+COUNTIFS(Eventos!$B$4:$B$1563,$B87,Eventos!$E$4:$E$1563,"B"),IF($C87="A",COUNTIFS(Eventos!$B$4:$B$1563,$B87,Eventos!$E$4:$E$1563,"B"),0)))</f>
        <v/>
      </c>
      <c r="F87" s="9" t="str">
        <f aca="false">IF($A87="","",Checklist!$I87)</f>
        <v/>
      </c>
      <c r="G87" s="9" t="str">
        <f aca="false">IF(OR($A87="",Checklist!$I87=""),"",ROUND(N(Checklist!$J87)*$E87,1))</f>
        <v/>
      </c>
      <c r="H87" s="9" t="str">
        <f aca="false">IF($A87="","",Checklist!$L87)</f>
        <v/>
      </c>
      <c r="I87" s="9" t="str">
        <f aca="false">IF(OR($A87="",Checklist!$L87=""),"",ROUND(N(Checklist!$M87)*$E87,1))</f>
        <v/>
      </c>
    </row>
    <row r="88" customFormat="false" ht="15" hidden="false" customHeight="false" outlineLevel="0" collapsed="false">
      <c r="A88" s="9" t="str">
        <f aca="false">IF(Checklist!$A88="","",Checklist!$A88)</f>
        <v/>
      </c>
      <c r="B88" s="9" t="str">
        <f aca="false">IF(Checklist!$A88="","",Checklist!$C88)</f>
        <v/>
      </c>
      <c r="C88" s="9" t="str">
        <f aca="false">IF(Checklist!$A88="","",Checklist!$B88)</f>
        <v/>
      </c>
      <c r="D88" s="9" t="str">
        <f aca="false">IF(Checklist!$A88="","",Checklist!$E88)</f>
        <v/>
      </c>
      <c r="E88" s="9" t="str">
        <f aca="false">IF($A88="","",COUNTIFS(Eventos!$B$4:$B$1563,$B88,Eventos!$E$4:$E$1563,$C88)+IF($C88="S",COUNTIFS(Eventos!$B$4:$B$1563,$B88,Eventos!$E$4:$E$1563,"A")+COUNTIFS(Eventos!$B$4:$B$1563,$B88,Eventos!$E$4:$E$1563,"B"),IF($C88="A",COUNTIFS(Eventos!$B$4:$B$1563,$B88,Eventos!$E$4:$E$1563,"B"),0)))</f>
        <v/>
      </c>
      <c r="F88" s="9" t="str">
        <f aca="false">IF($A88="","",Checklist!$I88)</f>
        <v/>
      </c>
      <c r="G88" s="9" t="str">
        <f aca="false">IF(OR($A88="",Checklist!$I88=""),"",ROUND(N(Checklist!$J88)*$E88,1))</f>
        <v/>
      </c>
      <c r="H88" s="9" t="str">
        <f aca="false">IF($A88="","",Checklist!$L88)</f>
        <v/>
      </c>
      <c r="I88" s="9" t="str">
        <f aca="false">IF(OR($A88="",Checklist!$L88=""),"",ROUND(N(Checklist!$M88)*$E88,1))</f>
        <v/>
      </c>
    </row>
    <row r="89" customFormat="false" ht="15" hidden="false" customHeight="false" outlineLevel="0" collapsed="false">
      <c r="A89" s="9" t="str">
        <f aca="false">IF(Checklist!$A89="","",Checklist!$A89)</f>
        <v/>
      </c>
      <c r="B89" s="9" t="str">
        <f aca="false">IF(Checklist!$A89="","",Checklist!$C89)</f>
        <v/>
      </c>
      <c r="C89" s="9" t="str">
        <f aca="false">IF(Checklist!$A89="","",Checklist!$B89)</f>
        <v/>
      </c>
      <c r="D89" s="9" t="str">
        <f aca="false">IF(Checklist!$A89="","",Checklist!$E89)</f>
        <v/>
      </c>
      <c r="E89" s="9" t="str">
        <f aca="false">IF($A89="","",COUNTIFS(Eventos!$B$4:$B$1563,$B89,Eventos!$E$4:$E$1563,$C89)+IF($C89="S",COUNTIFS(Eventos!$B$4:$B$1563,$B89,Eventos!$E$4:$E$1563,"A")+COUNTIFS(Eventos!$B$4:$B$1563,$B89,Eventos!$E$4:$E$1563,"B"),IF($C89="A",COUNTIFS(Eventos!$B$4:$B$1563,$B89,Eventos!$E$4:$E$1563,"B"),0)))</f>
        <v/>
      </c>
      <c r="F89" s="9" t="str">
        <f aca="false">IF($A89="","",Checklist!$I89)</f>
        <v/>
      </c>
      <c r="G89" s="9" t="str">
        <f aca="false">IF(OR($A89="",Checklist!$I89=""),"",ROUND(N(Checklist!$J89)*$E89,1))</f>
        <v/>
      </c>
      <c r="H89" s="9" t="str">
        <f aca="false">IF($A89="","",Checklist!$L89)</f>
        <v/>
      </c>
      <c r="I89" s="9" t="str">
        <f aca="false">IF(OR($A89="",Checklist!$L89=""),"",ROUND(N(Checklist!$M89)*$E89,1))</f>
        <v/>
      </c>
    </row>
    <row r="90" customFormat="false" ht="15" hidden="false" customHeight="false" outlineLevel="0" collapsed="false">
      <c r="A90" s="9" t="str">
        <f aca="false">IF(Checklist!$A90="","",Checklist!$A90)</f>
        <v/>
      </c>
      <c r="B90" s="9" t="str">
        <f aca="false">IF(Checklist!$A90="","",Checklist!$C90)</f>
        <v/>
      </c>
      <c r="C90" s="9" t="str">
        <f aca="false">IF(Checklist!$A90="","",Checklist!$B90)</f>
        <v/>
      </c>
      <c r="D90" s="9" t="str">
        <f aca="false">IF(Checklist!$A90="","",Checklist!$E90)</f>
        <v/>
      </c>
      <c r="E90" s="9" t="str">
        <f aca="false">IF($A90="","",COUNTIFS(Eventos!$B$4:$B$1563,$B90,Eventos!$E$4:$E$1563,$C90)+IF($C90="S",COUNTIFS(Eventos!$B$4:$B$1563,$B90,Eventos!$E$4:$E$1563,"A")+COUNTIFS(Eventos!$B$4:$B$1563,$B90,Eventos!$E$4:$E$1563,"B"),IF($C90="A",COUNTIFS(Eventos!$B$4:$B$1563,$B90,Eventos!$E$4:$E$1563,"B"),0)))</f>
        <v/>
      </c>
      <c r="F90" s="9" t="str">
        <f aca="false">IF($A90="","",Checklist!$I90)</f>
        <v/>
      </c>
      <c r="G90" s="9" t="str">
        <f aca="false">IF(OR($A90="",Checklist!$I90=""),"",ROUND(N(Checklist!$J90)*$E90,1))</f>
        <v/>
      </c>
      <c r="H90" s="9" t="str">
        <f aca="false">IF($A90="","",Checklist!$L90)</f>
        <v/>
      </c>
      <c r="I90" s="9" t="str">
        <f aca="false">IF(OR($A90="",Checklist!$L90=""),"",ROUND(N(Checklist!$M90)*$E90,1))</f>
        <v/>
      </c>
    </row>
    <row r="91" customFormat="false" ht="15" hidden="false" customHeight="false" outlineLevel="0" collapsed="false">
      <c r="A91" s="9" t="str">
        <f aca="false">IF(Checklist!$A91="","",Checklist!$A91)</f>
        <v/>
      </c>
      <c r="B91" s="9" t="str">
        <f aca="false">IF(Checklist!$A91="","",Checklist!$C91)</f>
        <v/>
      </c>
      <c r="C91" s="9" t="str">
        <f aca="false">IF(Checklist!$A91="","",Checklist!$B91)</f>
        <v/>
      </c>
      <c r="D91" s="9" t="str">
        <f aca="false">IF(Checklist!$A91="","",Checklist!$E91)</f>
        <v/>
      </c>
      <c r="E91" s="9" t="str">
        <f aca="false">IF($A91="","",COUNTIFS(Eventos!$B$4:$B$1563,$B91,Eventos!$E$4:$E$1563,$C91)+IF($C91="S",COUNTIFS(Eventos!$B$4:$B$1563,$B91,Eventos!$E$4:$E$1563,"A")+COUNTIFS(Eventos!$B$4:$B$1563,$B91,Eventos!$E$4:$E$1563,"B"),IF($C91="A",COUNTIFS(Eventos!$B$4:$B$1563,$B91,Eventos!$E$4:$E$1563,"B"),0)))</f>
        <v/>
      </c>
      <c r="F91" s="9" t="str">
        <f aca="false">IF($A91="","",Checklist!$I91)</f>
        <v/>
      </c>
      <c r="G91" s="9" t="str">
        <f aca="false">IF(OR($A91="",Checklist!$I91=""),"",ROUND(N(Checklist!$J91)*$E91,1))</f>
        <v/>
      </c>
      <c r="H91" s="9" t="str">
        <f aca="false">IF($A91="","",Checklist!$L91)</f>
        <v/>
      </c>
      <c r="I91" s="9" t="str">
        <f aca="false">IF(OR($A91="",Checklist!$L91=""),"",ROUND(N(Checklist!$M91)*$E91,1))</f>
        <v/>
      </c>
    </row>
    <row r="92" customFormat="false" ht="15" hidden="false" customHeight="false" outlineLevel="0" collapsed="false">
      <c r="A92" s="9" t="str">
        <f aca="false">IF(Checklist!$A92="","",Checklist!$A92)</f>
        <v/>
      </c>
      <c r="B92" s="9" t="str">
        <f aca="false">IF(Checklist!$A92="","",Checklist!$C92)</f>
        <v/>
      </c>
      <c r="C92" s="9" t="str">
        <f aca="false">IF(Checklist!$A92="","",Checklist!$B92)</f>
        <v/>
      </c>
      <c r="D92" s="9" t="str">
        <f aca="false">IF(Checklist!$A92="","",Checklist!$E92)</f>
        <v/>
      </c>
      <c r="E92" s="9" t="str">
        <f aca="false">IF($A92="","",COUNTIFS(Eventos!$B$4:$B$1563,$B92,Eventos!$E$4:$E$1563,$C92)+IF($C92="S",COUNTIFS(Eventos!$B$4:$B$1563,$B92,Eventos!$E$4:$E$1563,"A")+COUNTIFS(Eventos!$B$4:$B$1563,$B92,Eventos!$E$4:$E$1563,"B"),IF($C92="A",COUNTIFS(Eventos!$B$4:$B$1563,$B92,Eventos!$E$4:$E$1563,"B"),0)))</f>
        <v/>
      </c>
      <c r="F92" s="9" t="str">
        <f aca="false">IF($A92="","",Checklist!$I92)</f>
        <v/>
      </c>
      <c r="G92" s="9" t="str">
        <f aca="false">IF(OR($A92="",Checklist!$I92=""),"",ROUND(N(Checklist!$J92)*$E92,1))</f>
        <v/>
      </c>
      <c r="H92" s="9" t="str">
        <f aca="false">IF($A92="","",Checklist!$L92)</f>
        <v/>
      </c>
      <c r="I92" s="9" t="str">
        <f aca="false">IF(OR($A92="",Checklist!$L92=""),"",ROUND(N(Checklist!$M92)*$E92,1))</f>
        <v/>
      </c>
    </row>
    <row r="93" customFormat="false" ht="15" hidden="false" customHeight="false" outlineLevel="0" collapsed="false">
      <c r="A93" s="9" t="str">
        <f aca="false">IF(Checklist!$A93="","",Checklist!$A93)</f>
        <v/>
      </c>
      <c r="B93" s="9" t="str">
        <f aca="false">IF(Checklist!$A93="","",Checklist!$C93)</f>
        <v/>
      </c>
      <c r="C93" s="9" t="str">
        <f aca="false">IF(Checklist!$A93="","",Checklist!$B93)</f>
        <v/>
      </c>
      <c r="D93" s="9" t="str">
        <f aca="false">IF(Checklist!$A93="","",Checklist!$E93)</f>
        <v/>
      </c>
      <c r="E93" s="9" t="str">
        <f aca="false">IF($A93="","",COUNTIFS(Eventos!$B$4:$B$1563,$B93,Eventos!$E$4:$E$1563,$C93)+IF($C93="S",COUNTIFS(Eventos!$B$4:$B$1563,$B93,Eventos!$E$4:$E$1563,"A")+COUNTIFS(Eventos!$B$4:$B$1563,$B93,Eventos!$E$4:$E$1563,"B"),IF($C93="A",COUNTIFS(Eventos!$B$4:$B$1563,$B93,Eventos!$E$4:$E$1563,"B"),0)))</f>
        <v/>
      </c>
      <c r="F93" s="9" t="str">
        <f aca="false">IF($A93="","",Checklist!$I93)</f>
        <v/>
      </c>
      <c r="G93" s="9" t="str">
        <f aca="false">IF(OR($A93="",Checklist!$I93=""),"",ROUND(N(Checklist!$J93)*$E93,1))</f>
        <v/>
      </c>
      <c r="H93" s="9" t="str">
        <f aca="false">IF($A93="","",Checklist!$L93)</f>
        <v/>
      </c>
      <c r="I93" s="9" t="str">
        <f aca="false">IF(OR($A93="",Checklist!$L93=""),"",ROUND(N(Checklist!$M93)*$E93,1))</f>
        <v/>
      </c>
    </row>
    <row r="94" customFormat="false" ht="15" hidden="false" customHeight="false" outlineLevel="0" collapsed="false">
      <c r="A94" s="9" t="str">
        <f aca="false">IF(Checklist!$A94="","",Checklist!$A94)</f>
        <v/>
      </c>
      <c r="B94" s="9" t="str">
        <f aca="false">IF(Checklist!$A94="","",Checklist!$C94)</f>
        <v/>
      </c>
      <c r="C94" s="9" t="str">
        <f aca="false">IF(Checklist!$A94="","",Checklist!$B94)</f>
        <v/>
      </c>
      <c r="D94" s="9" t="str">
        <f aca="false">IF(Checklist!$A94="","",Checklist!$E94)</f>
        <v/>
      </c>
      <c r="E94" s="9" t="str">
        <f aca="false">IF($A94="","",COUNTIFS(Eventos!$B$4:$B$1563,$B94,Eventos!$E$4:$E$1563,$C94)+IF($C94="S",COUNTIFS(Eventos!$B$4:$B$1563,$B94,Eventos!$E$4:$E$1563,"A")+COUNTIFS(Eventos!$B$4:$B$1563,$B94,Eventos!$E$4:$E$1563,"B"),IF($C94="A",COUNTIFS(Eventos!$B$4:$B$1563,$B94,Eventos!$E$4:$E$1563,"B"),0)))</f>
        <v/>
      </c>
      <c r="F94" s="9" t="str">
        <f aca="false">IF($A94="","",Checklist!$I94)</f>
        <v/>
      </c>
      <c r="G94" s="9" t="str">
        <f aca="false">IF(OR($A94="",Checklist!$I94=""),"",ROUND(N(Checklist!$J94)*$E94,1))</f>
        <v/>
      </c>
      <c r="H94" s="9" t="str">
        <f aca="false">IF($A94="","",Checklist!$L94)</f>
        <v/>
      </c>
      <c r="I94" s="9" t="str">
        <f aca="false">IF(OR($A94="",Checklist!$L94=""),"",ROUND(N(Checklist!$M94)*$E94,1))</f>
        <v/>
      </c>
    </row>
    <row r="95" customFormat="false" ht="15" hidden="false" customHeight="false" outlineLevel="0" collapsed="false">
      <c r="A95" s="9" t="str">
        <f aca="false">IF(Checklist!$A95="","",Checklist!$A95)</f>
        <v/>
      </c>
      <c r="B95" s="9" t="str">
        <f aca="false">IF(Checklist!$A95="","",Checklist!$C95)</f>
        <v/>
      </c>
      <c r="C95" s="9" t="str">
        <f aca="false">IF(Checklist!$A95="","",Checklist!$B95)</f>
        <v/>
      </c>
      <c r="D95" s="9" t="str">
        <f aca="false">IF(Checklist!$A95="","",Checklist!$E95)</f>
        <v/>
      </c>
      <c r="E95" s="9" t="str">
        <f aca="false">IF($A95="","",COUNTIFS(Eventos!$B$4:$B$1563,$B95,Eventos!$E$4:$E$1563,$C95)+IF($C95="S",COUNTIFS(Eventos!$B$4:$B$1563,$B95,Eventos!$E$4:$E$1563,"A")+COUNTIFS(Eventos!$B$4:$B$1563,$B95,Eventos!$E$4:$E$1563,"B"),IF($C95="A",COUNTIFS(Eventos!$B$4:$B$1563,$B95,Eventos!$E$4:$E$1563,"B"),0)))</f>
        <v/>
      </c>
      <c r="F95" s="9" t="str">
        <f aca="false">IF($A95="","",Checklist!$I95)</f>
        <v/>
      </c>
      <c r="G95" s="9" t="str">
        <f aca="false">IF(OR($A95="",Checklist!$I95=""),"",ROUND(N(Checklist!$J95)*$E95,1))</f>
        <v/>
      </c>
      <c r="H95" s="9" t="str">
        <f aca="false">IF($A95="","",Checklist!$L95)</f>
        <v/>
      </c>
      <c r="I95" s="9" t="str">
        <f aca="false">IF(OR($A95="",Checklist!$L95=""),"",ROUND(N(Checklist!$M95)*$E95,1))</f>
        <v/>
      </c>
    </row>
    <row r="96" customFormat="false" ht="15" hidden="false" customHeight="false" outlineLevel="0" collapsed="false">
      <c r="A96" s="9" t="str">
        <f aca="false">IF(Checklist!$A96="","",Checklist!$A96)</f>
        <v/>
      </c>
      <c r="B96" s="9" t="str">
        <f aca="false">IF(Checklist!$A96="","",Checklist!$C96)</f>
        <v/>
      </c>
      <c r="C96" s="9" t="str">
        <f aca="false">IF(Checklist!$A96="","",Checklist!$B96)</f>
        <v/>
      </c>
      <c r="D96" s="9" t="str">
        <f aca="false">IF(Checklist!$A96="","",Checklist!$E96)</f>
        <v/>
      </c>
      <c r="E96" s="9" t="str">
        <f aca="false">IF($A96="","",COUNTIFS(Eventos!$B$4:$B$1563,$B96,Eventos!$E$4:$E$1563,$C96)+IF($C96="S",COUNTIFS(Eventos!$B$4:$B$1563,$B96,Eventos!$E$4:$E$1563,"A")+COUNTIFS(Eventos!$B$4:$B$1563,$B96,Eventos!$E$4:$E$1563,"B"),IF($C96="A",COUNTIFS(Eventos!$B$4:$B$1563,$B96,Eventos!$E$4:$E$1563,"B"),0)))</f>
        <v/>
      </c>
      <c r="F96" s="9" t="str">
        <f aca="false">IF($A96="","",Checklist!$I96)</f>
        <v/>
      </c>
      <c r="G96" s="9" t="str">
        <f aca="false">IF(OR($A96="",Checklist!$I96=""),"",ROUND(N(Checklist!$J96)*$E96,1))</f>
        <v/>
      </c>
      <c r="H96" s="9" t="str">
        <f aca="false">IF($A96="","",Checklist!$L96)</f>
        <v/>
      </c>
      <c r="I96" s="9" t="str">
        <f aca="false">IF(OR($A96="",Checklist!$L96=""),"",ROUND(N(Checklist!$M96)*$E96,1))</f>
        <v/>
      </c>
    </row>
    <row r="97" customFormat="false" ht="15" hidden="false" customHeight="false" outlineLevel="0" collapsed="false">
      <c r="A97" s="9" t="str">
        <f aca="false">IF(Checklist!$A97="","",Checklist!$A97)</f>
        <v/>
      </c>
      <c r="B97" s="9" t="str">
        <f aca="false">IF(Checklist!$A97="","",Checklist!$C97)</f>
        <v/>
      </c>
      <c r="C97" s="9" t="str">
        <f aca="false">IF(Checklist!$A97="","",Checklist!$B97)</f>
        <v/>
      </c>
      <c r="D97" s="9" t="str">
        <f aca="false">IF(Checklist!$A97="","",Checklist!$E97)</f>
        <v/>
      </c>
      <c r="E97" s="9" t="str">
        <f aca="false">IF($A97="","",COUNTIFS(Eventos!$B$4:$B$1563,$B97,Eventos!$E$4:$E$1563,$C97)+IF($C97="S",COUNTIFS(Eventos!$B$4:$B$1563,$B97,Eventos!$E$4:$E$1563,"A")+COUNTIFS(Eventos!$B$4:$B$1563,$B97,Eventos!$E$4:$E$1563,"B"),IF($C97="A",COUNTIFS(Eventos!$B$4:$B$1563,$B97,Eventos!$E$4:$E$1563,"B"),0)))</f>
        <v/>
      </c>
      <c r="F97" s="9" t="str">
        <f aca="false">IF($A97="","",Checklist!$I97)</f>
        <v/>
      </c>
      <c r="G97" s="9" t="str">
        <f aca="false">IF(OR($A97="",Checklist!$I97=""),"",ROUND(N(Checklist!$J97)*$E97,1))</f>
        <v/>
      </c>
      <c r="H97" s="9" t="str">
        <f aca="false">IF($A97="","",Checklist!$L97)</f>
        <v/>
      </c>
      <c r="I97" s="9" t="str">
        <f aca="false">IF(OR($A97="",Checklist!$L97=""),"",ROUND(N(Checklist!$M97)*$E97,1))</f>
        <v/>
      </c>
    </row>
    <row r="98" customFormat="false" ht="15" hidden="false" customHeight="false" outlineLevel="0" collapsed="false">
      <c r="A98" s="9" t="str">
        <f aca="false">IF(Checklist!$A98="","",Checklist!$A98)</f>
        <v/>
      </c>
      <c r="B98" s="9" t="str">
        <f aca="false">IF(Checklist!$A98="","",Checklist!$C98)</f>
        <v/>
      </c>
      <c r="C98" s="9" t="str">
        <f aca="false">IF(Checklist!$A98="","",Checklist!$B98)</f>
        <v/>
      </c>
      <c r="D98" s="9" t="str">
        <f aca="false">IF(Checklist!$A98="","",Checklist!$E98)</f>
        <v/>
      </c>
      <c r="E98" s="9" t="str">
        <f aca="false">IF($A98="","",COUNTIFS(Eventos!$B$4:$B$1563,$B98,Eventos!$E$4:$E$1563,$C98)+IF($C98="S",COUNTIFS(Eventos!$B$4:$B$1563,$B98,Eventos!$E$4:$E$1563,"A")+COUNTIFS(Eventos!$B$4:$B$1563,$B98,Eventos!$E$4:$E$1563,"B"),IF($C98="A",COUNTIFS(Eventos!$B$4:$B$1563,$B98,Eventos!$E$4:$E$1563,"B"),0)))</f>
        <v/>
      </c>
      <c r="F98" s="9" t="str">
        <f aca="false">IF($A98="","",Checklist!$I98)</f>
        <v/>
      </c>
      <c r="G98" s="9" t="str">
        <f aca="false">IF(OR($A98="",Checklist!$I98=""),"",ROUND(N(Checklist!$J98)*$E98,1))</f>
        <v/>
      </c>
      <c r="H98" s="9" t="str">
        <f aca="false">IF($A98="","",Checklist!$L98)</f>
        <v/>
      </c>
      <c r="I98" s="9" t="str">
        <f aca="false">IF(OR($A98="",Checklist!$L98=""),"",ROUND(N(Checklist!$M98)*$E98,1))</f>
        <v/>
      </c>
    </row>
    <row r="99" customFormat="false" ht="15" hidden="false" customHeight="false" outlineLevel="0" collapsed="false">
      <c r="A99" s="9" t="str">
        <f aca="false">IF(Checklist!$A99="","",Checklist!$A99)</f>
        <v/>
      </c>
      <c r="B99" s="9" t="str">
        <f aca="false">IF(Checklist!$A99="","",Checklist!$C99)</f>
        <v/>
      </c>
      <c r="C99" s="9" t="str">
        <f aca="false">IF(Checklist!$A99="","",Checklist!$B99)</f>
        <v/>
      </c>
      <c r="D99" s="9" t="str">
        <f aca="false">IF(Checklist!$A99="","",Checklist!$E99)</f>
        <v/>
      </c>
      <c r="E99" s="9" t="str">
        <f aca="false">IF($A99="","",COUNTIFS(Eventos!$B$4:$B$1563,$B99,Eventos!$E$4:$E$1563,$C99)+IF($C99="S",COUNTIFS(Eventos!$B$4:$B$1563,$B99,Eventos!$E$4:$E$1563,"A")+COUNTIFS(Eventos!$B$4:$B$1563,$B99,Eventos!$E$4:$E$1563,"B"),IF($C99="A",COUNTIFS(Eventos!$B$4:$B$1563,$B99,Eventos!$E$4:$E$1563,"B"),0)))</f>
        <v/>
      </c>
      <c r="F99" s="9" t="str">
        <f aca="false">IF($A99="","",Checklist!$I99)</f>
        <v/>
      </c>
      <c r="G99" s="9" t="str">
        <f aca="false">IF(OR($A99="",Checklist!$I99=""),"",ROUND(N(Checklist!$J99)*$E99,1))</f>
        <v/>
      </c>
      <c r="H99" s="9" t="str">
        <f aca="false">IF($A99="","",Checklist!$L99)</f>
        <v/>
      </c>
      <c r="I99" s="9" t="str">
        <f aca="false">IF(OR($A99="",Checklist!$L99=""),"",ROUND(N(Checklist!$M99)*$E99,1))</f>
        <v/>
      </c>
    </row>
    <row r="100" customFormat="false" ht="15" hidden="false" customHeight="false" outlineLevel="0" collapsed="false">
      <c r="A100" s="9" t="str">
        <f aca="false">IF(Checklist!$A100="","",Checklist!$A100)</f>
        <v/>
      </c>
      <c r="B100" s="9" t="str">
        <f aca="false">IF(Checklist!$A100="","",Checklist!$C100)</f>
        <v/>
      </c>
      <c r="C100" s="9" t="str">
        <f aca="false">IF(Checklist!$A100="","",Checklist!$B100)</f>
        <v/>
      </c>
      <c r="D100" s="9" t="str">
        <f aca="false">IF(Checklist!$A100="","",Checklist!$E100)</f>
        <v/>
      </c>
      <c r="E100" s="9" t="str">
        <f aca="false">IF($A100="","",COUNTIFS(Eventos!$B$4:$B$1563,$B100,Eventos!$E$4:$E$1563,$C100)+IF($C100="S",COUNTIFS(Eventos!$B$4:$B$1563,$B100,Eventos!$E$4:$E$1563,"A")+COUNTIFS(Eventos!$B$4:$B$1563,$B100,Eventos!$E$4:$E$1563,"B"),IF($C100="A",COUNTIFS(Eventos!$B$4:$B$1563,$B100,Eventos!$E$4:$E$1563,"B"),0)))</f>
        <v/>
      </c>
      <c r="F100" s="9" t="str">
        <f aca="false">IF($A100="","",Checklist!$I100)</f>
        <v/>
      </c>
      <c r="G100" s="9" t="str">
        <f aca="false">IF(OR($A100="",Checklist!$I100=""),"",ROUND(N(Checklist!$J100)*$E100,1))</f>
        <v/>
      </c>
      <c r="H100" s="9" t="str">
        <f aca="false">IF($A100="","",Checklist!$L100)</f>
        <v/>
      </c>
      <c r="I100" s="9" t="str">
        <f aca="false">IF(OR($A100="",Checklist!$L100=""),"",ROUND(N(Checklist!$M100)*$E100,1))</f>
        <v/>
      </c>
    </row>
    <row r="101" customFormat="false" ht="15" hidden="false" customHeight="false" outlineLevel="0" collapsed="false">
      <c r="A101" s="9" t="str">
        <f aca="false">IF(Checklist!$A101="","",Checklist!$A101)</f>
        <v/>
      </c>
      <c r="B101" s="9" t="str">
        <f aca="false">IF(Checklist!$A101="","",Checklist!$C101)</f>
        <v/>
      </c>
      <c r="C101" s="9" t="str">
        <f aca="false">IF(Checklist!$A101="","",Checklist!$B101)</f>
        <v/>
      </c>
      <c r="D101" s="9" t="str">
        <f aca="false">IF(Checklist!$A101="","",Checklist!$E101)</f>
        <v/>
      </c>
      <c r="E101" s="9" t="str">
        <f aca="false">IF($A101="","",COUNTIFS(Eventos!$B$4:$B$1563,$B101,Eventos!$E$4:$E$1563,$C101)+IF($C101="S",COUNTIFS(Eventos!$B$4:$B$1563,$B101,Eventos!$E$4:$E$1563,"A")+COUNTIFS(Eventos!$B$4:$B$1563,$B101,Eventos!$E$4:$E$1563,"B"),IF($C101="A",COUNTIFS(Eventos!$B$4:$B$1563,$B101,Eventos!$E$4:$E$1563,"B"),0)))</f>
        <v/>
      </c>
      <c r="F101" s="9" t="str">
        <f aca="false">IF($A101="","",Checklist!$I101)</f>
        <v/>
      </c>
      <c r="G101" s="9" t="str">
        <f aca="false">IF(OR($A101="",Checklist!$I101=""),"",ROUND(N(Checklist!$J101)*$E101,1))</f>
        <v/>
      </c>
      <c r="H101" s="9" t="str">
        <f aca="false">IF($A101="","",Checklist!$L101)</f>
        <v/>
      </c>
      <c r="I101" s="9" t="str">
        <f aca="false">IF(OR($A101="",Checklist!$L101=""),"",ROUND(N(Checklist!$M101)*$E101,1))</f>
        <v/>
      </c>
    </row>
    <row r="102" customFormat="false" ht="15" hidden="false" customHeight="false" outlineLevel="0" collapsed="false">
      <c r="A102" s="9" t="str">
        <f aca="false">IF(Checklist!$A102="","",Checklist!$A102)</f>
        <v/>
      </c>
      <c r="B102" s="9" t="str">
        <f aca="false">IF(Checklist!$A102="","",Checklist!$C102)</f>
        <v/>
      </c>
      <c r="C102" s="9" t="str">
        <f aca="false">IF(Checklist!$A102="","",Checklist!$B102)</f>
        <v/>
      </c>
      <c r="D102" s="9" t="str">
        <f aca="false">IF(Checklist!$A102="","",Checklist!$E102)</f>
        <v/>
      </c>
      <c r="E102" s="9" t="str">
        <f aca="false">IF($A102="","",COUNTIFS(Eventos!$B$4:$B$1563,$B102,Eventos!$E$4:$E$1563,$C102)+IF($C102="S",COUNTIFS(Eventos!$B$4:$B$1563,$B102,Eventos!$E$4:$E$1563,"A")+COUNTIFS(Eventos!$B$4:$B$1563,$B102,Eventos!$E$4:$E$1563,"B"),IF($C102="A",COUNTIFS(Eventos!$B$4:$B$1563,$B102,Eventos!$E$4:$E$1563,"B"),0)))</f>
        <v/>
      </c>
      <c r="F102" s="9" t="str">
        <f aca="false">IF($A102="","",Checklist!$I102)</f>
        <v/>
      </c>
      <c r="G102" s="9" t="str">
        <f aca="false">IF(OR($A102="",Checklist!$I102=""),"",ROUND(N(Checklist!$J102)*$E102,1))</f>
        <v/>
      </c>
      <c r="H102" s="9" t="str">
        <f aca="false">IF($A102="","",Checklist!$L102)</f>
        <v/>
      </c>
      <c r="I102" s="9" t="str">
        <f aca="false">IF(OR($A102="",Checklist!$L102=""),"",ROUND(N(Checklist!$M102)*$E102,1))</f>
        <v/>
      </c>
    </row>
    <row r="103" customFormat="false" ht="15" hidden="false" customHeight="false" outlineLevel="0" collapsed="false">
      <c r="A103" s="9" t="str">
        <f aca="false">IF(Checklist!$A103="","",Checklist!$A103)</f>
        <v/>
      </c>
      <c r="B103" s="9" t="str">
        <f aca="false">IF(Checklist!$A103="","",Checklist!$C103)</f>
        <v/>
      </c>
      <c r="C103" s="9" t="str">
        <f aca="false">IF(Checklist!$A103="","",Checklist!$B103)</f>
        <v/>
      </c>
      <c r="D103" s="9" t="str">
        <f aca="false">IF(Checklist!$A103="","",Checklist!$E103)</f>
        <v/>
      </c>
      <c r="E103" s="9" t="str">
        <f aca="false">IF($A103="","",COUNTIFS(Eventos!$B$4:$B$1563,$B103,Eventos!$E$4:$E$1563,$C103)+IF($C103="S",COUNTIFS(Eventos!$B$4:$B$1563,$B103,Eventos!$E$4:$E$1563,"A")+COUNTIFS(Eventos!$B$4:$B$1563,$B103,Eventos!$E$4:$E$1563,"B"),IF($C103="A",COUNTIFS(Eventos!$B$4:$B$1563,$B103,Eventos!$E$4:$E$1563,"B"),0)))</f>
        <v/>
      </c>
      <c r="F103" s="9" t="str">
        <f aca="false">IF($A103="","",Checklist!$I103)</f>
        <v/>
      </c>
      <c r="G103" s="9" t="str">
        <f aca="false">IF(OR($A103="",Checklist!$I103=""),"",ROUND(N(Checklist!$J103)*$E103,1))</f>
        <v/>
      </c>
      <c r="H103" s="9" t="str">
        <f aca="false">IF($A103="","",Checklist!$L103)</f>
        <v/>
      </c>
      <c r="I103" s="9" t="str">
        <f aca="false">IF(OR($A103="",Checklist!$L103=""),"",ROUND(N(Checklist!$M103)*$E103,1))</f>
        <v/>
      </c>
    </row>
    <row r="104" customFormat="false" ht="15" hidden="false" customHeight="false" outlineLevel="0" collapsed="false">
      <c r="A104" s="9" t="str">
        <f aca="false">IF(Checklist!$A104="","",Checklist!$A104)</f>
        <v/>
      </c>
      <c r="B104" s="9" t="str">
        <f aca="false">IF(Checklist!$A104="","",Checklist!$C104)</f>
        <v/>
      </c>
      <c r="C104" s="9" t="str">
        <f aca="false">IF(Checklist!$A104="","",Checklist!$B104)</f>
        <v/>
      </c>
      <c r="D104" s="9" t="str">
        <f aca="false">IF(Checklist!$A104="","",Checklist!$E104)</f>
        <v/>
      </c>
      <c r="E104" s="9" t="str">
        <f aca="false">IF($A104="","",COUNTIFS(Eventos!$B$4:$B$1563,$B104,Eventos!$E$4:$E$1563,$C104)+IF($C104="S",COUNTIFS(Eventos!$B$4:$B$1563,$B104,Eventos!$E$4:$E$1563,"A")+COUNTIFS(Eventos!$B$4:$B$1563,$B104,Eventos!$E$4:$E$1563,"B"),IF($C104="A",COUNTIFS(Eventos!$B$4:$B$1563,$B104,Eventos!$E$4:$E$1563,"B"),0)))</f>
        <v/>
      </c>
      <c r="F104" s="9" t="str">
        <f aca="false">IF($A104="","",Checklist!$I104)</f>
        <v/>
      </c>
      <c r="G104" s="9" t="str">
        <f aca="false">IF(OR($A104="",Checklist!$I104=""),"",ROUND(N(Checklist!$J104)*$E104,1))</f>
        <v/>
      </c>
      <c r="H104" s="9" t="str">
        <f aca="false">IF($A104="","",Checklist!$L104)</f>
        <v/>
      </c>
      <c r="I104" s="9" t="str">
        <f aca="false">IF(OR($A104="",Checklist!$L104=""),"",ROUND(N(Checklist!$M104)*$E104,1))</f>
        <v/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9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11" t="s">
        <v>333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customFormat="false" ht="23.85" hidden="false" customHeight="false" outlineLevel="0" collapsed="false">
      <c r="A4" s="5" t="s">
        <v>334</v>
      </c>
      <c r="B4" s="5" t="s">
        <v>59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68</v>
      </c>
      <c r="J4" s="5" t="s">
        <v>69</v>
      </c>
      <c r="K4" s="5" t="s">
        <v>70</v>
      </c>
      <c r="L4" s="5" t="s">
        <v>71</v>
      </c>
      <c r="M4" s="5" t="s">
        <v>72</v>
      </c>
      <c r="N4" s="5" t="s">
        <v>314</v>
      </c>
    </row>
    <row r="5" customFormat="false" ht="15" hidden="false" customHeight="false" outlineLevel="0" collapsed="false">
      <c r="A5" s="6" t="s">
        <v>33</v>
      </c>
      <c r="B5" s="9" t="n">
        <f aca="false">ROUND(MAX(0,Plan_Prev!B4*(Premissas!$C$5/MAX(0.01,Premissas!$B$5))*Premissas!$C$23),1)</f>
        <v>0</v>
      </c>
      <c r="C5" s="9" t="n">
        <f aca="false">ROUND(MAX(0,Plan_Prev!C4*(Premissas!$C$5/MAX(0.01,Premissas!$B$5))*Premissas!$C$24),1)</f>
        <v>0.8</v>
      </c>
      <c r="D5" s="9" t="n">
        <f aca="false">ROUND(MAX(0,Plan_Prev!D4*(Premissas!$C$5/MAX(0.01,Premissas!$B$5))*Premissas!$C$25),1)</f>
        <v>21.1</v>
      </c>
      <c r="E5" s="9" t="n">
        <f aca="false">ROUND(MAX(0,Plan_Prev!E4*(Premissas!$C$5/MAX(0.01,Premissas!$B$5))*Premissas!$C$26),1)</f>
        <v>34.8</v>
      </c>
      <c r="F5" s="9" t="n">
        <f aca="false">ROUND(MAX(0,Plan_Prev!F4*(Premissas!$C$5/MAX(0.01,Premissas!$B$5))*Premissas!$C$27),1)</f>
        <v>14.7</v>
      </c>
      <c r="G5" s="9" t="n">
        <f aca="false">ROUND(MAX(0,Plan_Prev!G4*(Premissas!$C$5/MAX(0.01,Premissas!$B$5))*Premissas!$C$28),1)</f>
        <v>23.7</v>
      </c>
      <c r="H5" s="9" t="n">
        <f aca="false">ROUND(MAX(0,Plan_Prev!H4*(Premissas!$C$5/MAX(0.01,Premissas!$B$5))*Premissas!$C$29),1)</f>
        <v>18.9</v>
      </c>
      <c r="I5" s="9" t="n">
        <f aca="false">ROUND(MAX(0,Plan_Prev!I4*(Premissas!$C$5/MAX(0.01,Premissas!$B$5))*Premissas!$C$30),1)</f>
        <v>8.1</v>
      </c>
      <c r="J5" s="9" t="n">
        <f aca="false">ROUND(MAX(0,Plan_Prev!J4*(Premissas!$C$5/MAX(0.01,Premissas!$B$5))*Premissas!$C$31),1)</f>
        <v>13.4</v>
      </c>
      <c r="K5" s="9" t="n">
        <f aca="false">ROUND(MAX(0,Plan_Prev!K4*(Premissas!$C$5/MAX(0.01,Premissas!$B$5))*Premissas!$C$32),1)</f>
        <v>23.9</v>
      </c>
      <c r="L5" s="9" t="n">
        <f aca="false">ROUND(MAX(0,Plan_Prev!L4*(Premissas!$C$5/MAX(0.01,Premissas!$B$5))*Premissas!$C$33),1)</f>
        <v>18.9</v>
      </c>
      <c r="M5" s="9" t="n">
        <f aca="false">ROUND(MAX(0,Plan_Prev!M4*(Premissas!$C$5/MAX(0.01,Premissas!$B$5))*Premissas!$C$34),1)</f>
        <v>2.8</v>
      </c>
      <c r="N5" s="8" t="n">
        <f aca="false">ROUND(SUM(B5:M5),1)</f>
        <v>181.1</v>
      </c>
    </row>
    <row r="6" customFormat="false" ht="15" hidden="false" customHeight="false" outlineLevel="0" collapsed="false">
      <c r="A6" s="6" t="s">
        <v>34</v>
      </c>
      <c r="B6" s="9" t="n">
        <f aca="false">ROUND(MAX(0,Plan_Prev!B5*(Premissas!$C$6/MAX(0.01,Premissas!$B$6))*Premissas!$C$23),1)</f>
        <v>0</v>
      </c>
      <c r="C6" s="9" t="n">
        <f aca="false">ROUND(MAX(0,Plan_Prev!C5*(Premissas!$C$6/MAX(0.01,Premissas!$B$6))*Premissas!$C$24),1)</f>
        <v>0</v>
      </c>
      <c r="D6" s="9" t="n">
        <f aca="false">ROUND(MAX(0,Plan_Prev!D5*(Premissas!$C$6/MAX(0.01,Premissas!$B$6))*Premissas!$C$25),1)</f>
        <v>0</v>
      </c>
      <c r="E6" s="9" t="n">
        <f aca="false">ROUND(MAX(0,Plan_Prev!E5*(Premissas!$C$6/MAX(0.01,Premissas!$B$6))*Premissas!$C$26),1)</f>
        <v>0</v>
      </c>
      <c r="F6" s="9" t="n">
        <f aca="false">ROUND(MAX(0,Plan_Prev!F5*(Premissas!$C$6/MAX(0.01,Premissas!$B$6))*Premissas!$C$27),1)</f>
        <v>0</v>
      </c>
      <c r="G6" s="9" t="n">
        <f aca="false">ROUND(MAX(0,Plan_Prev!G5*(Premissas!$C$6/MAX(0.01,Premissas!$B$6))*Premissas!$C$28),1)</f>
        <v>0</v>
      </c>
      <c r="H6" s="9" t="n">
        <f aca="false">ROUND(MAX(0,Plan_Prev!H5*(Premissas!$C$6/MAX(0.01,Premissas!$B$6))*Premissas!$C$29),1)</f>
        <v>0</v>
      </c>
      <c r="I6" s="9" t="n">
        <f aca="false">ROUND(MAX(0,Plan_Prev!I5*(Premissas!$C$6/MAX(0.01,Premissas!$B$6))*Premissas!$C$30),1)</f>
        <v>0</v>
      </c>
      <c r="J6" s="9" t="n">
        <f aca="false">ROUND(MAX(0,Plan_Prev!J5*(Premissas!$C$6/MAX(0.01,Premissas!$B$6))*Premissas!$C$31),1)</f>
        <v>0</v>
      </c>
      <c r="K6" s="9" t="n">
        <f aca="false">ROUND(MAX(0,Plan_Prev!K5*(Premissas!$C$6/MAX(0.01,Premissas!$B$6))*Premissas!$C$32),1)</f>
        <v>0</v>
      </c>
      <c r="L6" s="9" t="n">
        <f aca="false">ROUND(MAX(0,Plan_Prev!L5*(Premissas!$C$6/MAX(0.01,Premissas!$B$6))*Premissas!$C$33),1)</f>
        <v>0</v>
      </c>
      <c r="M6" s="9" t="n">
        <f aca="false">ROUND(MAX(0,Plan_Prev!M5*(Premissas!$C$6/MAX(0.01,Premissas!$B$6))*Premissas!$C$34),1)</f>
        <v>0</v>
      </c>
      <c r="N6" s="8" t="n">
        <f aca="false">ROUND(SUM(B6:M6),1)</f>
        <v>0</v>
      </c>
    </row>
    <row r="7" customFormat="false" ht="15" hidden="false" customHeight="false" outlineLevel="0" collapsed="false">
      <c r="A7" s="6" t="s">
        <v>35</v>
      </c>
      <c r="B7" s="9" t="n">
        <f aca="false">ROUND(MAX(0,Plan_Prev!B6*(Premissas!$C$7/MAX(0.01,Premissas!$B$7))*Premissas!$C$23),1)</f>
        <v>0</v>
      </c>
      <c r="C7" s="9" t="n">
        <f aca="false">ROUND(MAX(0,Plan_Prev!C6*(Premissas!$C$7/MAX(0.01,Premissas!$B$7))*Premissas!$C$24),1)</f>
        <v>0</v>
      </c>
      <c r="D7" s="9" t="n">
        <f aca="false">ROUND(MAX(0,Plan_Prev!D6*(Premissas!$C$7/MAX(0.01,Premissas!$B$7))*Premissas!$C$25),1)</f>
        <v>5.3</v>
      </c>
      <c r="E7" s="9" t="n">
        <f aca="false">ROUND(MAX(0,Plan_Prev!E6*(Premissas!$C$7/MAX(0.01,Premissas!$B$7))*Premissas!$C$26),1)</f>
        <v>9.8</v>
      </c>
      <c r="F7" s="9" t="n">
        <f aca="false">ROUND(MAX(0,Plan_Prev!F6*(Premissas!$C$7/MAX(0.01,Premissas!$B$7))*Premissas!$C$27),1)</f>
        <v>3.6</v>
      </c>
      <c r="G7" s="9" t="n">
        <f aca="false">ROUND(MAX(0,Plan_Prev!G6*(Premissas!$C$7/MAX(0.01,Premissas!$B$7))*Premissas!$C$28),1)</f>
        <v>6.5</v>
      </c>
      <c r="H7" s="9" t="n">
        <f aca="false">ROUND(MAX(0,Plan_Prev!H6*(Premissas!$C$7/MAX(0.01,Premissas!$B$7))*Premissas!$C$29),1)</f>
        <v>5.7</v>
      </c>
      <c r="I7" s="9" t="n">
        <f aca="false">ROUND(MAX(0,Plan_Prev!I6*(Premissas!$C$7/MAX(0.01,Premissas!$B$7))*Premissas!$C$30),1)</f>
        <v>1.5</v>
      </c>
      <c r="J7" s="9" t="n">
        <f aca="false">ROUND(MAX(0,Plan_Prev!J6*(Premissas!$C$7/MAX(0.01,Premissas!$B$7))*Premissas!$C$31),1)</f>
        <v>2.9</v>
      </c>
      <c r="K7" s="9" t="n">
        <f aca="false">ROUND(MAX(0,Plan_Prev!K6*(Premissas!$C$7/MAX(0.01,Premissas!$B$7))*Premissas!$C$32),1)</f>
        <v>7.4</v>
      </c>
      <c r="L7" s="9" t="n">
        <f aca="false">ROUND(MAX(0,Plan_Prev!L6*(Premissas!$C$7/MAX(0.01,Premissas!$B$7))*Premissas!$C$33),1)</f>
        <v>4.9</v>
      </c>
      <c r="M7" s="9" t="n">
        <f aca="false">ROUND(MAX(0,Plan_Prev!M6*(Premissas!$C$7/MAX(0.01,Premissas!$B$7))*Premissas!$C$34),1)</f>
        <v>0</v>
      </c>
      <c r="N7" s="8" t="n">
        <f aca="false">ROUND(SUM(B7:M7),1)</f>
        <v>47.6</v>
      </c>
    </row>
    <row r="8" customFormat="false" ht="15" hidden="false" customHeight="false" outlineLevel="0" collapsed="false">
      <c r="A8" s="6" t="s">
        <v>36</v>
      </c>
      <c r="B8" s="9" t="n">
        <f aca="false">ROUND(MAX(0,Plan_Prev!B7*(Premissas!$C$8/MAX(0.01,Premissas!$B$8))*Premissas!$C$23),1)</f>
        <v>0</v>
      </c>
      <c r="C8" s="9" t="n">
        <f aca="false">ROUND(MAX(0,Plan_Prev!C7*(Premissas!$C$8/MAX(0.01,Premissas!$B$8))*Premissas!$C$24),1)</f>
        <v>0</v>
      </c>
      <c r="D8" s="9" t="n">
        <f aca="false">ROUND(MAX(0,Plan_Prev!D7*(Premissas!$C$8/MAX(0.01,Premissas!$B$8))*Premissas!$C$25),1)</f>
        <v>0</v>
      </c>
      <c r="E8" s="9" t="n">
        <f aca="false">ROUND(MAX(0,Plan_Prev!E7*(Premissas!$C$8/MAX(0.01,Premissas!$B$8))*Premissas!$C$26),1)</f>
        <v>0</v>
      </c>
      <c r="F8" s="9" t="n">
        <f aca="false">ROUND(MAX(0,Plan_Prev!F7*(Premissas!$C$8/MAX(0.01,Premissas!$B$8))*Premissas!$C$27),1)</f>
        <v>0</v>
      </c>
      <c r="G8" s="9" t="n">
        <f aca="false">ROUND(MAX(0,Plan_Prev!G7*(Premissas!$C$8/MAX(0.01,Premissas!$B$8))*Premissas!$C$28),1)</f>
        <v>0</v>
      </c>
      <c r="H8" s="9" t="n">
        <f aca="false">ROUND(MAX(0,Plan_Prev!H7*(Premissas!$C$8/MAX(0.01,Premissas!$B$8))*Premissas!$C$29),1)</f>
        <v>0</v>
      </c>
      <c r="I8" s="9" t="n">
        <f aca="false">ROUND(MAX(0,Plan_Prev!I7*(Premissas!$C$8/MAX(0.01,Premissas!$B$8))*Premissas!$C$30),1)</f>
        <v>0</v>
      </c>
      <c r="J8" s="9" t="n">
        <f aca="false">ROUND(MAX(0,Plan_Prev!J7*(Premissas!$C$8/MAX(0.01,Premissas!$B$8))*Premissas!$C$31),1)</f>
        <v>0</v>
      </c>
      <c r="K8" s="9" t="n">
        <f aca="false">ROUND(MAX(0,Plan_Prev!K7*(Premissas!$C$8/MAX(0.01,Premissas!$B$8))*Premissas!$C$32),1)</f>
        <v>0</v>
      </c>
      <c r="L8" s="9" t="n">
        <f aca="false">ROUND(MAX(0,Plan_Prev!L7*(Premissas!$C$8/MAX(0.01,Premissas!$B$8))*Premissas!$C$33),1)</f>
        <v>0</v>
      </c>
      <c r="M8" s="9" t="n">
        <f aca="false">ROUND(MAX(0,Plan_Prev!M7*(Premissas!$C$8/MAX(0.01,Premissas!$B$8))*Premissas!$C$34),1)</f>
        <v>0</v>
      </c>
      <c r="N8" s="8" t="n">
        <f aca="false">ROUND(SUM(B8:M8),1)</f>
        <v>0</v>
      </c>
    </row>
    <row r="9" customFormat="false" ht="15" hidden="false" customHeight="false" outlineLevel="0" collapsed="false">
      <c r="A9" s="6" t="s">
        <v>37</v>
      </c>
      <c r="B9" s="9" t="n">
        <f aca="false">ROUND(MAX(0,Plan_Prev!B8*(Premissas!$C$9/MAX(0.01,Premissas!$B$9))*Premissas!$C$23),1)</f>
        <v>0</v>
      </c>
      <c r="C9" s="9" t="n">
        <f aca="false">ROUND(MAX(0,Plan_Prev!C8*(Premissas!$C$9/MAX(0.01,Premissas!$B$9))*Premissas!$C$24),1)</f>
        <v>0</v>
      </c>
      <c r="D9" s="9" t="n">
        <f aca="false">ROUND(MAX(0,Plan_Prev!D8*(Premissas!$C$9/MAX(0.01,Premissas!$B$9))*Premissas!$C$25),1)</f>
        <v>3</v>
      </c>
      <c r="E9" s="9" t="n">
        <f aca="false">ROUND(MAX(0,Plan_Prev!E8*(Premissas!$C$9/MAX(0.01,Premissas!$B$9))*Premissas!$C$26),1)</f>
        <v>2.8</v>
      </c>
      <c r="F9" s="9" t="n">
        <f aca="false">ROUND(MAX(0,Plan_Prev!F8*(Premissas!$C$9/MAX(0.01,Premissas!$B$9))*Premissas!$C$27),1)</f>
        <v>0</v>
      </c>
      <c r="G9" s="9" t="n">
        <f aca="false">ROUND(MAX(0,Plan_Prev!G8*(Premissas!$C$9/MAX(0.01,Premissas!$B$9))*Premissas!$C$28),1)</f>
        <v>2.3</v>
      </c>
      <c r="H9" s="9" t="n">
        <f aca="false">ROUND(MAX(0,Plan_Prev!H8*(Premissas!$C$9/MAX(0.01,Premissas!$B$9))*Premissas!$C$29),1)</f>
        <v>0</v>
      </c>
      <c r="I9" s="9" t="n">
        <f aca="false">ROUND(MAX(0,Plan_Prev!I8*(Premissas!$C$9/MAX(0.01,Premissas!$B$9))*Premissas!$C$30),1)</f>
        <v>1.4</v>
      </c>
      <c r="J9" s="9" t="n">
        <f aca="false">ROUND(MAX(0,Plan_Prev!J8*(Premissas!$C$9/MAX(0.01,Premissas!$B$9))*Premissas!$C$31),1)</f>
        <v>1.6</v>
      </c>
      <c r="K9" s="9" t="n">
        <f aca="false">ROUND(MAX(0,Plan_Prev!K8*(Premissas!$C$9/MAX(0.01,Premissas!$B$9))*Premissas!$C$32),1)</f>
        <v>0</v>
      </c>
      <c r="L9" s="9" t="n">
        <f aca="false">ROUND(MAX(0,Plan_Prev!L8*(Premissas!$C$9/MAX(0.01,Premissas!$B$9))*Premissas!$C$33),1)</f>
        <v>2.3</v>
      </c>
      <c r="M9" s="9" t="n">
        <f aca="false">ROUND(MAX(0,Plan_Prev!M8*(Premissas!$C$9/MAX(0.01,Premissas!$B$9))*Premissas!$C$34),1)</f>
        <v>0</v>
      </c>
      <c r="N9" s="8" t="n">
        <f aca="false">ROUND(SUM(B9:M9),1)</f>
        <v>13.4</v>
      </c>
    </row>
    <row r="10" customFormat="false" ht="15" hidden="false" customHeight="false" outlineLevel="0" collapsed="false">
      <c r="A10" s="6" t="s">
        <v>38</v>
      </c>
      <c r="B10" s="9" t="n">
        <f aca="false">ROUND(MAX(0,Plan_Prev!B9*(Premissas!$C$10/MAX(0.01,Premissas!$B$10))*Premissas!$C$23),1)</f>
        <v>0</v>
      </c>
      <c r="C10" s="9" t="n">
        <f aca="false">ROUND(MAX(0,Plan_Prev!C9*(Premissas!$C$10/MAX(0.01,Premissas!$B$10))*Premissas!$C$24),1)</f>
        <v>9</v>
      </c>
      <c r="D10" s="9" t="n">
        <f aca="false">ROUND(MAX(0,Plan_Prev!D9*(Premissas!$C$10/MAX(0.01,Premissas!$B$10))*Premissas!$C$25),1)</f>
        <v>0</v>
      </c>
      <c r="E10" s="9" t="n">
        <f aca="false">ROUND(MAX(0,Plan_Prev!E9*(Premissas!$C$10/MAX(0.01,Premissas!$B$10))*Premissas!$C$26),1)</f>
        <v>0</v>
      </c>
      <c r="F10" s="9" t="n">
        <f aca="false">ROUND(MAX(0,Plan_Prev!F9*(Premissas!$C$10/MAX(0.01,Premissas!$B$10))*Premissas!$C$27),1)</f>
        <v>13.2</v>
      </c>
      <c r="G10" s="9" t="n">
        <f aca="false">ROUND(MAX(0,Plan_Prev!G9*(Premissas!$C$10/MAX(0.01,Premissas!$B$10))*Premissas!$C$28),1)</f>
        <v>0</v>
      </c>
      <c r="H10" s="9" t="n">
        <f aca="false">ROUND(MAX(0,Plan_Prev!H9*(Premissas!$C$10/MAX(0.01,Premissas!$B$10))*Premissas!$C$29),1)</f>
        <v>8.4</v>
      </c>
      <c r="I10" s="9" t="n">
        <f aca="false">ROUND(MAX(0,Plan_Prev!I9*(Premissas!$C$10/MAX(0.01,Premissas!$B$10))*Premissas!$C$30),1)</f>
        <v>0</v>
      </c>
      <c r="J10" s="9" t="n">
        <f aca="false">ROUND(MAX(0,Plan_Prev!J9*(Premissas!$C$10/MAX(0.01,Premissas!$B$10))*Premissas!$C$31),1)</f>
        <v>8.4</v>
      </c>
      <c r="K10" s="9" t="n">
        <f aca="false">ROUND(MAX(0,Plan_Prev!K9*(Premissas!$C$10/MAX(0.01,Premissas!$B$10))*Premissas!$C$32),1)</f>
        <v>5.4</v>
      </c>
      <c r="L10" s="9" t="n">
        <f aca="false">ROUND(MAX(0,Plan_Prev!L9*(Premissas!$C$10/MAX(0.01,Premissas!$B$10))*Premissas!$C$33),1)</f>
        <v>6</v>
      </c>
      <c r="M10" s="9" t="n">
        <f aca="false">ROUND(MAX(0,Plan_Prev!M9*(Premissas!$C$10/MAX(0.01,Premissas!$B$10))*Premissas!$C$34),1)</f>
        <v>0</v>
      </c>
      <c r="N10" s="8" t="n">
        <f aca="false">ROUND(SUM(B10:M10),1)</f>
        <v>50.4</v>
      </c>
    </row>
    <row r="11" customFormat="false" ht="15" hidden="false" customHeight="false" outlineLevel="0" collapsed="false">
      <c r="A11" s="14" t="s">
        <v>315</v>
      </c>
      <c r="B11" s="10" t="n">
        <f aca="false">ROUND(SUM(B5:B10),1)</f>
        <v>0</v>
      </c>
      <c r="C11" s="10" t="n">
        <f aca="false">ROUND(SUM(C5:C10),1)</f>
        <v>9.8</v>
      </c>
      <c r="D11" s="10" t="n">
        <f aca="false">ROUND(SUM(D5:D10),1)</f>
        <v>29.4</v>
      </c>
      <c r="E11" s="10" t="n">
        <f aca="false">ROUND(SUM(E5:E10),1)</f>
        <v>47.4</v>
      </c>
      <c r="F11" s="10" t="n">
        <f aca="false">ROUND(SUM(F5:F10),1)</f>
        <v>31.5</v>
      </c>
      <c r="G11" s="10" t="n">
        <f aca="false">ROUND(SUM(G5:G10),1)</f>
        <v>32.5</v>
      </c>
      <c r="H11" s="10" t="n">
        <f aca="false">ROUND(SUM(H5:H10),1)</f>
        <v>33</v>
      </c>
      <c r="I11" s="10" t="n">
        <f aca="false">ROUND(SUM(I5:I10),1)</f>
        <v>11</v>
      </c>
      <c r="J11" s="10" t="n">
        <f aca="false">ROUND(SUM(J5:J10),1)</f>
        <v>26.3</v>
      </c>
      <c r="K11" s="10" t="n">
        <f aca="false">ROUND(SUM(K5:K10),1)</f>
        <v>36.7</v>
      </c>
      <c r="L11" s="10" t="n">
        <f aca="false">ROUND(SUM(L5:L10),1)</f>
        <v>32.1</v>
      </c>
      <c r="M11" s="10" t="n">
        <f aca="false">ROUND(SUM(M5:M10),1)</f>
        <v>2.8</v>
      </c>
      <c r="N11" s="10" t="n">
        <f aca="false">ROUND(SUM(N5:N10),1)</f>
        <v>292.5</v>
      </c>
    </row>
    <row r="13" customFormat="false" ht="15" hidden="false" customHeight="false" outlineLevel="0" collapsed="false">
      <c r="A13" s="5" t="s">
        <v>335</v>
      </c>
      <c r="B13" s="5" t="s">
        <v>59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  <c r="I13" s="5" t="s">
        <v>68</v>
      </c>
      <c r="J13" s="5" t="s">
        <v>69</v>
      </c>
      <c r="K13" s="5" t="s">
        <v>70</v>
      </c>
      <c r="L13" s="5" t="s">
        <v>71</v>
      </c>
      <c r="M13" s="5" t="s">
        <v>72</v>
      </c>
      <c r="N13" s="5" t="s">
        <v>314</v>
      </c>
    </row>
    <row r="14" customFormat="false" ht="15" hidden="false" customHeight="false" outlineLevel="0" collapsed="false">
      <c r="A14" s="18" t="s">
        <v>33</v>
      </c>
      <c r="B14" s="19" t="n">
        <f aca="false">ROUND(MAX(0,B5-Plan_Corr!B4)*IFERROR(AVERAGEIFS(Pessoas!$I$5:$I$44,Pessoas!$C$5:$C$44,$A14,Pessoas!$G$5:$G$44,"Ativo"),0),0)</f>
        <v>0</v>
      </c>
      <c r="C14" s="19" t="n">
        <f aca="false">ROUND(MAX(0,C5-Plan_Corr!C4)*IFERROR(AVERAGEIFS(Pessoas!$I$5:$I$44,Pessoas!$C$5:$C$44,$A14,Pessoas!$G$5:$G$44,"Ativo"),0),0)</f>
        <v>0</v>
      </c>
      <c r="D14" s="19" t="n">
        <f aca="false">ROUND(MAX(0,D5-Plan_Corr!D4)*IFERROR(AVERAGEIFS(Pessoas!$I$5:$I$44,Pessoas!$C$5:$C$44,$A14,Pessoas!$G$5:$G$44,"Ativo"),0),0)</f>
        <v>29</v>
      </c>
      <c r="E14" s="19" t="n">
        <f aca="false">ROUND(MAX(0,E5-Plan_Corr!E4)*IFERROR(AVERAGEIFS(Pessoas!$I$5:$I$44,Pessoas!$C$5:$C$44,$A14,Pessoas!$G$5:$G$44,"Ativo"),0),0)</f>
        <v>50</v>
      </c>
      <c r="F14" s="19" t="n">
        <f aca="false">ROUND(MAX(0,F5-Plan_Corr!F4)*IFERROR(AVERAGEIFS(Pessoas!$I$5:$I$44,Pessoas!$C$5:$C$44,$A14,Pessoas!$G$5:$G$44,"Ativo"),0),0)</f>
        <v>21</v>
      </c>
      <c r="G14" s="19" t="n">
        <f aca="false">ROUND(MAX(0,G5-Plan_Corr!G4)*IFERROR(AVERAGEIFS(Pessoas!$I$5:$I$44,Pessoas!$C$5:$C$44,$A14,Pessoas!$G$5:$G$44,"Ativo"),0),0)</f>
        <v>43</v>
      </c>
      <c r="H14" s="19" t="n">
        <f aca="false">ROUND(MAX(0,H5-Plan_Corr!H4)*IFERROR(AVERAGEIFS(Pessoas!$I$5:$I$44,Pessoas!$C$5:$C$44,$A14,Pessoas!$G$5:$G$44,"Ativo"),0),0)</f>
        <v>36</v>
      </c>
      <c r="I14" s="19" t="n">
        <f aca="false">ROUND(MAX(0,I5-Plan_Corr!I4)*IFERROR(AVERAGEIFS(Pessoas!$I$5:$I$44,Pessoas!$C$5:$C$44,$A14,Pessoas!$G$5:$G$44,"Ativo"),0),0)</f>
        <v>14</v>
      </c>
      <c r="J14" s="19" t="n">
        <f aca="false">ROUND(MAX(0,J5-Plan_Corr!J4)*IFERROR(AVERAGEIFS(Pessoas!$I$5:$I$44,Pessoas!$C$5:$C$44,$A14,Pessoas!$G$5:$G$44,"Ativo"),0),0)</f>
        <v>29</v>
      </c>
      <c r="K14" s="19" t="n">
        <f aca="false">ROUND(MAX(0,K5-Plan_Corr!K4)*IFERROR(AVERAGEIFS(Pessoas!$I$5:$I$44,Pessoas!$C$5:$C$44,$A14,Pessoas!$G$5:$G$44,"Ativo"),0),0)</f>
        <v>57</v>
      </c>
      <c r="L14" s="19" t="n">
        <f aca="false">ROUND(MAX(0,L5-Plan_Corr!L4)*IFERROR(AVERAGEIFS(Pessoas!$I$5:$I$44,Pessoas!$C$5:$C$44,$A14,Pessoas!$G$5:$G$44,"Ativo"),0),0)</f>
        <v>50</v>
      </c>
      <c r="M14" s="19" t="n">
        <f aca="false">ROUND(MAX(0,M5-Plan_Corr!M4)*IFERROR(AVERAGEIFS(Pessoas!$I$5:$I$44,Pessoas!$C$5:$C$44,$A14,Pessoas!$G$5:$G$44,"Ativo"),0),0)</f>
        <v>7</v>
      </c>
      <c r="N14" s="20" t="n">
        <f aca="false">SUM(B14:M14)</f>
        <v>336</v>
      </c>
    </row>
    <row r="15" customFormat="false" ht="15" hidden="false" customHeight="false" outlineLevel="0" collapsed="false">
      <c r="A15" s="18" t="s">
        <v>34</v>
      </c>
      <c r="B15" s="19" t="n">
        <f aca="false">ROUND(MAX(0,B6-Plan_Corr!B5)*IFERROR(AVERAGEIFS(Pessoas!$I$5:$I$44,Pessoas!$C$5:$C$44,$A15,Pessoas!$G$5:$G$44,"Ativo"),0),0)</f>
        <v>0</v>
      </c>
      <c r="C15" s="19" t="n">
        <f aca="false">ROUND(MAX(0,C6-Plan_Corr!C5)*IFERROR(AVERAGEIFS(Pessoas!$I$5:$I$44,Pessoas!$C$5:$C$44,$A15,Pessoas!$G$5:$G$44,"Ativo"),0),0)</f>
        <v>0</v>
      </c>
      <c r="D15" s="19" t="n">
        <f aca="false">ROUND(MAX(0,D6-Plan_Corr!D5)*IFERROR(AVERAGEIFS(Pessoas!$I$5:$I$44,Pessoas!$C$5:$C$44,$A15,Pessoas!$G$5:$G$44,"Ativo"),0),0)</f>
        <v>0</v>
      </c>
      <c r="E15" s="19" t="n">
        <f aca="false">ROUND(MAX(0,E6-Plan_Corr!E5)*IFERROR(AVERAGEIFS(Pessoas!$I$5:$I$44,Pessoas!$C$5:$C$44,$A15,Pessoas!$G$5:$G$44,"Ativo"),0),0)</f>
        <v>0</v>
      </c>
      <c r="F15" s="19" t="n">
        <f aca="false">ROUND(MAX(0,F6-Plan_Corr!F5)*IFERROR(AVERAGEIFS(Pessoas!$I$5:$I$44,Pessoas!$C$5:$C$44,$A15,Pessoas!$G$5:$G$44,"Ativo"),0),0)</f>
        <v>0</v>
      </c>
      <c r="G15" s="19" t="n">
        <f aca="false">ROUND(MAX(0,G6-Plan_Corr!G5)*IFERROR(AVERAGEIFS(Pessoas!$I$5:$I$44,Pessoas!$C$5:$C$44,$A15,Pessoas!$G$5:$G$44,"Ativo"),0),0)</f>
        <v>0</v>
      </c>
      <c r="H15" s="19" t="n">
        <f aca="false">ROUND(MAX(0,H6-Plan_Corr!H5)*IFERROR(AVERAGEIFS(Pessoas!$I$5:$I$44,Pessoas!$C$5:$C$44,$A15,Pessoas!$G$5:$G$44,"Ativo"),0),0)</f>
        <v>0</v>
      </c>
      <c r="I15" s="19" t="n">
        <f aca="false">ROUND(MAX(0,I6-Plan_Corr!I5)*IFERROR(AVERAGEIFS(Pessoas!$I$5:$I$44,Pessoas!$C$5:$C$44,$A15,Pessoas!$G$5:$G$44,"Ativo"),0),0)</f>
        <v>0</v>
      </c>
      <c r="J15" s="19" t="n">
        <f aca="false">ROUND(MAX(0,J6-Plan_Corr!J5)*IFERROR(AVERAGEIFS(Pessoas!$I$5:$I$44,Pessoas!$C$5:$C$44,$A15,Pessoas!$G$5:$G$44,"Ativo"),0),0)</f>
        <v>0</v>
      </c>
      <c r="K15" s="19" t="n">
        <f aca="false">ROUND(MAX(0,K6-Plan_Corr!K5)*IFERROR(AVERAGEIFS(Pessoas!$I$5:$I$44,Pessoas!$C$5:$C$44,$A15,Pessoas!$G$5:$G$44,"Ativo"),0),0)</f>
        <v>0</v>
      </c>
      <c r="L15" s="19" t="n">
        <f aca="false">ROUND(MAX(0,L6-Plan_Corr!L5)*IFERROR(AVERAGEIFS(Pessoas!$I$5:$I$44,Pessoas!$C$5:$C$44,$A15,Pessoas!$G$5:$G$44,"Ativo"),0),0)</f>
        <v>0</v>
      </c>
      <c r="M15" s="19" t="n">
        <f aca="false">ROUND(MAX(0,M6-Plan_Corr!M5)*IFERROR(AVERAGEIFS(Pessoas!$I$5:$I$44,Pessoas!$C$5:$C$44,$A15,Pessoas!$G$5:$G$44,"Ativo"),0),0)</f>
        <v>0</v>
      </c>
      <c r="N15" s="20" t="n">
        <f aca="false">SUM(B15:M15)</f>
        <v>0</v>
      </c>
    </row>
    <row r="16" customFormat="false" ht="15" hidden="false" customHeight="false" outlineLevel="0" collapsed="false">
      <c r="A16" s="18" t="s">
        <v>35</v>
      </c>
      <c r="B16" s="19" t="n">
        <f aca="false">ROUND(MAX(0,B7-Plan_Corr!B6)*IFERROR(AVERAGEIFS(Pessoas!$I$5:$I$44,Pessoas!$C$5:$C$44,$A16,Pessoas!$G$5:$G$44,"Ativo"),0),0)</f>
        <v>0</v>
      </c>
      <c r="C16" s="19" t="n">
        <f aca="false">ROUND(MAX(0,C7-Plan_Corr!C6)*IFERROR(AVERAGEIFS(Pessoas!$I$5:$I$44,Pessoas!$C$5:$C$44,$A16,Pessoas!$G$5:$G$44,"Ativo"),0),0)</f>
        <v>0</v>
      </c>
      <c r="D16" s="19" t="n">
        <f aca="false">ROUND(MAX(0,D7-Plan_Corr!D6)*IFERROR(AVERAGEIFS(Pessoas!$I$5:$I$44,Pessoas!$C$5:$C$44,$A16,Pessoas!$G$5:$G$44,"Ativo"),0),0)</f>
        <v>7</v>
      </c>
      <c r="E16" s="19" t="n">
        <f aca="false">ROUND(MAX(0,E7-Plan_Corr!E6)*IFERROR(AVERAGEIFS(Pessoas!$I$5:$I$44,Pessoas!$C$5:$C$44,$A16,Pessoas!$G$5:$G$44,"Ativo"),0),0)</f>
        <v>14</v>
      </c>
      <c r="F16" s="19" t="n">
        <f aca="false">ROUND(MAX(0,F7-Plan_Corr!F6)*IFERROR(AVERAGEIFS(Pessoas!$I$5:$I$44,Pessoas!$C$5:$C$44,$A16,Pessoas!$G$5:$G$44,"Ativo"),0),0)</f>
        <v>7</v>
      </c>
      <c r="G16" s="19" t="n">
        <f aca="false">ROUND(MAX(0,G7-Plan_Corr!G6)*IFERROR(AVERAGEIFS(Pessoas!$I$5:$I$44,Pessoas!$C$5:$C$44,$A16,Pessoas!$G$5:$G$44,"Ativo"),0),0)</f>
        <v>7</v>
      </c>
      <c r="H16" s="19" t="n">
        <f aca="false">ROUND(MAX(0,H7-Plan_Corr!H6)*IFERROR(AVERAGEIFS(Pessoas!$I$5:$I$44,Pessoas!$C$5:$C$44,$A16,Pessoas!$G$5:$G$44,"Ativo"),0),0)</f>
        <v>7</v>
      </c>
      <c r="I16" s="19" t="n">
        <f aca="false">ROUND(MAX(0,I7-Plan_Corr!I6)*IFERROR(AVERAGEIFS(Pessoas!$I$5:$I$44,Pessoas!$C$5:$C$44,$A16,Pessoas!$G$5:$G$44,"Ativo"),0),0)</f>
        <v>7</v>
      </c>
      <c r="J16" s="19" t="n">
        <f aca="false">ROUND(MAX(0,J7-Plan_Corr!J6)*IFERROR(AVERAGEIFS(Pessoas!$I$5:$I$44,Pessoas!$C$5:$C$44,$A16,Pessoas!$G$5:$G$44,"Ativo"),0),0)</f>
        <v>7</v>
      </c>
      <c r="K16" s="19" t="n">
        <f aca="false">ROUND(MAX(0,K7-Plan_Corr!K6)*IFERROR(AVERAGEIFS(Pessoas!$I$5:$I$44,Pessoas!$C$5:$C$44,$A16,Pessoas!$G$5:$G$44,"Ativo"),0),0)</f>
        <v>21</v>
      </c>
      <c r="L16" s="19" t="n">
        <f aca="false">ROUND(MAX(0,L7-Plan_Corr!L6)*IFERROR(AVERAGEIFS(Pessoas!$I$5:$I$44,Pessoas!$C$5:$C$44,$A16,Pessoas!$G$5:$G$44,"Ativo"),0),0)</f>
        <v>14</v>
      </c>
      <c r="M16" s="19" t="n">
        <f aca="false">ROUND(MAX(0,M7-Plan_Corr!M6)*IFERROR(AVERAGEIFS(Pessoas!$I$5:$I$44,Pessoas!$C$5:$C$44,$A16,Pessoas!$G$5:$G$44,"Ativo"),0),0)</f>
        <v>0</v>
      </c>
      <c r="N16" s="20" t="n">
        <f aca="false">SUM(B16:M16)</f>
        <v>91</v>
      </c>
    </row>
    <row r="17" customFormat="false" ht="15" hidden="false" customHeight="false" outlineLevel="0" collapsed="false">
      <c r="A17" s="18" t="s">
        <v>36</v>
      </c>
      <c r="B17" s="19" t="n">
        <f aca="false">ROUND(MAX(0,B8-Plan_Corr!B7)*IFERROR(AVERAGEIFS(Pessoas!$I$5:$I$44,Pessoas!$C$5:$C$44,$A17,Pessoas!$G$5:$G$44,"Ativo"),0),0)</f>
        <v>0</v>
      </c>
      <c r="C17" s="19" t="n">
        <f aca="false">ROUND(MAX(0,C8-Plan_Corr!C7)*IFERROR(AVERAGEIFS(Pessoas!$I$5:$I$44,Pessoas!$C$5:$C$44,$A17,Pessoas!$G$5:$G$44,"Ativo"),0),0)</f>
        <v>0</v>
      </c>
      <c r="D17" s="19" t="n">
        <f aca="false">ROUND(MAX(0,D8-Plan_Corr!D7)*IFERROR(AVERAGEIFS(Pessoas!$I$5:$I$44,Pessoas!$C$5:$C$44,$A17,Pessoas!$G$5:$G$44,"Ativo"),0),0)</f>
        <v>0</v>
      </c>
      <c r="E17" s="19" t="n">
        <f aca="false">ROUND(MAX(0,E8-Plan_Corr!E7)*IFERROR(AVERAGEIFS(Pessoas!$I$5:$I$44,Pessoas!$C$5:$C$44,$A17,Pessoas!$G$5:$G$44,"Ativo"),0),0)</f>
        <v>0</v>
      </c>
      <c r="F17" s="19" t="n">
        <f aca="false">ROUND(MAX(0,F8-Plan_Corr!F7)*IFERROR(AVERAGEIFS(Pessoas!$I$5:$I$44,Pessoas!$C$5:$C$44,$A17,Pessoas!$G$5:$G$44,"Ativo"),0),0)</f>
        <v>0</v>
      </c>
      <c r="G17" s="19" t="n">
        <f aca="false">ROUND(MAX(0,G8-Plan_Corr!G7)*IFERROR(AVERAGEIFS(Pessoas!$I$5:$I$44,Pessoas!$C$5:$C$44,$A17,Pessoas!$G$5:$G$44,"Ativo"),0),0)</f>
        <v>0</v>
      </c>
      <c r="H17" s="19" t="n">
        <f aca="false">ROUND(MAX(0,H8-Plan_Corr!H7)*IFERROR(AVERAGEIFS(Pessoas!$I$5:$I$44,Pessoas!$C$5:$C$44,$A17,Pessoas!$G$5:$G$44,"Ativo"),0),0)</f>
        <v>0</v>
      </c>
      <c r="I17" s="19" t="n">
        <f aca="false">ROUND(MAX(0,I8-Plan_Corr!I7)*IFERROR(AVERAGEIFS(Pessoas!$I$5:$I$44,Pessoas!$C$5:$C$44,$A17,Pessoas!$G$5:$G$44,"Ativo"),0),0)</f>
        <v>0</v>
      </c>
      <c r="J17" s="19" t="n">
        <f aca="false">ROUND(MAX(0,J8-Plan_Corr!J7)*IFERROR(AVERAGEIFS(Pessoas!$I$5:$I$44,Pessoas!$C$5:$C$44,$A17,Pessoas!$G$5:$G$44,"Ativo"),0),0)</f>
        <v>0</v>
      </c>
      <c r="K17" s="19" t="n">
        <f aca="false">ROUND(MAX(0,K8-Plan_Corr!K7)*IFERROR(AVERAGEIFS(Pessoas!$I$5:$I$44,Pessoas!$C$5:$C$44,$A17,Pessoas!$G$5:$G$44,"Ativo"),0),0)</f>
        <v>0</v>
      </c>
      <c r="L17" s="19" t="n">
        <f aca="false">ROUND(MAX(0,L8-Plan_Corr!L7)*IFERROR(AVERAGEIFS(Pessoas!$I$5:$I$44,Pessoas!$C$5:$C$44,$A17,Pessoas!$G$5:$G$44,"Ativo"),0),0)</f>
        <v>0</v>
      </c>
      <c r="M17" s="19" t="n">
        <f aca="false">ROUND(MAX(0,M8-Plan_Corr!M7)*IFERROR(AVERAGEIFS(Pessoas!$I$5:$I$44,Pessoas!$C$5:$C$44,$A17,Pessoas!$G$5:$G$44,"Ativo"),0),0)</f>
        <v>0</v>
      </c>
      <c r="N17" s="20" t="n">
        <f aca="false">SUM(B17:M17)</f>
        <v>0</v>
      </c>
    </row>
    <row r="18" customFormat="false" ht="15" hidden="false" customHeight="false" outlineLevel="0" collapsed="false">
      <c r="A18" s="18" t="s">
        <v>37</v>
      </c>
      <c r="B18" s="19" t="n">
        <f aca="false">ROUND(MAX(0,B9-Plan_Corr!B8)*IFERROR(AVERAGEIFS(Pessoas!$I$5:$I$44,Pessoas!$C$5:$C$44,$A18,Pessoas!$G$5:$G$44,"Ativo"),0),0)</f>
        <v>0</v>
      </c>
      <c r="C18" s="19" t="n">
        <f aca="false">ROUND(MAX(0,C9-Plan_Corr!C8)*IFERROR(AVERAGEIFS(Pessoas!$I$5:$I$44,Pessoas!$C$5:$C$44,$A18,Pessoas!$G$5:$G$44,"Ativo"),0),0)</f>
        <v>0</v>
      </c>
      <c r="D18" s="19" t="n">
        <f aca="false">ROUND(MAX(0,D9-Plan_Corr!D8)*IFERROR(AVERAGEIFS(Pessoas!$I$5:$I$44,Pessoas!$C$5:$C$44,$A18,Pessoas!$G$5:$G$44,"Ativo"),0),0)</f>
        <v>0</v>
      </c>
      <c r="E18" s="19" t="n">
        <f aca="false">ROUND(MAX(0,E9-Plan_Corr!E8)*IFERROR(AVERAGEIFS(Pessoas!$I$5:$I$44,Pessoas!$C$5:$C$44,$A18,Pessoas!$G$5:$G$44,"Ativo"),0),0)</f>
        <v>4</v>
      </c>
      <c r="F18" s="19" t="n">
        <f aca="false">ROUND(MAX(0,F9-Plan_Corr!F8)*IFERROR(AVERAGEIFS(Pessoas!$I$5:$I$44,Pessoas!$C$5:$C$44,$A18,Pessoas!$G$5:$G$44,"Ativo"),0),0)</f>
        <v>0</v>
      </c>
      <c r="G18" s="19" t="n">
        <f aca="false">ROUND(MAX(0,G9-Plan_Corr!G8)*IFERROR(AVERAGEIFS(Pessoas!$I$5:$I$44,Pessoas!$C$5:$C$44,$A18,Pessoas!$G$5:$G$44,"Ativo"),0),0)</f>
        <v>0</v>
      </c>
      <c r="H18" s="19" t="n">
        <f aca="false">ROUND(MAX(0,H9-Plan_Corr!H8)*IFERROR(AVERAGEIFS(Pessoas!$I$5:$I$44,Pessoas!$C$5:$C$44,$A18,Pessoas!$G$5:$G$44,"Ativo"),0),0)</f>
        <v>0</v>
      </c>
      <c r="I18" s="19" t="n">
        <f aca="false">ROUND(MAX(0,I9-Plan_Corr!I8)*IFERROR(AVERAGEIFS(Pessoas!$I$5:$I$44,Pessoas!$C$5:$C$44,$A18,Pessoas!$G$5:$G$44,"Ativo"),0),0)</f>
        <v>0</v>
      </c>
      <c r="J18" s="19" t="n">
        <f aca="false">ROUND(MAX(0,J9-Plan_Corr!J8)*IFERROR(AVERAGEIFS(Pessoas!$I$5:$I$44,Pessoas!$C$5:$C$44,$A18,Pessoas!$G$5:$G$44,"Ativo"),0),0)</f>
        <v>0</v>
      </c>
      <c r="K18" s="19" t="n">
        <f aca="false">ROUND(MAX(0,K9-Plan_Corr!K8)*IFERROR(AVERAGEIFS(Pessoas!$I$5:$I$44,Pessoas!$C$5:$C$44,$A18,Pessoas!$G$5:$G$44,"Ativo"),0),0)</f>
        <v>0</v>
      </c>
      <c r="L18" s="19" t="n">
        <f aca="false">ROUND(MAX(0,L9-Plan_Corr!L8)*IFERROR(AVERAGEIFS(Pessoas!$I$5:$I$44,Pessoas!$C$5:$C$44,$A18,Pessoas!$G$5:$G$44,"Ativo"),0),0)</f>
        <v>0</v>
      </c>
      <c r="M18" s="19" t="n">
        <f aca="false">ROUND(MAX(0,M9-Plan_Corr!M8)*IFERROR(AVERAGEIFS(Pessoas!$I$5:$I$44,Pessoas!$C$5:$C$44,$A18,Pessoas!$G$5:$G$44,"Ativo"),0),0)</f>
        <v>0</v>
      </c>
      <c r="N18" s="20" t="n">
        <f aca="false">SUM(B18:M18)</f>
        <v>4</v>
      </c>
    </row>
    <row r="19" customFormat="false" ht="15" hidden="false" customHeight="false" outlineLevel="0" collapsed="false">
      <c r="A19" s="18" t="s">
        <v>38</v>
      </c>
      <c r="B19" s="19" t="n">
        <f aca="false">ROUND(MAX(0,B10-Plan_Corr!B9)*IFERROR(AVERAGEIFS(Pessoas!$I$5:$I$44,Pessoas!$C$5:$C$44,$A19,Pessoas!$G$5:$G$44,"Ativo"),0),0)</f>
        <v>0</v>
      </c>
      <c r="C19" s="19" t="n">
        <f aca="false">ROUND(MAX(0,C10-Plan_Corr!C9)*IFERROR(AVERAGEIFS(Pessoas!$I$5:$I$44,Pessoas!$C$5:$C$44,$A19,Pessoas!$G$5:$G$44,"Ativo"),0),0)</f>
        <v>6</v>
      </c>
      <c r="D19" s="19" t="n">
        <f aca="false">ROUND(MAX(0,D10-Plan_Corr!D9)*IFERROR(AVERAGEIFS(Pessoas!$I$5:$I$44,Pessoas!$C$5:$C$44,$A19,Pessoas!$G$5:$G$44,"Ativo"),0),0)</f>
        <v>0</v>
      </c>
      <c r="E19" s="19" t="n">
        <f aca="false">ROUND(MAX(0,E10-Plan_Corr!E9)*IFERROR(AVERAGEIFS(Pessoas!$I$5:$I$44,Pessoas!$C$5:$C$44,$A19,Pessoas!$G$5:$G$44,"Ativo"),0),0)</f>
        <v>0</v>
      </c>
      <c r="F19" s="19" t="n">
        <f aca="false">ROUND(MAX(0,F10-Plan_Corr!F9)*IFERROR(AVERAGEIFS(Pessoas!$I$5:$I$44,Pessoas!$C$5:$C$44,$A19,Pessoas!$G$5:$G$44,"Ativo"),0),0)</f>
        <v>12</v>
      </c>
      <c r="G19" s="19" t="n">
        <f aca="false">ROUND(MAX(0,G10-Plan_Corr!G9)*IFERROR(AVERAGEIFS(Pessoas!$I$5:$I$44,Pessoas!$C$5:$C$44,$A19,Pessoas!$G$5:$G$44,"Ativo"),0),0)</f>
        <v>0</v>
      </c>
      <c r="H19" s="19" t="n">
        <f aca="false">ROUND(MAX(0,H10-Plan_Corr!H9)*IFERROR(AVERAGEIFS(Pessoas!$I$5:$I$44,Pessoas!$C$5:$C$44,$A19,Pessoas!$G$5:$G$44,"Ativo"),0),0)</f>
        <v>6</v>
      </c>
      <c r="I19" s="19" t="n">
        <f aca="false">ROUND(MAX(0,I10-Plan_Corr!I9)*IFERROR(AVERAGEIFS(Pessoas!$I$5:$I$44,Pessoas!$C$5:$C$44,$A19,Pessoas!$G$5:$G$44,"Ativo"),0),0)</f>
        <v>0</v>
      </c>
      <c r="J19" s="19" t="n">
        <f aca="false">ROUND(MAX(0,J10-Plan_Corr!J9)*IFERROR(AVERAGEIFS(Pessoas!$I$5:$I$44,Pessoas!$C$5:$C$44,$A19,Pessoas!$G$5:$G$44,"Ativo"),0),0)</f>
        <v>12</v>
      </c>
      <c r="K19" s="19" t="n">
        <f aca="false">ROUND(MAX(0,K10-Plan_Corr!K9)*IFERROR(AVERAGEIFS(Pessoas!$I$5:$I$44,Pessoas!$C$5:$C$44,$A19,Pessoas!$G$5:$G$44,"Ativo"),0),0)</f>
        <v>6</v>
      </c>
      <c r="L19" s="19" t="n">
        <f aca="false">ROUND(MAX(0,L10-Plan_Corr!L9)*IFERROR(AVERAGEIFS(Pessoas!$I$5:$I$44,Pessoas!$C$5:$C$44,$A19,Pessoas!$G$5:$G$44,"Ativo"),0),0)</f>
        <v>6</v>
      </c>
      <c r="M19" s="19" t="n">
        <f aca="false">ROUND(MAX(0,M10-Plan_Corr!M9)*IFERROR(AVERAGEIFS(Pessoas!$I$5:$I$44,Pessoas!$C$5:$C$44,$A19,Pessoas!$G$5:$G$44,"Ativo"),0),0)</f>
        <v>0</v>
      </c>
      <c r="N19" s="20" t="n">
        <f aca="false">SUM(B19:M19)</f>
        <v>48</v>
      </c>
    </row>
    <row r="20" customFormat="false" ht="15" hidden="false" customHeight="false" outlineLevel="0" collapsed="false">
      <c r="A20" s="14" t="s">
        <v>336</v>
      </c>
      <c r="B20" s="21" t="n">
        <f aca="false">SUM(B14:B19)</f>
        <v>0</v>
      </c>
      <c r="C20" s="21" t="n">
        <f aca="false">SUM(C14:C19)</f>
        <v>6</v>
      </c>
      <c r="D20" s="21" t="n">
        <f aca="false">SUM(D14:D19)</f>
        <v>36</v>
      </c>
      <c r="E20" s="21" t="n">
        <f aca="false">SUM(E14:E19)</f>
        <v>68</v>
      </c>
      <c r="F20" s="21" t="n">
        <f aca="false">SUM(F14:F19)</f>
        <v>40</v>
      </c>
      <c r="G20" s="21" t="n">
        <f aca="false">SUM(G14:G19)</f>
        <v>50</v>
      </c>
      <c r="H20" s="21" t="n">
        <f aca="false">SUM(H14:H19)</f>
        <v>49</v>
      </c>
      <c r="I20" s="21" t="n">
        <f aca="false">SUM(I14:I19)</f>
        <v>21</v>
      </c>
      <c r="J20" s="21" t="n">
        <f aca="false">SUM(J14:J19)</f>
        <v>48</v>
      </c>
      <c r="K20" s="21" t="n">
        <f aca="false">SUM(K14:K19)</f>
        <v>84</v>
      </c>
      <c r="L20" s="21" t="n">
        <f aca="false">SUM(L14:L19)</f>
        <v>70</v>
      </c>
      <c r="M20" s="21" t="n">
        <f aca="false">SUM(M14:M19)</f>
        <v>7</v>
      </c>
      <c r="N20" s="21" t="n">
        <f aca="false">SUM(N14:N19)</f>
        <v>479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337</v>
      </c>
      <c r="B1" s="1"/>
      <c r="C1" s="1"/>
      <c r="D1" s="1"/>
    </row>
    <row r="3" customFormat="false" ht="15" hidden="false" customHeight="false" outlineLevel="0" collapsed="false">
      <c r="A3" s="5" t="s">
        <v>338</v>
      </c>
      <c r="B3" s="5" t="s">
        <v>339</v>
      </c>
      <c r="C3" s="5" t="s">
        <v>340</v>
      </c>
      <c r="D3" s="5" t="s">
        <v>341</v>
      </c>
    </row>
    <row r="4" customFormat="false" ht="15" hidden="false" customHeight="false" outlineLevel="0" collapsed="false">
      <c r="A4" s="6" t="s">
        <v>342</v>
      </c>
      <c r="B4" s="20" t="n">
        <f aca="false">COUNTIFS(Frota!$G$5:$G$34,"Ativo",Frota!$A$5:$A$34,"&lt;&gt;")</f>
        <v>13</v>
      </c>
      <c r="C4" s="9" t="s">
        <v>343</v>
      </c>
      <c r="D4" s="9" t="s">
        <v>344</v>
      </c>
    </row>
    <row r="5" customFormat="false" ht="15" hidden="false" customHeight="false" outlineLevel="0" collapsed="false">
      <c r="A5" s="6" t="s">
        <v>345</v>
      </c>
      <c r="B5" s="20" t="n">
        <f aca="false">COUNTIFS(Pessoas!$G$5:$G$44,"Ativo",Pessoas!$A$5:$A$44,"&lt;&gt;")</f>
        <v>13</v>
      </c>
      <c r="C5" s="9" t="s">
        <v>346</v>
      </c>
      <c r="D5" s="9" t="s">
        <v>347</v>
      </c>
    </row>
    <row r="6" customFormat="false" ht="15" hidden="false" customHeight="false" outlineLevel="0" collapsed="false">
      <c r="A6" s="6" t="s">
        <v>348</v>
      </c>
      <c r="B6" s="20" t="n">
        <f aca="false">ROUND(SUMPRODUCT((Pessoas!$G$5:$G$44="Ativo")*N(Pessoas!$E$5:$E$44)*(1+N(Pessoas!$F$5:$F$44)/100)),0)</f>
        <v>89784</v>
      </c>
      <c r="C6" s="9" t="s">
        <v>349</v>
      </c>
      <c r="D6" s="9" t="s">
        <v>347</v>
      </c>
    </row>
    <row r="7" customFormat="false" ht="15" hidden="false" customHeight="false" outlineLevel="0" collapsed="false">
      <c r="A7" s="6" t="s">
        <v>350</v>
      </c>
      <c r="B7" s="20" t="n">
        <f aca="false">SUM(Eventos!$F$4:$F$1563)</f>
        <v>78</v>
      </c>
      <c r="C7" s="9" t="s">
        <v>351</v>
      </c>
      <c r="D7" s="9" t="s">
        <v>352</v>
      </c>
    </row>
    <row r="8" customFormat="false" ht="15" hidden="false" customHeight="false" outlineLevel="0" collapsed="false">
      <c r="A8" s="6" t="s">
        <v>353</v>
      </c>
      <c r="B8" s="20" t="n">
        <f aca="false">Plan_Prev!N10</f>
        <v>421.7</v>
      </c>
      <c r="C8" s="9" t="s">
        <v>176</v>
      </c>
      <c r="D8" s="9" t="s">
        <v>354</v>
      </c>
    </row>
    <row r="9" customFormat="false" ht="15" hidden="false" customHeight="false" outlineLevel="0" collapsed="false">
      <c r="A9" s="6" t="s">
        <v>355</v>
      </c>
      <c r="B9" s="20" t="n">
        <f aca="false">Plan_Corr!N10</f>
        <v>285.6</v>
      </c>
      <c r="C9" s="9" t="s">
        <v>176</v>
      </c>
      <c r="D9" s="9" t="s">
        <v>356</v>
      </c>
    </row>
    <row r="10" customFormat="false" ht="15" hidden="false" customHeight="false" outlineLevel="0" collapsed="false">
      <c r="A10" s="6" t="s">
        <v>357</v>
      </c>
      <c r="B10" s="20" t="n">
        <f aca="false">Disponibilidade!N11</f>
        <v>18201.6</v>
      </c>
      <c r="C10" s="9" t="s">
        <v>176</v>
      </c>
      <c r="D10" s="9" t="s">
        <v>358</v>
      </c>
    </row>
    <row r="11" customFormat="false" ht="15" hidden="false" customHeight="false" outlineLevel="0" collapsed="false">
      <c r="A11" s="6" t="s">
        <v>359</v>
      </c>
      <c r="B11" s="20" t="n">
        <f aca="false">Disponibilidade!N29</f>
        <v>17494.3</v>
      </c>
      <c r="C11" s="9" t="s">
        <v>176</v>
      </c>
      <c r="D11" s="9" t="s">
        <v>358</v>
      </c>
    </row>
    <row r="12" customFormat="false" ht="15" hidden="false" customHeight="false" outlineLevel="0" collapsed="false">
      <c r="A12" s="6" t="s">
        <v>360</v>
      </c>
      <c r="B12" s="20" t="n">
        <f aca="false">Saving!N20</f>
        <v>479</v>
      </c>
      <c r="C12" s="9" t="s">
        <v>361</v>
      </c>
      <c r="D12" s="9" t="s">
        <v>362</v>
      </c>
    </row>
  </sheetData>
  <mergeCells count="1">
    <mergeCell ref="A1:D1"/>
  </mergeCells>
  <conditionalFormatting sqref="B11">
    <cfRule type="expression" priority="2" aboveAverage="0" equalAverage="0" bottom="0" percent="0" rank="0" text="" dxfId="1">
      <formula>AND(ISNUMBER(B11),B11&lt;0)</formula>
    </cfRule>
    <cfRule type="expression" priority="3" aboveAverage="0" equalAverage="0" bottom="0" percent="0" rank="0" text="" dxfId="2">
      <formula>AND(ISNUMBER(B11),B11&lt;0.1*B10)</formula>
    </cfRule>
    <cfRule type="expression" priority="4" aboveAverage="0" equalAverage="0" bottom="0" percent="0" rank="0" text="" dxfId="0">
      <formula>ISNUMBER(B11)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2026-07-03T18:34:21Z</dcterms:created>
  <dc:creator>openpyxl</dc:creator>
  <dc:description/>
  <dc:language>en-US</dc:language>
  <cp:lastModifiedBy/>
  <dcterms:modified xsi:type="dcterms:W3CDTF">2026-07-03T18:34:21Z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