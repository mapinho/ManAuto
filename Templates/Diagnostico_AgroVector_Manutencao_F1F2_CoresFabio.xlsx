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2.xml" ContentType="application/vnd.openxmlformats-officedocument.drawingml.chart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Capa" sheetId="1" state="visible" r:id="rId3"/>
    <sheet name="Instruções" sheetId="2" state="visible" r:id="rId4"/>
    <sheet name="Quick-Scan" sheetId="3" state="visible" r:id="rId5"/>
    <sheet name="Detalhado_F1" sheetId="4" state="visible" r:id="rId6"/>
    <sheet name="Detalhado_F2" sheetId="5" state="visible" r:id="rId7"/>
    <sheet name="Dashboard" sheetId="6" state="visible" r:id="rId8"/>
    <sheet name="Plano_Ação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<sst xmlns="http://schemas.openxmlformats.org/spreadsheetml/2006/main" count="371" uniqueCount="168">
  <si>
    <t xml:space="preserve">VECTOR CONSULTING</t>
  </si>
  <si>
    <t xml:space="preserve">DIAGNÓSTICO DE GESTÃO DE MANUTENÇÃO</t>
  </si>
  <si>
    <t xml:space="preserve">Gap Analysis vs. Modelo de Referência AgroVector — Fases 1 e 2</t>
  </si>
  <si>
    <t xml:space="preserve">Planejamento Integrado de Manutenção · Garagem de Usina · Agronegócio</t>
  </si>
  <si>
    <t xml:space="preserve">IDENTIFICAÇÃO DO CLIENTE</t>
  </si>
  <si>
    <t xml:space="preserve">Cliente / Razão Social</t>
  </si>
  <si>
    <t xml:space="preserve">Unidade / Filial diagnosticada</t>
  </si>
  <si>
    <t xml:space="preserve">Localização (cidade / UF)</t>
  </si>
  <si>
    <t xml:space="preserve">Cultura(s) principal(is)</t>
  </si>
  <si>
    <t xml:space="preserve">Área cultivada (ha)</t>
  </si>
  <si>
    <t xml:space="preserve">Frota total (qtd. ativos)</t>
  </si>
  <si>
    <t xml:space="preserve">EQUIPE DO DIAGNÓSTICO</t>
  </si>
  <si>
    <t xml:space="preserve">Sócio responsável (Vector)</t>
  </si>
  <si>
    <t xml:space="preserve">Consultor líder (Vector)</t>
  </si>
  <si>
    <t xml:space="preserve">Sponsor do cliente</t>
  </si>
  <si>
    <t xml:space="preserve">Gerente de Manutenção (cliente)</t>
  </si>
  <si>
    <t xml:space="preserve">Período do diagnóstico</t>
  </si>
  <si>
    <t xml:space="preserve">Data de emissão</t>
  </si>
  <si>
    <t xml:space="preserve">ESCOPO E OBJETIVOS</t>
  </si>
  <si>
    <t xml:space="preserve">Escopo avaliado</t>
  </si>
  <si>
    <t xml:space="preserve">F1 (Fundamentos): Premissas · Frota · Pessoas · Checklists
F2 (Planejamento): Cronograma · Plano Preventivo · Plano Corretivo · Disponibilidade</t>
  </si>
  <si>
    <t xml:space="preserve">Objetivo principal</t>
  </si>
  <si>
    <t xml:space="preserve">Identificar gaps do modelo atual de manutenção do cliente versus o modelo de referência AgroVector e estruturar plano de fechamento.</t>
  </si>
  <si>
    <t xml:space="preserve">Metodologia</t>
  </si>
  <si>
    <t xml:space="preserve">Diagnóstico híbrido: Quick-Scan (Tem/Parcial/Não tem) + Avaliação Detalhada de Maturidade (0–5) com evidências, gaps e ações.</t>
  </si>
  <si>
    <t xml:space="preserve">Pilares: PROCESSOS · TECNOLOGIA · PESSOAS    |    www.vectorconsulting.com.br</t>
  </si>
  <si>
    <t xml:space="preserve">COMO USAR O TEMPLATE</t>
  </si>
  <si>
    <t xml:space="preserve">Fluxo recomendado</t>
  </si>
  <si>
    <t xml:space="preserve">1. Preencha a aba CAPA com identificação do cliente e equipe.
2. Faça primeira passada na aba QUICK-SCAN durante visita inicial (visão macro).
3. Aprofunde na aba DETALHADO_F1 e DETALHADO_F2 com evidências e gaps.
4. Consulte DASHBOARD para visualizar score por módulo e priorizar.
5. Consolide o PLANO DE AÇÃO priorizado para devolutiva ao cliente.</t>
  </si>
  <si>
    <t xml:space="preserve">Quick-Scan</t>
  </si>
  <si>
    <t xml:space="preserve">Avaliação rápida (Tem / Parcial / Não tem) por item. Útil para visita de 1 dia e calibragem de profundidade da etapa seguinte. Cada item já vincula automaticamente ao módulo correspondente.</t>
  </si>
  <si>
    <t xml:space="preserve">Avaliação Detalhada</t>
  </si>
  <si>
    <t xml:space="preserve">Maturidade de 0 a 5 por item, com campos para evidência observada, gap identificado, ação corretiva proposta, prioridade (Alta/Média/Baixa) e horizonte (curto/médio/longo prazo).</t>
  </si>
  <si>
    <t xml:space="preserve">Escala de maturidade</t>
  </si>
  <si>
    <t xml:space="preserve">0 = Inexistente · não há prática nem intenção
1 = Inicial · prática ad hoc, dependente de pessoa
2 = Definido informalmente · há prática mas sem documentação
3 = Documentado · existe processo, KPI parcial
4 = Gerenciado · processo medido, KPI ativo, ciclo PDCA
5 = Otimizado · benchmark, melhoria contínua, automação</t>
  </si>
  <si>
    <t xml:space="preserve">Cores e regras</t>
  </si>
  <si>
    <t xml:space="preserve">Score 0–1,9 → VERMELHO (gap crítico)
Score 2,0–3,4 → ÂMBAR (gap relevante)
Score 3,5–5,0 → VERDE (aderente ou otimizado)
Quick-Scan: Tem = 2 pts · Parcial = 1 pt · Não tem = 0 pts.</t>
  </si>
  <si>
    <t xml:space="preserve">Dicas de campo</t>
  </si>
  <si>
    <t xml:space="preserve">• Sempre pedir evidência (printscreen do sistema, planilha, relatório, OS impressa).
• Triangular informação: gerente, líder de oficina e mecânico de chão.
• Anotar nome do entrevistado e data na coluna de evidência.
• Diferenciar 'existe no papel' de 'é usado na rotina' (segundo é o que vale).</t>
  </si>
  <si>
    <t xml:space="preserve">LEGENDA — CORES FABIO (SEMÁFORO)</t>
  </si>
  <si>
    <t xml:space="preserve">VERDE (#00FF00)</t>
  </si>
  <si>
    <t xml:space="preserve">Aderente — score 3,5–5,0 · Quick-Scan "Tem" · Prioridade Baixa · Status Concluído</t>
  </si>
  <si>
    <t xml:space="preserve">AMARELO (#FFFF00)</t>
  </si>
  <si>
    <t xml:space="preserve">Gap relevante — score 2,0–3,4 · Quick-Scan "Parcial" · Prioridade Média · Em andamento</t>
  </si>
  <si>
    <t xml:space="preserve">VERMELHO (#FF3300)</t>
  </si>
  <si>
    <t xml:space="preserve">Gap crítico / precisa melhorar — score 0–1,9 · "Não tem" · Prioridade Alta · Não iniciado</t>
  </si>
  <si>
    <t xml:space="preserve">QUICK-SCAN — Avaliação Rápida de Aderência</t>
  </si>
  <si>
    <t xml:space="preserve">Para cada item, marque: TEM (prática implementada e em uso) · PARCIAL (existe mas incompleto/intermitente) · NÃO TEM. Use a aba Detalhado para evidências e ações.</t>
  </si>
  <si>
    <t xml:space="preserve">Módulo</t>
  </si>
  <si>
    <t xml:space="preserve">Item avaliado</t>
  </si>
  <si>
    <t xml:space="preserve">Status</t>
  </si>
  <si>
    <t xml:space="preserve">Observação rápida</t>
  </si>
  <si>
    <t xml:space="preserve">Pontos</t>
  </si>
  <si>
    <t xml:space="preserve">F1.1 Premissas</t>
  </si>
  <si>
    <t xml:space="preserve">Índice esperado de preventiva vs corretiva definido formalmente por oficina</t>
  </si>
  <si>
    <t xml:space="preserve">Não tem</t>
  </si>
  <si>
    <t xml:space="preserve">Meta de % de serviços terceirizados definida por oficina</t>
  </si>
  <si>
    <t xml:space="preserve">Fator de redução de corretivas (deflator a.a.) definido e acompanhado</t>
  </si>
  <si>
    <t xml:space="preserve">Disponibilidade de MO parametrizada por oficina (horas brutas, descontos, produtividade)</t>
  </si>
  <si>
    <t xml:space="preserve">Cálculo formal de horas líquidas disponíveis por oficina e por colaborador</t>
  </si>
  <si>
    <t xml:space="preserve">Calendário de dias úteis estruturado mês a mês</t>
  </si>
  <si>
    <t xml:space="preserve">Definição clara do período de safra e entressafra</t>
  </si>
  <si>
    <t xml:space="preserve">Fator de sazonalidade de corretivas aplicado mês a mês</t>
  </si>
  <si>
    <t xml:space="preserve">Gatilhos de preventiva (horas/km) definidos por classe de ativo</t>
  </si>
  <si>
    <t xml:space="preserve">Intervalos definidos para tipos de revisão (S/A/B/C/D)</t>
  </si>
  <si>
    <t xml:space="preserve">Regra de herança cumulativa entre tipos de preventiva estruturada</t>
  </si>
  <si>
    <t xml:space="preserve">F1.2 Frota</t>
  </si>
  <si>
    <t xml:space="preserve">Cadastro completo de todos os ativos da operação</t>
  </si>
  <si>
    <t xml:space="preserve">Cadastro contém classe, modelo, fabricante, ano e filial</t>
  </si>
  <si>
    <t xml:space="preserve">Status do ativo registrado (Ativo/Reforma/Inativo/Vendido)</t>
  </si>
  <si>
    <t xml:space="preserve">Horímetro/odômetro atual atualizado por ativo</t>
  </si>
  <si>
    <t xml:space="preserve">Uso médio mensal calculado por ativo</t>
  </si>
  <si>
    <t xml:space="preserve">Uso médio diferenciado entre safra e entressafra</t>
  </si>
  <si>
    <t xml:space="preserve">Intervalo de preventiva (horas/km) definido por ativo</t>
  </si>
  <si>
    <t xml:space="preserve">Status de garantia controlado por ativo</t>
  </si>
  <si>
    <t xml:space="preserve">Cadastro atualizado em rotina (semanal/mensal)</t>
  </si>
  <si>
    <t xml:space="preserve">F1.3 Pessoas</t>
  </si>
  <si>
    <t xml:space="preserve">Cadastro completo de mão de obra de manutenção</t>
  </si>
  <si>
    <t xml:space="preserve">Estrutura organizada por tipo de oficina</t>
  </si>
  <si>
    <t xml:space="preserve">Cargo definido para cada colaborador</t>
  </si>
  <si>
    <t xml:space="preserve">Turno definido (Diurno/Noturno/Safra/5x1)</t>
  </si>
  <si>
    <t xml:space="preserve">Salário e encargos registrados por colaborador</t>
  </si>
  <si>
    <t xml:space="preserve">Status atualizado (Ativo/Inativo/Férias/Afastado)</t>
  </si>
  <si>
    <t xml:space="preserve">Custo/hora calculado por colaborador e oficina</t>
  </si>
  <si>
    <t xml:space="preserve">Resumo consolidado de HH disponível por oficina</t>
  </si>
  <si>
    <t xml:space="preserve">F1.4 Checklist</t>
  </si>
  <si>
    <t xml:space="preserve">Checklists padronizados por tipo de preventiva (S/A/B/C/D)</t>
  </si>
  <si>
    <t xml:space="preserve">Checklists diferenciados por classe de ativo</t>
  </si>
  <si>
    <t xml:space="preserve">Atividades detalhadas dentro de cada checklist</t>
  </si>
  <si>
    <t xml:space="preserve">Cargo executor definido por atividade</t>
  </si>
  <si>
    <t xml:space="preserve">Tipo de atividade categorizado (Troca/Inspeção/Lubrif/Calibragem/etc.)</t>
  </si>
  <si>
    <t xml:space="preserve">Tempo padrão (HH) registrado por atividade</t>
  </si>
  <si>
    <t xml:space="preserve">Insumos com quantidade e unidade definidos por atividade</t>
  </si>
  <si>
    <t xml:space="preserve">Peças com quantidade definidas por atividade</t>
  </si>
  <si>
    <t xml:space="preserve">Oficina executora definida por atividade</t>
  </si>
  <si>
    <t xml:space="preserve">F2.1 Cronograma</t>
  </si>
  <si>
    <t xml:space="preserve">Cronograma estruturado em base semanal</t>
  </si>
  <si>
    <t xml:space="preserve">Cobertura de 52 semanas (ciclo anual completo)</t>
  </si>
  <si>
    <t xml:space="preserve">Grade Ativo × Semana implementada</t>
  </si>
  <si>
    <t xml:space="preserve">Tipo de preventiva (S/A/B/C/D) indicado por semana</t>
  </si>
  <si>
    <t xml:space="preserve">HH preventiva agregada por oficina e por mês</t>
  </si>
  <si>
    <t xml:space="preserve">Cronograma considera calendário agrícola (safra/entressafra)</t>
  </si>
  <si>
    <t xml:space="preserve">Replanejamento periódico baseado em uso real do ativo</t>
  </si>
  <si>
    <t xml:space="preserve">F2.2 Plano Preventivo</t>
  </si>
  <si>
    <t xml:space="preserve">Plano de preventiva mensal estruturado por oficina</t>
  </si>
  <si>
    <t xml:space="preserve">Quantidade de preventivas por tipo (S/A/B/C/D) mensal</t>
  </si>
  <si>
    <t xml:space="preserve">HH preventiva por tipo de oficina × mês</t>
  </si>
  <si>
    <t xml:space="preserve">Lançamento de insumos e peças por preventiva planejada</t>
  </si>
  <si>
    <t xml:space="preserve">Aderência preventiva planejada vs realizada medida</t>
  </si>
  <si>
    <t xml:space="preserve">Indicador de cumprimento mensal acompanhado pela gestão</t>
  </si>
  <si>
    <t xml:space="preserve">F2.3 Plano Corretivo</t>
  </si>
  <si>
    <t xml:space="preserve">Plano de corretivas esperadas mês a mês</t>
  </si>
  <si>
    <t xml:space="preserve">Sazonalidade aplicada ao cálculo de corretivas</t>
  </si>
  <si>
    <t xml:space="preserve">HH corretiva por oficina × mês dimensionada</t>
  </si>
  <si>
    <t xml:space="preserve">Histórico de corretivas usado para calibrar previsões</t>
  </si>
  <si>
    <t xml:space="preserve">Deflator de corretivas (redução a.a.) monitorado</t>
  </si>
  <si>
    <t xml:space="preserve">Análise de causa raiz das corretivas recorrentes</t>
  </si>
  <si>
    <t xml:space="preserve">F2.4 Disponibilidade</t>
  </si>
  <si>
    <t xml:space="preserve">Comparativo HH disponível vs HH necessária por oficina × mês</t>
  </si>
  <si>
    <t xml:space="preserve">Identificação de gargalos (HH necessária &gt; disponível)</t>
  </si>
  <si>
    <t xml:space="preserve">Identificação de ociosidade (HH disponível &gt;&gt; necessária)</t>
  </si>
  <si>
    <t xml:space="preserve">Consolidado geral por oficina × mês implementado</t>
  </si>
  <si>
    <t xml:space="preserve">Dimensionamento de horas extras ou terceiros para déficit</t>
  </si>
  <si>
    <t xml:space="preserve">Plano de ação estruturado para meses com déficit/sobra</t>
  </si>
  <si>
    <t xml:space="preserve">TOTAL QUICK-SCAN</t>
  </si>
  <si>
    <t xml:space="preserve">Aderência % (vs. máximo de 2 pts/item)</t>
  </si>
  <si>
    <t xml:space="preserve">DETALHADO F1 — Fundamentos</t>
  </si>
  <si>
    <t xml:space="preserve">Maturidade 0–5 por item. Registre evidência observada (sistema/planilha/OS), gap específico, ação corretiva proposta, prioridade e horizonte. Score por módulo é calculado automaticamente e alimenta o Dashboard.</t>
  </si>
  <si>
    <t xml:space="preserve">Nível 0–5</t>
  </si>
  <si>
    <t xml:space="preserve">Evidência observada</t>
  </si>
  <si>
    <t xml:space="preserve">Gap identificado</t>
  </si>
  <si>
    <t xml:space="preserve">Ação corretiva proposta</t>
  </si>
  <si>
    <t xml:space="preserve">Prioridade</t>
  </si>
  <si>
    <t xml:space="preserve">Horizonte</t>
  </si>
  <si>
    <t xml:space="preserve">Responsável proposto</t>
  </si>
  <si>
    <t xml:space="preserve">Score médio · F1.1 Premissas</t>
  </si>
  <si>
    <t xml:space="preserve">Score médio · F1.2 Frota</t>
  </si>
  <si>
    <t xml:space="preserve">Score médio · F1.3 Pessoas</t>
  </si>
  <si>
    <t xml:space="preserve">Score médio · F1.4 Checklist</t>
  </si>
  <si>
    <t xml:space="preserve">DETALHADO F2 — Planejamento</t>
  </si>
  <si>
    <t xml:space="preserve">Score médio · F2.1 Cronograma</t>
  </si>
  <si>
    <t xml:space="preserve">Score médio · F2.2 Plano Preventivo</t>
  </si>
  <si>
    <t xml:space="preserve">Score médio · F2.3 Plano Corretivo</t>
  </si>
  <si>
    <t xml:space="preserve">Score médio · F2.4 Disponibilidade</t>
  </si>
  <si>
    <t xml:space="preserve">DASHBOARD DE GAPS — Modelo Atual vs. AgroVector</t>
  </si>
  <si>
    <t xml:space="preserve">Score consolidado por módulo (calculado automaticamente a partir das abas detalhadas). Use como base para a devolutiva ao cliente.</t>
  </si>
  <si>
    <t xml:space="preserve">Score (0–5)</t>
  </si>
  <si>
    <t xml:space="preserve">Gap (%)</t>
  </si>
  <si>
    <t xml:space="preserve">Classificação</t>
  </si>
  <si>
    <t xml:space="preserve">Itens críticos (score ≤ 2)</t>
  </si>
  <si>
    <t xml:space="preserve">KPI executivo</t>
  </si>
  <si>
    <t xml:space="preserve">Valor</t>
  </si>
  <si>
    <t xml:space="preserve">Quick-Scan — total de pontos</t>
  </si>
  <si>
    <t xml:space="preserve">Quick-Scan — aderência (%)</t>
  </si>
  <si>
    <t xml:space="preserve">Total de itens avaliados</t>
  </si>
  <si>
    <t xml:space="preserve">Itens em estado crítico (≤2)</t>
  </si>
  <si>
    <t xml:space="preserve">Módulos com gap relevante (&gt;30%)</t>
  </si>
  <si>
    <t xml:space="preserve">Módulo de maior gap</t>
  </si>
  <si>
    <t xml:space="preserve">Score do módulo de maior gap</t>
  </si>
  <si>
    <t xml:space="preserve">MÉDIA GERAL DO DIAGNÓSTICO</t>
  </si>
  <si>
    <t xml:space="preserve">PLANO DE AÇÃO PRIORIZADO — Fechamento de Gaps</t>
  </si>
  <si>
    <t xml:space="preserve">Consolide aqui os gaps prioritários (priorize itens com score 0–2 e Alta prioridade). Use como base para a apresentação executiva da devolutiva.</t>
  </si>
  <si>
    <t xml:space="preserve">#</t>
  </si>
  <si>
    <t xml:space="preserve">Gap (descrição)</t>
  </si>
  <si>
    <t xml:space="preserve">Ação proposta</t>
  </si>
  <si>
    <t xml:space="preserve">Responsável</t>
  </si>
  <si>
    <t xml:space="preserve">Custo estimado</t>
  </si>
  <si>
    <t xml:space="preserve">Investimento total estimado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</si>
</sst>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%"/>
    <numFmt numFmtId="166" formatCode="0.0"/>
    <numFmt numFmtId="167" formatCode="0.00"/>
    <numFmt numFmtId="168" formatCode="0"/>
    <numFmt numFmtId="169" formatCode="&quot;R$ &quot;#,##0;[RED]&quot;(R$ &quot;#,##0\);\-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B2B5B7"/>
      <name val="Arial"/>
      <family val="2"/>
      <charset val="1"/>
    </font>
    <font>
      <b val="true"/>
      <sz val="22"/>
      <color rgb="FF1F3060"/>
      <name val="Arial"/>
      <family val="2"/>
      <charset val="1"/>
    </font>
    <font>
      <i val="true"/>
      <sz val="12"/>
      <color rgb="FF5070A0"/>
      <name val="Arial"/>
      <family val="2"/>
      <charset val="1"/>
    </font>
    <font>
      <sz val="10"/>
      <color rgb="FFB2B5B7"/>
      <name val="Arial"/>
      <family val="2"/>
      <charset val="1"/>
    </font>
    <font>
      <b val="true"/>
      <sz val="12"/>
      <color rgb="FFFFFFFF"/>
      <name val="Arial"/>
      <family val="2"/>
      <charset val="1"/>
    </font>
    <font>
      <b val="true"/>
      <sz val="10"/>
      <color rgb="FF1F3060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9"/>
      <color rgb="FFFFFFFF"/>
      <name val="Arial"/>
      <family val="2"/>
      <charset val="1"/>
    </font>
    <font>
      <b val="true"/>
      <sz val="16"/>
      <color rgb="FFFFFFFF"/>
      <name val="Arial"/>
      <family val="2"/>
      <charset val="1"/>
    </font>
    <font>
      <b val="true"/>
      <sz val="11"/>
      <color rgb="FF1F3060"/>
      <name val="Arial"/>
      <family val="2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000000"/>
      <name val="Cambria"/>
      <family val="0"/>
      <charset val="1"/>
    </font>
    <font>
      <sz val="11"/>
      <color rgb="FF1F3060"/>
      <name val="Calibri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4"/>
      <color rgb="FFFFFFFF"/>
      <name val="Arial"/>
      <family val="2"/>
      <charset val="1"/>
    </font>
    <font>
      <i val="true"/>
      <sz val="9"/>
      <color rgb="FF5070A0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b val="true"/>
      <sz val="9"/>
      <color rgb="FF1F306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11"/>
      <color rgb="FFFFFFFF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b val="true"/>
      <sz val="9"/>
      <color rgb="FF000000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b val="true"/>
      <sz val="10"/>
      <color rgb="FFEF4444"/>
      <name val="Arial"/>
      <family val="2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F3060"/>
        <bgColor rgb="FF162545"/>
      </patternFill>
    </fill>
    <fill>
      <patternFill patternType="solid">
        <fgColor rgb="FFE8ECF2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162545"/>
        <bgColor rgb="FF1F3060"/>
      </patternFill>
    </fill>
    <fill>
      <patternFill patternType="solid">
        <fgColor rgb="FF00FF00"/>
        <bgColor rgb="FF33CCCC"/>
      </patternFill>
    </fill>
    <fill>
      <patternFill patternType="solid">
        <fgColor rgb="FFFFFF00"/>
        <bgColor rgb="FFFFFF00"/>
      </patternFill>
    </fill>
    <fill>
      <patternFill patternType="solid">
        <fgColor rgb="FFFF3300"/>
        <bgColor rgb="FFEF4444"/>
      </patternFill>
    </fill>
    <fill>
      <patternFill patternType="solid">
        <fgColor rgb="FF2A4080"/>
        <bgColor rgb="FF1F3060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medium">
        <color rgb="FF1F3060"/>
      </left>
      <right/>
      <top style="medium">
        <color rgb="FF1F3060"/>
      </top>
      <bottom style="medium">
        <color rgb="FF1F3060"/>
      </bottom>
      <diagonal/>
    </border>
    <border diagonalUp="false" diagonalDown="false">
      <left style="thin">
        <color rgb="FFC8CED9"/>
      </left>
      <right style="thin">
        <color rgb="FFC8CED9"/>
      </right>
      <top style="thin">
        <color rgb="FFC8CED9"/>
      </top>
      <bottom style="thin">
        <color rgb="FFC8CED9"/>
      </bottom>
      <diagonal/>
    </border>
    <border diagonalUp="false" diagonalDown="false">
      <left style="thin">
        <color rgb="FFC8CED9"/>
      </left>
      <right/>
      <top style="thin">
        <color rgb="FFC8CED9"/>
      </top>
      <bottom style="thin">
        <color rgb="FFC8CED9"/>
      </bottom>
      <diagonal/>
    </border>
    <border diagonalUp="false" diagonalDown="false">
      <left style="thin">
        <color rgb="FF1F3060"/>
      </left>
      <right style="thin">
        <color rgb="FF1F3060"/>
      </right>
      <top style="thin">
        <color rgb="FF1F3060"/>
      </top>
      <bottom style="thin">
        <color rgb="FF1F3060"/>
      </bottom>
      <diagonal/>
    </border>
    <border diagonalUp="false" diagonalDown="false">
      <left style="medium">
        <color rgb="FF1F3060"/>
      </left>
      <right style="medium">
        <color rgb="FF1F3060"/>
      </right>
      <top style="medium">
        <color rgb="FF1F3060"/>
      </top>
      <bottom style="medium">
        <color rgb="FF1F306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4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3" borderId="2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0" fillId="4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1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2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0" fillId="4" borderId="2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6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7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8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3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3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2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left" vertical="center" textRotation="0" wrapText="true" indent="1" shrinkToFit="false"/>
      <protection locked="true" hidden="false"/>
    </xf>
    <xf numFmtId="164" fontId="2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5" fontId="13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2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2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9" borderId="2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6" fontId="8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0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2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2" borderId="5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7" fontId="18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9" fontId="10" fillId="0" borderId="2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9" fontId="8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b val="1"/>
        <color rgb="FFFFFFFF"/>
      </font>
      <fill>
        <patternFill>
          <bgColor rgb="FFFF3300"/>
        </patternFill>
      </fill>
    </dxf>
    <dxf>
      <font>
        <b val="1"/>
        <color rgb="FF000000"/>
      </font>
      <fill>
        <patternFill>
          <bgColor rgb="FFFFFF00"/>
        </patternFill>
      </fill>
    </dxf>
    <dxf>
      <font>
        <b val="1"/>
        <color rgb="FF000000"/>
      </font>
      <fill>
        <patternFill>
          <bgColor rgb="FF00FF00"/>
        </patternFill>
      </fill>
    </dxf>
  </dxfs>
  <colors>
    <indexedColors>
      <rgbColor rgb="FF000000"/>
      <rgbColor rgb="FFFFFFFF"/>
      <rgbColor rgb="FFFF33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5B7"/>
      <rgbColor rgb="FF878787"/>
      <rgbColor rgb="FF9999FF"/>
      <rgbColor rgb="FF993366"/>
      <rgbColor rgb="FFF9F9F9"/>
      <rgbColor rgb="FFE8ECF2"/>
      <rgbColor rgb="FF660066"/>
      <rgbColor rgb="FFFF8080"/>
      <rgbColor rgb="FF2E5F99"/>
      <rgbColor rgb="FFC8CE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9CCFF"/>
      <rgbColor rgb="FFFF99CC"/>
      <rgbColor rgb="FFCC99FF"/>
      <rgbColor rgb="FFFFCC99"/>
      <rgbColor rgb="FF397BCA"/>
      <rgbColor rgb="FF33CCCC"/>
      <rgbColor rgb="FF99CC00"/>
      <rgbColor rgb="FFFFCC00"/>
      <rgbColor rgb="FFFF9900"/>
      <rgbColor rgb="FFEF4444"/>
      <rgbColor rgb="FF5070A0"/>
      <rgbColor rgb="FF969696"/>
      <rgbColor rgb="FF1F3060"/>
      <rgbColor rgb="FF4F81BD"/>
      <rgbColor rgb="FF003300"/>
      <rgbColor rgb="FF333300"/>
      <rgbColor rgb="FF993300"/>
      <rgbColor rgb="FF993366"/>
      <rgbColor rgb="FF2A4080"/>
      <rgbColor rgb="FF16254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pt-BR" sz="1800" b="1" u="none" strike="noStrike">
                <a:solidFill>
                  <a:srgbClr val="000000"/>
                </a:solidFill>
                <a:uFillTx/>
                <a:latin typeface="Calibri"/>
              </a:rPr>
              <a:t>Score por módulo (0–5)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Dashboard!$C$5</c:f>
              <c:strCache>
                <c:ptCount val="1"/>
                <c:pt idx="0">
                  <c:v>Score (0–5)</c:v>
                </c:pt>
              </c:strCache>
            </c:strRef>
          </c:tx>
          <c:spPr>
            <a:solidFill>
              <a:srgbClr val="4F81B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Dashboard!$B$6:$B$13</c:f>
              <c:strCache>
                <c:ptCount val="8"/>
                <c:pt idx="0">
                  <c:v>F1.1 Premissas</c:v>
                </c:pt>
                <c:pt idx="1">
                  <c:v>F1.2 Frota</c:v>
                </c:pt>
                <c:pt idx="2">
                  <c:v>F1.3 Pessoas</c:v>
                </c:pt>
                <c:pt idx="3">
                  <c:v>F1.4 Checklist</c:v>
                </c:pt>
                <c:pt idx="4">
                  <c:v>F2.1 Cronograma</c:v>
                </c:pt>
                <c:pt idx="5">
                  <c:v>F2.2 Plano Preventivo</c:v>
                </c:pt>
                <c:pt idx="6">
                  <c:v>F2.3 Plano Corretivo</c:v>
                </c:pt>
                <c:pt idx="7">
                  <c:v>F2.4 Disponibilidade</c:v>
                </c:pt>
              </c:strCache>
            </c:strRef>
          </c:cat>
          <c:val>
            <c:numRef>
              <c:f>Dashboard!$C$6:$C$13</c:f>
              <c:numCache>
                <c:formatCode>0.00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gapWidth val="150"/>
        <c:overlap val="0"/>
        <c:axId val="8757892"/>
        <c:axId val="88459920"/>
      </c:barChart>
      <c:catAx>
        <c:axId val="8757892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pt-BR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8459920"/>
        <c:crosses val="autoZero"/>
        <c:auto val="1"/>
        <c:lblAlgn val="ctr"/>
        <c:lblOffset val="100"/>
        <c:noMultiLvlLbl val="0"/>
      </c:catAx>
      <c:valAx>
        <c:axId val="884599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pt-BR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Módulo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75789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pt-BR" sz="1800" b="1" u="none" strike="noStrike">
                <a:solidFill>
                  <a:srgbClr val="000000"/>
                </a:solidFill>
                <a:uFillTx/>
                <a:latin typeface="Calibri"/>
              </a:rPr>
              <a:t>Cobertura — Modelo Atual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radarChart>
        <c:radarStyle val="filled"/>
        <c:varyColors val="0"/>
        <c:ser>
          <c:idx val="0"/>
          <c:order val="0"/>
          <c:tx>
            <c:strRef>
              <c:f>Dashboard!$C$5</c:f>
              <c:strCache>
                <c:ptCount val="1"/>
                <c:pt idx="0">
                  <c:v>Score (0–5)</c:v>
                </c:pt>
              </c:strCache>
            </c:strRef>
          </c:tx>
          <c:spPr>
            <a:gradFill>
              <a:gsLst>
                <a:gs pos="0">
                  <a:srgbClr val="2E5F99"/>
                </a:gs>
                <a:gs pos="80000">
                  <a:srgbClr val="3C7AC7"/>
                </a:gs>
                <a:gs pos="100000">
                  <a:srgbClr val="397BCA"/>
                </a:gs>
              </a:gsLst>
              <a:lin ang="16200000"/>
            </a:gradFill>
            <a:ln w="12600">
              <a:noFill/>
            </a:ln>
          </c:spP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Dashboard!$B$6:$B$13</c:f>
              <c:strCache>
                <c:ptCount val="8"/>
                <c:pt idx="0">
                  <c:v>F1.1 Premissas</c:v>
                </c:pt>
                <c:pt idx="1">
                  <c:v>F1.2 Frota</c:v>
                </c:pt>
                <c:pt idx="2">
                  <c:v>F1.3 Pessoas</c:v>
                </c:pt>
                <c:pt idx="3">
                  <c:v>F1.4 Checklist</c:v>
                </c:pt>
                <c:pt idx="4">
                  <c:v>F2.1 Cronograma</c:v>
                </c:pt>
                <c:pt idx="5">
                  <c:v>F2.2 Plano Preventivo</c:v>
                </c:pt>
                <c:pt idx="6">
                  <c:v>F2.3 Plano Corretivo</c:v>
                </c:pt>
                <c:pt idx="7">
                  <c:v>F2.4 Disponibilidade</c:v>
                </c:pt>
              </c:strCache>
            </c:strRef>
          </c:cat>
          <c:val>
            <c:numRef>
              <c:f>Dashboard!$C$6:$C$13</c:f>
              <c:numCache>
                <c:formatCode>0.00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axId val="23370272"/>
        <c:axId val="9998536"/>
      </c:radarChart>
      <c:catAx>
        <c:axId val="23370272"/>
        <c:scaling>
          <c:orientation val="maxMin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998536"/>
        <c:crosses val="autoZero"/>
        <c:auto val="1"/>
        <c:lblAlgn val="ctr"/>
        <c:lblOffset val="100"/>
        <c:noMultiLvlLbl val="0"/>
      </c:catAx>
      <c:valAx>
        <c:axId val="99985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3370272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16</xdr:row>
      <xdr:rowOff>0</xdr:rowOff>
    </xdr:from>
    <xdr:to>
      <xdr:col>7</xdr:col>
      <xdr:colOff>1152360</xdr:colOff>
      <xdr:row>36</xdr:row>
      <xdr:rowOff>149040</xdr:rowOff>
    </xdr:to>
    <xdr:graphicFrame>
      <xdr:nvGraphicFramePr>
        <xdr:cNvPr id="1" name="Chart 1"/>
        <xdr:cNvGraphicFramePr/>
      </xdr:nvGraphicFramePr>
      <xdr:xfrm>
        <a:off x="211320" y="4400640"/>
        <a:ext cx="7918920" cy="3768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16</xdr:row>
      <xdr:rowOff>0</xdr:rowOff>
    </xdr:from>
    <xdr:to>
      <xdr:col>8</xdr:col>
      <xdr:colOff>842760</xdr:colOff>
      <xdr:row>36</xdr:row>
      <xdr:rowOff>149040</xdr:rowOff>
    </xdr:to>
    <xdr:graphicFrame>
      <xdr:nvGraphicFramePr>
        <xdr:cNvPr id="2" name="Chart 2"/>
        <xdr:cNvGraphicFramePr/>
      </xdr:nvGraphicFramePr>
      <xdr:xfrm>
        <a:off x="5145480" y="4400640"/>
        <a:ext cx="5043960" cy="3768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6" activeCellId="0" sqref="H6"/>
    </sheetView>
  </sheetViews>
  <sheetFormatPr defaultColWidth="8.66796875" defaultRowHeight="14.2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8"/>
    <col collapsed="false" customWidth="true" hidden="false" outlineLevel="0" max="3" min="3" style="1" width="50"/>
    <col collapsed="false" customWidth="true" hidden="false" outlineLevel="0" max="4" min="4" style="1" width="4"/>
    <col collapsed="false" customWidth="true" hidden="false" outlineLevel="0" max="5" min="5" style="1" width="28"/>
    <col collapsed="false" customWidth="true" hidden="false" outlineLevel="0" max="6" min="6" style="1" width="25"/>
  </cols>
  <sheetData>
    <row r="1" customFormat="false" ht="7.5" hidden="false" customHeight="true" outlineLevel="0" collapsed="false">
      <c r="A1" s="2"/>
      <c r="B1" s="2"/>
      <c r="C1" s="2"/>
      <c r="D1" s="2"/>
      <c r="E1" s="2"/>
      <c r="F1" s="2"/>
    </row>
    <row r="2" customFormat="false" ht="24" hidden="false" customHeight="true" outlineLevel="0" collapsed="false">
      <c r="A2" s="2"/>
      <c r="B2" s="3" t="s">
        <v>0</v>
      </c>
      <c r="C2" s="3"/>
      <c r="D2" s="3"/>
      <c r="E2" s="3"/>
      <c r="F2" s="3"/>
    </row>
    <row r="3" customFormat="false" ht="7.5" hidden="false" customHeight="true" outlineLevel="0" collapsed="false">
      <c r="A3" s="2"/>
      <c r="B3" s="2"/>
      <c r="C3" s="2"/>
      <c r="D3" s="2"/>
      <c r="E3" s="2"/>
      <c r="F3" s="2"/>
    </row>
    <row r="5" customFormat="false" ht="36" hidden="false" customHeight="true" outlineLevel="0" collapsed="false">
      <c r="B5" s="4" t="s">
        <v>1</v>
      </c>
      <c r="C5" s="4"/>
      <c r="D5" s="4"/>
      <c r="E5" s="4"/>
      <c r="F5" s="4"/>
    </row>
    <row r="6" customFormat="false" ht="21.75" hidden="false" customHeight="true" outlineLevel="0" collapsed="false">
      <c r="B6" s="5" t="s">
        <v>2</v>
      </c>
      <c r="C6" s="5"/>
      <c r="D6" s="5"/>
      <c r="E6" s="5"/>
      <c r="F6" s="5"/>
    </row>
    <row r="7" customFormat="false" ht="18" hidden="false" customHeight="true" outlineLevel="0" collapsed="false">
      <c r="B7" s="6" t="s">
        <v>3</v>
      </c>
      <c r="C7" s="6"/>
      <c r="D7" s="6"/>
      <c r="E7" s="6"/>
      <c r="F7" s="6"/>
    </row>
    <row r="10" customFormat="false" ht="25.5" hidden="false" customHeight="true" outlineLevel="0" collapsed="false">
      <c r="B10" s="7" t="s">
        <v>4</v>
      </c>
      <c r="C10" s="7"/>
      <c r="D10" s="7"/>
      <c r="E10" s="7"/>
      <c r="F10" s="7"/>
    </row>
    <row r="11" customFormat="false" ht="24" hidden="false" customHeight="true" outlineLevel="0" collapsed="false">
      <c r="B11" s="8" t="s">
        <v>5</v>
      </c>
      <c r="C11" s="9"/>
      <c r="D11" s="9"/>
      <c r="E11" s="9"/>
      <c r="F11" s="9"/>
    </row>
    <row r="12" customFormat="false" ht="24" hidden="false" customHeight="true" outlineLevel="0" collapsed="false">
      <c r="B12" s="8" t="s">
        <v>6</v>
      </c>
      <c r="C12" s="9"/>
      <c r="D12" s="9"/>
      <c r="E12" s="9"/>
      <c r="F12" s="9"/>
    </row>
    <row r="13" customFormat="false" ht="24" hidden="false" customHeight="true" outlineLevel="0" collapsed="false">
      <c r="B13" s="8" t="s">
        <v>7</v>
      </c>
      <c r="C13" s="9"/>
      <c r="D13" s="9"/>
      <c r="E13" s="9"/>
      <c r="F13" s="9"/>
    </row>
    <row r="14" customFormat="false" ht="24" hidden="false" customHeight="true" outlineLevel="0" collapsed="false">
      <c r="B14" s="8" t="s">
        <v>8</v>
      </c>
      <c r="C14" s="9"/>
      <c r="D14" s="9"/>
      <c r="E14" s="9"/>
      <c r="F14" s="9"/>
    </row>
    <row r="15" customFormat="false" ht="24" hidden="false" customHeight="true" outlineLevel="0" collapsed="false">
      <c r="B15" s="8" t="s">
        <v>9</v>
      </c>
      <c r="C15" s="9"/>
      <c r="D15" s="9"/>
      <c r="E15" s="9"/>
      <c r="F15" s="9"/>
    </row>
    <row r="16" customFormat="false" ht="24" hidden="false" customHeight="true" outlineLevel="0" collapsed="false">
      <c r="B16" s="8" t="s">
        <v>10</v>
      </c>
      <c r="C16" s="9"/>
      <c r="D16" s="9"/>
      <c r="E16" s="9"/>
      <c r="F16" s="9"/>
    </row>
    <row r="18" customFormat="false" ht="25.5" hidden="false" customHeight="true" outlineLevel="0" collapsed="false">
      <c r="B18" s="7" t="s">
        <v>11</v>
      </c>
      <c r="C18" s="7"/>
      <c r="D18" s="7"/>
      <c r="E18" s="7"/>
      <c r="F18" s="7"/>
    </row>
    <row r="19" customFormat="false" ht="24" hidden="false" customHeight="true" outlineLevel="0" collapsed="false">
      <c r="B19" s="8" t="s">
        <v>12</v>
      </c>
      <c r="C19" s="9"/>
      <c r="D19" s="9"/>
      <c r="E19" s="9"/>
      <c r="F19" s="9"/>
    </row>
    <row r="20" customFormat="false" ht="24" hidden="false" customHeight="true" outlineLevel="0" collapsed="false">
      <c r="B20" s="8" t="s">
        <v>13</v>
      </c>
      <c r="C20" s="9"/>
      <c r="D20" s="9"/>
      <c r="E20" s="9"/>
      <c r="F20" s="9"/>
    </row>
    <row r="21" customFormat="false" ht="24" hidden="false" customHeight="true" outlineLevel="0" collapsed="false">
      <c r="B21" s="8" t="s">
        <v>14</v>
      </c>
      <c r="C21" s="9"/>
      <c r="D21" s="9"/>
      <c r="E21" s="9"/>
      <c r="F21" s="9"/>
    </row>
    <row r="22" customFormat="false" ht="24" hidden="false" customHeight="true" outlineLevel="0" collapsed="false">
      <c r="B22" s="8" t="s">
        <v>15</v>
      </c>
      <c r="C22" s="9"/>
      <c r="D22" s="9"/>
      <c r="E22" s="9"/>
      <c r="F22" s="9"/>
    </row>
    <row r="23" customFormat="false" ht="24" hidden="false" customHeight="true" outlineLevel="0" collapsed="false">
      <c r="B23" s="8" t="s">
        <v>16</v>
      </c>
      <c r="C23" s="9"/>
      <c r="D23" s="9"/>
      <c r="E23" s="9"/>
      <c r="F23" s="9"/>
    </row>
    <row r="24" customFormat="false" ht="24" hidden="false" customHeight="true" outlineLevel="0" collapsed="false">
      <c r="B24" s="8" t="s">
        <v>17</v>
      </c>
      <c r="C24" s="9"/>
      <c r="D24" s="9"/>
      <c r="E24" s="9"/>
      <c r="F24" s="9"/>
    </row>
    <row r="26" customFormat="false" ht="25.5" hidden="false" customHeight="true" outlineLevel="0" collapsed="false">
      <c r="B26" s="7" t="s">
        <v>18</v>
      </c>
      <c r="C26" s="7"/>
      <c r="D26" s="7"/>
      <c r="E26" s="7"/>
      <c r="F26" s="7"/>
    </row>
    <row r="27" customFormat="false" ht="39.75" hidden="false" customHeight="true" outlineLevel="0" collapsed="false">
      <c r="B27" s="10" t="s">
        <v>19</v>
      </c>
      <c r="C27" s="11" t="s">
        <v>20</v>
      </c>
      <c r="D27" s="11"/>
      <c r="E27" s="11"/>
      <c r="F27" s="11"/>
    </row>
    <row r="28" customFormat="false" ht="37.5" hidden="false" customHeight="true" outlineLevel="0" collapsed="false">
      <c r="B28" s="8" t="s">
        <v>21</v>
      </c>
      <c r="C28" s="9" t="s">
        <v>22</v>
      </c>
      <c r="D28" s="9"/>
      <c r="E28" s="9"/>
      <c r="F28" s="9"/>
    </row>
    <row r="29" customFormat="false" ht="37.5" hidden="false" customHeight="true" outlineLevel="0" collapsed="false">
      <c r="B29" s="8" t="s">
        <v>23</v>
      </c>
      <c r="C29" s="9" t="s">
        <v>24</v>
      </c>
      <c r="D29" s="9"/>
      <c r="E29" s="9"/>
      <c r="F29" s="9"/>
    </row>
    <row r="32" customFormat="false" ht="21.75" hidden="false" customHeight="true" outlineLevel="0" collapsed="false">
      <c r="B32" s="12" t="s">
        <v>25</v>
      </c>
      <c r="C32" s="12"/>
      <c r="D32" s="12"/>
      <c r="E32" s="12"/>
      <c r="F32" s="12"/>
    </row>
  </sheetData>
  <mergeCells count="23">
    <mergeCell ref="B2:F2"/>
    <mergeCell ref="B5:F5"/>
    <mergeCell ref="B6:F6"/>
    <mergeCell ref="B7:F7"/>
    <mergeCell ref="B10:F10"/>
    <mergeCell ref="C11:F11"/>
    <mergeCell ref="C12:F12"/>
    <mergeCell ref="C13:F13"/>
    <mergeCell ref="C14:F14"/>
    <mergeCell ref="C15:F15"/>
    <mergeCell ref="C16:F16"/>
    <mergeCell ref="B18:F18"/>
    <mergeCell ref="C19:F19"/>
    <mergeCell ref="C20:F20"/>
    <mergeCell ref="C21:F21"/>
    <mergeCell ref="C22:F22"/>
    <mergeCell ref="C23:F23"/>
    <mergeCell ref="C24:F24"/>
    <mergeCell ref="B26:F26"/>
    <mergeCell ref="C27:F27"/>
    <mergeCell ref="C28:F28"/>
    <mergeCell ref="C29:F29"/>
    <mergeCell ref="B32:F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4"/>
  <sheetViews>
    <sheetView showFormulas="false" showGridLines="fals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8"/>
    <col collapsed="false" customWidth="true" hidden="false" outlineLevel="0" max="3" min="3" style="1" width="80"/>
    <col collapsed="false" customWidth="true" hidden="false" outlineLevel="0" max="4" min="4" style="1" width="3"/>
  </cols>
  <sheetData>
    <row r="2" customFormat="false" ht="31.5" hidden="false" customHeight="true" outlineLevel="0" collapsed="false">
      <c r="B2" s="13" t="s">
        <v>26</v>
      </c>
      <c r="C2" s="13"/>
    </row>
    <row r="4" customFormat="false" ht="90" hidden="false" customHeight="true" outlineLevel="0" collapsed="false">
      <c r="B4" s="14" t="s">
        <v>27</v>
      </c>
      <c r="C4" s="15" t="s">
        <v>28</v>
      </c>
    </row>
    <row r="5" customFormat="false" ht="36" hidden="false" customHeight="true" outlineLevel="0" collapsed="false">
      <c r="B5" s="14" t="s">
        <v>29</v>
      </c>
      <c r="C5" s="15" t="s">
        <v>30</v>
      </c>
    </row>
    <row r="6" customFormat="false" ht="36" hidden="false" customHeight="true" outlineLevel="0" collapsed="false">
      <c r="B6" s="14" t="s">
        <v>31</v>
      </c>
      <c r="C6" s="15" t="s">
        <v>32</v>
      </c>
    </row>
    <row r="7" customFormat="false" ht="108" hidden="false" customHeight="true" outlineLevel="0" collapsed="false">
      <c r="B7" s="14" t="s">
        <v>33</v>
      </c>
      <c r="C7" s="15" t="s">
        <v>34</v>
      </c>
    </row>
    <row r="8" customFormat="false" ht="72" hidden="false" customHeight="true" outlineLevel="0" collapsed="false">
      <c r="B8" s="14" t="s">
        <v>35</v>
      </c>
      <c r="C8" s="15" t="s">
        <v>36</v>
      </c>
    </row>
    <row r="9" customFormat="false" ht="72" hidden="false" customHeight="true" outlineLevel="0" collapsed="false">
      <c r="B9" s="14" t="s">
        <v>37</v>
      </c>
      <c r="C9" s="15" t="s">
        <v>38</v>
      </c>
    </row>
    <row r="11" customFormat="false" ht="14.25" hidden="false" customHeight="true" outlineLevel="0" collapsed="false">
      <c r="B11" s="16" t="s">
        <v>39</v>
      </c>
      <c r="C11" s="16"/>
    </row>
    <row r="12" customFormat="false" ht="14.25" hidden="false" customHeight="true" outlineLevel="0" collapsed="false">
      <c r="B12" s="17" t="s">
        <v>40</v>
      </c>
      <c r="C12" s="18" t="s">
        <v>41</v>
      </c>
    </row>
    <row r="13" customFormat="false" ht="14.25" hidden="false" customHeight="true" outlineLevel="0" collapsed="false">
      <c r="B13" s="19" t="s">
        <v>42</v>
      </c>
      <c r="C13" s="18" t="s">
        <v>43</v>
      </c>
    </row>
    <row r="14" customFormat="false" ht="14.25" hidden="false" customHeight="true" outlineLevel="0" collapsed="false">
      <c r="B14" s="20" t="s">
        <v>44</v>
      </c>
      <c r="C14" s="18" t="s">
        <v>45</v>
      </c>
    </row>
  </sheetData>
  <mergeCells count="2">
    <mergeCell ref="B2:C2"/>
    <mergeCell ref="B11:C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47" activePane="bottomLeft" state="frozen"/>
      <selection pane="topLeft" activeCell="A1" activeCellId="0" sqref="A1"/>
      <selection pane="bottomLeft" activeCell="C47" activeCellId="0" sqref="C47"/>
    </sheetView>
  </sheetViews>
  <sheetFormatPr defaultColWidth="8.66796875" defaultRowHeight="14.2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60"/>
    <col collapsed="false" customWidth="true" hidden="false" outlineLevel="0" max="3" min="3" style="1" width="14"/>
    <col collapsed="false" customWidth="true" hidden="false" outlineLevel="0" max="4" min="4" style="1" width="30"/>
    <col collapsed="false" customWidth="true" hidden="false" outlineLevel="0" max="5" min="5" style="1" width="10"/>
  </cols>
  <sheetData>
    <row r="1" customFormat="false" ht="30" hidden="false" customHeight="true" outlineLevel="0" collapsed="false">
      <c r="A1" s="21" t="s">
        <v>46</v>
      </c>
      <c r="B1" s="21"/>
      <c r="C1" s="21"/>
      <c r="D1" s="21"/>
      <c r="E1" s="21"/>
    </row>
    <row r="2" customFormat="false" ht="27.75" hidden="false" customHeight="true" outlineLevel="0" collapsed="false">
      <c r="A2" s="22" t="s">
        <v>47</v>
      </c>
      <c r="B2" s="22"/>
      <c r="C2" s="22"/>
      <c r="D2" s="22"/>
      <c r="E2" s="22"/>
    </row>
    <row r="4" customFormat="false" ht="30" hidden="false" customHeight="true" outlineLevel="0" collapsed="false">
      <c r="A4" s="23" t="s">
        <v>48</v>
      </c>
      <c r="B4" s="23" t="s">
        <v>49</v>
      </c>
      <c r="C4" s="23" t="s">
        <v>50</v>
      </c>
      <c r="D4" s="23" t="s">
        <v>51</v>
      </c>
      <c r="E4" s="23" t="s">
        <v>52</v>
      </c>
    </row>
    <row r="5" customFormat="false" ht="31.5" hidden="false" customHeight="true" outlineLevel="0" collapsed="false">
      <c r="A5" s="24" t="s">
        <v>53</v>
      </c>
      <c r="B5" s="25" t="s">
        <v>54</v>
      </c>
      <c r="C5" s="26" t="s">
        <v>55</v>
      </c>
      <c r="D5" s="27"/>
      <c r="E5" s="28" t="n">
        <f aca="false">IF(C5="Tem",2,IF(C5="Parcial",1,IF(C5="Não tem",0,"")))</f>
        <v>0</v>
      </c>
    </row>
    <row r="6" customFormat="false" ht="31.5" hidden="false" customHeight="true" outlineLevel="0" collapsed="false">
      <c r="A6" s="24" t="s">
        <v>53</v>
      </c>
      <c r="B6" s="25" t="s">
        <v>56</v>
      </c>
      <c r="C6" s="26"/>
      <c r="D6" s="27"/>
      <c r="E6" s="28" t="str">
        <f aca="false">IF(C6="Tem",2,IF(C6="Parcial",1,IF(C6="Não tem",0,"")))</f>
        <v/>
      </c>
    </row>
    <row r="7" customFormat="false" ht="31.5" hidden="false" customHeight="true" outlineLevel="0" collapsed="false">
      <c r="A7" s="24" t="s">
        <v>53</v>
      </c>
      <c r="B7" s="25" t="s">
        <v>57</v>
      </c>
      <c r="C7" s="26"/>
      <c r="D7" s="27"/>
      <c r="E7" s="28" t="str">
        <f aca="false">IF(C7="Tem",2,IF(C7="Parcial",1,IF(C7="Não tem",0,"")))</f>
        <v/>
      </c>
    </row>
    <row r="8" customFormat="false" ht="31.5" hidden="false" customHeight="true" outlineLevel="0" collapsed="false">
      <c r="A8" s="24" t="s">
        <v>53</v>
      </c>
      <c r="B8" s="25" t="s">
        <v>58</v>
      </c>
      <c r="C8" s="26"/>
      <c r="D8" s="27"/>
      <c r="E8" s="28" t="str">
        <f aca="false">IF(C8="Tem",2,IF(C8="Parcial",1,IF(C8="Não tem",0,"")))</f>
        <v/>
      </c>
    </row>
    <row r="9" customFormat="false" ht="31.5" hidden="false" customHeight="true" outlineLevel="0" collapsed="false">
      <c r="A9" s="24" t="s">
        <v>53</v>
      </c>
      <c r="B9" s="25" t="s">
        <v>59</v>
      </c>
      <c r="C9" s="26"/>
      <c r="D9" s="27"/>
      <c r="E9" s="28" t="str">
        <f aca="false">IF(C9="Tem",2,IF(C9="Parcial",1,IF(C9="Não tem",0,"")))</f>
        <v/>
      </c>
    </row>
    <row r="10" customFormat="false" ht="31.5" hidden="false" customHeight="true" outlineLevel="0" collapsed="false">
      <c r="A10" s="24" t="s">
        <v>53</v>
      </c>
      <c r="B10" s="25" t="s">
        <v>60</v>
      </c>
      <c r="C10" s="26"/>
      <c r="D10" s="27"/>
      <c r="E10" s="28" t="str">
        <f aca="false">IF(C10="Tem",2,IF(C10="Parcial",1,IF(C10="Não tem",0,"")))</f>
        <v/>
      </c>
    </row>
    <row r="11" customFormat="false" ht="31.5" hidden="false" customHeight="true" outlineLevel="0" collapsed="false">
      <c r="A11" s="24" t="s">
        <v>53</v>
      </c>
      <c r="B11" s="25" t="s">
        <v>61</v>
      </c>
      <c r="C11" s="26"/>
      <c r="D11" s="27"/>
      <c r="E11" s="28" t="str">
        <f aca="false">IF(C11="Tem",2,IF(C11="Parcial",1,IF(C11="Não tem",0,"")))</f>
        <v/>
      </c>
    </row>
    <row r="12" customFormat="false" ht="31.5" hidden="false" customHeight="true" outlineLevel="0" collapsed="false">
      <c r="A12" s="24" t="s">
        <v>53</v>
      </c>
      <c r="B12" s="25" t="s">
        <v>62</v>
      </c>
      <c r="C12" s="26"/>
      <c r="D12" s="27"/>
      <c r="E12" s="28" t="str">
        <f aca="false">IF(C12="Tem",2,IF(C12="Parcial",1,IF(C12="Não tem",0,"")))</f>
        <v/>
      </c>
    </row>
    <row r="13" customFormat="false" ht="31.5" hidden="false" customHeight="true" outlineLevel="0" collapsed="false">
      <c r="A13" s="24" t="s">
        <v>53</v>
      </c>
      <c r="B13" s="25" t="s">
        <v>63</v>
      </c>
      <c r="C13" s="26"/>
      <c r="D13" s="27"/>
      <c r="E13" s="28" t="str">
        <f aca="false">IF(C13="Tem",2,IF(C13="Parcial",1,IF(C13="Não tem",0,"")))</f>
        <v/>
      </c>
    </row>
    <row r="14" customFormat="false" ht="31.5" hidden="false" customHeight="true" outlineLevel="0" collapsed="false">
      <c r="A14" s="24" t="s">
        <v>53</v>
      </c>
      <c r="B14" s="25" t="s">
        <v>64</v>
      </c>
      <c r="C14" s="26"/>
      <c r="D14" s="27"/>
      <c r="E14" s="28" t="str">
        <f aca="false">IF(C14="Tem",2,IF(C14="Parcial",1,IF(C14="Não tem",0,"")))</f>
        <v/>
      </c>
    </row>
    <row r="15" customFormat="false" ht="31.5" hidden="false" customHeight="true" outlineLevel="0" collapsed="false">
      <c r="A15" s="24" t="s">
        <v>53</v>
      </c>
      <c r="B15" s="25" t="s">
        <v>65</v>
      </c>
      <c r="C15" s="26"/>
      <c r="D15" s="27"/>
      <c r="E15" s="28" t="str">
        <f aca="false">IF(C15="Tem",2,IF(C15="Parcial",1,IF(C15="Não tem",0,"")))</f>
        <v/>
      </c>
    </row>
    <row r="16" customFormat="false" ht="31.5" hidden="false" customHeight="true" outlineLevel="0" collapsed="false">
      <c r="A16" s="24" t="s">
        <v>66</v>
      </c>
      <c r="B16" s="25" t="s">
        <v>67</v>
      </c>
      <c r="C16" s="26"/>
      <c r="D16" s="27"/>
      <c r="E16" s="28" t="str">
        <f aca="false">IF(C16="Tem",2,IF(C16="Parcial",1,IF(C16="Não tem",0,"")))</f>
        <v/>
      </c>
    </row>
    <row r="17" customFormat="false" ht="31.5" hidden="false" customHeight="true" outlineLevel="0" collapsed="false">
      <c r="A17" s="24" t="s">
        <v>66</v>
      </c>
      <c r="B17" s="25" t="s">
        <v>68</v>
      </c>
      <c r="C17" s="26"/>
      <c r="D17" s="27"/>
      <c r="E17" s="28" t="str">
        <f aca="false">IF(C17="Tem",2,IF(C17="Parcial",1,IF(C17="Não tem",0,"")))</f>
        <v/>
      </c>
    </row>
    <row r="18" customFormat="false" ht="31.5" hidden="false" customHeight="true" outlineLevel="0" collapsed="false">
      <c r="A18" s="24" t="s">
        <v>66</v>
      </c>
      <c r="B18" s="25" t="s">
        <v>69</v>
      </c>
      <c r="C18" s="26"/>
      <c r="D18" s="27"/>
      <c r="E18" s="28" t="str">
        <f aca="false">IF(C18="Tem",2,IF(C18="Parcial",1,IF(C18="Não tem",0,"")))</f>
        <v/>
      </c>
    </row>
    <row r="19" customFormat="false" ht="31.5" hidden="false" customHeight="true" outlineLevel="0" collapsed="false">
      <c r="A19" s="24" t="s">
        <v>66</v>
      </c>
      <c r="B19" s="25" t="s">
        <v>70</v>
      </c>
      <c r="C19" s="26"/>
      <c r="D19" s="27"/>
      <c r="E19" s="28" t="str">
        <f aca="false">IF(C19="Tem",2,IF(C19="Parcial",1,IF(C19="Não tem",0,"")))</f>
        <v/>
      </c>
    </row>
    <row r="20" customFormat="false" ht="31.5" hidden="false" customHeight="true" outlineLevel="0" collapsed="false">
      <c r="A20" s="24" t="s">
        <v>66</v>
      </c>
      <c r="B20" s="25" t="s">
        <v>71</v>
      </c>
      <c r="C20" s="26"/>
      <c r="D20" s="27"/>
      <c r="E20" s="28" t="str">
        <f aca="false">IF(C20="Tem",2,IF(C20="Parcial",1,IF(C20="Não tem",0,"")))</f>
        <v/>
      </c>
    </row>
    <row r="21" customFormat="false" ht="31.5" hidden="false" customHeight="true" outlineLevel="0" collapsed="false">
      <c r="A21" s="24" t="s">
        <v>66</v>
      </c>
      <c r="B21" s="25" t="s">
        <v>72</v>
      </c>
      <c r="C21" s="26"/>
      <c r="D21" s="27"/>
      <c r="E21" s="28" t="str">
        <f aca="false">IF(C21="Tem",2,IF(C21="Parcial",1,IF(C21="Não tem",0,"")))</f>
        <v/>
      </c>
    </row>
    <row r="22" customFormat="false" ht="31.5" hidden="false" customHeight="true" outlineLevel="0" collapsed="false">
      <c r="A22" s="24" t="s">
        <v>66</v>
      </c>
      <c r="B22" s="25" t="s">
        <v>73</v>
      </c>
      <c r="C22" s="26"/>
      <c r="D22" s="27"/>
      <c r="E22" s="28" t="str">
        <f aca="false">IF(C22="Tem",2,IF(C22="Parcial",1,IF(C22="Não tem",0,"")))</f>
        <v/>
      </c>
    </row>
    <row r="23" customFormat="false" ht="31.5" hidden="false" customHeight="true" outlineLevel="0" collapsed="false">
      <c r="A23" s="24" t="s">
        <v>66</v>
      </c>
      <c r="B23" s="25" t="s">
        <v>74</v>
      </c>
      <c r="C23" s="26"/>
      <c r="D23" s="27"/>
      <c r="E23" s="28" t="str">
        <f aca="false">IF(C23="Tem",2,IF(C23="Parcial",1,IF(C23="Não tem",0,"")))</f>
        <v/>
      </c>
    </row>
    <row r="24" customFormat="false" ht="31.5" hidden="false" customHeight="true" outlineLevel="0" collapsed="false">
      <c r="A24" s="24" t="s">
        <v>66</v>
      </c>
      <c r="B24" s="25" t="s">
        <v>75</v>
      </c>
      <c r="C24" s="26"/>
      <c r="D24" s="27"/>
      <c r="E24" s="28" t="str">
        <f aca="false">IF(C24="Tem",2,IF(C24="Parcial",1,IF(C24="Não tem",0,"")))</f>
        <v/>
      </c>
    </row>
    <row r="25" customFormat="false" ht="31.5" hidden="false" customHeight="true" outlineLevel="0" collapsed="false">
      <c r="A25" s="24" t="s">
        <v>76</v>
      </c>
      <c r="B25" s="25" t="s">
        <v>77</v>
      </c>
      <c r="C25" s="26"/>
      <c r="D25" s="27"/>
      <c r="E25" s="28" t="str">
        <f aca="false">IF(C25="Tem",2,IF(C25="Parcial",1,IF(C25="Não tem",0,"")))</f>
        <v/>
      </c>
    </row>
    <row r="26" customFormat="false" ht="31.5" hidden="false" customHeight="true" outlineLevel="0" collapsed="false">
      <c r="A26" s="24" t="s">
        <v>76</v>
      </c>
      <c r="B26" s="25" t="s">
        <v>78</v>
      </c>
      <c r="C26" s="26"/>
      <c r="D26" s="27"/>
      <c r="E26" s="28" t="str">
        <f aca="false">IF(C26="Tem",2,IF(C26="Parcial",1,IF(C26="Não tem",0,"")))</f>
        <v/>
      </c>
    </row>
    <row r="27" customFormat="false" ht="31.5" hidden="false" customHeight="true" outlineLevel="0" collapsed="false">
      <c r="A27" s="24" t="s">
        <v>76</v>
      </c>
      <c r="B27" s="25" t="s">
        <v>79</v>
      </c>
      <c r="C27" s="26"/>
      <c r="D27" s="27"/>
      <c r="E27" s="28" t="str">
        <f aca="false">IF(C27="Tem",2,IF(C27="Parcial",1,IF(C27="Não tem",0,"")))</f>
        <v/>
      </c>
    </row>
    <row r="28" customFormat="false" ht="31.5" hidden="false" customHeight="true" outlineLevel="0" collapsed="false">
      <c r="A28" s="24" t="s">
        <v>76</v>
      </c>
      <c r="B28" s="25" t="s">
        <v>80</v>
      </c>
      <c r="C28" s="26"/>
      <c r="D28" s="27"/>
      <c r="E28" s="28" t="str">
        <f aca="false">IF(C28="Tem",2,IF(C28="Parcial",1,IF(C28="Não tem",0,"")))</f>
        <v/>
      </c>
    </row>
    <row r="29" customFormat="false" ht="31.5" hidden="false" customHeight="true" outlineLevel="0" collapsed="false">
      <c r="A29" s="24" t="s">
        <v>76</v>
      </c>
      <c r="B29" s="25" t="s">
        <v>81</v>
      </c>
      <c r="C29" s="26"/>
      <c r="D29" s="27"/>
      <c r="E29" s="28" t="str">
        <f aca="false">IF(C29="Tem",2,IF(C29="Parcial",1,IF(C29="Não tem",0,"")))</f>
        <v/>
      </c>
    </row>
    <row r="30" customFormat="false" ht="31.5" hidden="false" customHeight="true" outlineLevel="0" collapsed="false">
      <c r="A30" s="24" t="s">
        <v>76</v>
      </c>
      <c r="B30" s="25" t="s">
        <v>82</v>
      </c>
      <c r="C30" s="26"/>
      <c r="D30" s="27"/>
      <c r="E30" s="28" t="str">
        <f aca="false">IF(C30="Tem",2,IF(C30="Parcial",1,IF(C30="Não tem",0,"")))</f>
        <v/>
      </c>
    </row>
    <row r="31" customFormat="false" ht="31.5" hidden="false" customHeight="true" outlineLevel="0" collapsed="false">
      <c r="A31" s="24" t="s">
        <v>76</v>
      </c>
      <c r="B31" s="25" t="s">
        <v>83</v>
      </c>
      <c r="C31" s="26"/>
      <c r="D31" s="27"/>
      <c r="E31" s="28" t="str">
        <f aca="false">IF(C31="Tem",2,IF(C31="Parcial",1,IF(C31="Não tem",0,"")))</f>
        <v/>
      </c>
    </row>
    <row r="32" customFormat="false" ht="31.5" hidden="false" customHeight="true" outlineLevel="0" collapsed="false">
      <c r="A32" s="24" t="s">
        <v>76</v>
      </c>
      <c r="B32" s="25" t="s">
        <v>84</v>
      </c>
      <c r="C32" s="26"/>
      <c r="D32" s="27"/>
      <c r="E32" s="28" t="str">
        <f aca="false">IF(C32="Tem",2,IF(C32="Parcial",1,IF(C32="Não tem",0,"")))</f>
        <v/>
      </c>
    </row>
    <row r="33" customFormat="false" ht="31.5" hidden="false" customHeight="true" outlineLevel="0" collapsed="false">
      <c r="A33" s="24" t="s">
        <v>85</v>
      </c>
      <c r="B33" s="25" t="s">
        <v>86</v>
      </c>
      <c r="C33" s="26"/>
      <c r="D33" s="27"/>
      <c r="E33" s="28" t="str">
        <f aca="false">IF(C33="Tem",2,IF(C33="Parcial",1,IF(C33="Não tem",0,"")))</f>
        <v/>
      </c>
    </row>
    <row r="34" customFormat="false" ht="31.5" hidden="false" customHeight="true" outlineLevel="0" collapsed="false">
      <c r="A34" s="24" t="s">
        <v>85</v>
      </c>
      <c r="B34" s="25" t="s">
        <v>87</v>
      </c>
      <c r="C34" s="26"/>
      <c r="D34" s="27"/>
      <c r="E34" s="28" t="str">
        <f aca="false">IF(C34="Tem",2,IF(C34="Parcial",1,IF(C34="Não tem",0,"")))</f>
        <v/>
      </c>
    </row>
    <row r="35" customFormat="false" ht="31.5" hidden="false" customHeight="true" outlineLevel="0" collapsed="false">
      <c r="A35" s="24" t="s">
        <v>85</v>
      </c>
      <c r="B35" s="25" t="s">
        <v>88</v>
      </c>
      <c r="C35" s="26"/>
      <c r="D35" s="27"/>
      <c r="E35" s="28" t="str">
        <f aca="false">IF(C35="Tem",2,IF(C35="Parcial",1,IF(C35="Não tem",0,"")))</f>
        <v/>
      </c>
    </row>
    <row r="36" customFormat="false" ht="31.5" hidden="false" customHeight="true" outlineLevel="0" collapsed="false">
      <c r="A36" s="24" t="s">
        <v>85</v>
      </c>
      <c r="B36" s="25" t="s">
        <v>89</v>
      </c>
      <c r="C36" s="26"/>
      <c r="D36" s="27"/>
      <c r="E36" s="28" t="str">
        <f aca="false">IF(C36="Tem",2,IF(C36="Parcial",1,IF(C36="Não tem",0,"")))</f>
        <v/>
      </c>
    </row>
    <row r="37" customFormat="false" ht="31.5" hidden="false" customHeight="true" outlineLevel="0" collapsed="false">
      <c r="A37" s="24" t="s">
        <v>85</v>
      </c>
      <c r="B37" s="25" t="s">
        <v>90</v>
      </c>
      <c r="C37" s="26"/>
      <c r="D37" s="27"/>
      <c r="E37" s="28" t="str">
        <f aca="false">IF(C37="Tem",2,IF(C37="Parcial",1,IF(C37="Não tem",0,"")))</f>
        <v/>
      </c>
    </row>
    <row r="38" customFormat="false" ht="31.5" hidden="false" customHeight="true" outlineLevel="0" collapsed="false">
      <c r="A38" s="24" t="s">
        <v>85</v>
      </c>
      <c r="B38" s="25" t="s">
        <v>91</v>
      </c>
      <c r="C38" s="26"/>
      <c r="D38" s="27"/>
      <c r="E38" s="28" t="str">
        <f aca="false">IF(C38="Tem",2,IF(C38="Parcial",1,IF(C38="Não tem",0,"")))</f>
        <v/>
      </c>
    </row>
    <row r="39" customFormat="false" ht="31.5" hidden="false" customHeight="true" outlineLevel="0" collapsed="false">
      <c r="A39" s="24" t="s">
        <v>85</v>
      </c>
      <c r="B39" s="25" t="s">
        <v>92</v>
      </c>
      <c r="C39" s="26"/>
      <c r="D39" s="27"/>
      <c r="E39" s="28" t="str">
        <f aca="false">IF(C39="Tem",2,IF(C39="Parcial",1,IF(C39="Não tem",0,"")))</f>
        <v/>
      </c>
    </row>
    <row r="40" customFormat="false" ht="31.5" hidden="false" customHeight="true" outlineLevel="0" collapsed="false">
      <c r="A40" s="24" t="s">
        <v>85</v>
      </c>
      <c r="B40" s="25" t="s">
        <v>93</v>
      </c>
      <c r="C40" s="26"/>
      <c r="D40" s="27"/>
      <c r="E40" s="28" t="str">
        <f aca="false">IF(C40="Tem",2,IF(C40="Parcial",1,IF(C40="Não tem",0,"")))</f>
        <v/>
      </c>
    </row>
    <row r="41" customFormat="false" ht="31.5" hidden="false" customHeight="true" outlineLevel="0" collapsed="false">
      <c r="A41" s="24" t="s">
        <v>85</v>
      </c>
      <c r="B41" s="25" t="s">
        <v>94</v>
      </c>
      <c r="C41" s="26"/>
      <c r="D41" s="27"/>
      <c r="E41" s="28" t="str">
        <f aca="false">IF(C41="Tem",2,IF(C41="Parcial",1,IF(C41="Não tem",0,"")))</f>
        <v/>
      </c>
    </row>
    <row r="42" customFormat="false" ht="31.5" hidden="false" customHeight="true" outlineLevel="0" collapsed="false">
      <c r="A42" s="24" t="s">
        <v>95</v>
      </c>
      <c r="B42" s="25" t="s">
        <v>96</v>
      </c>
      <c r="C42" s="26"/>
      <c r="D42" s="27"/>
      <c r="E42" s="28" t="str">
        <f aca="false">IF(C42="Tem",2,IF(C42="Parcial",1,IF(C42="Não tem",0,"")))</f>
        <v/>
      </c>
    </row>
    <row r="43" customFormat="false" ht="31.5" hidden="false" customHeight="true" outlineLevel="0" collapsed="false">
      <c r="A43" s="24" t="s">
        <v>95</v>
      </c>
      <c r="B43" s="25" t="s">
        <v>97</v>
      </c>
      <c r="C43" s="26"/>
      <c r="D43" s="27"/>
      <c r="E43" s="28" t="str">
        <f aca="false">IF(C43="Tem",2,IF(C43="Parcial",1,IF(C43="Não tem",0,"")))</f>
        <v/>
      </c>
    </row>
    <row r="44" customFormat="false" ht="31.5" hidden="false" customHeight="true" outlineLevel="0" collapsed="false">
      <c r="A44" s="24" t="s">
        <v>95</v>
      </c>
      <c r="B44" s="25" t="s">
        <v>98</v>
      </c>
      <c r="C44" s="26"/>
      <c r="D44" s="27"/>
      <c r="E44" s="28" t="str">
        <f aca="false">IF(C44="Tem",2,IF(C44="Parcial",1,IF(C44="Não tem",0,"")))</f>
        <v/>
      </c>
    </row>
    <row r="45" customFormat="false" ht="31.5" hidden="false" customHeight="true" outlineLevel="0" collapsed="false">
      <c r="A45" s="24" t="s">
        <v>95</v>
      </c>
      <c r="B45" s="25" t="s">
        <v>99</v>
      </c>
      <c r="C45" s="26"/>
      <c r="D45" s="27"/>
      <c r="E45" s="28" t="str">
        <f aca="false">IF(C45="Tem",2,IF(C45="Parcial",1,IF(C45="Não tem",0,"")))</f>
        <v/>
      </c>
    </row>
    <row r="46" customFormat="false" ht="31.5" hidden="false" customHeight="true" outlineLevel="0" collapsed="false">
      <c r="A46" s="24" t="s">
        <v>95</v>
      </c>
      <c r="B46" s="25" t="s">
        <v>100</v>
      </c>
      <c r="C46" s="26"/>
      <c r="D46" s="27"/>
      <c r="E46" s="28" t="str">
        <f aca="false">IF(C46="Tem",2,IF(C46="Parcial",1,IF(C46="Não tem",0,"")))</f>
        <v/>
      </c>
    </row>
    <row r="47" customFormat="false" ht="31.5" hidden="false" customHeight="true" outlineLevel="0" collapsed="false">
      <c r="A47" s="24" t="s">
        <v>95</v>
      </c>
      <c r="B47" s="25" t="s">
        <v>101</v>
      </c>
      <c r="C47" s="26"/>
      <c r="D47" s="27"/>
      <c r="E47" s="28" t="str">
        <f aca="false">IF(C47="Tem",2,IF(C47="Parcial",1,IF(C47="Não tem",0,"")))</f>
        <v/>
      </c>
    </row>
    <row r="48" customFormat="false" ht="31.5" hidden="false" customHeight="true" outlineLevel="0" collapsed="false">
      <c r="A48" s="24" t="s">
        <v>95</v>
      </c>
      <c r="B48" s="25" t="s">
        <v>102</v>
      </c>
      <c r="C48" s="26"/>
      <c r="D48" s="27"/>
      <c r="E48" s="28" t="str">
        <f aca="false">IF(C48="Tem",2,IF(C48="Parcial",1,IF(C48="Não tem",0,"")))</f>
        <v/>
      </c>
    </row>
    <row r="49" customFormat="false" ht="31.5" hidden="false" customHeight="true" outlineLevel="0" collapsed="false">
      <c r="A49" s="24" t="s">
        <v>103</v>
      </c>
      <c r="B49" s="25" t="s">
        <v>104</v>
      </c>
      <c r="C49" s="26"/>
      <c r="D49" s="27"/>
      <c r="E49" s="28" t="str">
        <f aca="false">IF(C49="Tem",2,IF(C49="Parcial",1,IF(C49="Não tem",0,"")))</f>
        <v/>
      </c>
    </row>
    <row r="50" customFormat="false" ht="31.5" hidden="false" customHeight="true" outlineLevel="0" collapsed="false">
      <c r="A50" s="24" t="s">
        <v>103</v>
      </c>
      <c r="B50" s="25" t="s">
        <v>105</v>
      </c>
      <c r="C50" s="26"/>
      <c r="D50" s="27"/>
      <c r="E50" s="28" t="str">
        <f aca="false">IF(C50="Tem",2,IF(C50="Parcial",1,IF(C50="Não tem",0,"")))</f>
        <v/>
      </c>
    </row>
    <row r="51" customFormat="false" ht="31.5" hidden="false" customHeight="true" outlineLevel="0" collapsed="false">
      <c r="A51" s="24" t="s">
        <v>103</v>
      </c>
      <c r="B51" s="25" t="s">
        <v>106</v>
      </c>
      <c r="C51" s="26"/>
      <c r="D51" s="27"/>
      <c r="E51" s="28" t="str">
        <f aca="false">IF(C51="Tem",2,IF(C51="Parcial",1,IF(C51="Não tem",0,"")))</f>
        <v/>
      </c>
    </row>
    <row r="52" customFormat="false" ht="31.5" hidden="false" customHeight="true" outlineLevel="0" collapsed="false">
      <c r="A52" s="24" t="s">
        <v>103</v>
      </c>
      <c r="B52" s="25" t="s">
        <v>107</v>
      </c>
      <c r="C52" s="26"/>
      <c r="D52" s="27"/>
      <c r="E52" s="28" t="str">
        <f aca="false">IF(C52="Tem",2,IF(C52="Parcial",1,IF(C52="Não tem",0,"")))</f>
        <v/>
      </c>
    </row>
    <row r="53" customFormat="false" ht="31.5" hidden="false" customHeight="true" outlineLevel="0" collapsed="false">
      <c r="A53" s="24" t="s">
        <v>103</v>
      </c>
      <c r="B53" s="25" t="s">
        <v>108</v>
      </c>
      <c r="C53" s="26"/>
      <c r="D53" s="27"/>
      <c r="E53" s="28" t="str">
        <f aca="false">IF(C53="Tem",2,IF(C53="Parcial",1,IF(C53="Não tem",0,"")))</f>
        <v/>
      </c>
    </row>
    <row r="54" customFormat="false" ht="31.5" hidden="false" customHeight="true" outlineLevel="0" collapsed="false">
      <c r="A54" s="24" t="s">
        <v>103</v>
      </c>
      <c r="B54" s="25" t="s">
        <v>109</v>
      </c>
      <c r="C54" s="26"/>
      <c r="D54" s="27"/>
      <c r="E54" s="28" t="str">
        <f aca="false">IF(C54="Tem",2,IF(C54="Parcial",1,IF(C54="Não tem",0,"")))</f>
        <v/>
      </c>
    </row>
    <row r="55" customFormat="false" ht="31.5" hidden="false" customHeight="true" outlineLevel="0" collapsed="false">
      <c r="A55" s="24" t="s">
        <v>110</v>
      </c>
      <c r="B55" s="25" t="s">
        <v>111</v>
      </c>
      <c r="C55" s="26"/>
      <c r="D55" s="27"/>
      <c r="E55" s="28" t="str">
        <f aca="false">IF(C55="Tem",2,IF(C55="Parcial",1,IF(C55="Não tem",0,"")))</f>
        <v/>
      </c>
    </row>
    <row r="56" customFormat="false" ht="31.5" hidden="false" customHeight="true" outlineLevel="0" collapsed="false">
      <c r="A56" s="24" t="s">
        <v>110</v>
      </c>
      <c r="B56" s="25" t="s">
        <v>112</v>
      </c>
      <c r="C56" s="26"/>
      <c r="D56" s="27"/>
      <c r="E56" s="28" t="str">
        <f aca="false">IF(C56="Tem",2,IF(C56="Parcial",1,IF(C56="Não tem",0,"")))</f>
        <v/>
      </c>
    </row>
    <row r="57" customFormat="false" ht="31.5" hidden="false" customHeight="true" outlineLevel="0" collapsed="false">
      <c r="A57" s="24" t="s">
        <v>110</v>
      </c>
      <c r="B57" s="25" t="s">
        <v>113</v>
      </c>
      <c r="C57" s="26"/>
      <c r="D57" s="27"/>
      <c r="E57" s="28" t="str">
        <f aca="false">IF(C57="Tem",2,IF(C57="Parcial",1,IF(C57="Não tem",0,"")))</f>
        <v/>
      </c>
    </row>
    <row r="58" customFormat="false" ht="31.5" hidden="false" customHeight="true" outlineLevel="0" collapsed="false">
      <c r="A58" s="24" t="s">
        <v>110</v>
      </c>
      <c r="B58" s="25" t="s">
        <v>114</v>
      </c>
      <c r="C58" s="26"/>
      <c r="D58" s="27"/>
      <c r="E58" s="28" t="str">
        <f aca="false">IF(C58="Tem",2,IF(C58="Parcial",1,IF(C58="Não tem",0,"")))</f>
        <v/>
      </c>
    </row>
    <row r="59" customFormat="false" ht="31.5" hidden="false" customHeight="true" outlineLevel="0" collapsed="false">
      <c r="A59" s="24" t="s">
        <v>110</v>
      </c>
      <c r="B59" s="25" t="s">
        <v>115</v>
      </c>
      <c r="C59" s="26"/>
      <c r="D59" s="27"/>
      <c r="E59" s="28" t="str">
        <f aca="false">IF(C59="Tem",2,IF(C59="Parcial",1,IF(C59="Não tem",0,"")))</f>
        <v/>
      </c>
    </row>
    <row r="60" customFormat="false" ht="31.5" hidden="false" customHeight="true" outlineLevel="0" collapsed="false">
      <c r="A60" s="24" t="s">
        <v>110</v>
      </c>
      <c r="B60" s="25" t="s">
        <v>116</v>
      </c>
      <c r="C60" s="26"/>
      <c r="D60" s="27"/>
      <c r="E60" s="28" t="str">
        <f aca="false">IF(C60="Tem",2,IF(C60="Parcial",1,IF(C60="Não tem",0,"")))</f>
        <v/>
      </c>
    </row>
    <row r="61" customFormat="false" ht="31.5" hidden="false" customHeight="true" outlineLevel="0" collapsed="false">
      <c r="A61" s="24" t="s">
        <v>117</v>
      </c>
      <c r="B61" s="25" t="s">
        <v>118</v>
      </c>
      <c r="C61" s="26"/>
      <c r="D61" s="27"/>
      <c r="E61" s="28" t="str">
        <f aca="false">IF(C61="Tem",2,IF(C61="Parcial",1,IF(C61="Não tem",0,"")))</f>
        <v/>
      </c>
    </row>
    <row r="62" customFormat="false" ht="31.5" hidden="false" customHeight="true" outlineLevel="0" collapsed="false">
      <c r="A62" s="24" t="s">
        <v>117</v>
      </c>
      <c r="B62" s="25" t="s">
        <v>119</v>
      </c>
      <c r="C62" s="26"/>
      <c r="D62" s="27"/>
      <c r="E62" s="28" t="str">
        <f aca="false">IF(C62="Tem",2,IF(C62="Parcial",1,IF(C62="Não tem",0,"")))</f>
        <v/>
      </c>
    </row>
    <row r="63" customFormat="false" ht="31.5" hidden="false" customHeight="true" outlineLevel="0" collapsed="false">
      <c r="A63" s="24" t="s">
        <v>117</v>
      </c>
      <c r="B63" s="25" t="s">
        <v>120</v>
      </c>
      <c r="C63" s="26"/>
      <c r="D63" s="27"/>
      <c r="E63" s="28" t="str">
        <f aca="false">IF(C63="Tem",2,IF(C63="Parcial",1,IF(C63="Não tem",0,"")))</f>
        <v/>
      </c>
    </row>
    <row r="64" customFormat="false" ht="31.5" hidden="false" customHeight="true" outlineLevel="0" collapsed="false">
      <c r="A64" s="24" t="s">
        <v>117</v>
      </c>
      <c r="B64" s="25" t="s">
        <v>121</v>
      </c>
      <c r="C64" s="26"/>
      <c r="D64" s="27"/>
      <c r="E64" s="28" t="str">
        <f aca="false">IF(C64="Tem",2,IF(C64="Parcial",1,IF(C64="Não tem",0,"")))</f>
        <v/>
      </c>
    </row>
    <row r="65" customFormat="false" ht="31.5" hidden="false" customHeight="true" outlineLevel="0" collapsed="false">
      <c r="A65" s="24" t="s">
        <v>117</v>
      </c>
      <c r="B65" s="25" t="s">
        <v>122</v>
      </c>
      <c r="C65" s="26"/>
      <c r="D65" s="27"/>
      <c r="E65" s="28" t="str">
        <f aca="false">IF(C65="Tem",2,IF(C65="Parcial",1,IF(C65="Não tem",0,"")))</f>
        <v/>
      </c>
    </row>
    <row r="66" customFormat="false" ht="31.5" hidden="false" customHeight="true" outlineLevel="0" collapsed="false">
      <c r="A66" s="24" t="s">
        <v>117</v>
      </c>
      <c r="B66" s="25" t="s">
        <v>123</v>
      </c>
      <c r="C66" s="26"/>
      <c r="D66" s="27"/>
      <c r="E66" s="28" t="str">
        <f aca="false">IF(C66="Tem",2,IF(C66="Parcial",1,IF(C66="Não tem",0,"")))</f>
        <v/>
      </c>
    </row>
    <row r="67" customFormat="false" ht="27.75" hidden="false" customHeight="true" outlineLevel="0" collapsed="false">
      <c r="A67" s="29" t="s">
        <v>124</v>
      </c>
      <c r="B67" s="29"/>
      <c r="C67" s="29"/>
      <c r="D67" s="29"/>
      <c r="E67" s="29" t="n">
        <f aca="false">SUM(E5:E66)</f>
        <v>0</v>
      </c>
    </row>
    <row r="68" customFormat="false" ht="14.25" hidden="false" customHeight="true" outlineLevel="0" collapsed="false">
      <c r="A68" s="30" t="s">
        <v>125</v>
      </c>
      <c r="B68" s="30"/>
      <c r="C68" s="30"/>
      <c r="D68" s="30"/>
      <c r="E68" s="31" t="n">
        <f aca="false">E67/(62*2)</f>
        <v>0</v>
      </c>
    </row>
  </sheetData>
  <mergeCells count="4">
    <mergeCell ref="A1:E1"/>
    <mergeCell ref="A2:E2"/>
    <mergeCell ref="A67:D67"/>
    <mergeCell ref="A68:D68"/>
  </mergeCells>
  <conditionalFormatting sqref="C5:C66">
    <cfRule type="expression" priority="2" aboveAverage="0" equalAverage="0" bottom="0" percent="0" rank="0" text="" dxfId="0">
      <formula>EXACT(C5,"Não tem")</formula>
    </cfRule>
    <cfRule type="expression" priority="3" aboveAverage="0" equalAverage="0" bottom="0" percent="0" rank="0" text="" dxfId="1">
      <formula>EXACT(C5,"Parcial")</formula>
    </cfRule>
    <cfRule type="expression" priority="4" aboveAverage="0" equalAverage="0" bottom="0" percent="0" rank="0" text="" dxfId="2">
      <formula>EXACT(C5,"Tem")</formula>
    </cfRule>
  </conditionalFormatting>
  <conditionalFormatting sqref="E68">
    <cfRule type="expression" priority="5" aboveAverage="0" equalAverage="0" bottom="0" percent="0" rank="0" text="" dxfId="0">
      <formula>AND(ISNUMBER(E68),E68&lt;0.4)</formula>
    </cfRule>
    <cfRule type="expression" priority="6" aboveAverage="0" equalAverage="0" bottom="0" percent="0" rank="0" text="" dxfId="1">
      <formula>AND(ISNUMBER(E68),E68&lt;0.7)</formula>
    </cfRule>
    <cfRule type="expression" priority="7" aboveAverage="0" equalAverage="0" bottom="0" percent="0" rank="0" text="" dxfId="2">
      <formula>AND(ISNUMBER(E68),E68&lt;=1)</formula>
    </cfRule>
  </conditionalFormatting>
  <dataValidations count="1">
    <dataValidation allowBlank="true" error="Selecione: Tem · Parcial · Não tem" errorStyle="stop" errorTitle="Valor inválido" operator="between" showDropDown="false" showErrorMessage="false" showInputMessage="false" sqref="C5:C66" type="list">
      <formula1>"Tem,Parcial,Não tem"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12" activePane="bottomRight" state="frozen"/>
      <selection pane="topLeft" activeCell="A1" activeCellId="0" sqref="A1"/>
      <selection pane="topRight" activeCell="C1" activeCellId="0" sqref="C1"/>
      <selection pane="bottomLeft" activeCell="A12" activeCellId="0" sqref="A12"/>
      <selection pane="bottomRight" activeCell="C5" activeCellId="0" sqref="C5"/>
    </sheetView>
  </sheetViews>
  <sheetFormatPr defaultColWidth="8.66796875" defaultRowHeight="14.25" customHeight="fals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48"/>
    <col collapsed="false" customWidth="true" hidden="false" outlineLevel="0" max="3" min="3" style="1" width="9"/>
    <col collapsed="false" customWidth="true" hidden="false" outlineLevel="0" max="6" min="4" style="1" width="32"/>
    <col collapsed="false" customWidth="true" hidden="false" outlineLevel="0" max="7" min="7" style="1" width="11"/>
    <col collapsed="false" customWidth="true" hidden="false" outlineLevel="0" max="8" min="8" style="1" width="13"/>
    <col collapsed="false" customWidth="true" hidden="false" outlineLevel="0" max="9" min="9" style="1" width="22"/>
  </cols>
  <sheetData>
    <row r="1" customFormat="false" ht="30" hidden="false" customHeight="true" outlineLevel="0" collapsed="false">
      <c r="A1" s="21" t="s">
        <v>126</v>
      </c>
      <c r="B1" s="21"/>
      <c r="C1" s="21"/>
      <c r="D1" s="21"/>
      <c r="E1" s="21"/>
      <c r="F1" s="21"/>
      <c r="G1" s="21"/>
      <c r="H1" s="21"/>
      <c r="I1" s="21"/>
    </row>
    <row r="2" customFormat="false" ht="30" hidden="false" customHeight="true" outlineLevel="0" collapsed="false">
      <c r="A2" s="22" t="s">
        <v>127</v>
      </c>
      <c r="B2" s="22"/>
      <c r="C2" s="22"/>
      <c r="D2" s="22"/>
      <c r="E2" s="22"/>
      <c r="F2" s="22"/>
      <c r="G2" s="22"/>
      <c r="H2" s="22"/>
      <c r="I2" s="22"/>
    </row>
    <row r="4" customFormat="false" ht="36" hidden="false" customHeight="true" outlineLevel="0" collapsed="false">
      <c r="A4" s="23" t="s">
        <v>48</v>
      </c>
      <c r="B4" s="23" t="s">
        <v>49</v>
      </c>
      <c r="C4" s="23" t="s">
        <v>128</v>
      </c>
      <c r="D4" s="23" t="s">
        <v>129</v>
      </c>
      <c r="E4" s="23" t="s">
        <v>130</v>
      </c>
      <c r="F4" s="23" t="s">
        <v>131</v>
      </c>
      <c r="G4" s="23" t="s">
        <v>132</v>
      </c>
      <c r="H4" s="23" t="s">
        <v>133</v>
      </c>
      <c r="I4" s="23" t="s">
        <v>134</v>
      </c>
    </row>
    <row r="5" customFormat="false" ht="45.75" hidden="false" customHeight="true" outlineLevel="0" collapsed="false">
      <c r="A5" s="24" t="s">
        <v>53</v>
      </c>
      <c r="B5" s="25" t="s">
        <v>54</v>
      </c>
      <c r="C5" s="32"/>
      <c r="D5" s="33"/>
      <c r="E5" s="33"/>
      <c r="F5" s="33"/>
      <c r="G5" s="34"/>
      <c r="H5" s="35"/>
      <c r="I5" s="33"/>
    </row>
    <row r="6" customFormat="false" ht="45.75" hidden="false" customHeight="true" outlineLevel="0" collapsed="false">
      <c r="A6" s="24" t="s">
        <v>53</v>
      </c>
      <c r="B6" s="25" t="s">
        <v>56</v>
      </c>
      <c r="C6" s="32"/>
      <c r="D6" s="33"/>
      <c r="E6" s="33"/>
      <c r="F6" s="33"/>
      <c r="G6" s="34"/>
      <c r="H6" s="35"/>
      <c r="I6" s="33"/>
    </row>
    <row r="7" customFormat="false" ht="45.75" hidden="false" customHeight="true" outlineLevel="0" collapsed="false">
      <c r="A7" s="24" t="s">
        <v>53</v>
      </c>
      <c r="B7" s="25" t="s">
        <v>57</v>
      </c>
      <c r="C7" s="32"/>
      <c r="D7" s="33"/>
      <c r="E7" s="33"/>
      <c r="F7" s="33"/>
      <c r="G7" s="34"/>
      <c r="H7" s="35"/>
      <c r="I7" s="33"/>
    </row>
    <row r="8" customFormat="false" ht="45.75" hidden="false" customHeight="true" outlineLevel="0" collapsed="false">
      <c r="A8" s="24" t="s">
        <v>53</v>
      </c>
      <c r="B8" s="25" t="s">
        <v>58</v>
      </c>
      <c r="C8" s="32"/>
      <c r="D8" s="33"/>
      <c r="E8" s="33"/>
      <c r="F8" s="33"/>
      <c r="G8" s="34"/>
      <c r="H8" s="35"/>
      <c r="I8" s="33"/>
    </row>
    <row r="9" customFormat="false" ht="45.75" hidden="false" customHeight="true" outlineLevel="0" collapsed="false">
      <c r="A9" s="24" t="s">
        <v>53</v>
      </c>
      <c r="B9" s="25" t="s">
        <v>59</v>
      </c>
      <c r="C9" s="32"/>
      <c r="D9" s="33"/>
      <c r="E9" s="33"/>
      <c r="F9" s="33"/>
      <c r="G9" s="34"/>
      <c r="H9" s="35"/>
      <c r="I9" s="33"/>
    </row>
    <row r="10" customFormat="false" ht="45.75" hidden="false" customHeight="true" outlineLevel="0" collapsed="false">
      <c r="A10" s="24" t="s">
        <v>53</v>
      </c>
      <c r="B10" s="25" t="s">
        <v>60</v>
      </c>
      <c r="C10" s="32"/>
      <c r="D10" s="33"/>
      <c r="E10" s="33"/>
      <c r="F10" s="33"/>
      <c r="G10" s="34"/>
      <c r="H10" s="35"/>
      <c r="I10" s="33"/>
    </row>
    <row r="11" customFormat="false" ht="45.75" hidden="false" customHeight="true" outlineLevel="0" collapsed="false">
      <c r="A11" s="24" t="s">
        <v>53</v>
      </c>
      <c r="B11" s="25" t="s">
        <v>61</v>
      </c>
      <c r="C11" s="32"/>
      <c r="D11" s="33"/>
      <c r="E11" s="33"/>
      <c r="F11" s="33"/>
      <c r="G11" s="34"/>
      <c r="H11" s="35"/>
      <c r="I11" s="33"/>
    </row>
    <row r="12" customFormat="false" ht="45.75" hidden="false" customHeight="true" outlineLevel="0" collapsed="false">
      <c r="A12" s="24" t="s">
        <v>53</v>
      </c>
      <c r="B12" s="25" t="s">
        <v>62</v>
      </c>
      <c r="C12" s="32"/>
      <c r="D12" s="33"/>
      <c r="E12" s="33"/>
      <c r="F12" s="33"/>
      <c r="G12" s="34"/>
      <c r="H12" s="35"/>
      <c r="I12" s="33"/>
    </row>
    <row r="13" customFormat="false" ht="45.75" hidden="false" customHeight="true" outlineLevel="0" collapsed="false">
      <c r="A13" s="24" t="s">
        <v>53</v>
      </c>
      <c r="B13" s="25" t="s">
        <v>63</v>
      </c>
      <c r="C13" s="32"/>
      <c r="D13" s="33"/>
      <c r="E13" s="33"/>
      <c r="F13" s="33"/>
      <c r="G13" s="34"/>
      <c r="H13" s="35"/>
      <c r="I13" s="33"/>
    </row>
    <row r="14" customFormat="false" ht="45.75" hidden="false" customHeight="true" outlineLevel="0" collapsed="false">
      <c r="A14" s="24" t="s">
        <v>53</v>
      </c>
      <c r="B14" s="25" t="s">
        <v>64</v>
      </c>
      <c r="C14" s="32"/>
      <c r="D14" s="33"/>
      <c r="E14" s="33"/>
      <c r="F14" s="33"/>
      <c r="G14" s="34"/>
      <c r="H14" s="35"/>
      <c r="I14" s="33"/>
    </row>
    <row r="15" customFormat="false" ht="45.75" hidden="false" customHeight="true" outlineLevel="0" collapsed="false">
      <c r="A15" s="24" t="s">
        <v>53</v>
      </c>
      <c r="B15" s="25" t="s">
        <v>65</v>
      </c>
      <c r="C15" s="32"/>
      <c r="D15" s="33"/>
      <c r="E15" s="33"/>
      <c r="F15" s="33"/>
      <c r="G15" s="34"/>
      <c r="H15" s="35"/>
      <c r="I15" s="33"/>
    </row>
    <row r="16" customFormat="false" ht="24" hidden="false" customHeight="true" outlineLevel="0" collapsed="false">
      <c r="A16" s="36" t="s">
        <v>135</v>
      </c>
      <c r="B16" s="36"/>
      <c r="C16" s="37" t="n">
        <f aca="false">IFERROR(AVERAGE(C5:C15),0)</f>
        <v>0</v>
      </c>
      <c r="D16" s="38"/>
      <c r="E16" s="38"/>
      <c r="F16" s="38"/>
      <c r="G16" s="38"/>
      <c r="H16" s="38"/>
      <c r="I16" s="38"/>
    </row>
    <row r="17" customFormat="false" ht="45.75" hidden="false" customHeight="true" outlineLevel="0" collapsed="false">
      <c r="A17" s="24" t="s">
        <v>66</v>
      </c>
      <c r="B17" s="25" t="s">
        <v>67</v>
      </c>
      <c r="C17" s="32"/>
      <c r="D17" s="33"/>
      <c r="E17" s="33"/>
      <c r="F17" s="33"/>
      <c r="G17" s="34"/>
      <c r="H17" s="35"/>
      <c r="I17" s="33"/>
    </row>
    <row r="18" customFormat="false" ht="45.75" hidden="false" customHeight="true" outlineLevel="0" collapsed="false">
      <c r="A18" s="24" t="s">
        <v>66</v>
      </c>
      <c r="B18" s="25" t="s">
        <v>68</v>
      </c>
      <c r="C18" s="32"/>
      <c r="D18" s="33"/>
      <c r="E18" s="33"/>
      <c r="F18" s="33"/>
      <c r="G18" s="34"/>
      <c r="H18" s="35"/>
      <c r="I18" s="33"/>
    </row>
    <row r="19" customFormat="false" ht="45.75" hidden="false" customHeight="true" outlineLevel="0" collapsed="false">
      <c r="A19" s="24" t="s">
        <v>66</v>
      </c>
      <c r="B19" s="25" t="s">
        <v>69</v>
      </c>
      <c r="C19" s="32"/>
      <c r="D19" s="33"/>
      <c r="E19" s="33"/>
      <c r="F19" s="33"/>
      <c r="G19" s="34"/>
      <c r="H19" s="35"/>
      <c r="I19" s="33"/>
    </row>
    <row r="20" customFormat="false" ht="45.75" hidden="false" customHeight="true" outlineLevel="0" collapsed="false">
      <c r="A20" s="24" t="s">
        <v>66</v>
      </c>
      <c r="B20" s="25" t="s">
        <v>70</v>
      </c>
      <c r="C20" s="32"/>
      <c r="D20" s="33"/>
      <c r="E20" s="33"/>
      <c r="F20" s="33"/>
      <c r="G20" s="34"/>
      <c r="H20" s="35"/>
      <c r="I20" s="33"/>
    </row>
    <row r="21" customFormat="false" ht="45.75" hidden="false" customHeight="true" outlineLevel="0" collapsed="false">
      <c r="A21" s="24" t="s">
        <v>66</v>
      </c>
      <c r="B21" s="25" t="s">
        <v>71</v>
      </c>
      <c r="C21" s="32"/>
      <c r="D21" s="33"/>
      <c r="E21" s="33"/>
      <c r="F21" s="33"/>
      <c r="G21" s="34"/>
      <c r="H21" s="35"/>
      <c r="I21" s="33"/>
    </row>
    <row r="22" customFormat="false" ht="45.75" hidden="false" customHeight="true" outlineLevel="0" collapsed="false">
      <c r="A22" s="24" t="s">
        <v>66</v>
      </c>
      <c r="B22" s="25" t="s">
        <v>72</v>
      </c>
      <c r="C22" s="32"/>
      <c r="D22" s="33"/>
      <c r="E22" s="33"/>
      <c r="F22" s="33"/>
      <c r="G22" s="34"/>
      <c r="H22" s="35"/>
      <c r="I22" s="33"/>
    </row>
    <row r="23" customFormat="false" ht="45.75" hidden="false" customHeight="true" outlineLevel="0" collapsed="false">
      <c r="A23" s="24" t="s">
        <v>66</v>
      </c>
      <c r="B23" s="25" t="s">
        <v>73</v>
      </c>
      <c r="C23" s="32"/>
      <c r="D23" s="33"/>
      <c r="E23" s="33"/>
      <c r="F23" s="33"/>
      <c r="G23" s="34"/>
      <c r="H23" s="35"/>
      <c r="I23" s="33"/>
    </row>
    <row r="24" customFormat="false" ht="45.75" hidden="false" customHeight="true" outlineLevel="0" collapsed="false">
      <c r="A24" s="24" t="s">
        <v>66</v>
      </c>
      <c r="B24" s="25" t="s">
        <v>74</v>
      </c>
      <c r="C24" s="32"/>
      <c r="D24" s="33"/>
      <c r="E24" s="33"/>
      <c r="F24" s="33"/>
      <c r="G24" s="34"/>
      <c r="H24" s="35"/>
      <c r="I24" s="33"/>
    </row>
    <row r="25" customFormat="false" ht="45.75" hidden="false" customHeight="true" outlineLevel="0" collapsed="false">
      <c r="A25" s="24" t="s">
        <v>66</v>
      </c>
      <c r="B25" s="25" t="s">
        <v>75</v>
      </c>
      <c r="C25" s="32"/>
      <c r="D25" s="33"/>
      <c r="E25" s="33"/>
      <c r="F25" s="33"/>
      <c r="G25" s="34"/>
      <c r="H25" s="35"/>
      <c r="I25" s="33"/>
    </row>
    <row r="26" customFormat="false" ht="24" hidden="false" customHeight="true" outlineLevel="0" collapsed="false">
      <c r="A26" s="36" t="s">
        <v>136</v>
      </c>
      <c r="B26" s="36"/>
      <c r="C26" s="37" t="n">
        <f aca="false">IFERROR(AVERAGE(C17:C25),0)</f>
        <v>0</v>
      </c>
      <c r="D26" s="38"/>
      <c r="E26" s="38"/>
      <c r="F26" s="38"/>
      <c r="G26" s="38"/>
      <c r="H26" s="38"/>
      <c r="I26" s="38"/>
    </row>
    <row r="27" customFormat="false" ht="45.75" hidden="false" customHeight="true" outlineLevel="0" collapsed="false">
      <c r="A27" s="24" t="s">
        <v>76</v>
      </c>
      <c r="B27" s="25" t="s">
        <v>77</v>
      </c>
      <c r="C27" s="32"/>
      <c r="D27" s="33"/>
      <c r="E27" s="33"/>
      <c r="F27" s="33"/>
      <c r="G27" s="34"/>
      <c r="H27" s="35"/>
      <c r="I27" s="33"/>
    </row>
    <row r="28" customFormat="false" ht="45.75" hidden="false" customHeight="true" outlineLevel="0" collapsed="false">
      <c r="A28" s="24" t="s">
        <v>76</v>
      </c>
      <c r="B28" s="25" t="s">
        <v>78</v>
      </c>
      <c r="C28" s="32"/>
      <c r="D28" s="33"/>
      <c r="E28" s="33"/>
      <c r="F28" s="33"/>
      <c r="G28" s="34"/>
      <c r="H28" s="35"/>
      <c r="I28" s="33"/>
    </row>
    <row r="29" customFormat="false" ht="45.75" hidden="false" customHeight="true" outlineLevel="0" collapsed="false">
      <c r="A29" s="24" t="s">
        <v>76</v>
      </c>
      <c r="B29" s="25" t="s">
        <v>79</v>
      </c>
      <c r="C29" s="32"/>
      <c r="D29" s="33"/>
      <c r="E29" s="33"/>
      <c r="F29" s="33"/>
      <c r="G29" s="34"/>
      <c r="H29" s="35"/>
      <c r="I29" s="33"/>
    </row>
    <row r="30" customFormat="false" ht="45.75" hidden="false" customHeight="true" outlineLevel="0" collapsed="false">
      <c r="A30" s="24" t="s">
        <v>76</v>
      </c>
      <c r="B30" s="25" t="s">
        <v>80</v>
      </c>
      <c r="C30" s="32"/>
      <c r="D30" s="33"/>
      <c r="E30" s="33"/>
      <c r="F30" s="33"/>
      <c r="G30" s="34"/>
      <c r="H30" s="35"/>
      <c r="I30" s="33"/>
    </row>
    <row r="31" customFormat="false" ht="45.75" hidden="false" customHeight="true" outlineLevel="0" collapsed="false">
      <c r="A31" s="24" t="s">
        <v>76</v>
      </c>
      <c r="B31" s="25" t="s">
        <v>81</v>
      </c>
      <c r="C31" s="32"/>
      <c r="D31" s="33"/>
      <c r="E31" s="33"/>
      <c r="F31" s="33"/>
      <c r="G31" s="34"/>
      <c r="H31" s="35"/>
      <c r="I31" s="33"/>
    </row>
    <row r="32" customFormat="false" ht="45.75" hidden="false" customHeight="true" outlineLevel="0" collapsed="false">
      <c r="A32" s="24" t="s">
        <v>76</v>
      </c>
      <c r="B32" s="25" t="s">
        <v>82</v>
      </c>
      <c r="C32" s="32"/>
      <c r="D32" s="33"/>
      <c r="E32" s="33"/>
      <c r="F32" s="33"/>
      <c r="G32" s="34"/>
      <c r="H32" s="35"/>
      <c r="I32" s="33"/>
    </row>
    <row r="33" customFormat="false" ht="45.75" hidden="false" customHeight="true" outlineLevel="0" collapsed="false">
      <c r="A33" s="24" t="s">
        <v>76</v>
      </c>
      <c r="B33" s="25" t="s">
        <v>83</v>
      </c>
      <c r="C33" s="32"/>
      <c r="D33" s="33"/>
      <c r="E33" s="33"/>
      <c r="F33" s="33"/>
      <c r="G33" s="34"/>
      <c r="H33" s="35"/>
      <c r="I33" s="33"/>
    </row>
    <row r="34" customFormat="false" ht="45.75" hidden="false" customHeight="true" outlineLevel="0" collapsed="false">
      <c r="A34" s="24" t="s">
        <v>76</v>
      </c>
      <c r="B34" s="25" t="s">
        <v>84</v>
      </c>
      <c r="C34" s="32"/>
      <c r="D34" s="33"/>
      <c r="E34" s="33"/>
      <c r="F34" s="33"/>
      <c r="G34" s="34"/>
      <c r="H34" s="35"/>
      <c r="I34" s="33"/>
    </row>
    <row r="35" customFormat="false" ht="24" hidden="false" customHeight="true" outlineLevel="0" collapsed="false">
      <c r="A35" s="36" t="s">
        <v>137</v>
      </c>
      <c r="B35" s="36"/>
      <c r="C35" s="37" t="n">
        <f aca="false">IFERROR(AVERAGE(C27:C34),0)</f>
        <v>0</v>
      </c>
      <c r="D35" s="38"/>
      <c r="E35" s="38"/>
      <c r="F35" s="38"/>
      <c r="G35" s="38"/>
      <c r="H35" s="38"/>
      <c r="I35" s="38"/>
    </row>
    <row r="36" customFormat="false" ht="45.75" hidden="false" customHeight="true" outlineLevel="0" collapsed="false">
      <c r="A36" s="24" t="s">
        <v>85</v>
      </c>
      <c r="B36" s="25" t="s">
        <v>86</v>
      </c>
      <c r="C36" s="32"/>
      <c r="D36" s="33"/>
      <c r="E36" s="33"/>
      <c r="F36" s="33"/>
      <c r="G36" s="34"/>
      <c r="H36" s="35"/>
      <c r="I36" s="33"/>
    </row>
    <row r="37" customFormat="false" ht="45.75" hidden="false" customHeight="true" outlineLevel="0" collapsed="false">
      <c r="A37" s="24" t="s">
        <v>85</v>
      </c>
      <c r="B37" s="25" t="s">
        <v>87</v>
      </c>
      <c r="C37" s="32"/>
      <c r="D37" s="33"/>
      <c r="E37" s="33"/>
      <c r="F37" s="33"/>
      <c r="G37" s="34"/>
      <c r="H37" s="35"/>
      <c r="I37" s="33"/>
    </row>
    <row r="38" customFormat="false" ht="45.75" hidden="false" customHeight="true" outlineLevel="0" collapsed="false">
      <c r="A38" s="24" t="s">
        <v>85</v>
      </c>
      <c r="B38" s="25" t="s">
        <v>88</v>
      </c>
      <c r="C38" s="32"/>
      <c r="D38" s="33"/>
      <c r="E38" s="33"/>
      <c r="F38" s="33"/>
      <c r="G38" s="34"/>
      <c r="H38" s="35"/>
      <c r="I38" s="33"/>
    </row>
    <row r="39" customFormat="false" ht="45.75" hidden="false" customHeight="true" outlineLevel="0" collapsed="false">
      <c r="A39" s="24" t="s">
        <v>85</v>
      </c>
      <c r="B39" s="25" t="s">
        <v>89</v>
      </c>
      <c r="C39" s="32"/>
      <c r="D39" s="33"/>
      <c r="E39" s="33"/>
      <c r="F39" s="33"/>
      <c r="G39" s="34"/>
      <c r="H39" s="35"/>
      <c r="I39" s="33"/>
    </row>
    <row r="40" customFormat="false" ht="45.75" hidden="false" customHeight="true" outlineLevel="0" collapsed="false">
      <c r="A40" s="24" t="s">
        <v>85</v>
      </c>
      <c r="B40" s="25" t="s">
        <v>90</v>
      </c>
      <c r="C40" s="32"/>
      <c r="D40" s="33"/>
      <c r="E40" s="33"/>
      <c r="F40" s="33"/>
      <c r="G40" s="34"/>
      <c r="H40" s="35"/>
      <c r="I40" s="33"/>
    </row>
    <row r="41" customFormat="false" ht="45.75" hidden="false" customHeight="true" outlineLevel="0" collapsed="false">
      <c r="A41" s="24" t="s">
        <v>85</v>
      </c>
      <c r="B41" s="25" t="s">
        <v>91</v>
      </c>
      <c r="C41" s="32"/>
      <c r="D41" s="33"/>
      <c r="E41" s="33"/>
      <c r="F41" s="33"/>
      <c r="G41" s="34"/>
      <c r="H41" s="35"/>
      <c r="I41" s="33"/>
    </row>
    <row r="42" customFormat="false" ht="45.75" hidden="false" customHeight="true" outlineLevel="0" collapsed="false">
      <c r="A42" s="24" t="s">
        <v>85</v>
      </c>
      <c r="B42" s="25" t="s">
        <v>92</v>
      </c>
      <c r="C42" s="32"/>
      <c r="D42" s="33"/>
      <c r="E42" s="33"/>
      <c r="F42" s="33"/>
      <c r="G42" s="34"/>
      <c r="H42" s="35"/>
      <c r="I42" s="33"/>
    </row>
    <row r="43" customFormat="false" ht="45.75" hidden="false" customHeight="true" outlineLevel="0" collapsed="false">
      <c r="A43" s="24" t="s">
        <v>85</v>
      </c>
      <c r="B43" s="25" t="s">
        <v>93</v>
      </c>
      <c r="C43" s="32"/>
      <c r="D43" s="33"/>
      <c r="E43" s="33"/>
      <c r="F43" s="33"/>
      <c r="G43" s="34"/>
      <c r="H43" s="35"/>
      <c r="I43" s="33"/>
    </row>
    <row r="44" customFormat="false" ht="45.75" hidden="false" customHeight="true" outlineLevel="0" collapsed="false">
      <c r="A44" s="24" t="s">
        <v>85</v>
      </c>
      <c r="B44" s="25" t="s">
        <v>94</v>
      </c>
      <c r="C44" s="32"/>
      <c r="D44" s="33"/>
      <c r="E44" s="33"/>
      <c r="F44" s="33"/>
      <c r="G44" s="34"/>
      <c r="H44" s="35"/>
      <c r="I44" s="33"/>
    </row>
    <row r="45" customFormat="false" ht="24" hidden="false" customHeight="true" outlineLevel="0" collapsed="false">
      <c r="A45" s="36" t="s">
        <v>138</v>
      </c>
      <c r="B45" s="36"/>
      <c r="C45" s="37" t="n">
        <f aca="false">IFERROR(AVERAGE(C36:C44),0)</f>
        <v>0</v>
      </c>
      <c r="D45" s="38"/>
      <c r="E45" s="38"/>
      <c r="F45" s="38"/>
      <c r="G45" s="38"/>
      <c r="H45" s="38"/>
      <c r="I45" s="38"/>
    </row>
  </sheetData>
  <mergeCells count="6">
    <mergeCell ref="A1:I1"/>
    <mergeCell ref="A2:I2"/>
    <mergeCell ref="A16:B16"/>
    <mergeCell ref="A26:B26"/>
    <mergeCell ref="A35:B35"/>
    <mergeCell ref="A45:B45"/>
  </mergeCells>
  <conditionalFormatting sqref="C5:C45">
    <cfRule type="expression" priority="2" aboveAverage="0" equalAverage="0" bottom="0" percent="0" rank="0" text="" dxfId="0">
      <formula>AND(ISNUMBER(C5),C5&lt;2)</formula>
    </cfRule>
    <cfRule type="expression" priority="3" aboveAverage="0" equalAverage="0" bottom="0" percent="0" rank="0" text="" dxfId="1">
      <formula>AND(ISNUMBER(C5),C5&lt;3.5)</formula>
    </cfRule>
    <cfRule type="expression" priority="4" aboveAverage="0" equalAverage="0" bottom="0" percent="0" rank="0" text="" dxfId="2">
      <formula>AND(ISNUMBER(C5),C5&lt;=5)</formula>
    </cfRule>
  </conditionalFormatting>
  <conditionalFormatting sqref="G5:G45">
    <cfRule type="expression" priority="5" aboveAverage="0" equalAverage="0" bottom="0" percent="0" rank="0" text="" dxfId="0">
      <formula>EXACT(G5,"Alta")</formula>
    </cfRule>
    <cfRule type="expression" priority="6" aboveAverage="0" equalAverage="0" bottom="0" percent="0" rank="0" text="" dxfId="1">
      <formula>EXACT(G5,"Média")</formula>
    </cfRule>
    <cfRule type="expression" priority="7" aboveAverage="0" equalAverage="0" bottom="0" percent="0" rank="0" text="" dxfId="2">
      <formula>EXACT(G5,"Baixa")</formula>
    </cfRule>
  </conditionalFormatting>
  <dataValidations count="3">
    <dataValidation allowBlank="true" error="Use somente inteiros de 0 a 5" errorStyle="stop" errorTitle="Valor inválido" operator="between" showDropDown="false" showErrorMessage="false" showInputMessage="false" sqref="C5:C15 C17:C25 C27:C34 C36:C44" type="whole">
      <formula1>0</formula1>
      <formula2>5</formula2>
    </dataValidation>
    <dataValidation allowBlank="true" errorStyle="stop" operator="between" showDropDown="false" showErrorMessage="false" showInputMessage="false" sqref="G5:G15 G17:G25 G27:G34 G36:G44" type="list">
      <formula1>"Alta,Média,Baixa"</formula1>
      <formula2>0</formula2>
    </dataValidation>
    <dataValidation allowBlank="true" errorStyle="stop" operator="between" showDropDown="false" showErrorMessage="false" showInputMessage="false" sqref="H5:H15 H17:H25 H27:H34 H36:H44" type="list">
      <formula1>"Curto (0-3 m),Médio (3-6 m),Longo (6-12 m)"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D7" activeCellId="0" sqref="D7"/>
    </sheetView>
  </sheetViews>
  <sheetFormatPr defaultColWidth="8.66796875" defaultRowHeight="14.25" customHeight="fals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48"/>
    <col collapsed="false" customWidth="true" hidden="false" outlineLevel="0" max="3" min="3" style="1" width="9"/>
    <col collapsed="false" customWidth="true" hidden="false" outlineLevel="0" max="6" min="4" style="1" width="32"/>
    <col collapsed="false" customWidth="true" hidden="false" outlineLevel="0" max="7" min="7" style="1" width="11"/>
    <col collapsed="false" customWidth="true" hidden="false" outlineLevel="0" max="8" min="8" style="1" width="13"/>
    <col collapsed="false" customWidth="true" hidden="false" outlineLevel="0" max="9" min="9" style="1" width="22"/>
  </cols>
  <sheetData>
    <row r="1" customFormat="false" ht="30" hidden="false" customHeight="true" outlineLevel="0" collapsed="false">
      <c r="A1" s="21" t="s">
        <v>139</v>
      </c>
      <c r="B1" s="21"/>
      <c r="C1" s="21"/>
      <c r="D1" s="21"/>
      <c r="E1" s="21"/>
      <c r="F1" s="21"/>
      <c r="G1" s="21"/>
      <c r="H1" s="21"/>
      <c r="I1" s="21"/>
    </row>
    <row r="2" customFormat="false" ht="30" hidden="false" customHeight="true" outlineLevel="0" collapsed="false">
      <c r="A2" s="22" t="s">
        <v>127</v>
      </c>
      <c r="B2" s="22"/>
      <c r="C2" s="22"/>
      <c r="D2" s="22"/>
      <c r="E2" s="22"/>
      <c r="F2" s="22"/>
      <c r="G2" s="22"/>
      <c r="H2" s="22"/>
      <c r="I2" s="22"/>
    </row>
    <row r="4" customFormat="false" ht="36" hidden="false" customHeight="true" outlineLevel="0" collapsed="false">
      <c r="A4" s="23" t="s">
        <v>48</v>
      </c>
      <c r="B4" s="23" t="s">
        <v>49</v>
      </c>
      <c r="C4" s="23" t="s">
        <v>128</v>
      </c>
      <c r="D4" s="23" t="s">
        <v>129</v>
      </c>
      <c r="E4" s="23" t="s">
        <v>130</v>
      </c>
      <c r="F4" s="23" t="s">
        <v>131</v>
      </c>
      <c r="G4" s="23" t="s">
        <v>132</v>
      </c>
      <c r="H4" s="23" t="s">
        <v>133</v>
      </c>
      <c r="I4" s="23" t="s">
        <v>134</v>
      </c>
    </row>
    <row r="5" customFormat="false" ht="45.75" hidden="false" customHeight="true" outlineLevel="0" collapsed="false">
      <c r="A5" s="24" t="s">
        <v>95</v>
      </c>
      <c r="B5" s="25" t="s">
        <v>96</v>
      </c>
      <c r="C5" s="32"/>
      <c r="D5" s="33"/>
      <c r="E5" s="33"/>
      <c r="F5" s="33"/>
      <c r="G5" s="34"/>
      <c r="H5" s="35"/>
      <c r="I5" s="33"/>
    </row>
    <row r="6" customFormat="false" ht="45.75" hidden="false" customHeight="true" outlineLevel="0" collapsed="false">
      <c r="A6" s="24" t="s">
        <v>95</v>
      </c>
      <c r="B6" s="25" t="s">
        <v>97</v>
      </c>
      <c r="C6" s="32"/>
      <c r="D6" s="33"/>
      <c r="E6" s="33"/>
      <c r="F6" s="33"/>
      <c r="G6" s="34"/>
      <c r="H6" s="35"/>
      <c r="I6" s="33"/>
    </row>
    <row r="7" customFormat="false" ht="45.75" hidden="false" customHeight="true" outlineLevel="0" collapsed="false">
      <c r="A7" s="24" t="s">
        <v>95</v>
      </c>
      <c r="B7" s="25" t="s">
        <v>98</v>
      </c>
      <c r="C7" s="32"/>
      <c r="D7" s="33"/>
      <c r="E7" s="33"/>
      <c r="F7" s="33"/>
      <c r="G7" s="34"/>
      <c r="H7" s="35"/>
      <c r="I7" s="33"/>
    </row>
    <row r="8" customFormat="false" ht="45.75" hidden="false" customHeight="true" outlineLevel="0" collapsed="false">
      <c r="A8" s="24" t="s">
        <v>95</v>
      </c>
      <c r="B8" s="25" t="s">
        <v>99</v>
      </c>
      <c r="C8" s="32"/>
      <c r="D8" s="33"/>
      <c r="E8" s="33"/>
      <c r="F8" s="33"/>
      <c r="G8" s="34"/>
      <c r="H8" s="35"/>
      <c r="I8" s="33"/>
    </row>
    <row r="9" customFormat="false" ht="45.75" hidden="false" customHeight="true" outlineLevel="0" collapsed="false">
      <c r="A9" s="24" t="s">
        <v>95</v>
      </c>
      <c r="B9" s="25" t="s">
        <v>100</v>
      </c>
      <c r="C9" s="32"/>
      <c r="D9" s="33"/>
      <c r="E9" s="33"/>
      <c r="F9" s="33"/>
      <c r="G9" s="34"/>
      <c r="H9" s="35"/>
      <c r="I9" s="33"/>
    </row>
    <row r="10" customFormat="false" ht="45.75" hidden="false" customHeight="true" outlineLevel="0" collapsed="false">
      <c r="A10" s="24" t="s">
        <v>95</v>
      </c>
      <c r="B10" s="25" t="s">
        <v>101</v>
      </c>
      <c r="C10" s="32"/>
      <c r="D10" s="33"/>
      <c r="E10" s="33"/>
      <c r="F10" s="33"/>
      <c r="G10" s="34"/>
      <c r="H10" s="35"/>
      <c r="I10" s="33"/>
    </row>
    <row r="11" customFormat="false" ht="45.75" hidden="false" customHeight="true" outlineLevel="0" collapsed="false">
      <c r="A11" s="24" t="s">
        <v>95</v>
      </c>
      <c r="B11" s="25" t="s">
        <v>102</v>
      </c>
      <c r="C11" s="32"/>
      <c r="D11" s="33"/>
      <c r="E11" s="33"/>
      <c r="F11" s="33"/>
      <c r="G11" s="34"/>
      <c r="H11" s="35"/>
      <c r="I11" s="33"/>
    </row>
    <row r="12" customFormat="false" ht="24" hidden="false" customHeight="true" outlineLevel="0" collapsed="false">
      <c r="A12" s="36" t="s">
        <v>140</v>
      </c>
      <c r="B12" s="36"/>
      <c r="C12" s="37" t="n">
        <f aca="false">IFERROR(AVERAGE(C5:C11),0)</f>
        <v>0</v>
      </c>
      <c r="D12" s="38"/>
      <c r="E12" s="38"/>
      <c r="F12" s="38"/>
      <c r="G12" s="38"/>
      <c r="H12" s="38"/>
      <c r="I12" s="38"/>
    </row>
    <row r="13" customFormat="false" ht="45.75" hidden="false" customHeight="true" outlineLevel="0" collapsed="false">
      <c r="A13" s="24" t="s">
        <v>103</v>
      </c>
      <c r="B13" s="25" t="s">
        <v>104</v>
      </c>
      <c r="C13" s="32"/>
      <c r="D13" s="33"/>
      <c r="E13" s="33"/>
      <c r="F13" s="33"/>
      <c r="G13" s="34"/>
      <c r="H13" s="35"/>
      <c r="I13" s="33"/>
    </row>
    <row r="14" customFormat="false" ht="45.75" hidden="false" customHeight="true" outlineLevel="0" collapsed="false">
      <c r="A14" s="24" t="s">
        <v>103</v>
      </c>
      <c r="B14" s="25" t="s">
        <v>105</v>
      </c>
      <c r="C14" s="32"/>
      <c r="D14" s="33"/>
      <c r="E14" s="33"/>
      <c r="F14" s="33"/>
      <c r="G14" s="34"/>
      <c r="H14" s="35"/>
      <c r="I14" s="33"/>
    </row>
    <row r="15" customFormat="false" ht="45.75" hidden="false" customHeight="true" outlineLevel="0" collapsed="false">
      <c r="A15" s="24" t="s">
        <v>103</v>
      </c>
      <c r="B15" s="25" t="s">
        <v>106</v>
      </c>
      <c r="C15" s="32"/>
      <c r="D15" s="33"/>
      <c r="E15" s="33"/>
      <c r="F15" s="33"/>
      <c r="G15" s="34"/>
      <c r="H15" s="35"/>
      <c r="I15" s="33"/>
    </row>
    <row r="16" customFormat="false" ht="45.75" hidden="false" customHeight="true" outlineLevel="0" collapsed="false">
      <c r="A16" s="24" t="s">
        <v>103</v>
      </c>
      <c r="B16" s="25" t="s">
        <v>107</v>
      </c>
      <c r="C16" s="32"/>
      <c r="D16" s="33"/>
      <c r="E16" s="33"/>
      <c r="F16" s="33"/>
      <c r="G16" s="34"/>
      <c r="H16" s="35"/>
      <c r="I16" s="33"/>
    </row>
    <row r="17" customFormat="false" ht="45.75" hidden="false" customHeight="true" outlineLevel="0" collapsed="false">
      <c r="A17" s="24" t="s">
        <v>103</v>
      </c>
      <c r="B17" s="25" t="s">
        <v>108</v>
      </c>
      <c r="C17" s="32"/>
      <c r="D17" s="33"/>
      <c r="E17" s="33"/>
      <c r="F17" s="33"/>
      <c r="G17" s="34"/>
      <c r="H17" s="35"/>
      <c r="I17" s="33"/>
    </row>
    <row r="18" customFormat="false" ht="45.75" hidden="false" customHeight="true" outlineLevel="0" collapsed="false">
      <c r="A18" s="24" t="s">
        <v>103</v>
      </c>
      <c r="B18" s="25" t="s">
        <v>109</v>
      </c>
      <c r="C18" s="32"/>
      <c r="D18" s="33"/>
      <c r="E18" s="33"/>
      <c r="F18" s="33"/>
      <c r="G18" s="34"/>
      <c r="H18" s="35"/>
      <c r="I18" s="33"/>
    </row>
    <row r="19" customFormat="false" ht="24" hidden="false" customHeight="true" outlineLevel="0" collapsed="false">
      <c r="A19" s="36" t="s">
        <v>141</v>
      </c>
      <c r="B19" s="36"/>
      <c r="C19" s="37" t="n">
        <f aca="false">IFERROR(AVERAGE(C13:C18),0)</f>
        <v>0</v>
      </c>
      <c r="D19" s="38"/>
      <c r="E19" s="38"/>
      <c r="F19" s="38"/>
      <c r="G19" s="38"/>
      <c r="H19" s="38"/>
      <c r="I19" s="38"/>
    </row>
    <row r="20" customFormat="false" ht="45.75" hidden="false" customHeight="true" outlineLevel="0" collapsed="false">
      <c r="A20" s="24" t="s">
        <v>110</v>
      </c>
      <c r="B20" s="25" t="s">
        <v>111</v>
      </c>
      <c r="C20" s="32"/>
      <c r="D20" s="33"/>
      <c r="E20" s="33"/>
      <c r="F20" s="33"/>
      <c r="G20" s="34"/>
      <c r="H20" s="35"/>
      <c r="I20" s="33"/>
    </row>
    <row r="21" customFormat="false" ht="45.75" hidden="false" customHeight="true" outlineLevel="0" collapsed="false">
      <c r="A21" s="24" t="s">
        <v>110</v>
      </c>
      <c r="B21" s="25" t="s">
        <v>112</v>
      </c>
      <c r="C21" s="32"/>
      <c r="D21" s="33"/>
      <c r="E21" s="33"/>
      <c r="F21" s="33"/>
      <c r="G21" s="34"/>
      <c r="H21" s="35"/>
      <c r="I21" s="33"/>
    </row>
    <row r="22" customFormat="false" ht="45.75" hidden="false" customHeight="true" outlineLevel="0" collapsed="false">
      <c r="A22" s="24" t="s">
        <v>110</v>
      </c>
      <c r="B22" s="25" t="s">
        <v>113</v>
      </c>
      <c r="C22" s="32"/>
      <c r="D22" s="33"/>
      <c r="E22" s="33"/>
      <c r="F22" s="33"/>
      <c r="G22" s="34"/>
      <c r="H22" s="35"/>
      <c r="I22" s="33"/>
    </row>
    <row r="23" customFormat="false" ht="45.75" hidden="false" customHeight="true" outlineLevel="0" collapsed="false">
      <c r="A23" s="24" t="s">
        <v>110</v>
      </c>
      <c r="B23" s="25" t="s">
        <v>114</v>
      </c>
      <c r="C23" s="32"/>
      <c r="D23" s="33"/>
      <c r="E23" s="33"/>
      <c r="F23" s="33"/>
      <c r="G23" s="34"/>
      <c r="H23" s="35"/>
      <c r="I23" s="33"/>
    </row>
    <row r="24" customFormat="false" ht="45.75" hidden="false" customHeight="true" outlineLevel="0" collapsed="false">
      <c r="A24" s="24" t="s">
        <v>110</v>
      </c>
      <c r="B24" s="25" t="s">
        <v>115</v>
      </c>
      <c r="C24" s="32"/>
      <c r="D24" s="33"/>
      <c r="E24" s="33"/>
      <c r="F24" s="33"/>
      <c r="G24" s="34"/>
      <c r="H24" s="35"/>
      <c r="I24" s="33"/>
    </row>
    <row r="25" customFormat="false" ht="45.75" hidden="false" customHeight="true" outlineLevel="0" collapsed="false">
      <c r="A25" s="24" t="s">
        <v>110</v>
      </c>
      <c r="B25" s="25" t="s">
        <v>116</v>
      </c>
      <c r="C25" s="32"/>
      <c r="D25" s="33"/>
      <c r="E25" s="33"/>
      <c r="F25" s="33"/>
      <c r="G25" s="34"/>
      <c r="H25" s="35"/>
      <c r="I25" s="33"/>
    </row>
    <row r="26" customFormat="false" ht="24" hidden="false" customHeight="true" outlineLevel="0" collapsed="false">
      <c r="A26" s="36" t="s">
        <v>142</v>
      </c>
      <c r="B26" s="36"/>
      <c r="C26" s="37" t="n">
        <f aca="false">IFERROR(AVERAGE(C20:C25),0)</f>
        <v>0</v>
      </c>
      <c r="D26" s="38"/>
      <c r="E26" s="38"/>
      <c r="F26" s="38"/>
      <c r="G26" s="38"/>
      <c r="H26" s="38"/>
      <c r="I26" s="38"/>
    </row>
    <row r="27" customFormat="false" ht="45.75" hidden="false" customHeight="true" outlineLevel="0" collapsed="false">
      <c r="A27" s="24" t="s">
        <v>117</v>
      </c>
      <c r="B27" s="25" t="s">
        <v>118</v>
      </c>
      <c r="C27" s="32"/>
      <c r="D27" s="33"/>
      <c r="E27" s="33"/>
      <c r="F27" s="33"/>
      <c r="G27" s="34"/>
      <c r="H27" s="35"/>
      <c r="I27" s="33"/>
    </row>
    <row r="28" customFormat="false" ht="45.75" hidden="false" customHeight="true" outlineLevel="0" collapsed="false">
      <c r="A28" s="24" t="s">
        <v>117</v>
      </c>
      <c r="B28" s="25" t="s">
        <v>119</v>
      </c>
      <c r="C28" s="32"/>
      <c r="D28" s="33"/>
      <c r="E28" s="33"/>
      <c r="F28" s="33"/>
      <c r="G28" s="34"/>
      <c r="H28" s="35"/>
      <c r="I28" s="33"/>
    </row>
    <row r="29" customFormat="false" ht="45.75" hidden="false" customHeight="true" outlineLevel="0" collapsed="false">
      <c r="A29" s="24" t="s">
        <v>117</v>
      </c>
      <c r="B29" s="25" t="s">
        <v>120</v>
      </c>
      <c r="C29" s="32"/>
      <c r="D29" s="33"/>
      <c r="E29" s="33"/>
      <c r="F29" s="33"/>
      <c r="G29" s="34"/>
      <c r="H29" s="35"/>
      <c r="I29" s="33"/>
    </row>
    <row r="30" customFormat="false" ht="45.75" hidden="false" customHeight="true" outlineLevel="0" collapsed="false">
      <c r="A30" s="24" t="s">
        <v>117</v>
      </c>
      <c r="B30" s="25" t="s">
        <v>121</v>
      </c>
      <c r="C30" s="32"/>
      <c r="D30" s="33"/>
      <c r="E30" s="33"/>
      <c r="F30" s="33"/>
      <c r="G30" s="34"/>
      <c r="H30" s="35"/>
      <c r="I30" s="33"/>
    </row>
    <row r="31" customFormat="false" ht="45.75" hidden="false" customHeight="true" outlineLevel="0" collapsed="false">
      <c r="A31" s="24" t="s">
        <v>117</v>
      </c>
      <c r="B31" s="25" t="s">
        <v>122</v>
      </c>
      <c r="C31" s="32"/>
      <c r="D31" s="33"/>
      <c r="E31" s="33"/>
      <c r="F31" s="33"/>
      <c r="G31" s="34"/>
      <c r="H31" s="35"/>
      <c r="I31" s="33"/>
    </row>
    <row r="32" customFormat="false" ht="45.75" hidden="false" customHeight="true" outlineLevel="0" collapsed="false">
      <c r="A32" s="24" t="s">
        <v>117</v>
      </c>
      <c r="B32" s="25" t="s">
        <v>123</v>
      </c>
      <c r="C32" s="32"/>
      <c r="D32" s="33"/>
      <c r="E32" s="33"/>
      <c r="F32" s="33"/>
      <c r="G32" s="34"/>
      <c r="H32" s="35"/>
      <c r="I32" s="33"/>
    </row>
    <row r="33" customFormat="false" ht="24" hidden="false" customHeight="true" outlineLevel="0" collapsed="false">
      <c r="A33" s="36" t="s">
        <v>143</v>
      </c>
      <c r="B33" s="36"/>
      <c r="C33" s="37" t="n">
        <f aca="false">IFERROR(AVERAGE(C27:C32),0)</f>
        <v>0</v>
      </c>
      <c r="D33" s="38"/>
      <c r="E33" s="38"/>
      <c r="F33" s="38"/>
      <c r="G33" s="38"/>
      <c r="H33" s="38"/>
      <c r="I33" s="38"/>
    </row>
  </sheetData>
  <mergeCells count="6">
    <mergeCell ref="A1:I1"/>
    <mergeCell ref="A2:I2"/>
    <mergeCell ref="A12:B12"/>
    <mergeCell ref="A19:B19"/>
    <mergeCell ref="A26:B26"/>
    <mergeCell ref="A33:B33"/>
  </mergeCells>
  <conditionalFormatting sqref="C5:C33">
    <cfRule type="expression" priority="2" aboveAverage="0" equalAverage="0" bottom="0" percent="0" rank="0" text="" dxfId="0">
      <formula>AND(ISNUMBER(C5),C5&lt;2)</formula>
    </cfRule>
    <cfRule type="expression" priority="3" aboveAverage="0" equalAverage="0" bottom="0" percent="0" rank="0" text="" dxfId="1">
      <formula>AND(ISNUMBER(C5),C5&lt;3.5)</formula>
    </cfRule>
    <cfRule type="expression" priority="4" aboveAverage="0" equalAverage="0" bottom="0" percent="0" rank="0" text="" dxfId="2">
      <formula>AND(ISNUMBER(C5),C5&lt;=5)</formula>
    </cfRule>
  </conditionalFormatting>
  <conditionalFormatting sqref="G5:G33">
    <cfRule type="expression" priority="5" aboveAverage="0" equalAverage="0" bottom="0" percent="0" rank="0" text="" dxfId="0">
      <formula>EXACT(G5,"Alta")</formula>
    </cfRule>
    <cfRule type="expression" priority="6" aboveAverage="0" equalAverage="0" bottom="0" percent="0" rank="0" text="" dxfId="1">
      <formula>EXACT(G5,"Média")</formula>
    </cfRule>
    <cfRule type="expression" priority="7" aboveAverage="0" equalAverage="0" bottom="0" percent="0" rank="0" text="" dxfId="2">
      <formula>EXACT(G5,"Baixa")</formula>
    </cfRule>
  </conditionalFormatting>
  <dataValidations count="3">
    <dataValidation allowBlank="true" error="Use somente inteiros de 0 a 5" errorStyle="stop" errorTitle="Valor inválido" operator="between" showDropDown="false" showErrorMessage="false" showInputMessage="false" sqref="C5:C11 C13:C18 C20:C25 C27:C32" type="whole">
      <formula1>0</formula1>
      <formula2>5</formula2>
    </dataValidation>
    <dataValidation allowBlank="true" errorStyle="stop" operator="between" showDropDown="false" showErrorMessage="false" showInputMessage="false" sqref="G5:G11 G13:G18 G20:G25 G27:G32" type="list">
      <formula1>"Alta,Média,Baixa"</formula1>
      <formula2>0</formula2>
    </dataValidation>
    <dataValidation allowBlank="true" errorStyle="stop" operator="between" showDropDown="false" showErrorMessage="false" showInputMessage="false" sqref="H5:H11 H13:H18 H20:H25 H27:H32" type="list">
      <formula1>"Curto (0-3 m),Médio (3-6 m),Longo (6-12 m)"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14"/>
  <sheetViews>
    <sheetView showFormulas="false" showGridLines="false" showRowColHeaders="true" showZeros="true" rightToLeft="false" tabSelected="true" showOutlineSymbols="true" defaultGridColor="true" view="normal" topLeftCell="A10" colorId="64" zoomScale="70" zoomScaleNormal="70" zoomScalePageLayoutView="100" workbookViewId="0">
      <selection pane="topLeft" activeCell="C6" activeCellId="0" sqref="C6"/>
    </sheetView>
  </sheetViews>
  <sheetFormatPr defaultColWidth="8.66796875" defaultRowHeight="14.2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6"/>
    <col collapsed="false" customWidth="true" hidden="false" outlineLevel="0" max="4" min="3" style="1" width="14"/>
    <col collapsed="false" customWidth="true" hidden="false" outlineLevel="0" max="5" min="5" style="1" width="16"/>
    <col collapsed="false" customWidth="true" hidden="false" outlineLevel="0" max="6" min="6" style="1" width="22"/>
    <col collapsed="false" customWidth="true" hidden="false" outlineLevel="0" max="7" min="7" style="1" width="4"/>
    <col collapsed="false" customWidth="true" hidden="false" outlineLevel="0" max="8" min="8" style="1" width="33.6"/>
    <col collapsed="false" customWidth="true" hidden="false" outlineLevel="0" max="9" min="9" style="1" width="14"/>
  </cols>
  <sheetData>
    <row r="2" customFormat="false" ht="33.75" hidden="false" customHeight="true" outlineLevel="0" collapsed="false">
      <c r="B2" s="13" t="s">
        <v>144</v>
      </c>
      <c r="C2" s="13"/>
      <c r="D2" s="13"/>
      <c r="E2" s="13"/>
      <c r="F2" s="13"/>
      <c r="G2" s="13"/>
      <c r="H2" s="13"/>
      <c r="I2" s="13"/>
    </row>
    <row r="3" customFormat="false" ht="21.75" hidden="false" customHeight="true" outlineLevel="0" collapsed="false">
      <c r="B3" s="39" t="s">
        <v>145</v>
      </c>
      <c r="C3" s="39"/>
      <c r="D3" s="39"/>
      <c r="E3" s="39"/>
      <c r="F3" s="39"/>
      <c r="G3" s="39"/>
      <c r="H3" s="39"/>
      <c r="I3" s="39"/>
    </row>
    <row r="5" customFormat="false" ht="30" hidden="false" customHeight="true" outlineLevel="0" collapsed="false">
      <c r="A5" s="40"/>
      <c r="B5" s="23" t="s">
        <v>48</v>
      </c>
      <c r="C5" s="23" t="s">
        <v>146</v>
      </c>
      <c r="D5" s="23" t="s">
        <v>147</v>
      </c>
      <c r="E5" s="23" t="s">
        <v>148</v>
      </c>
      <c r="F5" s="23" t="s">
        <v>149</v>
      </c>
      <c r="G5" s="40"/>
      <c r="H5" s="23" t="s">
        <v>150</v>
      </c>
      <c r="I5" s="23" t="s">
        <v>151</v>
      </c>
    </row>
    <row r="6" customFormat="false" ht="21.75" hidden="false" customHeight="true" outlineLevel="0" collapsed="false">
      <c r="B6" s="8" t="s">
        <v>53</v>
      </c>
      <c r="C6" s="41" t="n">
        <f aca="false">IFERROR(AVERAGE(Detalhado_F1!C5:C15),0)</f>
        <v>0</v>
      </c>
      <c r="D6" s="42" t="n">
        <f aca="false">IFERROR(1-C6/5,0)</f>
        <v>1</v>
      </c>
      <c r="E6" s="28" t="str">
        <f aca="false">IF(C6=0,"—",IF(C6&lt;2,"Crítico",IF(C6&lt;3.5,"Relevante","Aderente")))</f>
        <v>—</v>
      </c>
      <c r="F6" s="43" t="n">
        <f aca="false">COUNTIFS(Detalhado_F1!C5:C15,"&lt;=2",Detalhado_F1!C5:C15,"&gt;0")+COUNTIF(Detalhado_F1!C5:C15,0)</f>
        <v>0</v>
      </c>
      <c r="H6" s="8" t="s">
        <v>152</v>
      </c>
      <c r="I6" s="44" t="n">
        <f aca="false">'Quick-Scan'!E67</f>
        <v>0</v>
      </c>
    </row>
    <row r="7" customFormat="false" ht="21.75" hidden="false" customHeight="true" outlineLevel="0" collapsed="false">
      <c r="B7" s="8" t="s">
        <v>66</v>
      </c>
      <c r="C7" s="41" t="n">
        <f aca="false">IFERROR(AVERAGE(Detalhado_F1!C17:C25),0)</f>
        <v>0</v>
      </c>
      <c r="D7" s="42" t="n">
        <f aca="false">IFERROR(1-C7/5,0)</f>
        <v>1</v>
      </c>
      <c r="E7" s="28" t="str">
        <f aca="false">IF(C7=0,"—",IF(C7&lt;2,"Crítico",IF(C7&lt;3.5,"Relevante","Aderente")))</f>
        <v>—</v>
      </c>
      <c r="F7" s="43" t="n">
        <f aca="false">COUNTIFS(Detalhado_F1!C17:C25,"&lt;=2",Detalhado_F1!C17:C25,"&gt;0")+COUNTIF(Detalhado_F1!C17:C25,0)</f>
        <v>0</v>
      </c>
      <c r="H7" s="8" t="s">
        <v>153</v>
      </c>
      <c r="I7" s="42" t="n">
        <f aca="false">'Quick-Scan'!E68</f>
        <v>0</v>
      </c>
    </row>
    <row r="8" customFormat="false" ht="21.75" hidden="false" customHeight="true" outlineLevel="0" collapsed="false">
      <c r="B8" s="8" t="s">
        <v>76</v>
      </c>
      <c r="C8" s="41" t="n">
        <f aca="false">IFERROR(AVERAGE(Detalhado_F1!C27:C34),0)</f>
        <v>0</v>
      </c>
      <c r="D8" s="42" t="n">
        <f aca="false">IFERROR(1-C8/5,0)</f>
        <v>1</v>
      </c>
      <c r="E8" s="28" t="str">
        <f aca="false">IF(C8=0,"—",IF(C8&lt;2,"Crítico",IF(C8&lt;3.5,"Relevante","Aderente")))</f>
        <v>—</v>
      </c>
      <c r="F8" s="43" t="n">
        <f aca="false">COUNTIFS(Detalhado_F1!C27:C34,"&lt;=2",Detalhado_F1!C27:C34,"&gt;0")+COUNTIF(Detalhado_F1!C27:C34,0)</f>
        <v>0</v>
      </c>
      <c r="H8" s="8" t="s">
        <v>154</v>
      </c>
      <c r="I8" s="44" t="n">
        <f aca="false">62</f>
        <v>62</v>
      </c>
    </row>
    <row r="9" customFormat="false" ht="21.75" hidden="false" customHeight="true" outlineLevel="0" collapsed="false">
      <c r="B9" s="8" t="s">
        <v>85</v>
      </c>
      <c r="C9" s="41" t="n">
        <f aca="false">IFERROR(AVERAGE(Detalhado_F1!C36:C44),0)</f>
        <v>0</v>
      </c>
      <c r="D9" s="42" t="n">
        <f aca="false">IFERROR(1-C9/5,0)</f>
        <v>1</v>
      </c>
      <c r="E9" s="28" t="str">
        <f aca="false">IF(C9=0,"—",IF(C9&lt;2,"Crítico",IF(C9&lt;3.5,"Relevante","Aderente")))</f>
        <v>—</v>
      </c>
      <c r="F9" s="43" t="n">
        <f aca="false">COUNTIFS(Detalhado_F1!C36:C44,"&lt;=2",Detalhado_F1!C36:C44,"&gt;0")+COUNTIF(Detalhado_F1!C36:C44,0)</f>
        <v>0</v>
      </c>
      <c r="H9" s="8" t="s">
        <v>155</v>
      </c>
      <c r="I9" s="44" t="n">
        <f aca="false">SUM(F6:F13)</f>
        <v>0</v>
      </c>
    </row>
    <row r="10" customFormat="false" ht="21.75" hidden="false" customHeight="true" outlineLevel="0" collapsed="false">
      <c r="B10" s="8" t="s">
        <v>95</v>
      </c>
      <c r="C10" s="41" t="n">
        <f aca="false">IFERROR(AVERAGE(Detalhado_F2!C5:C11),0)</f>
        <v>0</v>
      </c>
      <c r="D10" s="42" t="n">
        <f aca="false">IFERROR(1-C10/5,0)</f>
        <v>1</v>
      </c>
      <c r="E10" s="28" t="str">
        <f aca="false">IF(C10=0,"—",IF(C10&lt;2,"Crítico",IF(C10&lt;3.5,"Relevante","Aderente")))</f>
        <v>—</v>
      </c>
      <c r="F10" s="43" t="n">
        <f aca="false">COUNTIFS(Detalhado_F2!C5:C11,"&lt;=2",Detalhado_F2!C5:C11,"&gt;0")+COUNTIF(Detalhado_F2!C5:C11,0)</f>
        <v>0</v>
      </c>
      <c r="H10" s="8" t="s">
        <v>156</v>
      </c>
      <c r="I10" s="44" t="n">
        <f aca="false">COUNTIF(D6:D13,"&gt;=0.3")</f>
        <v>8</v>
      </c>
    </row>
    <row r="11" customFormat="false" ht="21.75" hidden="false" customHeight="true" outlineLevel="0" collapsed="false">
      <c r="B11" s="8" t="s">
        <v>103</v>
      </c>
      <c r="C11" s="41" t="n">
        <f aca="false">IFERROR(AVERAGE(Detalhado_F2!C13:C18),0)</f>
        <v>0</v>
      </c>
      <c r="D11" s="42" t="n">
        <f aca="false">IFERROR(1-C11/5,0)</f>
        <v>1</v>
      </c>
      <c r="E11" s="28" t="str">
        <f aca="false">IF(C11=0,"—",IF(C11&lt;2,"Crítico",IF(C11&lt;3.5,"Relevante","Aderente")))</f>
        <v>—</v>
      </c>
      <c r="F11" s="43" t="n">
        <f aca="false">COUNTIFS(Detalhado_F2!C13:C18,"&lt;=2",Detalhado_F2!C13:C18,"&gt;0")+COUNTIF(Detalhado_F2!C13:C18,0)</f>
        <v>0</v>
      </c>
      <c r="H11" s="8" t="s">
        <v>157</v>
      </c>
      <c r="I11" s="45" t="str">
        <f aca="false">INDEX(B6:B13,MATCH(MAX(D6:D13),D6:D13,0))</f>
        <v>F1.1 Premissas</v>
      </c>
    </row>
    <row r="12" customFormat="false" ht="21.75" hidden="false" customHeight="true" outlineLevel="0" collapsed="false">
      <c r="B12" s="8" t="s">
        <v>110</v>
      </c>
      <c r="C12" s="41" t="n">
        <f aca="false">IFERROR(AVERAGE(Detalhado_F2!C20:C25),0)</f>
        <v>0</v>
      </c>
      <c r="D12" s="42" t="n">
        <f aca="false">IFERROR(1-C12/5,0)</f>
        <v>1</v>
      </c>
      <c r="E12" s="28" t="str">
        <f aca="false">IF(C12=0,"—",IF(C12&lt;2,"Crítico",IF(C12&lt;3.5,"Relevante","Aderente")))</f>
        <v>—</v>
      </c>
      <c r="F12" s="43" t="n">
        <f aca="false">COUNTIFS(Detalhado_F2!C20:C25,"&lt;=2",Detalhado_F2!C20:C25,"&gt;0")+COUNTIF(Detalhado_F2!C20:C25,0)</f>
        <v>0</v>
      </c>
      <c r="H12" s="8" t="s">
        <v>158</v>
      </c>
      <c r="I12" s="46" t="n">
        <f aca="false">INDEX(C6:C13,MATCH(MAX(D6:D13),D6:D13,0))</f>
        <v>0</v>
      </c>
    </row>
    <row r="13" customFormat="false" ht="24" hidden="false" customHeight="true" outlineLevel="0" collapsed="false">
      <c r="B13" s="8" t="s">
        <v>117</v>
      </c>
      <c r="C13" s="41" t="n">
        <f aca="false">IFERROR(AVERAGE(Detalhado_F2!C27:C32),0)</f>
        <v>0</v>
      </c>
      <c r="D13" s="42" t="n">
        <f aca="false">IFERROR(1-C13/5,0)</f>
        <v>1</v>
      </c>
      <c r="E13" s="28" t="str">
        <f aca="false">IF(C13=0,"—",IF(C13&lt;2,"Crítico",IF(C13&lt;3.5,"Relevante","Aderente")))</f>
        <v>—</v>
      </c>
      <c r="F13" s="43" t="n">
        <f aca="false">COUNTIFS(Detalhado_F2!C27:C32,"&lt;=2",Detalhado_F2!C27:C32,"&gt;0")+COUNTIF(Detalhado_F2!C27:C32,0)</f>
        <v>0</v>
      </c>
    </row>
    <row r="14" customFormat="false" ht="27.75" hidden="false" customHeight="true" outlineLevel="0" collapsed="false">
      <c r="B14" s="47" t="s">
        <v>159</v>
      </c>
      <c r="C14" s="48" t="n">
        <f aca="false">AVERAGE(C6:C13)</f>
        <v>0</v>
      </c>
      <c r="D14" s="49" t="n">
        <f aca="false">1-C14/5</f>
        <v>1</v>
      </c>
      <c r="E14" s="29" t="str">
        <f aca="false">IF(C14&lt;2,"Crítico",IF(C14&lt;3.5,"Relevante","Aderente"))</f>
        <v>Crítico</v>
      </c>
      <c r="F14" s="29" t="n">
        <f aca="false">SUM(F6:F13)</f>
        <v>0</v>
      </c>
    </row>
  </sheetData>
  <mergeCells count="2">
    <mergeCell ref="B2:I2"/>
    <mergeCell ref="B3:I3"/>
  </mergeCells>
  <conditionalFormatting sqref="C6:C14">
    <cfRule type="expression" priority="2" aboveAverage="0" equalAverage="0" bottom="0" percent="0" rank="0" text="" dxfId="0">
      <formula>AND(ISNUMBER(C6),C6&lt;2)</formula>
    </cfRule>
    <cfRule type="expression" priority="3" aboveAverage="0" equalAverage="0" bottom="0" percent="0" rank="0" text="" dxfId="1">
      <formula>AND(ISNUMBER(C6),C6&lt;3.5)</formula>
    </cfRule>
    <cfRule type="expression" priority="4" aboveAverage="0" equalAverage="0" bottom="0" percent="0" rank="0" text="" dxfId="2">
      <formula>AND(ISNUMBER(C6),C6&lt;=5)</formula>
    </cfRule>
  </conditionalFormatting>
  <conditionalFormatting sqref="E6:E14">
    <cfRule type="expression" priority="5" aboveAverage="0" equalAverage="0" bottom="0" percent="0" rank="0" text="" dxfId="0">
      <formula>EXACT(E6,"Crítico")</formula>
    </cfRule>
    <cfRule type="expression" priority="6" aboveAverage="0" equalAverage="0" bottom="0" percent="0" rank="0" text="" dxfId="1">
      <formula>EXACT(E6,"Relevante")</formula>
    </cfRule>
    <cfRule type="expression" priority="7" aboveAverage="0" equalAverage="0" bottom="0" percent="0" rank="0" text="" dxfId="2">
      <formula>EXACT(E6,"Aderente")</formula>
    </cfRule>
  </conditionalFormatting>
  <conditionalFormatting sqref="D6:D14">
    <cfRule type="expression" priority="8" aboveAverage="0" equalAverage="0" bottom="0" percent="0" rank="0" text="" dxfId="0">
      <formula>AND(ISNUMBER(D6),D6&gt;0.6)</formula>
    </cfRule>
    <cfRule type="expression" priority="9" aboveAverage="0" equalAverage="0" bottom="0" percent="0" rank="0" text="" dxfId="1">
      <formula>AND(ISNUMBER(D6),D6&gt;0.3)</formula>
    </cfRule>
    <cfRule type="expression" priority="10" aboveAverage="0" equalAverage="0" bottom="0" percent="0" rank="0" text="" dxfId="2">
      <formula>AND(ISNUMBER(D6),D6&gt;=0)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2"/>
    <col collapsed="false" customWidth="true" hidden="false" outlineLevel="0" max="3" min="3" style="1" width="50"/>
    <col collapsed="false" customWidth="true" hidden="false" outlineLevel="0" max="4" min="4" style="1" width="36"/>
    <col collapsed="false" customWidth="true" hidden="false" outlineLevel="0" max="5" min="5" style="1" width="11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18"/>
    <col collapsed="false" customWidth="true" hidden="false" outlineLevel="0" max="9" min="9" style="1" width="14"/>
  </cols>
  <sheetData>
    <row r="1" customFormat="false" ht="30" hidden="false" customHeight="true" outlineLevel="0" collapsed="false">
      <c r="A1" s="21" t="s">
        <v>160</v>
      </c>
      <c r="B1" s="21"/>
      <c r="C1" s="21"/>
      <c r="D1" s="21"/>
      <c r="E1" s="21"/>
      <c r="F1" s="21"/>
      <c r="G1" s="21"/>
      <c r="H1" s="21"/>
      <c r="I1" s="21"/>
    </row>
    <row r="2" customFormat="false" ht="25.5" hidden="false" customHeight="true" outlineLevel="0" collapsed="false">
      <c r="A2" s="50" t="s">
        <v>161</v>
      </c>
      <c r="B2" s="50"/>
      <c r="C2" s="50"/>
      <c r="D2" s="50"/>
      <c r="E2" s="50"/>
      <c r="F2" s="50"/>
      <c r="G2" s="50"/>
      <c r="H2" s="50"/>
      <c r="I2" s="50"/>
    </row>
    <row r="4" customFormat="false" ht="31.5" hidden="false" customHeight="true" outlineLevel="0" collapsed="false">
      <c r="A4" s="23" t="s">
        <v>162</v>
      </c>
      <c r="B4" s="23" t="s">
        <v>48</v>
      </c>
      <c r="C4" s="23" t="s">
        <v>163</v>
      </c>
      <c r="D4" s="23" t="s">
        <v>164</v>
      </c>
      <c r="E4" s="23" t="s">
        <v>132</v>
      </c>
      <c r="F4" s="23" t="s">
        <v>133</v>
      </c>
      <c r="G4" s="23" t="s">
        <v>165</v>
      </c>
      <c r="H4" s="23" t="s">
        <v>166</v>
      </c>
      <c r="I4" s="23" t="s">
        <v>50</v>
      </c>
    </row>
    <row r="5" customFormat="false" ht="45.75" hidden="false" customHeight="true" outlineLevel="0" collapsed="false">
      <c r="A5" s="51" t="n">
        <v>1</v>
      </c>
      <c r="B5" s="52"/>
      <c r="C5" s="52"/>
      <c r="D5" s="52"/>
      <c r="E5" s="28"/>
      <c r="F5" s="28"/>
      <c r="G5" s="52"/>
      <c r="H5" s="53"/>
      <c r="I5" s="28"/>
    </row>
    <row r="6" customFormat="false" ht="45.75" hidden="false" customHeight="true" outlineLevel="0" collapsed="false">
      <c r="A6" s="51" t="n">
        <v>2</v>
      </c>
      <c r="B6" s="52"/>
      <c r="C6" s="52"/>
      <c r="D6" s="52"/>
      <c r="E6" s="28"/>
      <c r="F6" s="28"/>
      <c r="G6" s="52"/>
      <c r="H6" s="53"/>
      <c r="I6" s="28"/>
    </row>
    <row r="7" customFormat="false" ht="45.75" hidden="false" customHeight="true" outlineLevel="0" collapsed="false">
      <c r="A7" s="51" t="n">
        <v>3</v>
      </c>
      <c r="B7" s="52"/>
      <c r="C7" s="52"/>
      <c r="D7" s="52"/>
      <c r="E7" s="28"/>
      <c r="F7" s="28"/>
      <c r="G7" s="52"/>
      <c r="H7" s="53"/>
      <c r="I7" s="28"/>
    </row>
    <row r="8" customFormat="false" ht="45.75" hidden="false" customHeight="true" outlineLevel="0" collapsed="false">
      <c r="A8" s="51" t="n">
        <v>4</v>
      </c>
      <c r="B8" s="52"/>
      <c r="C8" s="52"/>
      <c r="D8" s="52"/>
      <c r="E8" s="28"/>
      <c r="F8" s="28"/>
      <c r="G8" s="52"/>
      <c r="H8" s="53"/>
      <c r="I8" s="28"/>
    </row>
    <row r="9" customFormat="false" ht="45.75" hidden="false" customHeight="true" outlineLevel="0" collapsed="false">
      <c r="A9" s="51" t="n">
        <v>5</v>
      </c>
      <c r="B9" s="52"/>
      <c r="C9" s="52"/>
      <c r="D9" s="52"/>
      <c r="E9" s="28"/>
      <c r="F9" s="28"/>
      <c r="G9" s="52"/>
      <c r="H9" s="53"/>
      <c r="I9" s="28"/>
    </row>
    <row r="10" customFormat="false" ht="45.75" hidden="false" customHeight="true" outlineLevel="0" collapsed="false">
      <c r="A10" s="51" t="n">
        <v>6</v>
      </c>
      <c r="B10" s="52"/>
      <c r="C10" s="52"/>
      <c r="D10" s="52"/>
      <c r="E10" s="28"/>
      <c r="F10" s="28"/>
      <c r="G10" s="52"/>
      <c r="H10" s="53"/>
      <c r="I10" s="28"/>
    </row>
    <row r="11" customFormat="false" ht="45.75" hidden="false" customHeight="true" outlineLevel="0" collapsed="false">
      <c r="A11" s="51" t="n">
        <v>7</v>
      </c>
      <c r="B11" s="52"/>
      <c r="C11" s="52"/>
      <c r="D11" s="52"/>
      <c r="E11" s="28"/>
      <c r="F11" s="28"/>
      <c r="G11" s="52"/>
      <c r="H11" s="53"/>
      <c r="I11" s="28"/>
    </row>
    <row r="12" customFormat="false" ht="45.75" hidden="false" customHeight="true" outlineLevel="0" collapsed="false">
      <c r="A12" s="51" t="n">
        <v>8</v>
      </c>
      <c r="B12" s="52"/>
      <c r="C12" s="52"/>
      <c r="D12" s="52"/>
      <c r="E12" s="28"/>
      <c r="F12" s="28"/>
      <c r="G12" s="52"/>
      <c r="H12" s="53"/>
      <c r="I12" s="28"/>
    </row>
    <row r="13" customFormat="false" ht="45.75" hidden="false" customHeight="true" outlineLevel="0" collapsed="false">
      <c r="A13" s="51" t="n">
        <v>9</v>
      </c>
      <c r="B13" s="52"/>
      <c r="C13" s="52"/>
      <c r="D13" s="52"/>
      <c r="E13" s="28"/>
      <c r="F13" s="28"/>
      <c r="G13" s="52"/>
      <c r="H13" s="53"/>
      <c r="I13" s="28"/>
    </row>
    <row r="14" customFormat="false" ht="45.75" hidden="false" customHeight="true" outlineLevel="0" collapsed="false">
      <c r="A14" s="51" t="n">
        <v>10</v>
      </c>
      <c r="B14" s="52"/>
      <c r="C14" s="52"/>
      <c r="D14" s="52"/>
      <c r="E14" s="28"/>
      <c r="F14" s="28"/>
      <c r="G14" s="52"/>
      <c r="H14" s="53"/>
      <c r="I14" s="28"/>
    </row>
    <row r="15" customFormat="false" ht="45.75" hidden="false" customHeight="true" outlineLevel="0" collapsed="false">
      <c r="A15" s="51" t="n">
        <v>11</v>
      </c>
      <c r="B15" s="52"/>
      <c r="C15" s="52"/>
      <c r="D15" s="52"/>
      <c r="E15" s="28"/>
      <c r="F15" s="28"/>
      <c r="G15" s="52"/>
      <c r="H15" s="53"/>
      <c r="I15" s="28"/>
    </row>
    <row r="16" customFormat="false" ht="45.75" hidden="false" customHeight="true" outlineLevel="0" collapsed="false">
      <c r="A16" s="51" t="n">
        <v>12</v>
      </c>
      <c r="B16" s="52"/>
      <c r="C16" s="52"/>
      <c r="D16" s="52"/>
      <c r="E16" s="28"/>
      <c r="F16" s="28"/>
      <c r="G16" s="52"/>
      <c r="H16" s="53"/>
      <c r="I16" s="28"/>
    </row>
    <row r="17" customFormat="false" ht="45.75" hidden="false" customHeight="true" outlineLevel="0" collapsed="false">
      <c r="A17" s="51" t="n">
        <v>13</v>
      </c>
      <c r="B17" s="52"/>
      <c r="C17" s="52"/>
      <c r="D17" s="52"/>
      <c r="E17" s="28"/>
      <c r="F17" s="28"/>
      <c r="G17" s="52"/>
      <c r="H17" s="53"/>
      <c r="I17" s="28"/>
    </row>
    <row r="18" customFormat="false" ht="45.75" hidden="false" customHeight="true" outlineLevel="0" collapsed="false">
      <c r="A18" s="51" t="n">
        <v>14</v>
      </c>
      <c r="B18" s="52"/>
      <c r="C18" s="52"/>
      <c r="D18" s="52"/>
      <c r="E18" s="28"/>
      <c r="F18" s="28"/>
      <c r="G18" s="52"/>
      <c r="H18" s="53"/>
      <c r="I18" s="28"/>
    </row>
    <row r="19" customFormat="false" ht="45.75" hidden="false" customHeight="true" outlineLevel="0" collapsed="false">
      <c r="A19" s="51" t="n">
        <v>15</v>
      </c>
      <c r="B19" s="52"/>
      <c r="C19" s="52"/>
      <c r="D19" s="52"/>
      <c r="E19" s="28"/>
      <c r="F19" s="28"/>
      <c r="G19" s="52"/>
      <c r="H19" s="53"/>
      <c r="I19" s="28"/>
    </row>
    <row r="20" customFormat="false" ht="45.75" hidden="false" customHeight="true" outlineLevel="0" collapsed="false">
      <c r="A20" s="51" t="n">
        <v>16</v>
      </c>
      <c r="B20" s="52"/>
      <c r="C20" s="52"/>
      <c r="D20" s="52"/>
      <c r="E20" s="28"/>
      <c r="F20" s="28"/>
      <c r="G20" s="52"/>
      <c r="H20" s="53"/>
      <c r="I20" s="28"/>
    </row>
    <row r="21" customFormat="false" ht="45.75" hidden="false" customHeight="true" outlineLevel="0" collapsed="false">
      <c r="A21" s="51" t="n">
        <v>17</v>
      </c>
      <c r="B21" s="52"/>
      <c r="C21" s="52"/>
      <c r="D21" s="52"/>
      <c r="E21" s="28"/>
      <c r="F21" s="28"/>
      <c r="G21" s="52"/>
      <c r="H21" s="53"/>
      <c r="I21" s="28"/>
    </row>
    <row r="22" customFormat="false" ht="45.75" hidden="false" customHeight="true" outlineLevel="0" collapsed="false">
      <c r="A22" s="51" t="n">
        <v>18</v>
      </c>
      <c r="B22" s="52"/>
      <c r="C22" s="52"/>
      <c r="D22" s="52"/>
      <c r="E22" s="28"/>
      <c r="F22" s="28"/>
      <c r="G22" s="52"/>
      <c r="H22" s="53"/>
      <c r="I22" s="28"/>
    </row>
    <row r="23" customFormat="false" ht="45.75" hidden="false" customHeight="true" outlineLevel="0" collapsed="false">
      <c r="A23" s="51" t="n">
        <v>19</v>
      </c>
      <c r="B23" s="52"/>
      <c r="C23" s="52"/>
      <c r="D23" s="52"/>
      <c r="E23" s="28"/>
      <c r="F23" s="28"/>
      <c r="G23" s="52"/>
      <c r="H23" s="53"/>
      <c r="I23" s="28"/>
    </row>
    <row r="24" customFormat="false" ht="45.75" hidden="false" customHeight="true" outlineLevel="0" collapsed="false">
      <c r="A24" s="51" t="n">
        <v>20</v>
      </c>
      <c r="B24" s="52"/>
      <c r="C24" s="52"/>
      <c r="D24" s="52"/>
      <c r="E24" s="28"/>
      <c r="F24" s="28"/>
      <c r="G24" s="52"/>
      <c r="H24" s="53"/>
      <c r="I24" s="28"/>
    </row>
    <row r="25" customFormat="false" ht="25.5" hidden="false" customHeight="true" outlineLevel="0" collapsed="false">
      <c r="A25" s="47" t="s">
        <v>167</v>
      </c>
      <c r="B25" s="47"/>
      <c r="C25" s="47"/>
      <c r="D25" s="47"/>
      <c r="E25" s="47"/>
      <c r="F25" s="47"/>
      <c r="G25" s="47"/>
      <c r="H25" s="54" t="n">
        <f aca="false">SUM(H5:H24)</f>
        <v>0</v>
      </c>
      <c r="I25" s="55"/>
    </row>
  </sheetData>
  <mergeCells count="3">
    <mergeCell ref="A1:I1"/>
    <mergeCell ref="A2:I2"/>
    <mergeCell ref="A25:G25"/>
  </mergeCells>
  <conditionalFormatting sqref="E5:E24">
    <cfRule type="expression" priority="2" aboveAverage="0" equalAverage="0" bottom="0" percent="0" rank="0" text="" dxfId="0">
      <formula>EXACT(E5,"Alta")</formula>
    </cfRule>
    <cfRule type="expression" priority="3" aboveAverage="0" equalAverage="0" bottom="0" percent="0" rank="0" text="" dxfId="1">
      <formula>EXACT(E5,"Média")</formula>
    </cfRule>
    <cfRule type="expression" priority="4" aboveAverage="0" equalAverage="0" bottom="0" percent="0" rank="0" text="" dxfId="2">
      <formula>EXACT(E5,"Baixa")</formula>
    </cfRule>
  </conditionalFormatting>
  <conditionalFormatting sqref="I5:I24">
    <cfRule type="expression" priority="5" aboveAverage="0" equalAverage="0" bottom="0" percent="0" rank="0" text="" dxfId="0">
      <formula>EXACT(I5,"Não iniciado")</formula>
    </cfRule>
    <cfRule type="expression" priority="6" aboveAverage="0" equalAverage="0" bottom="0" percent="0" rank="0" text="" dxfId="1">
      <formula>EXACT(I5,"Em andamento")</formula>
    </cfRule>
    <cfRule type="expression" priority="7" aboveAverage="0" equalAverage="0" bottom="0" percent="0" rank="0" text="" dxfId="1">
      <formula>EXACT(I5,"Pausado")</formula>
    </cfRule>
    <cfRule type="expression" priority="8" aboveAverage="0" equalAverage="0" bottom="0" percent="0" rank="0" text="" dxfId="2">
      <formula>EXACT(I5,"Concluído")</formula>
    </cfRule>
  </conditionalFormatting>
  <dataValidations count="3">
    <dataValidation allowBlank="true" errorStyle="stop" operator="between" showDropDown="false" showErrorMessage="false" showInputMessage="false" sqref="E5:E24" type="list">
      <formula1>"Alta,Média,Baixa"</formula1>
      <formula2>0</formula2>
    </dataValidation>
    <dataValidation allowBlank="true" errorStyle="stop" operator="between" showDropDown="false" showErrorMessage="false" showInputMessage="false" sqref="F5:F24" type="list">
      <formula1>"Curto (0-3 m),Médio (3-6 m),Longo (6-12 m)"</formula1>
      <formula2>0</formula2>
    </dataValidation>
    <dataValidation allowBlank="true" errorStyle="stop" operator="between" showDropDown="false" showErrorMessage="false" showInputMessage="false" sqref="I5:I24" type="list">
      <formula1>"Não iniciado,Em andamento,Concluído,Pausado"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2026-05-19T12:10:50Z</dcterms:created>
  <dc:creator>openpyxl</dc:creator>
  <dc:description/>
  <dc:language>en-US</dc:language>
  <cp:lastModifiedBy/>
  <dcterms:modified xsi:type="dcterms:W3CDTF">2026-06-11T20:26:20Z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